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725" yWindow="-20730" windowWidth="22185" windowHeight="23820" tabRatio="600" firstSheet="0" activeTab="2" autoFilterDateGrouping="1"/>
  </bookViews>
  <sheets>
    <sheet xmlns:r="http://schemas.openxmlformats.org/officeDocument/2006/relationships" name="Note" sheetId="1" state="visible" r:id="rId1"/>
    <sheet xmlns:r="http://schemas.openxmlformats.org/officeDocument/2006/relationships" name="Futures Only Report Raw"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Currency" sheetId="5" state="visible" r:id="rId5"/>
    <sheet xmlns:r="http://schemas.openxmlformats.org/officeDocument/2006/relationships" name="Graphs" sheetId="6" state="visible" r:id="rId6"/>
  </sheets>
  <definedNames>
    <definedName name="_xlnm._FilterDatabase" localSheetId="1" hidden="1">'Futures Only Report Raw'!$A$1:$DV$8733</definedName>
  </definedNames>
  <calcPr calcId="191029" fullCalcOnLoad="1"/>
</workbook>
</file>

<file path=xl/styles.xml><?xml version="1.0" encoding="utf-8"?>
<styleSheet xmlns="http://schemas.openxmlformats.org/spreadsheetml/2006/main">
  <numFmts count="4">
    <numFmt numFmtId="164" formatCode="m/d/yyyy"/>
    <numFmt numFmtId="165" formatCode="dd\-mm\-yyyy"/>
    <numFmt numFmtId="166" formatCode="yyyy-mm-dd h:mm:ss"/>
    <numFmt numFmtId="167" formatCode="dd-mm-YYYY"/>
  </numFmts>
  <fonts count="14">
    <font>
      <name val="Calibri"/>
      <family val="2"/>
      <color theme="1"/>
      <sz val="11"/>
      <scheme val="minor"/>
    </font>
    <font>
      <name val="Calibri"/>
      <family val="2"/>
      <b val="1"/>
      <color theme="1"/>
      <sz val="11"/>
      <scheme val="minor"/>
    </font>
    <font>
      <name val="Arial"/>
      <family val="2"/>
      <sz val="10"/>
    </font>
    <font>
      <name val="Calibri"/>
      <family val="2"/>
      <color theme="10"/>
      <sz val="11"/>
      <u val="single"/>
      <scheme val="minor"/>
    </font>
    <font>
      <name val="Calibri"/>
      <family val="2"/>
      <b val="1"/>
      <color theme="0"/>
      <sz val="11"/>
      <scheme val="minor"/>
    </font>
    <font>
      <name val="Arial"/>
      <family val="2"/>
      <b val="1"/>
      <sz val="10"/>
    </font>
    <font>
      <name val="Arial"/>
      <family val="2"/>
      <b val="1"/>
      <color theme="0"/>
      <sz val="10"/>
    </font>
    <font>
      <name val="Calibri"/>
      <family val="2"/>
      <color theme="1"/>
      <sz val="10"/>
      <scheme val="minor"/>
    </font>
    <font>
      <name val="Calibri"/>
      <family val="2"/>
      <color rgb="FF00B0F0"/>
      <sz val="11"/>
      <scheme val="minor"/>
    </font>
    <font>
      <name val="Calibri"/>
      <family val="2"/>
      <b val="1"/>
      <color rgb="FF494444"/>
      <sz val="11"/>
      <scheme val="minor"/>
    </font>
    <font>
      <name val="Arial"/>
      <family val="2"/>
      <color rgb="FF494444"/>
      <sz val="11"/>
    </font>
    <font>
      <name val="Calibri"/>
      <family val="2"/>
      <b val="1"/>
      <sz val="11"/>
      <scheme val="minor"/>
    </font>
    <font>
      <name val="Calibri"/>
      <family val="2"/>
      <b val="1"/>
      <color rgb="FF00B0F0"/>
      <sz val="11"/>
      <scheme val="minor"/>
    </font>
    <font>
      <name val="Calibri"/>
      <family val="2"/>
      <color theme="1"/>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5">
    <xf numFmtId="0" fontId="13" fillId="0" borderId="0"/>
    <xf numFmtId="0" fontId="2" fillId="0" borderId="0"/>
    <xf numFmtId="0" fontId="2" fillId="0" borderId="0"/>
    <xf numFmtId="0" fontId="3" fillId="0" borderId="0"/>
    <xf numFmtId="9" fontId="13" fillId="0" borderId="0"/>
  </cellStyleXfs>
  <cellXfs count="65">
    <xf numFmtId="0" fontId="0" fillId="0" borderId="0" pivotButton="0" quotePrefix="0" xfId="0"/>
    <xf numFmtId="164" fontId="0" fillId="0" borderId="0" pivotButton="0" quotePrefix="0" xfId="0"/>
    <xf numFmtId="0" fontId="0" fillId="2" borderId="5" applyAlignment="1" pivotButton="0" quotePrefix="0" xfId="0">
      <alignment horizontal="center"/>
    </xf>
    <xf numFmtId="3" fontId="0" fillId="2" borderId="6" applyAlignment="1" pivotButton="0" quotePrefix="0" xfId="0">
      <alignment horizontal="center"/>
    </xf>
    <xf numFmtId="0" fontId="0" fillId="2" borderId="7" applyAlignment="1" pivotButton="0" quotePrefix="0" xfId="0">
      <alignment horizontal="center"/>
    </xf>
    <xf numFmtId="9" fontId="0" fillId="2" borderId="10" applyAlignment="1" pivotButton="0" quotePrefix="0" xfId="0">
      <alignment horizontal="center"/>
    </xf>
    <xf numFmtId="9" fontId="0" fillId="2" borderId="14" applyAlignment="1" pivotButton="0" quotePrefix="0" xfId="0">
      <alignment horizontal="center"/>
    </xf>
    <xf numFmtId="0" fontId="0" fillId="2" borderId="0" applyAlignment="1" pivotButton="0" quotePrefix="0" xfId="0">
      <alignment horizontal="center"/>
    </xf>
    <xf numFmtId="0" fontId="5" fillId="2" borderId="8" applyAlignment="1" pivotButton="0" quotePrefix="0" xfId="0">
      <alignment horizontal="center"/>
    </xf>
    <xf numFmtId="0" fontId="5" fillId="2" borderId="11" applyAlignment="1" pivotButton="0" quotePrefix="0" xfId="0">
      <alignment horizontal="center"/>
    </xf>
    <xf numFmtId="0" fontId="6" fillId="3" borderId="1" applyAlignment="1" pivotButton="0" quotePrefix="0" xfId="0">
      <alignment horizontal="center" wrapText="1"/>
    </xf>
    <xf numFmtId="0" fontId="6" fillId="3" borderId="2" applyAlignment="1" pivotButton="0" quotePrefix="0" xfId="0">
      <alignment horizontal="center" wrapText="1"/>
    </xf>
    <xf numFmtId="3" fontId="6" fillId="3" borderId="2" applyAlignment="1" pivotButton="0" quotePrefix="0" xfId="0">
      <alignment horizontal="center" wrapText="1"/>
    </xf>
    <xf numFmtId="0" fontId="4" fillId="3" borderId="1" applyAlignment="1" pivotButton="0" quotePrefix="0" xfId="0">
      <alignment horizontal="center" wrapText="1"/>
    </xf>
    <xf numFmtId="0" fontId="4" fillId="3" borderId="2" applyAlignment="1" pivotButton="0" quotePrefix="0" xfId="0">
      <alignment horizontal="center" wrapText="1"/>
    </xf>
    <xf numFmtId="0" fontId="4" fillId="3" borderId="3" applyAlignment="1" pivotButton="0" quotePrefix="0" xfId="0">
      <alignment horizontal="center" wrapText="1"/>
    </xf>
    <xf numFmtId="0" fontId="6" fillId="3" borderId="4" applyAlignment="1" pivotButton="0" quotePrefix="0" xfId="0">
      <alignment horizontal="center"/>
    </xf>
    <xf numFmtId="0" fontId="0" fillId="4" borderId="0" pivotButton="0" quotePrefix="0" xfId="0"/>
    <xf numFmtId="0" fontId="1" fillId="4" borderId="0" pivotButton="0" quotePrefix="0" xfId="0"/>
    <xf numFmtId="14" fontId="7" fillId="2" borderId="0" applyAlignment="1" pivotButton="0" quotePrefix="0" xfId="0">
      <alignment horizontal="center"/>
    </xf>
    <xf numFmtId="0" fontId="0" fillId="3" borderId="1" applyAlignment="1" pivotButton="0" quotePrefix="0" xfId="0">
      <alignment horizontal="center"/>
    </xf>
    <xf numFmtId="0" fontId="1" fillId="3" borderId="3" applyAlignment="1" pivotButton="0" quotePrefix="0" xfId="0">
      <alignment horizontal="center" wrapText="1"/>
    </xf>
    <xf numFmtId="0" fontId="8" fillId="2" borderId="0" pivotButton="0" quotePrefix="0" xfId="0"/>
    <xf numFmtId="0" fontId="8" fillId="2" borderId="3" applyAlignment="1" pivotButton="0" quotePrefix="0" xfId="0">
      <alignment horizontal="center"/>
    </xf>
    <xf numFmtId="0" fontId="1" fillId="2" borderId="1" applyAlignment="1" pivotButton="0" quotePrefix="0" xfId="0">
      <alignment horizontal="center"/>
    </xf>
    <xf numFmtId="0" fontId="3" fillId="0" borderId="0" pivotButton="0" quotePrefix="0" xfId="3"/>
    <xf numFmtId="0" fontId="10" fillId="0" borderId="0" pivotButton="0" quotePrefix="0" xfId="0"/>
    <xf numFmtId="0" fontId="0" fillId="2" borderId="0" applyAlignment="1" pivotButton="0" quotePrefix="0" xfId="0">
      <alignment vertical="center"/>
    </xf>
    <xf numFmtId="0" fontId="5" fillId="5" borderId="4" applyAlignment="1" pivotButton="0" quotePrefix="0" xfId="0">
      <alignment horizontal="center"/>
    </xf>
    <xf numFmtId="0" fontId="5" fillId="5" borderId="1" applyAlignment="1" pivotButton="0" quotePrefix="0" xfId="0">
      <alignment horizontal="center" wrapText="1"/>
    </xf>
    <xf numFmtId="0" fontId="5" fillId="5" borderId="2" applyAlignment="1" pivotButton="0" quotePrefix="0" xfId="0">
      <alignment horizontal="center" wrapText="1"/>
    </xf>
    <xf numFmtId="3" fontId="5" fillId="5" borderId="2" applyAlignment="1" pivotButton="0" quotePrefix="0" xfId="0">
      <alignment horizontal="center" wrapText="1"/>
    </xf>
    <xf numFmtId="0" fontId="11" fillId="5" borderId="1" applyAlignment="1" pivotButton="0" quotePrefix="0" xfId="0">
      <alignment horizontal="center" wrapText="1"/>
    </xf>
    <xf numFmtId="0" fontId="11" fillId="5" borderId="2" applyAlignment="1" pivotButton="0" quotePrefix="0" xfId="0">
      <alignment horizontal="center" wrapText="1"/>
    </xf>
    <xf numFmtId="0" fontId="11" fillId="5" borderId="3" applyAlignment="1" pivotButton="0" quotePrefix="0" xfId="0">
      <alignment horizontal="center" wrapText="1"/>
    </xf>
    <xf numFmtId="3" fontId="12" fillId="2" borderId="0" applyAlignment="1" pivotButton="0" quotePrefix="0" xfId="0">
      <alignment horizontal="center"/>
    </xf>
    <xf numFmtId="0" fontId="0" fillId="2" borderId="6" applyAlignment="1" pivotButton="0" quotePrefix="0" xfId="0">
      <alignment horizontal="center"/>
    </xf>
    <xf numFmtId="3" fontId="0" fillId="2" borderId="7" applyAlignment="1" pivotButton="0" quotePrefix="0" xfId="0">
      <alignment horizontal="center"/>
    </xf>
    <xf numFmtId="3" fontId="0" fillId="2" borderId="9" applyAlignment="1" pivotButton="0" quotePrefix="0" xfId="0">
      <alignment horizontal="center"/>
    </xf>
    <xf numFmtId="3" fontId="0" fillId="2" borderId="13" applyAlignment="1" pivotButton="0" quotePrefix="0" xfId="0">
      <alignment horizontal="center"/>
    </xf>
    <xf numFmtId="3" fontId="0" fillId="2" borderId="12" applyAlignment="1" pivotButton="0" quotePrefix="0" xfId="0">
      <alignment horizontal="center"/>
    </xf>
    <xf numFmtId="9" fontId="0" fillId="2" borderId="10" applyAlignment="1" pivotButton="0" quotePrefix="0" xfId="4">
      <alignment horizontal="center"/>
    </xf>
    <xf numFmtId="9" fontId="0" fillId="2" borderId="14" applyAlignment="1" pivotButton="0" quotePrefix="0" xfId="4">
      <alignment horizontal="center"/>
    </xf>
    <xf numFmtId="14" fontId="8" fillId="2" borderId="3" applyAlignment="1" pivotButton="0" quotePrefix="0" xfId="0">
      <alignment horizontal="center"/>
    </xf>
    <xf numFmtId="3" fontId="0" fillId="2" borderId="10" applyAlignment="1" pivotButton="0" quotePrefix="0" xfId="0">
      <alignment horizontal="center"/>
    </xf>
    <xf numFmtId="3" fontId="0" fillId="2" borderId="14" applyAlignment="1" pivotButton="0" quotePrefix="0" xfId="0">
      <alignment horizontal="center"/>
    </xf>
    <xf numFmtId="0" fontId="1" fillId="2" borderId="0" applyAlignment="1" pivotButton="0" quotePrefix="0" xfId="0">
      <alignment horizontal="center"/>
    </xf>
    <xf numFmtId="14" fontId="8" fillId="2" borderId="0" applyAlignment="1" pivotButton="0" quotePrefix="0" xfId="0">
      <alignment horizontal="center"/>
    </xf>
    <xf numFmtId="3" fontId="0" fillId="2" borderId="0" applyAlignment="1" pivotButton="0" quotePrefix="0" xfId="0">
      <alignment horizontal="center"/>
    </xf>
    <xf numFmtId="0" fontId="0" fillId="2" borderId="0" pivotButton="0" quotePrefix="0" xfId="0"/>
    <xf numFmtId="0" fontId="0" fillId="2" borderId="0" applyAlignment="1" pivotButton="0" quotePrefix="0" xfId="0">
      <alignment wrapText="1"/>
    </xf>
    <xf numFmtId="165" fontId="0" fillId="0" borderId="0" pivotButton="0" quotePrefix="0" xfId="0"/>
    <xf numFmtId="0" fontId="0" fillId="2" borderId="0" pivotButton="0" quotePrefix="0" xfId="0"/>
    <xf numFmtId="0" fontId="0" fillId="2" borderId="0" applyAlignment="1" pivotButton="0" quotePrefix="0" xfId="0">
      <alignment wrapText="1"/>
    </xf>
    <xf numFmtId="0" fontId="1" fillId="5" borderId="18" applyAlignment="1" pivotButton="0" quotePrefix="0" xfId="0">
      <alignment horizontal="center"/>
    </xf>
    <xf numFmtId="0" fontId="0" fillId="0" borderId="15" pivotButton="0" quotePrefix="0" xfId="0"/>
    <xf numFmtId="0" fontId="0" fillId="0" borderId="16" pivotButton="0" quotePrefix="0" xfId="0"/>
    <xf numFmtId="0" fontId="3" fillId="2" borderId="0" applyAlignment="1" pivotButton="0" quotePrefix="0" xfId="3">
      <alignment wrapText="1"/>
    </xf>
    <xf numFmtId="0" fontId="1" fillId="2" borderId="12" applyAlignment="1" pivotButton="0" quotePrefix="0" xfId="0">
      <alignment horizontal="center" vertical="center"/>
    </xf>
    <xf numFmtId="0" fontId="0" fillId="0" borderId="12" pivotButton="0" quotePrefix="0" xfId="0"/>
    <xf numFmtId="0" fontId="4" fillId="3" borderId="17" applyAlignment="1" pivotButton="0" quotePrefix="0" xfId="0">
      <alignment horizontal="center"/>
    </xf>
    <xf numFmtId="0" fontId="0" fillId="0" borderId="2" pivotButton="0" quotePrefix="0" xfId="0"/>
    <xf numFmtId="0" fontId="0" fillId="0" borderId="3" pivotButton="0" quotePrefix="0" xfId="0"/>
    <xf numFmtId="0" fontId="9" fillId="2" borderId="0" applyAlignment="1" pivotButton="0" quotePrefix="0" xfId="0">
      <alignment wrapText="1"/>
    </xf>
    <xf numFmtId="167" fontId="0" fillId="0" borderId="0" pivotButton="0" quotePrefix="0" xfId="0"/>
  </cellXfs>
  <cellStyles count="5">
    <cellStyle name="Normal" xfId="0" builtinId="0"/>
    <cellStyle name="Normal 2" xfId="1"/>
    <cellStyle name="Normal 3" xfId="2"/>
    <cellStyle name="Hyperlink" xfId="3" builtinId="8"/>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Currency!$B$2</f>
          <strCache>
            <ptCount val="1"/>
            <pt idx="0">
              <v>COT Non-Commercial Net - JPY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Currency!$B$2</f>
              <strCache>
                <ptCount val="1"/>
                <pt idx="0">
                  <v>COT Non-Commercial Net - JPY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Currency!$A$7:$A$1319</f>
              <numCache>
                <formatCode>m/d/yyyy</formatCode>
                <ptCount val="1313"/>
                <pt idx="0">
                  <v>36165</v>
                </pt>
                <pt idx="1">
                  <v>36172</v>
                </pt>
                <pt idx="2">
                  <v>36179</v>
                </pt>
                <pt idx="3">
                  <v>36186</v>
                </pt>
                <pt idx="4">
                  <v>36193</v>
                </pt>
                <pt idx="5">
                  <v>36200</v>
                </pt>
                <pt idx="6">
                  <v>36207</v>
                </pt>
                <pt idx="7">
                  <v>36214</v>
                </pt>
                <pt idx="8">
                  <v>36221</v>
                </pt>
                <pt idx="9">
                  <v>36228</v>
                </pt>
                <pt idx="10">
                  <v>36235</v>
                </pt>
                <pt idx="11">
                  <v>36242</v>
                </pt>
                <pt idx="12">
                  <v>36249</v>
                </pt>
                <pt idx="13">
                  <v>36256</v>
                </pt>
                <pt idx="14">
                  <v>36263</v>
                </pt>
                <pt idx="15">
                  <v>36270</v>
                </pt>
                <pt idx="16">
                  <v>36277</v>
                </pt>
                <pt idx="17">
                  <v>36284</v>
                </pt>
                <pt idx="18">
                  <v>36291</v>
                </pt>
                <pt idx="19">
                  <v>36298</v>
                </pt>
                <pt idx="20">
                  <v>36305</v>
                </pt>
                <pt idx="21">
                  <v>36312</v>
                </pt>
                <pt idx="22">
                  <v>36319</v>
                </pt>
                <pt idx="23">
                  <v>36326</v>
                </pt>
                <pt idx="24">
                  <v>36333</v>
                </pt>
                <pt idx="25">
                  <v>36340</v>
                </pt>
                <pt idx="26">
                  <v>36347</v>
                </pt>
                <pt idx="27">
                  <v>36354</v>
                </pt>
                <pt idx="28">
                  <v>36361</v>
                </pt>
                <pt idx="29">
                  <v>36368</v>
                </pt>
                <pt idx="30">
                  <v>36375</v>
                </pt>
                <pt idx="31">
                  <v>36382</v>
                </pt>
                <pt idx="32">
                  <v>36389</v>
                </pt>
                <pt idx="33">
                  <v>36396</v>
                </pt>
                <pt idx="34">
                  <v>36403</v>
                </pt>
                <pt idx="35">
                  <v>36410</v>
                </pt>
                <pt idx="36">
                  <v>36417</v>
                </pt>
                <pt idx="37">
                  <v>36424</v>
                </pt>
                <pt idx="38">
                  <v>36431</v>
                </pt>
                <pt idx="39">
                  <v>36438</v>
                </pt>
                <pt idx="40">
                  <v>36445</v>
                </pt>
                <pt idx="41">
                  <v>36452</v>
                </pt>
                <pt idx="42">
                  <v>36459</v>
                </pt>
                <pt idx="43">
                  <v>36466</v>
                </pt>
                <pt idx="44">
                  <v>36473</v>
                </pt>
                <pt idx="45">
                  <v>36480</v>
                </pt>
                <pt idx="46">
                  <v>36487</v>
                </pt>
                <pt idx="47">
                  <v>36494</v>
                </pt>
                <pt idx="48">
                  <v>36501</v>
                </pt>
                <pt idx="49">
                  <v>36508</v>
                </pt>
                <pt idx="50">
                  <v>36515</v>
                </pt>
                <pt idx="51">
                  <v>36522</v>
                </pt>
                <pt idx="52">
                  <v>36529</v>
                </pt>
                <pt idx="53">
                  <v>36536</v>
                </pt>
                <pt idx="54">
                  <v>36543</v>
                </pt>
                <pt idx="55">
                  <v>36550</v>
                </pt>
                <pt idx="56">
                  <v>36557</v>
                </pt>
                <pt idx="57">
                  <v>36564</v>
                </pt>
                <pt idx="58">
                  <v>36571</v>
                </pt>
                <pt idx="59">
                  <v>36578</v>
                </pt>
                <pt idx="60">
                  <v>36585</v>
                </pt>
                <pt idx="61">
                  <v>36592</v>
                </pt>
                <pt idx="62">
                  <v>36599</v>
                </pt>
                <pt idx="63">
                  <v>36606</v>
                </pt>
                <pt idx="64">
                  <v>36613</v>
                </pt>
                <pt idx="65">
                  <v>36620</v>
                </pt>
                <pt idx="66">
                  <v>36627</v>
                </pt>
                <pt idx="67">
                  <v>36634</v>
                </pt>
                <pt idx="68">
                  <v>36641</v>
                </pt>
                <pt idx="69">
                  <v>36648</v>
                </pt>
                <pt idx="70">
                  <v>36655</v>
                </pt>
                <pt idx="71">
                  <v>36662</v>
                </pt>
                <pt idx="72">
                  <v>36669</v>
                </pt>
                <pt idx="73">
                  <v>36676</v>
                </pt>
                <pt idx="74">
                  <v>36683</v>
                </pt>
                <pt idx="75">
                  <v>36690</v>
                </pt>
                <pt idx="76">
                  <v>36697</v>
                </pt>
                <pt idx="77">
                  <v>36704</v>
                </pt>
                <pt idx="78">
                  <v>36711</v>
                </pt>
                <pt idx="79">
                  <v>36718</v>
                </pt>
                <pt idx="80">
                  <v>36725</v>
                </pt>
                <pt idx="81">
                  <v>36732</v>
                </pt>
                <pt idx="82">
                  <v>36739</v>
                </pt>
                <pt idx="83">
                  <v>36746</v>
                </pt>
                <pt idx="84">
                  <v>36753</v>
                </pt>
                <pt idx="85">
                  <v>36760</v>
                </pt>
                <pt idx="86">
                  <v>36767</v>
                </pt>
                <pt idx="87">
                  <v>36774</v>
                </pt>
                <pt idx="88">
                  <v>36781</v>
                </pt>
                <pt idx="89">
                  <v>36788</v>
                </pt>
                <pt idx="90">
                  <v>36795</v>
                </pt>
                <pt idx="91">
                  <v>36802</v>
                </pt>
                <pt idx="92">
                  <v>36809</v>
                </pt>
                <pt idx="93">
                  <v>36816</v>
                </pt>
                <pt idx="94">
                  <v>36823</v>
                </pt>
                <pt idx="95">
                  <v>36830</v>
                </pt>
                <pt idx="96">
                  <v>36837</v>
                </pt>
                <pt idx="97">
                  <v>36844</v>
                </pt>
                <pt idx="98">
                  <v>36851</v>
                </pt>
                <pt idx="99">
                  <v>36858</v>
                </pt>
                <pt idx="100">
                  <v>36865</v>
                </pt>
                <pt idx="101">
                  <v>36872</v>
                </pt>
                <pt idx="102">
                  <v>36879</v>
                </pt>
                <pt idx="103">
                  <v>36886</v>
                </pt>
                <pt idx="104">
                  <v>36893</v>
                </pt>
                <pt idx="105">
                  <v>36900</v>
                </pt>
                <pt idx="106">
                  <v>36907</v>
                </pt>
                <pt idx="107">
                  <v>36914</v>
                </pt>
                <pt idx="108">
                  <v>36921</v>
                </pt>
                <pt idx="109">
                  <v>36928</v>
                </pt>
                <pt idx="110">
                  <v>36935</v>
                </pt>
                <pt idx="111">
                  <v>36942</v>
                </pt>
                <pt idx="112">
                  <v>36949</v>
                </pt>
                <pt idx="113">
                  <v>36956</v>
                </pt>
                <pt idx="114">
                  <v>36963</v>
                </pt>
                <pt idx="115">
                  <v>36970</v>
                </pt>
                <pt idx="116">
                  <v>36977</v>
                </pt>
                <pt idx="117">
                  <v>36984</v>
                </pt>
                <pt idx="118">
                  <v>36991</v>
                </pt>
                <pt idx="119">
                  <v>36998</v>
                </pt>
                <pt idx="120">
                  <v>37005</v>
                </pt>
                <pt idx="121">
                  <v>37012</v>
                </pt>
                <pt idx="122">
                  <v>37019</v>
                </pt>
                <pt idx="123">
                  <v>37026</v>
                </pt>
                <pt idx="124">
                  <v>37033</v>
                </pt>
                <pt idx="125">
                  <v>37040</v>
                </pt>
                <pt idx="126">
                  <v>37047</v>
                </pt>
                <pt idx="127">
                  <v>37054</v>
                </pt>
                <pt idx="128">
                  <v>37061</v>
                </pt>
                <pt idx="129">
                  <v>37068</v>
                </pt>
                <pt idx="130">
                  <v>37075</v>
                </pt>
                <pt idx="131">
                  <v>37082</v>
                </pt>
                <pt idx="132">
                  <v>37089</v>
                </pt>
                <pt idx="133">
                  <v>37096</v>
                </pt>
                <pt idx="134">
                  <v>37103</v>
                </pt>
                <pt idx="135">
                  <v>37110</v>
                </pt>
                <pt idx="136">
                  <v>37117</v>
                </pt>
                <pt idx="137">
                  <v>37124</v>
                </pt>
                <pt idx="138">
                  <v>37131</v>
                </pt>
                <pt idx="139">
                  <v>37138</v>
                </pt>
                <pt idx="140">
                  <v>37145</v>
                </pt>
                <pt idx="141">
                  <v>37152</v>
                </pt>
                <pt idx="142">
                  <v>37159</v>
                </pt>
                <pt idx="143">
                  <v>37166</v>
                </pt>
                <pt idx="144">
                  <v>37173</v>
                </pt>
                <pt idx="145">
                  <v>37180</v>
                </pt>
                <pt idx="146">
                  <v>37187</v>
                </pt>
                <pt idx="147">
                  <v>37194</v>
                </pt>
                <pt idx="148">
                  <v>37201</v>
                </pt>
                <pt idx="149">
                  <v>37208</v>
                </pt>
                <pt idx="150">
                  <v>37215</v>
                </pt>
                <pt idx="151">
                  <v>37222</v>
                </pt>
                <pt idx="152">
                  <v>37229</v>
                </pt>
                <pt idx="153">
                  <v>37236</v>
                </pt>
                <pt idx="154">
                  <v>37243</v>
                </pt>
                <pt idx="155">
                  <v>37250</v>
                </pt>
                <pt idx="156">
                  <v>37257</v>
                </pt>
                <pt idx="157">
                  <v>37264</v>
                </pt>
                <pt idx="158">
                  <v>37271</v>
                </pt>
                <pt idx="159">
                  <v>37278</v>
                </pt>
                <pt idx="160">
                  <v>37285</v>
                </pt>
                <pt idx="161">
                  <v>37292</v>
                </pt>
                <pt idx="162">
                  <v>37299</v>
                </pt>
                <pt idx="163">
                  <v>37306</v>
                </pt>
                <pt idx="164">
                  <v>37313</v>
                </pt>
                <pt idx="165">
                  <v>37320</v>
                </pt>
                <pt idx="166">
                  <v>37327</v>
                </pt>
                <pt idx="167">
                  <v>37334</v>
                </pt>
                <pt idx="168">
                  <v>37341</v>
                </pt>
                <pt idx="169">
                  <v>37348</v>
                </pt>
                <pt idx="170">
                  <v>37355</v>
                </pt>
                <pt idx="171">
                  <v>37362</v>
                </pt>
                <pt idx="172">
                  <v>37369</v>
                </pt>
                <pt idx="173">
                  <v>37376</v>
                </pt>
                <pt idx="174">
                  <v>37383</v>
                </pt>
                <pt idx="175">
                  <v>37390</v>
                </pt>
                <pt idx="176">
                  <v>37397</v>
                </pt>
                <pt idx="177">
                  <v>37404</v>
                </pt>
                <pt idx="178">
                  <v>37411</v>
                </pt>
                <pt idx="179">
                  <v>37418</v>
                </pt>
                <pt idx="180">
                  <v>37425</v>
                </pt>
                <pt idx="181">
                  <v>37432</v>
                </pt>
                <pt idx="182">
                  <v>37439</v>
                </pt>
                <pt idx="183">
                  <v>37446</v>
                </pt>
                <pt idx="184">
                  <v>37453</v>
                </pt>
                <pt idx="185">
                  <v>37460</v>
                </pt>
                <pt idx="186">
                  <v>37467</v>
                </pt>
                <pt idx="187">
                  <v>37474</v>
                </pt>
                <pt idx="188">
                  <v>37481</v>
                </pt>
                <pt idx="189">
                  <v>37488</v>
                </pt>
                <pt idx="190">
                  <v>37495</v>
                </pt>
                <pt idx="191">
                  <v>37502</v>
                </pt>
                <pt idx="192">
                  <v>37509</v>
                </pt>
                <pt idx="193">
                  <v>37516</v>
                </pt>
                <pt idx="194">
                  <v>37523</v>
                </pt>
                <pt idx="195">
                  <v>37530</v>
                </pt>
                <pt idx="196">
                  <v>37537</v>
                </pt>
                <pt idx="197">
                  <v>37544</v>
                </pt>
                <pt idx="198">
                  <v>37551</v>
                </pt>
                <pt idx="199">
                  <v>37558</v>
                </pt>
                <pt idx="200">
                  <v>37565</v>
                </pt>
                <pt idx="201">
                  <v>37572</v>
                </pt>
                <pt idx="202">
                  <v>37579</v>
                </pt>
                <pt idx="203">
                  <v>37586</v>
                </pt>
                <pt idx="204">
                  <v>37593</v>
                </pt>
                <pt idx="205">
                  <v>37600</v>
                </pt>
                <pt idx="206">
                  <v>37607</v>
                </pt>
                <pt idx="207">
                  <v>37614</v>
                </pt>
                <pt idx="208">
                  <v>37621</v>
                </pt>
                <pt idx="209">
                  <v>37628</v>
                </pt>
                <pt idx="210">
                  <v>37635</v>
                </pt>
                <pt idx="211">
                  <v>37642</v>
                </pt>
                <pt idx="212">
                  <v>37649</v>
                </pt>
                <pt idx="213">
                  <v>37656</v>
                </pt>
                <pt idx="214">
                  <v>37663</v>
                </pt>
                <pt idx="215">
                  <v>37670</v>
                </pt>
                <pt idx="216">
                  <v>37677</v>
                </pt>
                <pt idx="217">
                  <v>37684</v>
                </pt>
                <pt idx="218">
                  <v>37691</v>
                </pt>
                <pt idx="219">
                  <v>37698</v>
                </pt>
                <pt idx="220">
                  <v>37705</v>
                </pt>
                <pt idx="221">
                  <v>37712</v>
                </pt>
                <pt idx="222">
                  <v>37719</v>
                </pt>
                <pt idx="223">
                  <v>37726</v>
                </pt>
                <pt idx="224">
                  <v>37733</v>
                </pt>
                <pt idx="225">
                  <v>37740</v>
                </pt>
                <pt idx="226">
                  <v>37747</v>
                </pt>
                <pt idx="227">
                  <v>37754</v>
                </pt>
                <pt idx="228">
                  <v>37761</v>
                </pt>
                <pt idx="229">
                  <v>37768</v>
                </pt>
                <pt idx="230">
                  <v>37775</v>
                </pt>
                <pt idx="231">
                  <v>37782</v>
                </pt>
                <pt idx="232">
                  <v>37789</v>
                </pt>
                <pt idx="233">
                  <v>37796</v>
                </pt>
                <pt idx="234">
                  <v>37803</v>
                </pt>
                <pt idx="235">
                  <v>37810</v>
                </pt>
                <pt idx="236">
                  <v>37817</v>
                </pt>
                <pt idx="237">
                  <v>37824</v>
                </pt>
                <pt idx="238">
                  <v>37831</v>
                </pt>
                <pt idx="239">
                  <v>37838</v>
                </pt>
                <pt idx="240">
                  <v>37845</v>
                </pt>
                <pt idx="241">
                  <v>37852</v>
                </pt>
                <pt idx="242">
                  <v>37859</v>
                </pt>
                <pt idx="243">
                  <v>37866</v>
                </pt>
                <pt idx="244">
                  <v>37873</v>
                </pt>
                <pt idx="245">
                  <v>37880</v>
                </pt>
                <pt idx="246">
                  <v>37887</v>
                </pt>
                <pt idx="247">
                  <v>37894</v>
                </pt>
                <pt idx="248">
                  <v>37901</v>
                </pt>
                <pt idx="249">
                  <v>37908</v>
                </pt>
                <pt idx="250">
                  <v>37915</v>
                </pt>
                <pt idx="251">
                  <v>37922</v>
                </pt>
                <pt idx="252">
                  <v>37929</v>
                </pt>
                <pt idx="253">
                  <v>37936</v>
                </pt>
                <pt idx="254">
                  <v>37943</v>
                </pt>
                <pt idx="255">
                  <v>37950</v>
                </pt>
                <pt idx="256">
                  <v>37957</v>
                </pt>
                <pt idx="257">
                  <v>37964</v>
                </pt>
                <pt idx="258">
                  <v>37971</v>
                </pt>
                <pt idx="259">
                  <v>37978</v>
                </pt>
                <pt idx="260">
                  <v>37985</v>
                </pt>
                <pt idx="261">
                  <v>37992</v>
                </pt>
                <pt idx="262">
                  <v>37999</v>
                </pt>
                <pt idx="263">
                  <v>38006</v>
                </pt>
                <pt idx="264">
                  <v>38013</v>
                </pt>
                <pt idx="265">
                  <v>38020</v>
                </pt>
                <pt idx="266">
                  <v>38027</v>
                </pt>
                <pt idx="267">
                  <v>38034</v>
                </pt>
                <pt idx="268">
                  <v>38041</v>
                </pt>
                <pt idx="269">
                  <v>38048</v>
                </pt>
                <pt idx="270">
                  <v>38055</v>
                </pt>
                <pt idx="271">
                  <v>38062</v>
                </pt>
                <pt idx="272">
                  <v>38069</v>
                </pt>
                <pt idx="273">
                  <v>38076</v>
                </pt>
                <pt idx="274">
                  <v>38083</v>
                </pt>
                <pt idx="275">
                  <v>38090</v>
                </pt>
                <pt idx="276">
                  <v>38097</v>
                </pt>
                <pt idx="277">
                  <v>38104</v>
                </pt>
                <pt idx="278">
                  <v>38111</v>
                </pt>
                <pt idx="279">
                  <v>38118</v>
                </pt>
                <pt idx="280">
                  <v>38125</v>
                </pt>
                <pt idx="281">
                  <v>38132</v>
                </pt>
                <pt idx="282">
                  <v>38139</v>
                </pt>
                <pt idx="283">
                  <v>38146</v>
                </pt>
                <pt idx="284">
                  <v>38153</v>
                </pt>
                <pt idx="285">
                  <v>38160</v>
                </pt>
                <pt idx="286">
                  <v>38167</v>
                </pt>
                <pt idx="287">
                  <v>38174</v>
                </pt>
                <pt idx="288">
                  <v>38181</v>
                </pt>
                <pt idx="289">
                  <v>38188</v>
                </pt>
                <pt idx="290">
                  <v>38195</v>
                </pt>
                <pt idx="291">
                  <v>38202</v>
                </pt>
                <pt idx="292">
                  <v>38209</v>
                </pt>
                <pt idx="293">
                  <v>38216</v>
                </pt>
                <pt idx="294">
                  <v>38223</v>
                </pt>
                <pt idx="295">
                  <v>38230</v>
                </pt>
                <pt idx="296">
                  <v>38237</v>
                </pt>
                <pt idx="297">
                  <v>38244</v>
                </pt>
                <pt idx="298">
                  <v>38251</v>
                </pt>
                <pt idx="299">
                  <v>38258</v>
                </pt>
                <pt idx="300">
                  <v>38265</v>
                </pt>
                <pt idx="301">
                  <v>38272</v>
                </pt>
                <pt idx="302">
                  <v>38279</v>
                </pt>
                <pt idx="303">
                  <v>38286</v>
                </pt>
                <pt idx="304">
                  <v>38293</v>
                </pt>
                <pt idx="305">
                  <v>38300</v>
                </pt>
                <pt idx="306">
                  <v>38307</v>
                </pt>
                <pt idx="307">
                  <v>38314</v>
                </pt>
                <pt idx="308">
                  <v>38321</v>
                </pt>
                <pt idx="309">
                  <v>38328</v>
                </pt>
                <pt idx="310">
                  <v>38335</v>
                </pt>
                <pt idx="311">
                  <v>38342</v>
                </pt>
                <pt idx="312">
                  <v>38349</v>
                </pt>
                <pt idx="313">
                  <v>38356</v>
                </pt>
                <pt idx="314">
                  <v>38363</v>
                </pt>
                <pt idx="315">
                  <v>38370</v>
                </pt>
                <pt idx="316">
                  <v>38377</v>
                </pt>
                <pt idx="317">
                  <v>38384</v>
                </pt>
                <pt idx="318">
                  <v>38391</v>
                </pt>
                <pt idx="319">
                  <v>38398</v>
                </pt>
                <pt idx="320">
                  <v>38405</v>
                </pt>
                <pt idx="321">
                  <v>38412</v>
                </pt>
                <pt idx="322">
                  <v>38419</v>
                </pt>
                <pt idx="323">
                  <v>38426</v>
                </pt>
                <pt idx="324">
                  <v>38433</v>
                </pt>
                <pt idx="325">
                  <v>38440</v>
                </pt>
                <pt idx="326">
                  <v>38447</v>
                </pt>
                <pt idx="327">
                  <v>38454</v>
                </pt>
                <pt idx="328">
                  <v>38461</v>
                </pt>
                <pt idx="329">
                  <v>38468</v>
                </pt>
                <pt idx="330">
                  <v>38475</v>
                </pt>
                <pt idx="331">
                  <v>38482</v>
                </pt>
                <pt idx="332">
                  <v>38489</v>
                </pt>
                <pt idx="333">
                  <v>38496</v>
                </pt>
                <pt idx="334">
                  <v>38503</v>
                </pt>
                <pt idx="335">
                  <v>38510</v>
                </pt>
                <pt idx="336">
                  <v>38517</v>
                </pt>
                <pt idx="337">
                  <v>38524</v>
                </pt>
                <pt idx="338">
                  <v>38531</v>
                </pt>
                <pt idx="339">
                  <v>38538</v>
                </pt>
                <pt idx="340">
                  <v>38545</v>
                </pt>
                <pt idx="341">
                  <v>38552</v>
                </pt>
                <pt idx="342">
                  <v>38559</v>
                </pt>
                <pt idx="343">
                  <v>38566</v>
                </pt>
                <pt idx="344">
                  <v>38573</v>
                </pt>
                <pt idx="345">
                  <v>38580</v>
                </pt>
                <pt idx="346">
                  <v>38587</v>
                </pt>
                <pt idx="347">
                  <v>38594</v>
                </pt>
                <pt idx="348">
                  <v>38601</v>
                </pt>
                <pt idx="349">
                  <v>38608</v>
                </pt>
                <pt idx="350">
                  <v>38615</v>
                </pt>
                <pt idx="351">
                  <v>38622</v>
                </pt>
                <pt idx="352">
                  <v>38629</v>
                </pt>
                <pt idx="353">
                  <v>38636</v>
                </pt>
                <pt idx="354">
                  <v>38643</v>
                </pt>
                <pt idx="355">
                  <v>38650</v>
                </pt>
                <pt idx="356">
                  <v>38657</v>
                </pt>
                <pt idx="357">
                  <v>38664</v>
                </pt>
                <pt idx="358">
                  <v>38671</v>
                </pt>
                <pt idx="359">
                  <v>38678</v>
                </pt>
                <pt idx="360">
                  <v>38685</v>
                </pt>
                <pt idx="361">
                  <v>38692</v>
                </pt>
                <pt idx="362">
                  <v>38699</v>
                </pt>
                <pt idx="363">
                  <v>38706</v>
                </pt>
                <pt idx="364">
                  <v>38713</v>
                </pt>
                <pt idx="365">
                  <v>38720</v>
                </pt>
                <pt idx="366">
                  <v>38727</v>
                </pt>
                <pt idx="367">
                  <v>38734</v>
                </pt>
                <pt idx="368">
                  <v>38741</v>
                </pt>
                <pt idx="369">
                  <v>38748</v>
                </pt>
                <pt idx="370">
                  <v>38755</v>
                </pt>
                <pt idx="371">
                  <v>38762</v>
                </pt>
                <pt idx="372">
                  <v>38769</v>
                </pt>
                <pt idx="373">
                  <v>38776</v>
                </pt>
                <pt idx="374">
                  <v>38783</v>
                </pt>
                <pt idx="375">
                  <v>38790</v>
                </pt>
                <pt idx="376">
                  <v>38797</v>
                </pt>
                <pt idx="377">
                  <v>38804</v>
                </pt>
                <pt idx="378">
                  <v>38811</v>
                </pt>
                <pt idx="379">
                  <v>38818</v>
                </pt>
                <pt idx="380">
                  <v>38825</v>
                </pt>
                <pt idx="381">
                  <v>38832</v>
                </pt>
                <pt idx="382">
                  <v>38839</v>
                </pt>
                <pt idx="383">
                  <v>38846</v>
                </pt>
                <pt idx="384">
                  <v>38853</v>
                </pt>
                <pt idx="385">
                  <v>38860</v>
                </pt>
                <pt idx="386">
                  <v>38867</v>
                </pt>
                <pt idx="387">
                  <v>38874</v>
                </pt>
                <pt idx="388">
                  <v>38881</v>
                </pt>
                <pt idx="389">
                  <v>38888</v>
                </pt>
                <pt idx="390">
                  <v>38895</v>
                </pt>
                <pt idx="391">
                  <v>38902</v>
                </pt>
                <pt idx="392">
                  <v>38909</v>
                </pt>
                <pt idx="393">
                  <v>38916</v>
                </pt>
                <pt idx="394">
                  <v>38923</v>
                </pt>
                <pt idx="395">
                  <v>38930</v>
                </pt>
                <pt idx="396">
                  <v>38937</v>
                </pt>
                <pt idx="397">
                  <v>38944</v>
                </pt>
                <pt idx="398">
                  <v>38951</v>
                </pt>
                <pt idx="399">
                  <v>38958</v>
                </pt>
                <pt idx="400">
                  <v>38965</v>
                </pt>
                <pt idx="401">
                  <v>38972</v>
                </pt>
                <pt idx="402">
                  <v>38979</v>
                </pt>
                <pt idx="403">
                  <v>38986</v>
                </pt>
                <pt idx="404">
                  <v>38993</v>
                </pt>
                <pt idx="405">
                  <v>39000</v>
                </pt>
                <pt idx="406">
                  <v>39007</v>
                </pt>
                <pt idx="407">
                  <v>39014</v>
                </pt>
                <pt idx="408">
                  <v>39021</v>
                </pt>
                <pt idx="409">
                  <v>39028</v>
                </pt>
                <pt idx="410">
                  <v>39035</v>
                </pt>
                <pt idx="411">
                  <v>39042</v>
                </pt>
                <pt idx="412">
                  <v>39049</v>
                </pt>
                <pt idx="413">
                  <v>39056</v>
                </pt>
                <pt idx="414">
                  <v>39063</v>
                </pt>
                <pt idx="415">
                  <v>39070</v>
                </pt>
                <pt idx="416">
                  <v>39077</v>
                </pt>
                <pt idx="417">
                  <v>39084</v>
                </pt>
                <pt idx="418">
                  <v>39091</v>
                </pt>
                <pt idx="419">
                  <v>39098</v>
                </pt>
                <pt idx="420">
                  <v>39105</v>
                </pt>
                <pt idx="421">
                  <v>39112</v>
                </pt>
                <pt idx="422">
                  <v>39119</v>
                </pt>
                <pt idx="423">
                  <v>39126</v>
                </pt>
                <pt idx="424">
                  <v>39133</v>
                </pt>
                <pt idx="425">
                  <v>39140</v>
                </pt>
                <pt idx="426">
                  <v>39147</v>
                </pt>
                <pt idx="427">
                  <v>39154</v>
                </pt>
                <pt idx="428">
                  <v>39161</v>
                </pt>
                <pt idx="429">
                  <v>39168</v>
                </pt>
                <pt idx="430">
                  <v>39175</v>
                </pt>
                <pt idx="431">
                  <v>39182</v>
                </pt>
                <pt idx="432">
                  <v>39189</v>
                </pt>
                <pt idx="433">
                  <v>39196</v>
                </pt>
                <pt idx="434">
                  <v>39203</v>
                </pt>
                <pt idx="435">
                  <v>39210</v>
                </pt>
                <pt idx="436">
                  <v>39217</v>
                </pt>
                <pt idx="437">
                  <v>39224</v>
                </pt>
                <pt idx="438">
                  <v>39231</v>
                </pt>
                <pt idx="439">
                  <v>39238</v>
                </pt>
                <pt idx="440">
                  <v>39245</v>
                </pt>
                <pt idx="441">
                  <v>39252</v>
                </pt>
                <pt idx="442">
                  <v>39259</v>
                </pt>
                <pt idx="443">
                  <v>39266</v>
                </pt>
                <pt idx="444">
                  <v>39273</v>
                </pt>
                <pt idx="445">
                  <v>39280</v>
                </pt>
                <pt idx="446">
                  <v>39287</v>
                </pt>
                <pt idx="447">
                  <v>39294</v>
                </pt>
                <pt idx="448">
                  <v>39301</v>
                </pt>
                <pt idx="449">
                  <v>39308</v>
                </pt>
                <pt idx="450">
                  <v>39315</v>
                </pt>
                <pt idx="451">
                  <v>39322</v>
                </pt>
                <pt idx="452">
                  <v>39329</v>
                </pt>
                <pt idx="453">
                  <v>39336</v>
                </pt>
                <pt idx="454">
                  <v>39343</v>
                </pt>
                <pt idx="455">
                  <v>39350</v>
                </pt>
                <pt idx="456">
                  <v>39357</v>
                </pt>
                <pt idx="457">
                  <v>39364</v>
                </pt>
                <pt idx="458">
                  <v>39371</v>
                </pt>
                <pt idx="459">
                  <v>39378</v>
                </pt>
                <pt idx="460">
                  <v>39385</v>
                </pt>
                <pt idx="461">
                  <v>39392</v>
                </pt>
                <pt idx="462">
                  <v>39399</v>
                </pt>
                <pt idx="463">
                  <v>39406</v>
                </pt>
                <pt idx="464">
                  <v>39413</v>
                </pt>
                <pt idx="465">
                  <v>39420</v>
                </pt>
                <pt idx="466">
                  <v>39427</v>
                </pt>
                <pt idx="467">
                  <v>39434</v>
                </pt>
                <pt idx="468">
                  <v>39441</v>
                </pt>
                <pt idx="469">
                  <v>39448</v>
                </pt>
                <pt idx="470">
                  <v>39455</v>
                </pt>
                <pt idx="471">
                  <v>39462</v>
                </pt>
                <pt idx="472">
                  <v>39469</v>
                </pt>
                <pt idx="473">
                  <v>39476</v>
                </pt>
                <pt idx="474">
                  <v>39483</v>
                </pt>
                <pt idx="475">
                  <v>39490</v>
                </pt>
                <pt idx="476">
                  <v>39497</v>
                </pt>
                <pt idx="477">
                  <v>39504</v>
                </pt>
                <pt idx="478">
                  <v>39511</v>
                </pt>
                <pt idx="479">
                  <v>39518</v>
                </pt>
                <pt idx="480">
                  <v>39525</v>
                </pt>
                <pt idx="481">
                  <v>39532</v>
                </pt>
                <pt idx="482">
                  <v>39539</v>
                </pt>
                <pt idx="483">
                  <v>39546</v>
                </pt>
                <pt idx="484">
                  <v>39553</v>
                </pt>
                <pt idx="485">
                  <v>39560</v>
                </pt>
                <pt idx="486">
                  <v>39567</v>
                </pt>
                <pt idx="487">
                  <v>39574</v>
                </pt>
                <pt idx="488">
                  <v>39581</v>
                </pt>
                <pt idx="489">
                  <v>39588</v>
                </pt>
                <pt idx="490">
                  <v>39595</v>
                </pt>
                <pt idx="491">
                  <v>39602</v>
                </pt>
                <pt idx="492">
                  <v>39609</v>
                </pt>
                <pt idx="493">
                  <v>39616</v>
                </pt>
                <pt idx="494">
                  <v>39623</v>
                </pt>
                <pt idx="495">
                  <v>39630</v>
                </pt>
                <pt idx="496">
                  <v>39637</v>
                </pt>
                <pt idx="497">
                  <v>39644</v>
                </pt>
                <pt idx="498">
                  <v>39651</v>
                </pt>
                <pt idx="499">
                  <v>39658</v>
                </pt>
                <pt idx="500">
                  <v>39665</v>
                </pt>
                <pt idx="501">
                  <v>39672</v>
                </pt>
                <pt idx="502">
                  <v>39679</v>
                </pt>
                <pt idx="503">
                  <v>39686</v>
                </pt>
                <pt idx="504">
                  <v>39693</v>
                </pt>
                <pt idx="505">
                  <v>39700</v>
                </pt>
                <pt idx="506">
                  <v>39707</v>
                </pt>
                <pt idx="507">
                  <v>39714</v>
                </pt>
                <pt idx="508">
                  <v>39721</v>
                </pt>
                <pt idx="509">
                  <v>39728</v>
                </pt>
                <pt idx="510">
                  <v>39735</v>
                </pt>
                <pt idx="511">
                  <v>39742</v>
                </pt>
                <pt idx="512">
                  <v>39749</v>
                </pt>
                <pt idx="513">
                  <v>39756</v>
                </pt>
                <pt idx="514">
                  <v>39763</v>
                </pt>
                <pt idx="515">
                  <v>39770</v>
                </pt>
                <pt idx="516">
                  <v>39777</v>
                </pt>
                <pt idx="517">
                  <v>39784</v>
                </pt>
                <pt idx="518">
                  <v>39791</v>
                </pt>
                <pt idx="519">
                  <v>39798</v>
                </pt>
                <pt idx="520">
                  <v>39805</v>
                </pt>
                <pt idx="521">
                  <v>39812</v>
                </pt>
                <pt idx="522">
                  <v>39819</v>
                </pt>
                <pt idx="523">
                  <v>39826</v>
                </pt>
                <pt idx="524">
                  <v>39833</v>
                </pt>
                <pt idx="525">
                  <v>39840</v>
                </pt>
                <pt idx="526">
                  <v>39847</v>
                </pt>
                <pt idx="527">
                  <v>39854</v>
                </pt>
                <pt idx="528">
                  <v>39861</v>
                </pt>
                <pt idx="529">
                  <v>39868</v>
                </pt>
                <pt idx="530">
                  <v>39875</v>
                </pt>
                <pt idx="531">
                  <v>39882</v>
                </pt>
                <pt idx="532">
                  <v>39889</v>
                </pt>
                <pt idx="533">
                  <v>39896</v>
                </pt>
                <pt idx="534">
                  <v>39903</v>
                </pt>
                <pt idx="535">
                  <v>39910</v>
                </pt>
                <pt idx="536">
                  <v>39917</v>
                </pt>
                <pt idx="537">
                  <v>39924</v>
                </pt>
                <pt idx="538">
                  <v>39931</v>
                </pt>
                <pt idx="539">
                  <v>39938</v>
                </pt>
                <pt idx="540">
                  <v>39945</v>
                </pt>
                <pt idx="541">
                  <v>39952</v>
                </pt>
                <pt idx="542">
                  <v>39959</v>
                </pt>
                <pt idx="543">
                  <v>39966</v>
                </pt>
                <pt idx="544">
                  <v>39973</v>
                </pt>
                <pt idx="545">
                  <v>39980</v>
                </pt>
                <pt idx="546">
                  <v>39987</v>
                </pt>
                <pt idx="547">
                  <v>39994</v>
                </pt>
                <pt idx="548">
                  <v>40001</v>
                </pt>
                <pt idx="549">
                  <v>40008</v>
                </pt>
                <pt idx="550">
                  <v>40015</v>
                </pt>
                <pt idx="551">
                  <v>40022</v>
                </pt>
                <pt idx="552">
                  <v>40029</v>
                </pt>
                <pt idx="553">
                  <v>40036</v>
                </pt>
                <pt idx="554">
                  <v>40043</v>
                </pt>
                <pt idx="555">
                  <v>40050</v>
                </pt>
                <pt idx="556">
                  <v>40057</v>
                </pt>
                <pt idx="557">
                  <v>40064</v>
                </pt>
                <pt idx="558">
                  <v>40071</v>
                </pt>
                <pt idx="559">
                  <v>40078</v>
                </pt>
                <pt idx="560">
                  <v>40085</v>
                </pt>
                <pt idx="561">
                  <v>40092</v>
                </pt>
                <pt idx="562">
                  <v>40099</v>
                </pt>
                <pt idx="563">
                  <v>40106</v>
                </pt>
                <pt idx="564">
                  <v>40113</v>
                </pt>
                <pt idx="565">
                  <v>40120</v>
                </pt>
                <pt idx="566">
                  <v>40127</v>
                </pt>
                <pt idx="567">
                  <v>40134</v>
                </pt>
                <pt idx="568">
                  <v>40141</v>
                </pt>
                <pt idx="569">
                  <v>40148</v>
                </pt>
                <pt idx="570">
                  <v>40155</v>
                </pt>
                <pt idx="571">
                  <v>40162</v>
                </pt>
                <pt idx="572">
                  <v>40169</v>
                </pt>
                <pt idx="573">
                  <v>40176</v>
                </pt>
                <pt idx="574">
                  <v>40183</v>
                </pt>
                <pt idx="575">
                  <v>40190</v>
                </pt>
                <pt idx="576">
                  <v>40197</v>
                </pt>
                <pt idx="577">
                  <v>40204</v>
                </pt>
                <pt idx="578">
                  <v>40211</v>
                </pt>
                <pt idx="579">
                  <v>40218</v>
                </pt>
                <pt idx="580">
                  <v>40225</v>
                </pt>
                <pt idx="581">
                  <v>40232</v>
                </pt>
                <pt idx="582">
                  <v>40239</v>
                </pt>
                <pt idx="583">
                  <v>40246</v>
                </pt>
                <pt idx="584">
                  <v>40253</v>
                </pt>
                <pt idx="585">
                  <v>40260</v>
                </pt>
                <pt idx="586">
                  <v>40267</v>
                </pt>
                <pt idx="587">
                  <v>40274</v>
                </pt>
                <pt idx="588">
                  <v>40281</v>
                </pt>
                <pt idx="589">
                  <v>40288</v>
                </pt>
                <pt idx="590">
                  <v>40295</v>
                </pt>
                <pt idx="591">
                  <v>40302</v>
                </pt>
                <pt idx="592">
                  <v>40309</v>
                </pt>
                <pt idx="593">
                  <v>40316</v>
                </pt>
                <pt idx="594">
                  <v>40323</v>
                </pt>
                <pt idx="595">
                  <v>40330</v>
                </pt>
                <pt idx="596">
                  <v>40337</v>
                </pt>
                <pt idx="597">
                  <v>40344</v>
                </pt>
                <pt idx="598">
                  <v>40351</v>
                </pt>
                <pt idx="599">
                  <v>40358</v>
                </pt>
                <pt idx="600">
                  <v>40365</v>
                </pt>
                <pt idx="601">
                  <v>40372</v>
                </pt>
                <pt idx="602">
                  <v>40379</v>
                </pt>
                <pt idx="603">
                  <v>40386</v>
                </pt>
                <pt idx="604">
                  <v>40393</v>
                </pt>
                <pt idx="605">
                  <v>40400</v>
                </pt>
                <pt idx="606">
                  <v>40407</v>
                </pt>
                <pt idx="607">
                  <v>40414</v>
                </pt>
                <pt idx="608">
                  <v>40421</v>
                </pt>
                <pt idx="609">
                  <v>40428</v>
                </pt>
                <pt idx="610">
                  <v>40435</v>
                </pt>
                <pt idx="611">
                  <v>40442</v>
                </pt>
                <pt idx="612">
                  <v>40449</v>
                </pt>
                <pt idx="613">
                  <v>40456</v>
                </pt>
                <pt idx="614">
                  <v>40463</v>
                </pt>
                <pt idx="615">
                  <v>40470</v>
                </pt>
                <pt idx="616">
                  <v>40477</v>
                </pt>
                <pt idx="617">
                  <v>40484</v>
                </pt>
                <pt idx="618">
                  <v>40491</v>
                </pt>
                <pt idx="619">
                  <v>40498</v>
                </pt>
                <pt idx="620">
                  <v>40505</v>
                </pt>
                <pt idx="621">
                  <v>40512</v>
                </pt>
                <pt idx="622">
                  <v>40519</v>
                </pt>
                <pt idx="623">
                  <v>40526</v>
                </pt>
                <pt idx="624">
                  <v>40533</v>
                </pt>
                <pt idx="625">
                  <v>40540</v>
                </pt>
                <pt idx="626">
                  <v>40547</v>
                </pt>
                <pt idx="627">
                  <v>40554</v>
                </pt>
                <pt idx="628">
                  <v>40561</v>
                </pt>
                <pt idx="629">
                  <v>40568</v>
                </pt>
                <pt idx="630">
                  <v>40575</v>
                </pt>
                <pt idx="631">
                  <v>40582</v>
                </pt>
                <pt idx="632">
                  <v>40589</v>
                </pt>
                <pt idx="633">
                  <v>40596</v>
                </pt>
                <pt idx="634">
                  <v>40603</v>
                </pt>
                <pt idx="635">
                  <v>40610</v>
                </pt>
                <pt idx="636">
                  <v>40617</v>
                </pt>
                <pt idx="637">
                  <v>40624</v>
                </pt>
                <pt idx="638">
                  <v>40631</v>
                </pt>
                <pt idx="639">
                  <v>40638</v>
                </pt>
                <pt idx="640">
                  <v>40645</v>
                </pt>
                <pt idx="641">
                  <v>40652</v>
                </pt>
                <pt idx="642">
                  <v>40659</v>
                </pt>
                <pt idx="643">
                  <v>40666</v>
                </pt>
                <pt idx="644">
                  <v>40673</v>
                </pt>
                <pt idx="645">
                  <v>40680</v>
                </pt>
                <pt idx="646">
                  <v>40687</v>
                </pt>
                <pt idx="647">
                  <v>40694</v>
                </pt>
                <pt idx="648">
                  <v>40701</v>
                </pt>
                <pt idx="649">
                  <v>40708</v>
                </pt>
                <pt idx="650">
                  <v>40715</v>
                </pt>
                <pt idx="651">
                  <v>40722</v>
                </pt>
                <pt idx="652">
                  <v>40729</v>
                </pt>
                <pt idx="653">
                  <v>40736</v>
                </pt>
                <pt idx="654">
                  <v>40743</v>
                </pt>
                <pt idx="655">
                  <v>40750</v>
                </pt>
                <pt idx="656">
                  <v>40757</v>
                </pt>
                <pt idx="657">
                  <v>40764</v>
                </pt>
                <pt idx="658">
                  <v>40771</v>
                </pt>
                <pt idx="659">
                  <v>40778</v>
                </pt>
                <pt idx="660">
                  <v>40785</v>
                </pt>
                <pt idx="661">
                  <v>40792</v>
                </pt>
                <pt idx="662">
                  <v>40799</v>
                </pt>
                <pt idx="663">
                  <v>40806</v>
                </pt>
                <pt idx="664">
                  <v>40813</v>
                </pt>
                <pt idx="665">
                  <v>40820</v>
                </pt>
                <pt idx="666">
                  <v>40827</v>
                </pt>
                <pt idx="667">
                  <v>40834</v>
                </pt>
                <pt idx="668">
                  <v>40841</v>
                </pt>
                <pt idx="669">
                  <v>40848</v>
                </pt>
                <pt idx="670">
                  <v>40855</v>
                </pt>
                <pt idx="671">
                  <v>40862</v>
                </pt>
                <pt idx="672">
                  <v>40869</v>
                </pt>
                <pt idx="673">
                  <v>40876</v>
                </pt>
                <pt idx="674">
                  <v>40883</v>
                </pt>
                <pt idx="675">
                  <v>40890</v>
                </pt>
                <pt idx="676">
                  <v>40897</v>
                </pt>
                <pt idx="677">
                  <v>40904</v>
                </pt>
                <pt idx="678">
                  <v>40911</v>
                </pt>
                <pt idx="679">
                  <v>40918</v>
                </pt>
                <pt idx="680">
                  <v>40925</v>
                </pt>
                <pt idx="681">
                  <v>40932</v>
                </pt>
                <pt idx="682">
                  <v>40939</v>
                </pt>
                <pt idx="683">
                  <v>40946</v>
                </pt>
                <pt idx="684">
                  <v>40953</v>
                </pt>
                <pt idx="685">
                  <v>40960</v>
                </pt>
                <pt idx="686">
                  <v>40967</v>
                </pt>
                <pt idx="687">
                  <v>40974</v>
                </pt>
                <pt idx="688">
                  <v>40981</v>
                </pt>
                <pt idx="689">
                  <v>40988</v>
                </pt>
                <pt idx="690">
                  <v>40995</v>
                </pt>
                <pt idx="691">
                  <v>41002</v>
                </pt>
                <pt idx="692">
                  <v>41009</v>
                </pt>
                <pt idx="693">
                  <v>41016</v>
                </pt>
                <pt idx="694">
                  <v>41023</v>
                </pt>
                <pt idx="695">
                  <v>41030</v>
                </pt>
                <pt idx="696">
                  <v>41037</v>
                </pt>
                <pt idx="697">
                  <v>41044</v>
                </pt>
                <pt idx="698">
                  <v>41051</v>
                </pt>
                <pt idx="699">
                  <v>41058</v>
                </pt>
                <pt idx="700">
                  <v>41065</v>
                </pt>
                <pt idx="701">
                  <v>41072</v>
                </pt>
                <pt idx="702">
                  <v>41079</v>
                </pt>
                <pt idx="703">
                  <v>41086</v>
                </pt>
                <pt idx="704">
                  <v>41093</v>
                </pt>
                <pt idx="705">
                  <v>41100</v>
                </pt>
                <pt idx="706">
                  <v>41107</v>
                </pt>
                <pt idx="707">
                  <v>41114</v>
                </pt>
                <pt idx="708">
                  <v>41121</v>
                </pt>
                <pt idx="709">
                  <v>41128</v>
                </pt>
                <pt idx="710">
                  <v>41135</v>
                </pt>
                <pt idx="711">
                  <v>41142</v>
                </pt>
                <pt idx="712">
                  <v>41149</v>
                </pt>
                <pt idx="713">
                  <v>41156</v>
                </pt>
                <pt idx="714">
                  <v>41163</v>
                </pt>
                <pt idx="715">
                  <v>41170</v>
                </pt>
                <pt idx="716">
                  <v>41177</v>
                </pt>
                <pt idx="717">
                  <v>41184</v>
                </pt>
                <pt idx="718">
                  <v>41191</v>
                </pt>
                <pt idx="719">
                  <v>41198</v>
                </pt>
                <pt idx="720">
                  <v>41205</v>
                </pt>
                <pt idx="721">
                  <v>41212</v>
                </pt>
                <pt idx="722">
                  <v>41219</v>
                </pt>
                <pt idx="723">
                  <v>41226</v>
                </pt>
                <pt idx="724">
                  <v>41233</v>
                </pt>
                <pt idx="725">
                  <v>41240</v>
                </pt>
                <pt idx="726">
                  <v>41247</v>
                </pt>
                <pt idx="727">
                  <v>41254</v>
                </pt>
                <pt idx="728">
                  <v>41261</v>
                </pt>
                <pt idx="729">
                  <v>41268</v>
                </pt>
                <pt idx="730">
                  <v>41275</v>
                </pt>
                <pt idx="731">
                  <v>41282</v>
                </pt>
                <pt idx="732">
                  <v>41289</v>
                </pt>
                <pt idx="733">
                  <v>41296</v>
                </pt>
                <pt idx="734">
                  <v>41303</v>
                </pt>
                <pt idx="735">
                  <v>41310</v>
                </pt>
                <pt idx="736">
                  <v>41317</v>
                </pt>
                <pt idx="737">
                  <v>41324</v>
                </pt>
                <pt idx="738">
                  <v>41331</v>
                </pt>
                <pt idx="739">
                  <v>41338</v>
                </pt>
                <pt idx="740">
                  <v>41345</v>
                </pt>
                <pt idx="741">
                  <v>41352</v>
                </pt>
                <pt idx="742">
                  <v>41359</v>
                </pt>
                <pt idx="743">
                  <v>41366</v>
                </pt>
                <pt idx="744">
                  <v>41373</v>
                </pt>
                <pt idx="745">
                  <v>41380</v>
                </pt>
                <pt idx="746">
                  <v>41387</v>
                </pt>
                <pt idx="747">
                  <v>41394</v>
                </pt>
                <pt idx="748">
                  <v>41401</v>
                </pt>
                <pt idx="749">
                  <v>41408</v>
                </pt>
                <pt idx="750">
                  <v>41415</v>
                </pt>
                <pt idx="751">
                  <v>41422</v>
                </pt>
                <pt idx="752">
                  <v>41429</v>
                </pt>
                <pt idx="753">
                  <v>41436</v>
                </pt>
                <pt idx="754">
                  <v>41443</v>
                </pt>
                <pt idx="755">
                  <v>41450</v>
                </pt>
                <pt idx="756">
                  <v>41457</v>
                </pt>
                <pt idx="757">
                  <v>41464</v>
                </pt>
                <pt idx="758">
                  <v>41471</v>
                </pt>
                <pt idx="759">
                  <v>41478</v>
                </pt>
                <pt idx="760">
                  <v>41485</v>
                </pt>
                <pt idx="761">
                  <v>41492</v>
                </pt>
                <pt idx="762">
                  <v>41499</v>
                </pt>
                <pt idx="763">
                  <v>41506</v>
                </pt>
                <pt idx="764">
                  <v>41513</v>
                </pt>
                <pt idx="765">
                  <v>41520</v>
                </pt>
                <pt idx="766">
                  <v>41527</v>
                </pt>
                <pt idx="767">
                  <v>41534</v>
                </pt>
                <pt idx="768">
                  <v>41541</v>
                </pt>
                <pt idx="769">
                  <v>41548</v>
                </pt>
                <pt idx="770">
                  <v>41555</v>
                </pt>
                <pt idx="771">
                  <v>41562</v>
                </pt>
                <pt idx="772">
                  <v>41569</v>
                </pt>
                <pt idx="773">
                  <v>41576</v>
                </pt>
                <pt idx="774">
                  <v>41583</v>
                </pt>
                <pt idx="775">
                  <v>41590</v>
                </pt>
                <pt idx="776">
                  <v>41597</v>
                </pt>
                <pt idx="777">
                  <v>41604</v>
                </pt>
                <pt idx="778">
                  <v>41611</v>
                </pt>
                <pt idx="779">
                  <v>41618</v>
                </pt>
                <pt idx="780">
                  <v>41625</v>
                </pt>
                <pt idx="781">
                  <v>41632</v>
                </pt>
                <pt idx="782">
                  <v>41639</v>
                </pt>
                <pt idx="783">
                  <v>41646</v>
                </pt>
                <pt idx="784">
                  <v>41653</v>
                </pt>
                <pt idx="785">
                  <v>41660</v>
                </pt>
                <pt idx="786">
                  <v>41667</v>
                </pt>
                <pt idx="787">
                  <v>41674</v>
                </pt>
                <pt idx="788">
                  <v>41681</v>
                </pt>
                <pt idx="789">
                  <v>41688</v>
                </pt>
                <pt idx="790">
                  <v>41695</v>
                </pt>
                <pt idx="791">
                  <v>41702</v>
                </pt>
                <pt idx="792">
                  <v>41709</v>
                </pt>
                <pt idx="793">
                  <v>41716</v>
                </pt>
                <pt idx="794">
                  <v>41723</v>
                </pt>
                <pt idx="795">
                  <v>41730</v>
                </pt>
                <pt idx="796">
                  <v>41737</v>
                </pt>
                <pt idx="797">
                  <v>41744</v>
                </pt>
                <pt idx="798">
                  <v>41751</v>
                </pt>
                <pt idx="799">
                  <v>41758</v>
                </pt>
                <pt idx="800">
                  <v>41765</v>
                </pt>
                <pt idx="801">
                  <v>41772</v>
                </pt>
                <pt idx="802">
                  <v>41779</v>
                </pt>
                <pt idx="803">
                  <v>41786</v>
                </pt>
                <pt idx="804">
                  <v>41793</v>
                </pt>
                <pt idx="805">
                  <v>41800</v>
                </pt>
                <pt idx="806">
                  <v>41807</v>
                </pt>
                <pt idx="807">
                  <v>41814</v>
                </pt>
                <pt idx="808">
                  <v>41821</v>
                </pt>
                <pt idx="809">
                  <v>41828</v>
                </pt>
                <pt idx="810">
                  <v>41835</v>
                </pt>
                <pt idx="811">
                  <v>41842</v>
                </pt>
                <pt idx="812">
                  <v>41849</v>
                </pt>
                <pt idx="813">
                  <v>41856</v>
                </pt>
                <pt idx="814">
                  <v>41863</v>
                </pt>
                <pt idx="815">
                  <v>41870</v>
                </pt>
                <pt idx="816">
                  <v>41877</v>
                </pt>
                <pt idx="817">
                  <v>41884</v>
                </pt>
                <pt idx="818">
                  <v>41891</v>
                </pt>
                <pt idx="819">
                  <v>41898</v>
                </pt>
                <pt idx="820">
                  <v>41905</v>
                </pt>
                <pt idx="821">
                  <v>41912</v>
                </pt>
                <pt idx="822">
                  <v>41919</v>
                </pt>
                <pt idx="823">
                  <v>41926</v>
                </pt>
                <pt idx="824">
                  <v>41933</v>
                </pt>
                <pt idx="825">
                  <v>41940</v>
                </pt>
                <pt idx="826">
                  <v>41947</v>
                </pt>
                <pt idx="827">
                  <v>41954</v>
                </pt>
                <pt idx="828">
                  <v>41961</v>
                </pt>
                <pt idx="829">
                  <v>41968</v>
                </pt>
                <pt idx="830">
                  <v>41975</v>
                </pt>
                <pt idx="831">
                  <v>41982</v>
                </pt>
                <pt idx="832">
                  <v>41989</v>
                </pt>
                <pt idx="833">
                  <v>41996</v>
                </pt>
                <pt idx="834">
                  <v>42003</v>
                </pt>
                <pt idx="835">
                  <v>42010</v>
                </pt>
                <pt idx="836">
                  <v>42017</v>
                </pt>
                <pt idx="837">
                  <v>42024</v>
                </pt>
                <pt idx="838">
                  <v>42031</v>
                </pt>
                <pt idx="839">
                  <v>42038</v>
                </pt>
                <pt idx="840">
                  <v>42045</v>
                </pt>
                <pt idx="841">
                  <v>42052</v>
                </pt>
                <pt idx="842">
                  <v>42059</v>
                </pt>
                <pt idx="843">
                  <v>42066</v>
                </pt>
                <pt idx="844">
                  <v>42073</v>
                </pt>
                <pt idx="845">
                  <v>42080</v>
                </pt>
                <pt idx="846">
                  <v>42087</v>
                </pt>
                <pt idx="847">
                  <v>42094</v>
                </pt>
                <pt idx="848">
                  <v>42101</v>
                </pt>
                <pt idx="849">
                  <v>42108</v>
                </pt>
                <pt idx="850">
                  <v>42115</v>
                </pt>
                <pt idx="851">
                  <v>42122</v>
                </pt>
                <pt idx="852">
                  <v>42129</v>
                </pt>
                <pt idx="853">
                  <v>42136</v>
                </pt>
                <pt idx="854">
                  <v>42143</v>
                </pt>
                <pt idx="855">
                  <v>42150</v>
                </pt>
                <pt idx="856">
                  <v>42157</v>
                </pt>
                <pt idx="857">
                  <v>42164</v>
                </pt>
                <pt idx="858">
                  <v>42171</v>
                </pt>
                <pt idx="859">
                  <v>42178</v>
                </pt>
                <pt idx="860">
                  <v>42185</v>
                </pt>
                <pt idx="861">
                  <v>42192</v>
                </pt>
                <pt idx="862">
                  <v>42199</v>
                </pt>
                <pt idx="863">
                  <v>42206</v>
                </pt>
                <pt idx="864">
                  <v>42213</v>
                </pt>
                <pt idx="865">
                  <v>42220</v>
                </pt>
                <pt idx="866">
                  <v>42227</v>
                </pt>
                <pt idx="867">
                  <v>42234</v>
                </pt>
                <pt idx="868">
                  <v>42241</v>
                </pt>
                <pt idx="869">
                  <v>42248</v>
                </pt>
                <pt idx="870">
                  <v>42255</v>
                </pt>
                <pt idx="871">
                  <v>42262</v>
                </pt>
                <pt idx="872">
                  <v>42269</v>
                </pt>
                <pt idx="873">
                  <v>42276</v>
                </pt>
                <pt idx="874">
                  <v>42283</v>
                </pt>
                <pt idx="875">
                  <v>42290</v>
                </pt>
                <pt idx="876">
                  <v>42297</v>
                </pt>
                <pt idx="877">
                  <v>42304</v>
                </pt>
                <pt idx="878">
                  <v>42311</v>
                </pt>
                <pt idx="879">
                  <v>42318</v>
                </pt>
                <pt idx="880">
                  <v>42325</v>
                </pt>
                <pt idx="881">
                  <v>42332</v>
                </pt>
                <pt idx="882">
                  <v>42339</v>
                </pt>
                <pt idx="883">
                  <v>42346</v>
                </pt>
                <pt idx="884">
                  <v>42353</v>
                </pt>
                <pt idx="885">
                  <v>42360</v>
                </pt>
                <pt idx="886">
                  <v>42367</v>
                </pt>
                <pt idx="887">
                  <v>42374</v>
                </pt>
                <pt idx="888">
                  <v>42381</v>
                </pt>
                <pt idx="889">
                  <v>42388</v>
                </pt>
                <pt idx="890">
                  <v>42395</v>
                </pt>
                <pt idx="891">
                  <v>42402</v>
                </pt>
                <pt idx="892">
                  <v>42409</v>
                </pt>
                <pt idx="893">
                  <v>42416</v>
                </pt>
                <pt idx="894">
                  <v>42423</v>
                </pt>
                <pt idx="895">
                  <v>42430</v>
                </pt>
                <pt idx="896">
                  <v>42437</v>
                </pt>
                <pt idx="897">
                  <v>42444</v>
                </pt>
                <pt idx="898">
                  <v>42451</v>
                </pt>
                <pt idx="899">
                  <v>42458</v>
                </pt>
                <pt idx="900">
                  <v>42465</v>
                </pt>
                <pt idx="901">
                  <v>42472</v>
                </pt>
                <pt idx="902">
                  <v>42479</v>
                </pt>
                <pt idx="903">
                  <v>42486</v>
                </pt>
                <pt idx="904">
                  <v>42493</v>
                </pt>
                <pt idx="905">
                  <v>42500</v>
                </pt>
                <pt idx="906">
                  <v>42507</v>
                </pt>
                <pt idx="907">
                  <v>42514</v>
                </pt>
                <pt idx="908">
                  <v>42521</v>
                </pt>
                <pt idx="909">
                  <v>42528</v>
                </pt>
                <pt idx="910">
                  <v>42535</v>
                </pt>
                <pt idx="911">
                  <v>42542</v>
                </pt>
                <pt idx="912">
                  <v>42549</v>
                </pt>
                <pt idx="913">
                  <v>42556</v>
                </pt>
                <pt idx="914">
                  <v>42563</v>
                </pt>
                <pt idx="915">
                  <v>42570</v>
                </pt>
                <pt idx="916">
                  <v>42577</v>
                </pt>
                <pt idx="917">
                  <v>42584</v>
                </pt>
                <pt idx="918">
                  <v>42591</v>
                </pt>
                <pt idx="919">
                  <v>42598</v>
                </pt>
                <pt idx="920">
                  <v>42605</v>
                </pt>
                <pt idx="921">
                  <v>42612</v>
                </pt>
                <pt idx="922">
                  <v>42619</v>
                </pt>
                <pt idx="923">
                  <v>42626</v>
                </pt>
                <pt idx="924">
                  <v>42633</v>
                </pt>
                <pt idx="925">
                  <v>42640</v>
                </pt>
                <pt idx="926">
                  <v>42647</v>
                </pt>
                <pt idx="927">
                  <v>42654</v>
                </pt>
                <pt idx="928">
                  <v>42661</v>
                </pt>
                <pt idx="929">
                  <v>42668</v>
                </pt>
                <pt idx="930">
                  <v>42675</v>
                </pt>
                <pt idx="931">
                  <v>42682</v>
                </pt>
                <pt idx="932">
                  <v>42689</v>
                </pt>
                <pt idx="933">
                  <v>42696</v>
                </pt>
                <pt idx="934">
                  <v>42703</v>
                </pt>
                <pt idx="935">
                  <v>42710</v>
                </pt>
                <pt idx="936">
                  <v>42717</v>
                </pt>
                <pt idx="937">
                  <v>42724</v>
                </pt>
                <pt idx="938">
                  <v>42731</v>
                </pt>
                <pt idx="939">
                  <v>42738</v>
                </pt>
                <pt idx="940">
                  <v>42745</v>
                </pt>
                <pt idx="941">
                  <v>42752</v>
                </pt>
                <pt idx="942">
                  <v>42759</v>
                </pt>
                <pt idx="943">
                  <v>42766</v>
                </pt>
                <pt idx="944">
                  <v>42773</v>
                </pt>
                <pt idx="945">
                  <v>42780</v>
                </pt>
                <pt idx="946">
                  <v>42787</v>
                </pt>
                <pt idx="947">
                  <v>42794</v>
                </pt>
                <pt idx="948">
                  <v>42801</v>
                </pt>
                <pt idx="949">
                  <v>42808</v>
                </pt>
                <pt idx="950">
                  <v>42815</v>
                </pt>
                <pt idx="951">
                  <v>42822</v>
                </pt>
                <pt idx="952">
                  <v>42829</v>
                </pt>
                <pt idx="953">
                  <v>42836</v>
                </pt>
                <pt idx="954">
                  <v>42843</v>
                </pt>
                <pt idx="955">
                  <v>42850</v>
                </pt>
                <pt idx="956">
                  <v>42857</v>
                </pt>
                <pt idx="957">
                  <v>42864</v>
                </pt>
                <pt idx="958">
                  <v>42871</v>
                </pt>
                <pt idx="959">
                  <v>42878</v>
                </pt>
                <pt idx="960">
                  <v>42885</v>
                </pt>
                <pt idx="961">
                  <v>42892</v>
                </pt>
                <pt idx="962">
                  <v>42899</v>
                </pt>
                <pt idx="963">
                  <v>42906</v>
                </pt>
                <pt idx="964">
                  <v>42913</v>
                </pt>
                <pt idx="965">
                  <v>42920</v>
                </pt>
                <pt idx="966">
                  <v>42927</v>
                </pt>
                <pt idx="967">
                  <v>42934</v>
                </pt>
                <pt idx="968">
                  <v>42941</v>
                </pt>
                <pt idx="969">
                  <v>42948</v>
                </pt>
                <pt idx="970">
                  <v>42955</v>
                </pt>
                <pt idx="971">
                  <v>42962</v>
                </pt>
                <pt idx="972">
                  <v>42969</v>
                </pt>
                <pt idx="973">
                  <v>42976</v>
                </pt>
                <pt idx="974">
                  <v>42983</v>
                </pt>
                <pt idx="975">
                  <v>42990</v>
                </pt>
                <pt idx="976">
                  <v>42997</v>
                </pt>
                <pt idx="977">
                  <v>43004</v>
                </pt>
                <pt idx="978">
                  <v>43011</v>
                </pt>
                <pt idx="979">
                  <v>43018</v>
                </pt>
                <pt idx="980">
                  <v>43025</v>
                </pt>
                <pt idx="981">
                  <v>43032</v>
                </pt>
                <pt idx="982">
                  <v>43039</v>
                </pt>
                <pt idx="983">
                  <v>43046</v>
                </pt>
                <pt idx="984">
                  <v>43053</v>
                </pt>
                <pt idx="985">
                  <v>43060</v>
                </pt>
                <pt idx="986">
                  <v>43067</v>
                </pt>
                <pt idx="987">
                  <v>43074</v>
                </pt>
                <pt idx="988">
                  <v>43081</v>
                </pt>
                <pt idx="989">
                  <v>43088</v>
                </pt>
                <pt idx="990">
                  <v>43095</v>
                </pt>
                <pt idx="991">
                  <v>43102</v>
                </pt>
                <pt idx="992">
                  <v>43109</v>
                </pt>
                <pt idx="993">
                  <v>43116</v>
                </pt>
                <pt idx="994">
                  <v>43123</v>
                </pt>
                <pt idx="995">
                  <v>43130</v>
                </pt>
                <pt idx="996">
                  <v>43137</v>
                </pt>
                <pt idx="997">
                  <v>43144</v>
                </pt>
                <pt idx="998">
                  <v>43151</v>
                </pt>
                <pt idx="999">
                  <v>43158</v>
                </pt>
                <pt idx="1000">
                  <v>43165</v>
                </pt>
                <pt idx="1001">
                  <v>43172</v>
                </pt>
                <pt idx="1002">
                  <v>43179</v>
                </pt>
                <pt idx="1003">
                  <v>43186</v>
                </pt>
                <pt idx="1004">
                  <v>43193</v>
                </pt>
                <pt idx="1005">
                  <v>43200</v>
                </pt>
                <pt idx="1006">
                  <v>43207</v>
                </pt>
                <pt idx="1007">
                  <v>43214</v>
                </pt>
                <pt idx="1008">
                  <v>43221</v>
                </pt>
                <pt idx="1009">
                  <v>43228</v>
                </pt>
                <pt idx="1010">
                  <v>43235</v>
                </pt>
                <pt idx="1011">
                  <v>43242</v>
                </pt>
                <pt idx="1012">
                  <v>43249</v>
                </pt>
                <pt idx="1013">
                  <v>43256</v>
                </pt>
                <pt idx="1014">
                  <v>43263</v>
                </pt>
                <pt idx="1015">
                  <v>43270</v>
                </pt>
                <pt idx="1016">
                  <v>43277</v>
                </pt>
                <pt idx="1017">
                  <v>43284</v>
                </pt>
                <pt idx="1018">
                  <v>43291</v>
                </pt>
                <pt idx="1019">
                  <v>43298</v>
                </pt>
                <pt idx="1020">
                  <v>43305</v>
                </pt>
                <pt idx="1021">
                  <v>43312</v>
                </pt>
                <pt idx="1022">
                  <v>43319</v>
                </pt>
                <pt idx="1023">
                  <v>43326</v>
                </pt>
                <pt idx="1024">
                  <v>43333</v>
                </pt>
                <pt idx="1025">
                  <v>43340</v>
                </pt>
                <pt idx="1026">
                  <v>43347</v>
                </pt>
                <pt idx="1027">
                  <v>43354</v>
                </pt>
                <pt idx="1028">
                  <v>43361</v>
                </pt>
                <pt idx="1029">
                  <v>43368</v>
                </pt>
                <pt idx="1030">
                  <v>43375</v>
                </pt>
                <pt idx="1031">
                  <v>43382</v>
                </pt>
                <pt idx="1032">
                  <v>43389</v>
                </pt>
                <pt idx="1033">
                  <v>43396</v>
                </pt>
                <pt idx="1034">
                  <v>43403</v>
                </pt>
                <pt idx="1035">
                  <v>43410</v>
                </pt>
                <pt idx="1036">
                  <v>43417</v>
                </pt>
                <pt idx="1037">
                  <v>43424</v>
                </pt>
                <pt idx="1038">
                  <v>43431</v>
                </pt>
                <pt idx="1039">
                  <v>43438</v>
                </pt>
                <pt idx="1040">
                  <v>43445</v>
                </pt>
                <pt idx="1041">
                  <v>43452</v>
                </pt>
                <pt idx="1042">
                  <v>43458</v>
                </pt>
                <pt idx="1043">
                  <v>43465</v>
                </pt>
                <pt idx="1044">
                  <v>43473</v>
                </pt>
                <pt idx="1045">
                  <v>43480</v>
                </pt>
                <pt idx="1046">
                  <v>43487</v>
                </pt>
                <pt idx="1047">
                  <v>43494</v>
                </pt>
                <pt idx="1048">
                  <v>43501</v>
                </pt>
                <pt idx="1049">
                  <v>43508</v>
                </pt>
                <pt idx="1050">
                  <v>43515</v>
                </pt>
                <pt idx="1051">
                  <v>43522</v>
                </pt>
                <pt idx="1052">
                  <v>43529</v>
                </pt>
                <pt idx="1053">
                  <v>43536</v>
                </pt>
                <pt idx="1054">
                  <v>43543</v>
                </pt>
                <pt idx="1055">
                  <v>43550</v>
                </pt>
                <pt idx="1056">
                  <v>43557</v>
                </pt>
                <pt idx="1057">
                  <v>43564</v>
                </pt>
                <pt idx="1058">
                  <v>43571</v>
                </pt>
                <pt idx="1059">
                  <v>43578</v>
                </pt>
                <pt idx="1060">
                  <v>43585</v>
                </pt>
                <pt idx="1061">
                  <v>43592</v>
                </pt>
                <pt idx="1062">
                  <v>43599</v>
                </pt>
                <pt idx="1063">
                  <v>43606</v>
                </pt>
                <pt idx="1064">
                  <v>43613</v>
                </pt>
                <pt idx="1065">
                  <v>43620</v>
                </pt>
                <pt idx="1066">
                  <v>43627</v>
                </pt>
                <pt idx="1067">
                  <v>43634</v>
                </pt>
                <pt idx="1068">
                  <v>43641</v>
                </pt>
                <pt idx="1069">
                  <v>43648</v>
                </pt>
                <pt idx="1070">
                  <v>43655</v>
                </pt>
                <pt idx="1071">
                  <v>43662</v>
                </pt>
                <pt idx="1072">
                  <v>43669</v>
                </pt>
                <pt idx="1073">
                  <v>43676</v>
                </pt>
                <pt idx="1074">
                  <v>43683</v>
                </pt>
                <pt idx="1075">
                  <v>43690</v>
                </pt>
                <pt idx="1076">
                  <v>43697</v>
                </pt>
                <pt idx="1077">
                  <v>43704</v>
                </pt>
                <pt idx="1078">
                  <v>43711</v>
                </pt>
                <pt idx="1079">
                  <v>43718</v>
                </pt>
                <pt idx="1080">
                  <v>43725</v>
                </pt>
                <pt idx="1081">
                  <v>43732</v>
                </pt>
                <pt idx="1082">
                  <v>43739</v>
                </pt>
                <pt idx="1083">
                  <v>43746</v>
                </pt>
                <pt idx="1084">
                  <v>43753</v>
                </pt>
                <pt idx="1085">
                  <v>43760</v>
                </pt>
                <pt idx="1086">
                  <v>43767</v>
                </pt>
                <pt idx="1087">
                  <v>43774</v>
                </pt>
                <pt idx="1088">
                  <v>43781</v>
                </pt>
                <pt idx="1089">
                  <v>43788</v>
                </pt>
                <pt idx="1090">
                  <v>43795</v>
                </pt>
                <pt idx="1091">
                  <v>43802</v>
                </pt>
                <pt idx="1092">
                  <v>43809</v>
                </pt>
                <pt idx="1093">
                  <v>43816</v>
                </pt>
                <pt idx="1094">
                  <v>43823</v>
                </pt>
                <pt idx="1095">
                  <v>43830</v>
                </pt>
                <pt idx="1096">
                  <v>43837</v>
                </pt>
                <pt idx="1097">
                  <v>43844</v>
                </pt>
                <pt idx="1098">
                  <v>43851</v>
                </pt>
                <pt idx="1099">
                  <v>43858</v>
                </pt>
                <pt idx="1100">
                  <v>43865</v>
                </pt>
                <pt idx="1101">
                  <v>43872</v>
                </pt>
                <pt idx="1102">
                  <v>43879</v>
                </pt>
                <pt idx="1103">
                  <v>43886</v>
                </pt>
                <pt idx="1104">
                  <v>43893</v>
                </pt>
                <pt idx="1105">
                  <v>43900</v>
                </pt>
                <pt idx="1106">
                  <v>43907</v>
                </pt>
                <pt idx="1107">
                  <v>43914</v>
                </pt>
                <pt idx="1108">
                  <v>43921</v>
                </pt>
                <pt idx="1109">
                  <v>43928</v>
                </pt>
                <pt idx="1110">
                  <v>43935</v>
                </pt>
                <pt idx="1111">
                  <v>43942</v>
                </pt>
                <pt idx="1112">
                  <v>43949</v>
                </pt>
                <pt idx="1113">
                  <v>43956</v>
                </pt>
                <pt idx="1114">
                  <v>43963</v>
                </pt>
                <pt idx="1115">
                  <v>43970</v>
                </pt>
                <pt idx="1116">
                  <v>43977</v>
                </pt>
                <pt idx="1117">
                  <v>43984</v>
                </pt>
                <pt idx="1118">
                  <v>43991</v>
                </pt>
                <pt idx="1119">
                  <v>43998</v>
                </pt>
                <pt idx="1120">
                  <v>44005</v>
                </pt>
                <pt idx="1121">
                  <v>44012</v>
                </pt>
                <pt idx="1122">
                  <v>44019</v>
                </pt>
                <pt idx="1123">
                  <v>44026</v>
                </pt>
                <pt idx="1124">
                  <v>44033</v>
                </pt>
                <pt idx="1125">
                  <v>44040</v>
                </pt>
                <pt idx="1126">
                  <v>44047</v>
                </pt>
                <pt idx="1127">
                  <v>44054</v>
                </pt>
                <pt idx="1128">
                  <v>44061</v>
                </pt>
                <pt idx="1129">
                  <v>44068</v>
                </pt>
                <pt idx="1130">
                  <v>44075</v>
                </pt>
                <pt idx="1131">
                  <v>44082</v>
                </pt>
                <pt idx="1132">
                  <v>44089</v>
                </pt>
                <pt idx="1133">
                  <v>44096</v>
                </pt>
                <pt idx="1134">
                  <v>44103</v>
                </pt>
                <pt idx="1135">
                  <v>44110</v>
                </pt>
                <pt idx="1136">
                  <v>44117</v>
                </pt>
                <pt idx="1137">
                  <v>44124</v>
                </pt>
                <pt idx="1138">
                  <v>44131</v>
                </pt>
                <pt idx="1139">
                  <v>44138</v>
                </pt>
                <pt idx="1140">
                  <v>44145</v>
                </pt>
                <pt idx="1141">
                  <v>44152</v>
                </pt>
                <pt idx="1142">
                  <v>44159</v>
                </pt>
                <pt idx="1143">
                  <v>44166</v>
                </pt>
                <pt idx="1144">
                  <v>44173</v>
                </pt>
                <pt idx="1145">
                  <v>44180</v>
                </pt>
                <pt idx="1146">
                  <v>44186</v>
                </pt>
                <pt idx="1147">
                  <v>44194</v>
                </pt>
                <pt idx="1148">
                  <v>44201</v>
                </pt>
                <pt idx="1149">
                  <v>44208</v>
                </pt>
                <pt idx="1150">
                  <v>44215</v>
                </pt>
                <pt idx="1151">
                  <v>44222</v>
                </pt>
                <pt idx="1152">
                  <v>44229</v>
                </pt>
                <pt idx="1153">
                  <v>44236</v>
                </pt>
                <pt idx="1154">
                  <v>44243</v>
                </pt>
                <pt idx="1155">
                  <v>44250</v>
                </pt>
                <pt idx="1156">
                  <v>44257</v>
                </pt>
                <pt idx="1157">
                  <v>44264</v>
                </pt>
                <pt idx="1158">
                  <v>44271</v>
                </pt>
                <pt idx="1159">
                  <v>44278</v>
                </pt>
                <pt idx="1160">
                  <v>44285</v>
                </pt>
                <pt idx="1161">
                  <v>44292</v>
                </pt>
                <pt idx="1162">
                  <v>44299</v>
                </pt>
                <pt idx="1163">
                  <v>44306</v>
                </pt>
                <pt idx="1164">
                  <v>44313</v>
                </pt>
                <pt idx="1165">
                  <v>44320</v>
                </pt>
                <pt idx="1166">
                  <v>44327</v>
                </pt>
                <pt idx="1167">
                  <v>44334</v>
                </pt>
                <pt idx="1168">
                  <v>44341</v>
                </pt>
                <pt idx="1169">
                  <v>44348</v>
                </pt>
                <pt idx="1170">
                  <v>44355</v>
                </pt>
                <pt idx="1171">
                  <v>44362</v>
                </pt>
                <pt idx="1172">
                  <v>44369</v>
                </pt>
                <pt idx="1173">
                  <v>44376</v>
                </pt>
                <pt idx="1174">
                  <v>44383</v>
                </pt>
                <pt idx="1175">
                  <v>44390</v>
                </pt>
                <pt idx="1176">
                  <v>44397</v>
                </pt>
                <pt idx="1177">
                  <v>44404</v>
                </pt>
                <pt idx="1178">
                  <v>44411</v>
                </pt>
                <pt idx="1179">
                  <v>44418</v>
                </pt>
                <pt idx="1180">
                  <v>44425</v>
                </pt>
                <pt idx="1181">
                  <v>44432</v>
                </pt>
                <pt idx="1182">
                  <v>44439</v>
                </pt>
                <pt idx="1183">
                  <v>44446</v>
                </pt>
                <pt idx="1184">
                  <v>44453</v>
                </pt>
                <pt idx="1185">
                  <v>44460</v>
                </pt>
                <pt idx="1186">
                  <v>44467</v>
                </pt>
                <pt idx="1187">
                  <v>44474</v>
                </pt>
                <pt idx="1188">
                  <v>44481</v>
                </pt>
                <pt idx="1189">
                  <v>44488</v>
                </pt>
                <pt idx="1190">
                  <v>44495</v>
                </pt>
                <pt idx="1191">
                  <v>44502</v>
                </pt>
                <pt idx="1192">
                  <v>44509</v>
                </pt>
                <pt idx="1193">
                  <v>44516</v>
                </pt>
                <pt idx="1194">
                  <v>44523</v>
                </pt>
                <pt idx="1195">
                  <v>44530</v>
                </pt>
                <pt idx="1196">
                  <v>44537</v>
                </pt>
                <pt idx="1197">
                  <v>44544</v>
                </pt>
                <pt idx="1198">
                  <v>44551</v>
                </pt>
                <pt idx="1199">
                  <v>44558</v>
                </pt>
                <pt idx="1200">
                  <v>44565</v>
                </pt>
                <pt idx="1201">
                  <v>44572</v>
                </pt>
                <pt idx="1202">
                  <v>44579</v>
                </pt>
                <pt idx="1203">
                  <v>44586</v>
                </pt>
                <pt idx="1204">
                  <v>44593</v>
                </pt>
                <pt idx="1205">
                  <v>44600</v>
                </pt>
                <pt idx="1206">
                  <v>44607</v>
                </pt>
                <pt idx="1207">
                  <v>44614</v>
                </pt>
                <pt idx="1208">
                  <v>44621</v>
                </pt>
                <pt idx="1209">
                  <v>44628</v>
                </pt>
                <pt idx="1210">
                  <v>44635</v>
                </pt>
                <pt idx="1211">
                  <v>44642</v>
                </pt>
                <pt idx="1212">
                  <v>44649</v>
                </pt>
                <pt idx="1213">
                  <v>44656</v>
                </pt>
                <pt idx="1214">
                  <v>44663</v>
                </pt>
                <pt idx="1215">
                  <v>44670</v>
                </pt>
                <pt idx="1216">
                  <v>44677</v>
                </pt>
                <pt idx="1217">
                  <v>44684</v>
                </pt>
                <pt idx="1218">
                  <v>44691</v>
                </pt>
                <pt idx="1219">
                  <v>44698</v>
                </pt>
                <pt idx="1220">
                  <v>44705</v>
                </pt>
                <pt idx="1221">
                  <v>44712</v>
                </pt>
                <pt idx="1222">
                  <v>44719</v>
                </pt>
                <pt idx="1223">
                  <v>44726</v>
                </pt>
                <pt idx="1224">
                  <v>44733</v>
                </pt>
                <pt idx="1225">
                  <v>44740</v>
                </pt>
                <pt idx="1226">
                  <v>44747</v>
                </pt>
                <pt idx="1227">
                  <v>44754</v>
                </pt>
                <pt idx="1228">
                  <v>44761</v>
                </pt>
                <pt idx="1229">
                  <v>44768</v>
                </pt>
                <pt idx="1230">
                  <v>44775</v>
                </pt>
                <pt idx="1231">
                  <v>44782</v>
                </pt>
                <pt idx="1232">
                  <v>44789</v>
                </pt>
                <pt idx="1233">
                  <v>44796</v>
                </pt>
                <pt idx="1234">
                  <v>44803</v>
                </pt>
                <pt idx="1235">
                  <v>44810</v>
                </pt>
                <pt idx="1236">
                  <v>44817</v>
                </pt>
                <pt idx="1237">
                  <v>44824</v>
                </pt>
                <pt idx="1238">
                  <v>44831</v>
                </pt>
                <pt idx="1239">
                  <v>44838</v>
                </pt>
                <pt idx="1240">
                  <v>44845</v>
                </pt>
                <pt idx="1241">
                  <v>44852</v>
                </pt>
                <pt idx="1242">
                  <v>44859</v>
                </pt>
                <pt idx="1243">
                  <v>44866</v>
                </pt>
                <pt idx="1244">
                  <v>44873</v>
                </pt>
                <pt idx="1245">
                  <v>44880</v>
                </pt>
                <pt idx="1246">
                  <v>44887</v>
                </pt>
                <pt idx="1247">
                  <v>44894</v>
                </pt>
                <pt idx="1248">
                  <v>44901</v>
                </pt>
                <pt idx="1249">
                  <v>44908</v>
                </pt>
                <pt idx="1250">
                  <v>44915</v>
                </pt>
                <pt idx="1251">
                  <v>44922</v>
                </pt>
                <pt idx="1252">
                  <v>44929</v>
                </pt>
                <pt idx="1253">
                  <v>44936</v>
                </pt>
              </numCache>
            </numRef>
          </cat>
          <val>
            <numRef>
              <f>Currency!$B$7:$B$1319</f>
              <numCache>
                <formatCode>#,##0</formatCode>
                <ptCount val="1313"/>
                <pt idx="0">
                  <v>22020</v>
                </pt>
                <pt idx="1">
                  <v>16926</v>
                </pt>
                <pt idx="2">
                  <v>4991</v>
                </pt>
                <pt idx="3">
                  <v>8568</v>
                </pt>
                <pt idx="4">
                  <v>6104</v>
                </pt>
                <pt idx="5">
                  <v>6189</v>
                </pt>
                <pt idx="6">
                  <v>-11116</v>
                </pt>
                <pt idx="7">
                  <v>-34290</v>
                </pt>
                <pt idx="8">
                  <v>-36211</v>
                </pt>
                <pt idx="9">
                  <v>-44258</v>
                </pt>
                <pt idx="10">
                  <v>-31792</v>
                </pt>
                <pt idx="11">
                  <v>-31730</v>
                </pt>
                <pt idx="12">
                  <v>-38463</v>
                </pt>
                <pt idx="13">
                  <v>-35697</v>
                </pt>
                <pt idx="14">
                  <v>-36379</v>
                </pt>
                <pt idx="15">
                  <v>-25677</v>
                </pt>
                <pt idx="16">
                  <v>-35310</v>
                </pt>
                <pt idx="17">
                  <v>-38438</v>
                </pt>
                <pt idx="18">
                  <v>-44065</v>
                </pt>
                <pt idx="19">
                  <v>-66697</v>
                </pt>
                <pt idx="20">
                  <v>-62184</v>
                </pt>
                <pt idx="21">
                  <v>-45923</v>
                </pt>
                <pt idx="22">
                  <v>-49002</v>
                </pt>
                <pt idx="23">
                  <v>-40061</v>
                </pt>
                <pt idx="24">
                  <v>-50843</v>
                </pt>
                <pt idx="25">
                  <v>-49067</v>
                </pt>
                <pt idx="26">
                  <v>-49976</v>
                </pt>
                <pt idx="27">
                  <v>-53198</v>
                </pt>
                <pt idx="28">
                  <v>-2710</v>
                </pt>
                <pt idx="29">
                  <v>24761</v>
                </pt>
                <pt idx="30">
                  <v>41869</v>
                </pt>
                <pt idx="31">
                  <v>40077</v>
                </pt>
                <pt idx="32">
                  <v>41312</v>
                </pt>
                <pt idx="33">
                  <v>44431</v>
                </pt>
                <pt idx="34">
                  <v>53902</v>
                </pt>
                <pt idx="35">
                  <v>44633</v>
                </pt>
                <pt idx="36">
                  <v>41124</v>
                </pt>
                <pt idx="37">
                  <v>36899</v>
                </pt>
                <pt idx="38">
                  <v>31285</v>
                </pt>
                <pt idx="39">
                  <v>26594</v>
                </pt>
                <pt idx="40">
                  <v>27170</v>
                </pt>
                <pt idx="41">
                  <v>23378</v>
                </pt>
                <pt idx="42">
                  <v>27713</v>
                </pt>
                <pt idx="43">
                  <v>27807</v>
                </pt>
                <pt idx="44">
                  <v>19152</v>
                </pt>
                <pt idx="45">
                  <v>14998</v>
                </pt>
                <pt idx="46">
                  <v>26711</v>
                </pt>
                <pt idx="47">
                  <v>37980</v>
                </pt>
                <pt idx="48">
                  <v>30325</v>
                </pt>
                <pt idx="49">
                  <v>9666</v>
                </pt>
                <pt idx="50">
                  <v>17384</v>
                </pt>
                <pt idx="51">
                  <v>20392</v>
                </pt>
                <pt idx="52">
                  <v>15475</v>
                </pt>
                <pt idx="53">
                  <v>-22753</v>
                </pt>
                <pt idx="54">
                  <v>-24831</v>
                </pt>
                <pt idx="55">
                  <v>-23778</v>
                </pt>
                <pt idx="56">
                  <v>-37117</v>
                </pt>
                <pt idx="57">
                  <v>-43278</v>
                </pt>
                <pt idx="58">
                  <v>-47825</v>
                </pt>
                <pt idx="59">
                  <v>-50356</v>
                </pt>
                <pt idx="60">
                  <v>-45394</v>
                </pt>
                <pt idx="61">
                  <v>-13688</v>
                </pt>
                <pt idx="62">
                  <v>-18400</v>
                </pt>
                <pt idx="63">
                  <v>-23971</v>
                </pt>
                <pt idx="64">
                  <v>-22089</v>
                </pt>
                <pt idx="65">
                  <v>7315</v>
                </pt>
                <pt idx="66">
                  <v>3926</v>
                </pt>
                <pt idx="67">
                  <v>5614</v>
                </pt>
                <pt idx="68">
                  <v>3573</v>
                </pt>
                <pt idx="69">
                  <v>-12850</v>
                </pt>
                <pt idx="70">
                  <v>-19676</v>
                </pt>
                <pt idx="71">
                  <v>-17382</v>
                </pt>
                <pt idx="72">
                  <v>-13179</v>
                </pt>
                <pt idx="73">
                  <v>-12465</v>
                </pt>
                <pt idx="74">
                  <v>-14810</v>
                </pt>
                <pt idx="75">
                  <v>-9938</v>
                </pt>
                <pt idx="76">
                  <v>-7772</v>
                </pt>
                <pt idx="77">
                  <v>1641</v>
                </pt>
                <pt idx="78">
                  <v>-6070</v>
                </pt>
                <pt idx="79">
                  <v>-7789</v>
                </pt>
                <pt idx="80">
                  <v>-14486</v>
                </pt>
                <pt idx="81">
                  <v>-22229</v>
                </pt>
                <pt idx="82">
                  <v>-24999</v>
                </pt>
                <pt idx="83">
                  <v>-26752</v>
                </pt>
                <pt idx="84">
                  <v>-28804</v>
                </pt>
                <pt idx="85">
                  <v>-28479</v>
                </pt>
                <pt idx="86">
                  <v>-12975</v>
                </pt>
                <pt idx="87">
                  <v>-7102</v>
                </pt>
                <pt idx="88">
                  <v>6334</v>
                </pt>
                <pt idx="89">
                  <v>-4083</v>
                </pt>
                <pt idx="90">
                  <v>-4226</v>
                </pt>
                <pt idx="91">
                  <v>-13767</v>
                </pt>
                <pt idx="92">
                  <v>-30088</v>
                </pt>
                <pt idx="93">
                  <v>-29327</v>
                </pt>
                <pt idx="94">
                  <v>-27811</v>
                </pt>
                <pt idx="95">
                  <v>-27079</v>
                </pt>
                <pt idx="96">
                  <v>-23877</v>
                </pt>
                <pt idx="97">
                  <v>-22570</v>
                </pt>
                <pt idx="98">
                  <v>-35072</v>
                </pt>
                <pt idx="99">
                  <v>-33330</v>
                </pt>
                <pt idx="100">
                  <v>-32449</v>
                </pt>
                <pt idx="101">
                  <v>-41696</v>
                </pt>
                <pt idx="102">
                  <v>-38233</v>
                </pt>
                <pt idx="103">
                  <v>-42620</v>
                </pt>
                <pt idx="104">
                  <v>-41419</v>
                </pt>
                <pt idx="105">
                  <v>-40138</v>
                </pt>
                <pt idx="106">
                  <v>-33870</v>
                </pt>
                <pt idx="107">
                  <v>-29212</v>
                </pt>
                <pt idx="108">
                  <v>-25200</v>
                </pt>
                <pt idx="109">
                  <v>-26036</v>
                </pt>
                <pt idx="110">
                  <v>-27474</v>
                </pt>
                <pt idx="111">
                  <v>-27060</v>
                </pt>
                <pt idx="112">
                  <v>-27537</v>
                </pt>
                <pt idx="113">
                  <v>-31507</v>
                </pt>
                <pt idx="114">
                  <v>-18307</v>
                </pt>
                <pt idx="115">
                  <v>-581</v>
                </pt>
                <pt idx="116">
                  <v>3487</v>
                </pt>
                <pt idx="117">
                  <v>1751</v>
                </pt>
                <pt idx="118">
                  <v>1921</v>
                </pt>
                <pt idx="119">
                  <v>-25586</v>
                </pt>
                <pt idx="120">
                  <v>-23460</v>
                </pt>
                <pt idx="121">
                  <v>-5713</v>
                </pt>
                <pt idx="122">
                  <v>-2919</v>
                </pt>
                <pt idx="123">
                  <v>-2315</v>
                </pt>
                <pt idx="124">
                  <v>-27048</v>
                </pt>
                <pt idx="125">
                  <v>-10164</v>
                </pt>
                <pt idx="126">
                  <v>5263</v>
                </pt>
                <pt idx="127">
                  <v>2715</v>
                </pt>
                <pt idx="128">
                  <v>-15866</v>
                </pt>
                <pt idx="129">
                  <v>-24586</v>
                </pt>
                <pt idx="130">
                  <v>-32380</v>
                </pt>
                <pt idx="131">
                  <v>-24090</v>
                </pt>
                <pt idx="132">
                  <v>-9954</v>
                </pt>
                <pt idx="133">
                  <v>-1229</v>
                </pt>
                <pt idx="134">
                  <v>-4435</v>
                </pt>
                <pt idx="135">
                  <v>1428</v>
                </pt>
                <pt idx="136">
                  <v>11558</v>
                </pt>
                <pt idx="137">
                  <v>30611</v>
                </pt>
                <pt idx="138">
                  <v>30180</v>
                </pt>
                <pt idx="139">
                  <v>32511</v>
                </pt>
                <pt idx="140">
                  <v>23493</v>
                </pt>
                <pt idx="141">
                  <v>28439</v>
                </pt>
                <pt idx="142">
                  <v>30365</v>
                </pt>
                <pt idx="143">
                  <v>13509</v>
                </pt>
                <pt idx="144">
                  <v>10268</v>
                </pt>
                <pt idx="145">
                  <v>-1114</v>
                </pt>
                <pt idx="146">
                  <v>-21784</v>
                </pt>
                <pt idx="147">
                  <v>-27345</v>
                </pt>
                <pt idx="148">
                  <v>-13914</v>
                </pt>
                <pt idx="149">
                  <v>-4231</v>
                </pt>
                <pt idx="150">
                  <v>-18886</v>
                </pt>
                <pt idx="151">
                  <v>-21630</v>
                </pt>
                <pt idx="152">
                  <v>-8418</v>
                </pt>
                <pt idx="153">
                  <v>-4258</v>
                </pt>
                <pt idx="154">
                  <v>-1935</v>
                </pt>
                <pt idx="155">
                  <v>-4321</v>
                </pt>
                <pt idx="156">
                  <v>866</v>
                </pt>
                <pt idx="157">
                  <v>-3530</v>
                </pt>
                <pt idx="158">
                  <v>-2603</v>
                </pt>
                <pt idx="159">
                  <v>-14401</v>
                </pt>
                <pt idx="160">
                  <v>-6343</v>
                </pt>
                <pt idx="161">
                  <v>-4016</v>
                </pt>
                <pt idx="162">
                  <v>-7781</v>
                </pt>
                <pt idx="163">
                  <v>-12332</v>
                </pt>
                <pt idx="164">
                  <v>-19812</v>
                </pt>
                <pt idx="165">
                  <v>-13646</v>
                </pt>
                <pt idx="166">
                  <v>6898</v>
                </pt>
                <pt idx="167">
                  <v>-1127</v>
                </pt>
                <pt idx="168">
                  <v>-4360</v>
                </pt>
                <pt idx="169">
                  <v>-9257</v>
                </pt>
                <pt idx="170">
                  <v>-10841</v>
                </pt>
                <pt idx="171">
                  <v>-8751</v>
                </pt>
                <pt idx="172">
                  <v>-726</v>
                </pt>
                <pt idx="173">
                  <v>5654</v>
                </pt>
                <pt idx="174">
                  <v>6514</v>
                </pt>
                <pt idx="175">
                  <v>2814</v>
                </pt>
                <pt idx="176">
                  <v>13862</v>
                </pt>
                <pt idx="177">
                  <v>12174</v>
                </pt>
                <pt idx="178">
                  <v>8375</v>
                </pt>
                <pt idx="179">
                  <v>6075</v>
                </pt>
                <pt idx="180">
                  <v>9469</v>
                </pt>
                <pt idx="181">
                  <v>10609</v>
                </pt>
                <pt idx="182">
                  <v>9046</v>
                </pt>
                <pt idx="183">
                  <v>10200</v>
                </pt>
                <pt idx="184">
                  <v>11221</v>
                </pt>
                <pt idx="185">
                  <v>9863</v>
                </pt>
                <pt idx="186">
                  <v>3852</v>
                </pt>
                <pt idx="187">
                  <v>706</v>
                </pt>
                <pt idx="188">
                  <v>3664</v>
                </pt>
                <pt idx="189">
                  <v>3412</v>
                </pt>
                <pt idx="190">
                  <v>4351</v>
                </pt>
                <pt idx="191">
                  <v>6641</v>
                </pt>
                <pt idx="192">
                  <v>3220</v>
                </pt>
                <pt idx="193">
                  <v>-16374</v>
                </pt>
                <pt idx="194">
                  <v>-18080</v>
                </pt>
                <pt idx="195">
                  <v>-15313</v>
                </pt>
                <pt idx="196">
                  <v>-13241</v>
                </pt>
                <pt idx="197">
                  <v>-12830</v>
                </pt>
                <pt idx="198">
                  <v>-14934</v>
                </pt>
                <pt idx="199">
                  <v>-8264</v>
                </pt>
                <pt idx="200">
                  <v>-4696</v>
                </pt>
                <pt idx="201">
                  <v>-427</v>
                </pt>
                <pt idx="202">
                  <v>-2891</v>
                </pt>
                <pt idx="203">
                  <v>-4464</v>
                </pt>
                <pt idx="204">
                  <v>-9903</v>
                </pt>
                <pt idx="205">
                  <v>-12210</v>
                </pt>
                <pt idx="206">
                  <v>-706</v>
                </pt>
                <pt idx="207">
                  <v>3807</v>
                </pt>
                <pt idx="208">
                  <v>28134</v>
                </pt>
                <pt idx="209">
                  <v>27227</v>
                </pt>
                <pt idx="210">
                  <v>32944</v>
                </pt>
                <pt idx="211">
                  <v>33293</v>
                </pt>
                <pt idx="212">
                  <v>25610</v>
                </pt>
                <pt idx="213">
                  <v>5594</v>
                </pt>
                <pt idx="214">
                  <v>10709</v>
                </pt>
                <pt idx="215">
                  <v>18433</v>
                </pt>
                <pt idx="216">
                  <v>35754</v>
                </pt>
                <pt idx="217">
                  <v>32032</v>
                </pt>
                <pt idx="218">
                  <v>36219</v>
                </pt>
                <pt idx="219">
                  <v>23318</v>
                </pt>
                <pt idx="220">
                  <v>-12983</v>
                </pt>
                <pt idx="221">
                  <v>-3903</v>
                </pt>
                <pt idx="222">
                  <v>-5634</v>
                </pt>
                <pt idx="223">
                  <v>-9417</v>
                </pt>
                <pt idx="224">
                  <v>-4183</v>
                </pt>
                <pt idx="225">
                  <v>-10180</v>
                </pt>
                <pt idx="226">
                  <v>2668</v>
                </pt>
                <pt idx="227">
                  <v>29462</v>
                </pt>
                <pt idx="228">
                  <v>29770</v>
                </pt>
                <pt idx="229">
                  <v>29443</v>
                </pt>
                <pt idx="230">
                  <v>7560</v>
                </pt>
                <pt idx="231">
                  <v>11756</v>
                </pt>
                <pt idx="232">
                  <v>10862</v>
                </pt>
                <pt idx="233">
                  <v>17136</v>
                </pt>
                <pt idx="234">
                  <v>-13397</v>
                </pt>
                <pt idx="235">
                  <v>108</v>
                </pt>
                <pt idx="236">
                  <v>15825</v>
                </pt>
                <pt idx="237">
                  <v>6792</v>
                </pt>
                <pt idx="238">
                  <v>6308</v>
                </pt>
                <pt idx="239">
                  <v>-36299</v>
                </pt>
                <pt idx="240">
                  <v>-9940</v>
                </pt>
                <pt idx="241">
                  <v>-9352</v>
                </pt>
                <pt idx="242">
                  <v>13232</v>
                </pt>
                <pt idx="243">
                  <v>46955</v>
                </pt>
                <pt idx="244">
                  <v>52845</v>
                </pt>
                <pt idx="245">
                  <v>54647</v>
                </pt>
                <pt idx="246">
                  <v>53548</v>
                </pt>
                <pt idx="247">
                  <v>40865</v>
                </pt>
                <pt idx="248">
                  <v>49725</v>
                </pt>
                <pt idx="249">
                  <v>39209</v>
                </pt>
                <pt idx="250">
                  <v>48304</v>
                </pt>
                <pt idx="251">
                  <v>54910</v>
                </pt>
                <pt idx="252">
                  <v>50344</v>
                </pt>
                <pt idx="253">
                  <v>57797</v>
                </pt>
                <pt idx="254">
                  <v>53762</v>
                </pt>
                <pt idx="255">
                  <v>42540</v>
                </pt>
                <pt idx="256">
                  <v>46186</v>
                </pt>
                <pt idx="257">
                  <v>56736</v>
                </pt>
                <pt idx="258">
                  <v>58236</v>
                </pt>
                <pt idx="259">
                  <v>48135</v>
                </pt>
                <pt idx="260">
                  <v>47664</v>
                </pt>
                <pt idx="261">
                  <v>56834</v>
                </pt>
                <pt idx="262">
                  <v>60602</v>
                </pt>
                <pt idx="263">
                  <v>51708</v>
                </pt>
                <pt idx="264">
                  <v>57992</v>
                </pt>
                <pt idx="265">
                  <v>64499</v>
                </pt>
                <pt idx="266">
                  <v>58630</v>
                </pt>
                <pt idx="267">
                  <v>55198</v>
                </pt>
                <pt idx="268">
                  <v>-12181</v>
                </pt>
                <pt idx="269">
                  <v>-22312</v>
                </pt>
                <pt idx="270">
                  <v>-34516</v>
                </pt>
                <pt idx="271">
                  <v>-31439</v>
                </pt>
                <pt idx="272">
                  <v>-14601</v>
                </pt>
                <pt idx="273">
                  <v>4309</v>
                </pt>
                <pt idx="274">
                  <v>20388</v>
                </pt>
                <pt idx="275">
                  <v>24760</v>
                </pt>
                <pt idx="276">
                  <v>-6044</v>
                </pt>
                <pt idx="277">
                  <v>204</v>
                </pt>
                <pt idx="278">
                  <v>2973</v>
                </pt>
                <pt idx="279">
                  <v>-10093</v>
                </pt>
                <pt idx="280">
                  <v>-12682</v>
                </pt>
                <pt idx="281">
                  <v>-12107</v>
                </pt>
                <pt idx="282">
                  <v>-4839</v>
                </pt>
                <pt idx="283">
                  <v>598</v>
                </pt>
                <pt idx="284">
                  <v>2493</v>
                </pt>
                <pt idx="285">
                  <v>5495</v>
                </pt>
                <pt idx="286">
                  <v>8416</v>
                </pt>
                <pt idx="287">
                  <v>2417</v>
                </pt>
                <pt idx="288">
                  <v>2166</v>
                </pt>
                <pt idx="289">
                  <v>1837</v>
                </pt>
                <pt idx="290">
                  <v>-2401</v>
                </pt>
                <pt idx="291">
                  <v>-3268</v>
                </pt>
                <pt idx="292">
                  <v>-8282</v>
                </pt>
                <pt idx="293">
                  <v>-5205</v>
                </pt>
                <pt idx="294">
                  <v>-969</v>
                </pt>
                <pt idx="295">
                  <v>525</v>
                </pt>
                <pt idx="296">
                  <v>-832</v>
                </pt>
                <pt idx="297">
                  <v>-4057</v>
                </pt>
                <pt idx="298">
                  <v>-9357</v>
                </pt>
                <pt idx="299">
                  <v>-22203</v>
                </pt>
                <pt idx="300">
                  <v>-14496</v>
                </pt>
                <pt idx="301">
                  <v>-6387</v>
                </pt>
                <pt idx="302">
                  <v>8565</v>
                </pt>
                <pt idx="303">
                  <v>27636</v>
                </pt>
                <pt idx="304">
                  <v>36814</v>
                </pt>
                <pt idx="305">
                  <v>39093</v>
                </pt>
                <pt idx="306">
                  <v>44596</v>
                </pt>
                <pt idx="307">
                  <v>33198</v>
                </pt>
                <pt idx="308">
                  <v>39360</v>
                </pt>
                <pt idx="309">
                  <v>37323</v>
                </pt>
                <pt idx="310">
                  <v>21401</v>
                </pt>
                <pt idx="311">
                  <v>20576</v>
                </pt>
                <pt idx="312">
                  <v>27753</v>
                </pt>
                <pt idx="313">
                  <v>22720</v>
                </pt>
                <pt idx="314">
                  <v>23745</v>
                </pt>
                <pt idx="315">
                  <v>7879</v>
                </pt>
                <pt idx="316">
                  <v>924</v>
                </pt>
                <pt idx="317">
                  <v>399</v>
                </pt>
                <pt idx="318">
                  <v>-14290</v>
                </pt>
                <pt idx="319">
                  <v>-23693</v>
                </pt>
                <pt idx="320">
                  <v>-25935</v>
                </pt>
                <pt idx="321">
                  <v>-7123</v>
                </pt>
                <pt idx="322">
                  <v>-9786</v>
                </pt>
                <pt idx="323">
                  <v>-5346</v>
                </pt>
                <pt idx="324">
                  <v>-11903</v>
                </pt>
                <pt idx="325">
                  <v>-30189</v>
                </pt>
                <pt idx="326">
                  <v>-36442</v>
                </pt>
                <pt idx="327">
                  <v>-44196</v>
                </pt>
                <pt idx="328">
                  <v>-54697</v>
                </pt>
                <pt idx="329">
                  <v>-32502</v>
                </pt>
                <pt idx="330">
                  <v>-14131</v>
                </pt>
                <pt idx="331">
                  <v>-9563</v>
                </pt>
                <pt idx="332">
                  <v>-47883</v>
                </pt>
                <pt idx="333">
                  <v>-38831</v>
                </pt>
                <pt idx="334">
                  <v>-48435</v>
                </pt>
                <pt idx="335">
                  <v>-37111</v>
                </pt>
                <pt idx="336">
                  <v>-53164</v>
                </pt>
                <pt idx="337">
                  <v>-37974</v>
                </pt>
                <pt idx="338">
                  <v>-51845</v>
                </pt>
                <pt idx="339">
                  <v>-52186</v>
                </pt>
                <pt idx="340">
                  <v>-63076</v>
                </pt>
                <pt idx="341">
                  <v>-59056</v>
                </pt>
                <pt idx="342">
                  <v>-47768</v>
                </pt>
                <pt idx="343">
                  <v>-43151</v>
                </pt>
                <pt idx="344">
                  <v>-48660</v>
                </pt>
                <pt idx="345">
                  <v>-26385</v>
                </pt>
                <pt idx="346">
                  <v>-31366</v>
                </pt>
                <pt idx="347">
                  <v>-47665</v>
                </pt>
                <pt idx="348">
                  <v>-34372</v>
                </pt>
                <pt idx="349">
                  <v>-34934</v>
                </pt>
                <pt idx="350">
                  <v>-47629</v>
                </pt>
                <pt idx="351">
                  <v>-59066</v>
                </pt>
                <pt idx="352">
                  <v>-63299</v>
                </pt>
                <pt idx="353">
                  <v>-66035</v>
                </pt>
                <pt idx="354">
                  <v>-66641</v>
                </pt>
                <pt idx="355">
                  <v>-66682</v>
                </pt>
                <pt idx="356">
                  <v>-66302</v>
                </pt>
                <pt idx="357">
                  <v>-64628</v>
                </pt>
                <pt idx="358">
                  <v>-67231</v>
                </pt>
                <pt idx="359">
                  <v>-65884</v>
                </pt>
                <pt idx="360">
                  <v>-64000</v>
                </pt>
                <pt idx="361">
                  <v>-71643</v>
                </pt>
                <pt idx="362">
                  <v>-72063</v>
                </pt>
                <pt idx="363">
                  <v>-26105</v>
                </pt>
                <pt idx="364">
                  <v>-22129</v>
                </pt>
                <pt idx="365">
                  <v>-24737</v>
                </pt>
                <pt idx="366">
                  <v>-19529</v>
                </pt>
                <pt idx="367">
                  <v>-18259</v>
                </pt>
                <pt idx="368">
                  <v>-19278</v>
                </pt>
                <pt idx="369">
                  <v>-41745</v>
                </pt>
                <pt idx="370">
                  <v>-56347</v>
                </pt>
                <pt idx="371">
                  <v>-55057</v>
                </pt>
                <pt idx="372">
                  <v>-71184</v>
                </pt>
                <pt idx="373">
                  <v>-22821</v>
                </pt>
                <pt idx="374">
                  <v>-41831</v>
                </pt>
                <pt idx="375">
                  <v>-45289</v>
                </pt>
                <pt idx="376">
                  <v>-29356</v>
                </pt>
                <pt idx="377">
                  <v>-30412</v>
                </pt>
                <pt idx="378">
                  <v>-32716</v>
                </pt>
                <pt idx="379">
                  <v>-54471</v>
                </pt>
                <pt idx="380">
                  <v>-41141</v>
                </pt>
                <pt idx="381">
                  <v>-6490</v>
                </pt>
                <pt idx="382">
                  <v>2689</v>
                </pt>
                <pt idx="383">
                  <v>18844</v>
                </pt>
                <pt idx="384">
                  <v>19121</v>
                </pt>
                <pt idx="385">
                  <v>18329</v>
                </pt>
                <pt idx="386">
                  <v>25741</v>
                </pt>
                <pt idx="387">
                  <v>21003</v>
                </pt>
                <pt idx="388">
                  <v>-9597</v>
                </pt>
                <pt idx="389">
                  <v>-23007</v>
                </pt>
                <pt idx="390">
                  <v>-35572</v>
                </pt>
                <pt idx="391">
                  <v>-23909</v>
                </pt>
                <pt idx="392">
                  <v>-20704</v>
                </pt>
                <pt idx="393">
                  <v>-69049</v>
                </pt>
                <pt idx="394">
                  <v>-76886</v>
                </pt>
                <pt idx="395">
                  <v>-42984</v>
                </pt>
                <pt idx="396">
                  <v>-51791</v>
                </pt>
                <pt idx="397">
                  <v>-62274</v>
                </pt>
                <pt idx="398">
                  <v>-75077</v>
                </pt>
                <pt idx="399">
                  <v>-88329</v>
                </pt>
                <pt idx="400">
                  <v>-69498</v>
                </pt>
                <pt idx="401">
                  <v>-99452</v>
                </pt>
                <pt idx="402">
                  <v>-90804</v>
                </pt>
                <pt idx="403">
                  <v>-87358</v>
                </pt>
                <pt idx="404">
                  <v>-104151</v>
                </pt>
                <pt idx="405">
                  <v>-123598</v>
                </pt>
                <pt idx="406">
                  <v>-112578</v>
                </pt>
                <pt idx="407">
                  <v>-137290</v>
                </pt>
                <pt idx="408">
                  <v>-59600</v>
                </pt>
                <pt idx="409">
                  <v>-63512</v>
                </pt>
                <pt idx="410">
                  <v>-55012</v>
                </pt>
                <pt idx="411">
                  <v>-80421</v>
                </pt>
                <pt idx="412">
                  <v>-41958</v>
                </pt>
                <pt idx="413">
                  <v>-23537</v>
                </pt>
                <pt idx="414">
                  <v>-55560</v>
                </pt>
                <pt idx="415">
                  <v>-92519</v>
                </pt>
                <pt idx="416">
                  <v>-104914</v>
                </pt>
                <pt idx="417">
                  <v>-118592</v>
                </pt>
                <pt idx="418">
                  <v>-123343</v>
                </pt>
                <pt idx="419">
                  <v>-138146</v>
                </pt>
                <pt idx="420">
                  <v>-164860</v>
                </pt>
                <pt idx="421">
                  <v>-173005</v>
                </pt>
                <pt idx="422">
                  <v>-128526</v>
                </pt>
                <pt idx="423">
                  <v>-167505</v>
                </pt>
                <pt idx="424">
                  <v>-116195</v>
                </pt>
                <pt idx="425">
                  <v>-114626</v>
                </pt>
                <pt idx="426">
                  <v>-62886</v>
                </pt>
                <pt idx="427">
                  <v>-52853</v>
                </pt>
                <pt idx="428">
                  <v>-49953</v>
                </pt>
                <pt idx="429">
                  <v>-47480</v>
                </pt>
                <pt idx="430">
                  <v>-63858</v>
                </pt>
                <pt idx="431">
                  <v>-64841</v>
                </pt>
                <pt idx="432">
                  <v>-70519</v>
                </pt>
                <pt idx="433">
                  <v>-81772</v>
                </pt>
                <pt idx="434">
                  <v>-118782</v>
                </pt>
                <pt idx="435">
                  <v>-112259</v>
                </pt>
                <pt idx="436">
                  <v>-127896</v>
                </pt>
                <pt idx="437">
                  <v>-151746</v>
                </pt>
                <pt idx="438">
                  <v>-146243</v>
                </pt>
                <pt idx="439">
                  <v>-124006</v>
                </pt>
                <pt idx="440">
                  <v>-127562</v>
                </pt>
                <pt idx="441">
                  <v>-161361</v>
                </pt>
                <pt idx="442">
                  <v>-188077</v>
                </pt>
                <pt idx="443">
                  <v>-155138</v>
                </pt>
                <pt idx="444">
                  <v>-125890</v>
                </pt>
                <pt idx="445">
                  <v>-126773</v>
                </pt>
                <pt idx="446">
                  <v>-92415</v>
                </pt>
                <pt idx="447">
                  <v>-51162</v>
                </pt>
                <pt idx="448">
                  <v>-34493</v>
                </pt>
                <pt idx="449">
                  <v>-21889</v>
                </pt>
                <pt idx="450">
                  <v>1516</v>
                </pt>
                <pt idx="451">
                  <v>9846</v>
                </pt>
                <pt idx="452">
                  <v>-7053</v>
                </pt>
                <pt idx="453">
                  <v>5585</v>
                </pt>
                <pt idx="454">
                  <v>-21067</v>
                </pt>
                <pt idx="455">
                  <v>-2449</v>
                </pt>
                <pt idx="456">
                  <v>-28069</v>
                </pt>
                <pt idx="457">
                  <v>-45757</v>
                </pt>
                <pt idx="458">
                  <v>-38613</v>
                </pt>
                <pt idx="459">
                  <v>-21354</v>
                </pt>
                <pt idx="460">
                  <v>-9949</v>
                </pt>
                <pt idx="461">
                  <v>-8897</v>
                </pt>
                <pt idx="462">
                  <v>20796</v>
                </pt>
                <pt idx="463">
                  <v>30401</v>
                </pt>
                <pt idx="464">
                  <v>31332</v>
                </pt>
                <pt idx="465">
                  <v>34085</v>
                </pt>
                <pt idx="466">
                  <v>30903</v>
                </pt>
                <pt idx="467">
                  <v>13357</v>
                </pt>
                <pt idx="468">
                  <v>4013</v>
                </pt>
                <pt idx="469">
                  <v>920</v>
                </pt>
                <pt idx="470">
                  <v>37473</v>
                </pt>
                <pt idx="471">
                  <v>37199</v>
                </pt>
                <pt idx="472">
                  <v>41842</v>
                </pt>
                <pt idx="473">
                  <v>52928</v>
                </pt>
                <pt idx="474">
                  <v>54690</v>
                </pt>
                <pt idx="475">
                  <v>43471</v>
                </pt>
                <pt idx="476">
                  <v>50444</v>
                </pt>
                <pt idx="477">
                  <v>34289</v>
                </pt>
                <pt idx="478">
                  <v>56285</v>
                </pt>
                <pt idx="479">
                  <v>50153</v>
                </pt>
                <pt idx="480">
                  <v>55759</v>
                </pt>
                <pt idx="481">
                  <v>65920</v>
                </pt>
                <pt idx="482">
                  <v>52298</v>
                </pt>
                <pt idx="483">
                  <v>43067</v>
                </pt>
                <pt idx="484">
                  <v>47972</v>
                </pt>
                <pt idx="485">
                  <v>35087</v>
                </pt>
                <pt idx="486">
                  <v>55450</v>
                </pt>
                <pt idx="487">
                  <v>48735</v>
                </pt>
                <pt idx="488">
                  <v>33816</v>
                </pt>
                <pt idx="489">
                  <v>40048</v>
                </pt>
                <pt idx="490">
                  <v>33304</v>
                </pt>
                <pt idx="491">
                  <v>23365</v>
                </pt>
                <pt idx="492">
                  <v>7716</v>
                </pt>
                <pt idx="493">
                  <v>5857</v>
                </pt>
                <pt idx="494">
                  <v>-12747</v>
                </pt>
                <pt idx="495">
                  <v>16005</v>
                </pt>
                <pt idx="496">
                  <v>5325</v>
                </pt>
                <pt idx="497">
                  <v>50105</v>
                </pt>
                <pt idx="498">
                  <v>10524</v>
                </pt>
                <pt idx="499">
                  <v>-6280</v>
                </pt>
                <pt idx="500">
                  <v>-12081</v>
                </pt>
                <pt idx="501">
                  <v>-13249</v>
                </pt>
                <pt idx="502">
                  <v>-23138</v>
                </pt>
                <pt idx="503">
                  <v>-19970</v>
                </pt>
                <pt idx="504">
                  <v>-5020</v>
                </pt>
                <pt idx="505">
                  <v>14821</v>
                </pt>
                <pt idx="506">
                  <v>26600</v>
                </pt>
                <pt idx="507">
                  <v>31939</v>
                </pt>
                <pt idx="508">
                  <v>43022</v>
                </pt>
                <pt idx="509">
                  <v>39813</v>
                </pt>
                <pt idx="510">
                  <v>29904</v>
                </pt>
                <pt idx="511">
                  <v>30121</v>
                </pt>
                <pt idx="512">
                  <v>31826</v>
                </pt>
                <pt idx="513">
                  <v>26494</v>
                </pt>
                <pt idx="514">
                  <v>24511</v>
                </pt>
                <pt idx="515">
                  <v>24134</v>
                </pt>
                <pt idx="516">
                  <v>37166</v>
                </pt>
                <pt idx="517">
                  <v>42903</v>
                </pt>
                <pt idx="518">
                  <v>43259</v>
                </pt>
                <pt idx="519">
                  <v>41381</v>
                </pt>
                <pt idx="520">
                  <v>40098</v>
                </pt>
                <pt idx="521">
                  <v>43876</v>
                </pt>
                <pt idx="522">
                  <v>46394</v>
                </pt>
                <pt idx="523">
                  <v>44895</v>
                </pt>
                <pt idx="524">
                  <v>47090</v>
                </pt>
                <pt idx="525">
                  <v>49007</v>
                </pt>
                <pt idx="526">
                  <v>50518</v>
                </pt>
                <pt idx="527">
                  <v>43597</v>
                </pt>
                <pt idx="528">
                  <v>36188</v>
                </pt>
                <pt idx="529">
                  <v>28635</v>
                </pt>
                <pt idx="530">
                  <v>20070</v>
                </pt>
                <pt idx="531">
                  <v>18906</v>
                </pt>
                <pt idx="532">
                  <v>-4696</v>
                </pt>
                <pt idx="533">
                  <v>-7662</v>
                </pt>
                <pt idx="534">
                  <v>-9463</v>
                </pt>
                <pt idx="535">
                  <v>-6998</v>
                </pt>
                <pt idx="536">
                  <v>-6095</v>
                </pt>
                <pt idx="537">
                  <v>-13695</v>
                </pt>
                <pt idx="538">
                  <v>-4579</v>
                </pt>
                <pt idx="539">
                  <v>-6518</v>
                </pt>
                <pt idx="540">
                  <v>2388</v>
                </pt>
                <pt idx="541">
                  <v>6000</v>
                </pt>
                <pt idx="542">
                  <v>8009</v>
                </pt>
                <pt idx="543">
                  <v>9621</v>
                </pt>
                <pt idx="544">
                  <v>-2299</v>
                </pt>
                <pt idx="545">
                  <v>-8563</v>
                </pt>
                <pt idx="546">
                  <v>-4007</v>
                </pt>
                <pt idx="547">
                  <v>-1047</v>
                </pt>
                <pt idx="548">
                  <v>17117</v>
                </pt>
                <pt idx="549">
                  <v>33567</v>
                </pt>
                <pt idx="550">
                  <v>36188</v>
                </pt>
                <pt idx="551">
                  <v>24302</v>
                </pt>
                <pt idx="552">
                  <v>10615</v>
                </pt>
                <pt idx="553">
                  <v>824</v>
                </pt>
                <pt idx="554">
                  <v>2353</v>
                </pt>
                <pt idx="555">
                  <v>11647</v>
                </pt>
                <pt idx="556">
                  <v>32365</v>
                </pt>
                <pt idx="557">
                  <v>40799</v>
                </pt>
                <pt idx="558">
                  <v>37107</v>
                </pt>
                <pt idx="559">
                  <v>45615</v>
                </pt>
                <pt idx="560">
                  <v>44856</v>
                </pt>
                <pt idx="561">
                  <v>44643</v>
                </pt>
                <pt idx="562">
                  <v>33339</v>
                </pt>
                <pt idx="563">
                  <v>31185</v>
                </pt>
                <pt idx="564">
                  <v>17530</v>
                </pt>
                <pt idx="565">
                  <v>19832</v>
                </pt>
                <pt idx="566">
                  <v>21878</v>
                </pt>
                <pt idx="567">
                  <v>35552</v>
                </pt>
                <pt idx="568">
                  <v>51710</v>
                </pt>
                <pt idx="569">
                  <v>56907</v>
                </pt>
                <pt idx="570">
                  <v>35182</v>
                </pt>
                <pt idx="571">
                  <v>8372</v>
                </pt>
                <pt idx="572">
                  <v>-1011</v>
                </pt>
                <pt idx="573">
                  <v>-14903</v>
                </pt>
                <pt idx="574">
                  <v>-16811</v>
                </pt>
                <pt idx="575">
                  <v>-16744</v>
                </pt>
                <pt idx="576">
                  <v>-17096</v>
                </pt>
                <pt idx="577">
                  <v>-4347</v>
                </pt>
                <pt idx="578">
                  <v>7135</v>
                </pt>
                <pt idx="579">
                  <v>22396</v>
                </pt>
                <pt idx="580">
                  <v>13912</v>
                </pt>
                <pt idx="581">
                  <v>1717</v>
                </pt>
                <pt idx="582">
                  <v>32552</v>
                </pt>
                <pt idx="583">
                  <v>26288</v>
                </pt>
                <pt idx="584">
                  <v>15197</v>
                </pt>
                <pt idx="585">
                  <v>10161</v>
                </pt>
                <pt idx="586">
                  <v>-30866</v>
                </pt>
                <pt idx="587">
                  <v>-42305</v>
                </pt>
                <pt idx="588">
                  <v>-55746</v>
                </pt>
                <pt idx="589">
                  <v>-50338</v>
                </pt>
                <pt idx="590">
                  <v>-49777</v>
                </pt>
                <pt idx="591">
                  <v>-65612</v>
                </pt>
                <pt idx="592">
                  <v>-34669</v>
                </pt>
                <pt idx="593">
                  <v>-34289</v>
                </pt>
                <pt idx="594">
                  <v>-10238</v>
                </pt>
                <pt idx="595">
                  <v>-6484</v>
                </pt>
                <pt idx="596">
                  <v>-12547</v>
                </pt>
                <pt idx="597">
                  <v>-3680</v>
                </pt>
                <pt idx="598">
                  <v>3630</v>
                </pt>
                <pt idx="599">
                  <v>27427</v>
                </pt>
                <pt idx="600">
                  <v>37926</v>
                </pt>
                <pt idx="601">
                  <v>47359</v>
                </pt>
                <pt idx="602">
                  <v>40911</v>
                </pt>
                <pt idx="603">
                  <v>29921</v>
                </pt>
                <pt idx="604">
                  <v>47998</v>
                </pt>
                <pt idx="605">
                  <v>52478</v>
                </pt>
                <pt idx="606">
                  <v>49969</v>
                </pt>
                <pt idx="607">
                  <v>51069</v>
                </pt>
                <pt idx="608">
                  <v>49904</v>
                </pt>
                <pt idx="609">
                  <v>52183</v>
                </pt>
                <pt idx="610">
                  <v>47642</v>
                </pt>
                <pt idx="611">
                  <v>23100</v>
                </pt>
                <pt idx="612">
                  <v>28666</v>
                </pt>
                <pt idx="613">
                  <v>49206</v>
                </pt>
                <pt idx="614">
                  <v>48285</v>
                </pt>
                <pt idx="615">
                  <v>45856</v>
                </pt>
                <pt idx="616">
                  <v>43129</v>
                </pt>
                <pt idx="617">
                  <v>46455</v>
                </pt>
                <pt idx="618">
                  <v>36654</v>
                </pt>
                <pt idx="619">
                  <v>22858</v>
                </pt>
                <pt idx="620">
                  <v>27192</v>
                </pt>
                <pt idx="621">
                  <v>30006</v>
                </pt>
                <pt idx="622">
                  <v>23288</v>
                </pt>
                <pt idx="623">
                  <v>12735</v>
                </pt>
                <pt idx="624">
                  <v>12529</v>
                </pt>
                <pt idx="625">
                  <v>29641</v>
                </pt>
                <pt idx="626">
                  <v>39065</v>
                </pt>
                <pt idx="627">
                  <v>24736</v>
                </pt>
                <pt idx="628">
                  <v>20529</v>
                </pt>
                <pt idx="629">
                  <v>32218</v>
                </pt>
                <pt idx="630">
                  <v>31481</v>
                </pt>
                <pt idx="631">
                  <v>36731</v>
                </pt>
                <pt idx="632">
                  <v>-18548</v>
                </pt>
                <pt idx="633">
                  <v>-27746</v>
                </pt>
                <pt idx="634">
                  <v>41274</v>
                </pt>
                <pt idx="635">
                  <v>16656</v>
                </pt>
                <pt idx="636">
                  <v>30230</v>
                </pt>
                <pt idx="637">
                  <v>34525</v>
                </pt>
                <pt idx="638">
                  <v>7052</v>
                </pt>
                <pt idx="639">
                  <v>-43231</v>
                </pt>
                <pt idx="640">
                  <v>-52877</v>
                </pt>
                <pt idx="641">
                  <v>-52983</v>
                </pt>
                <pt idx="642">
                  <v>-36997</v>
                </pt>
                <pt idx="643">
                  <v>-18819</v>
                </pt>
                <pt idx="644">
                  <v>13054</v>
                </pt>
                <pt idx="645">
                  <v>15373</v>
                </pt>
                <pt idx="646">
                  <v>8006</v>
                </pt>
                <pt idx="647">
                  <v>-1648</v>
                </pt>
                <pt idx="648">
                  <v>17631</v>
                </pt>
                <pt idx="649">
                  <v>24768</v>
                </pt>
                <pt idx="650">
                  <v>32594</v>
                </pt>
                <pt idx="651">
                  <v>13623</v>
                </pt>
                <pt idx="652">
                  <v>14327</v>
                </pt>
                <pt idx="653">
                  <v>28288</v>
                </pt>
                <pt idx="654">
                  <v>42155</v>
                </pt>
                <pt idx="655">
                  <v>51302</v>
                </pt>
                <pt idx="656">
                  <v>58833</v>
                </pt>
                <pt idx="657">
                  <v>42149</v>
                </pt>
                <pt idx="658">
                  <v>47348</v>
                </pt>
                <pt idx="659">
                  <v>47139</v>
                </pt>
                <pt idx="660">
                  <v>41185</v>
                </pt>
                <pt idx="661">
                  <v>32787</v>
                </pt>
                <pt idx="662">
                  <v>34955</v>
                </pt>
                <pt idx="663">
                  <v>45617</v>
                </pt>
                <pt idx="664">
                  <v>42322</v>
                </pt>
                <pt idx="665">
                  <v>43462</v>
                </pt>
                <pt idx="666">
                  <v>35119</v>
                </pt>
                <pt idx="667">
                  <v>26907</v>
                </pt>
                <pt idx="668">
                  <v>54279</v>
                </pt>
                <pt idx="669">
                  <v>25904</v>
                </pt>
                <pt idx="670">
                  <v>28077</v>
                </pt>
                <pt idx="671">
                  <v>33680</v>
                </pt>
                <pt idx="672">
                  <v>43180</v>
                </pt>
                <pt idx="673">
                  <v>40547</v>
                </pt>
                <pt idx="674">
                  <v>38271</v>
                </pt>
                <pt idx="675">
                  <v>35600</v>
                </pt>
                <pt idx="676">
                  <v>24476</v>
                </pt>
                <pt idx="677">
                  <v>22585</v>
                </pt>
                <pt idx="678">
                  <v>56481</v>
                </pt>
                <pt idx="679">
                  <v>59657</v>
                </pt>
                <pt idx="680">
                  <v>58862</v>
                </pt>
                <pt idx="681">
                  <v>44367</v>
                </pt>
                <pt idx="682">
                  <v>56669</v>
                </pt>
                <pt idx="683">
                  <v>55171</v>
                </pt>
                <pt idx="684">
                  <v>29459</v>
                </pt>
                <pt idx="685">
                  <v>17257</v>
                </pt>
                <pt idx="686">
                  <v>-1203</v>
                </pt>
                <pt idx="687">
                  <v>-19358</v>
                </pt>
                <pt idx="688">
                  <v>-42380</v>
                </pt>
                <pt idx="689">
                  <v>-25821</v>
                </pt>
                <pt idx="690">
                  <v>-67622</v>
                </pt>
                <pt idx="691">
                  <v>-65108</v>
                </pt>
                <pt idx="692">
                  <v>-66084</v>
                </pt>
                <pt idx="693">
                  <v>-57803</v>
                </pt>
                <pt idx="694">
                  <v>-55903</v>
                </pt>
                <pt idx="695">
                  <v>-50173</v>
                </pt>
                <pt idx="696">
                  <v>-41093</v>
                </pt>
                <pt idx="697">
                  <v>-34315</v>
                </pt>
                <pt idx="698">
                  <v>-18015</v>
                </pt>
                <pt idx="699">
                  <v>-11330</v>
                </pt>
                <pt idx="700">
                  <v>12073</v>
                </pt>
                <pt idx="701">
                  <v>12307</v>
                </pt>
                <pt idx="702">
                  <v>15137</v>
                </pt>
                <pt idx="703">
                  <v>4542</v>
                </pt>
                <pt idx="704">
                  <v>4175</v>
                </pt>
                <pt idx="705">
                  <v>8952</v>
                </pt>
                <pt idx="706">
                  <v>11121</v>
                </pt>
                <pt idx="707">
                  <v>25061</v>
                </pt>
                <pt idx="708">
                  <v>32254</v>
                </pt>
                <pt idx="709">
                  <v>27539</v>
                </pt>
                <pt idx="710">
                  <v>30704</v>
                </pt>
                <pt idx="711">
                  <v>11171</v>
                </pt>
                <pt idx="712">
                  <v>21556</v>
                </pt>
                <pt idx="713">
                  <v>24007</v>
                </pt>
                <pt idx="714">
                  <v>32773</v>
                </pt>
                <pt idx="715">
                  <v>15476</v>
                </pt>
                <pt idx="716">
                  <v>21111</v>
                </pt>
                <pt idx="717">
                  <v>29335</v>
                </pt>
                <pt idx="718">
                  <v>12914</v>
                </pt>
                <pt idx="719">
                  <v>10086</v>
                </pt>
                <pt idx="720">
                  <v>-18196</v>
                </pt>
                <pt idx="721">
                  <v>-37020</v>
                </pt>
                <pt idx="722">
                  <v>-40104</v>
                </pt>
                <pt idx="723">
                  <v>-30447</v>
                </pt>
                <pt idx="724">
                  <v>-51389</v>
                </pt>
                <pt idx="725">
                  <v>-79466</v>
                </pt>
                <pt idx="726">
                  <v>-90326</v>
                </pt>
                <pt idx="727">
                  <v>-94401</v>
                </pt>
                <pt idx="728">
                  <v>-89163</v>
                </pt>
                <pt idx="729">
                  <v>-85608</v>
                </pt>
                <pt idx="730">
                  <v>-80517</v>
                </pt>
                <pt idx="731">
                  <v>-74096</v>
                </pt>
                <pt idx="732">
                  <v>-65727</v>
                </pt>
                <pt idx="733">
                  <v>-64068</v>
                </pt>
                <pt idx="734">
                  <v>-71246</v>
                </pt>
                <pt idx="735">
                  <v>-68413</v>
                </pt>
                <pt idx="736">
                  <v>-61306</v>
                </pt>
                <pt idx="737">
                  <v>-65891</v>
                </pt>
                <pt idx="738">
                  <v>-65344</v>
                </pt>
                <pt idx="739">
                  <v>-73351</v>
                </pt>
                <pt idx="740">
                  <v>-93763</v>
                </pt>
                <pt idx="741">
                  <v>-79993</v>
                </pt>
                <pt idx="742">
                  <v>-89149</v>
                </pt>
                <pt idx="743">
                  <v>-78171</v>
                </pt>
                <pt idx="744">
                  <v>-77697</v>
                </pt>
                <pt idx="745">
                  <v>-93411</v>
                </pt>
                <pt idx="746">
                  <v>-79730</v>
                </pt>
                <pt idx="747">
                  <v>-71127</v>
                </pt>
                <pt idx="748">
                  <v>-78560</v>
                </pt>
                <pt idx="749">
                  <v>-88407</v>
                </pt>
                <pt idx="750">
                  <v>-95186</v>
                </pt>
                <pt idx="751">
                  <v>-99769</v>
                </pt>
                <pt idx="752">
                  <v>-82744</v>
                </pt>
                <pt idx="753">
                  <v>-72906</v>
                </pt>
                <pt idx="754">
                  <v>-61890</v>
                </pt>
                <pt idx="755">
                  <v>-61462</v>
                </pt>
                <pt idx="756">
                  <v>-70736</v>
                </pt>
                <pt idx="757">
                  <v>-80305</v>
                </pt>
                <pt idx="758">
                  <v>-85762</v>
                </pt>
                <pt idx="759">
                  <v>-87496</v>
                </pt>
                <pt idx="760">
                  <v>-82135</v>
                </pt>
                <pt idx="761">
                  <v>-80213</v>
                </pt>
                <pt idx="762">
                  <v>-74462</v>
                </pt>
                <pt idx="763">
                  <v>-71721</v>
                </pt>
                <pt idx="764">
                  <v>-78353</v>
                </pt>
                <pt idx="765">
                  <v>-79761</v>
                </pt>
                <pt idx="766">
                  <v>-95066</v>
                </pt>
                <pt idx="767">
                  <v>-88794</v>
                </pt>
                <pt idx="768">
                  <v>-92818</v>
                </pt>
                <pt idx="769">
                  <v>-82324</v>
                </pt>
                <pt idx="770">
                  <v>-57097</v>
                </pt>
                <pt idx="771">
                  <v>-59266</v>
                </pt>
                <pt idx="772">
                  <v>-71802</v>
                </pt>
                <pt idx="773">
                  <v>-62395</v>
                </pt>
                <pt idx="774">
                  <v>-73792</v>
                </pt>
                <pt idx="775">
                  <v>-95107</v>
                </pt>
                <pt idx="776">
                  <v>-112216</v>
                </pt>
                <pt idx="777">
                  <v>-123202</v>
                </pt>
                <pt idx="778">
                  <v>-133383</v>
                </pt>
                <pt idx="779">
                  <v>-129711</v>
                </pt>
                <pt idx="780">
                  <v>-130223</v>
                </pt>
                <pt idx="781">
                  <v>-143822</v>
                </pt>
                <pt idx="782">
                  <v>-135228</v>
                </pt>
                <pt idx="783">
                  <v>-128868</v>
                </pt>
                <pt idx="784">
                  <v>-118066</v>
                </pt>
                <pt idx="785">
                  <v>-114961</v>
                </pt>
                <pt idx="786">
                  <v>-86192</v>
                </pt>
                <pt idx="787">
                  <v>-76829</v>
                </pt>
                <pt idx="788">
                  <v>-78786</v>
                </pt>
                <pt idx="789">
                  <v>-79784</v>
                </pt>
                <pt idx="790">
                  <v>-85090</v>
                </pt>
                <pt idx="791">
                  <v>-79709</v>
                </pt>
                <pt idx="792">
                  <v>-99356</v>
                </pt>
                <pt idx="793">
                  <v>-61099</v>
                </pt>
                <pt idx="794">
                  <v>-68887</v>
                </pt>
                <pt idx="795">
                  <v>-88638</v>
                </pt>
                <pt idx="796">
                  <v>-87462</v>
                </pt>
                <pt idx="797">
                  <v>-68716</v>
                </pt>
                <pt idx="798">
                  <v>-67243</v>
                </pt>
                <pt idx="799">
                  <v>-70352</v>
                </pt>
                <pt idx="800">
                  <v>-60728</v>
                </pt>
                <pt idx="801">
                  <v>-64707</v>
                </pt>
                <pt idx="802">
                  <v>-53787</v>
                </pt>
                <pt idx="803">
                  <v>-59036</v>
                </pt>
                <pt idx="804">
                  <v>-74218</v>
                </pt>
                <pt idx="805">
                  <v>-82162</v>
                </pt>
                <pt idx="806">
                  <v>-68038</v>
                </pt>
                <pt idx="807">
                  <v>-71223</v>
                </pt>
                <pt idx="808">
                  <v>-58686</v>
                </pt>
                <pt idx="809">
                  <v>-66375</v>
                </pt>
                <pt idx="810">
                  <v>-62948</v>
                </pt>
                <pt idx="811">
                  <v>-53916</v>
                </pt>
                <pt idx="812">
                  <v>-73069</v>
                </pt>
                <pt idx="813">
                  <v>-95399</v>
                </pt>
                <pt idx="814">
                  <v>-81097</v>
                </pt>
                <pt idx="815">
                  <v>-87271</v>
                </pt>
                <pt idx="816">
                  <v>-102891</v>
                </pt>
                <pt idx="817">
                  <v>-117308</v>
                </pt>
                <pt idx="818">
                  <v>-100673</v>
                </pt>
                <pt idx="819">
                  <v>-83182</v>
                </pt>
                <pt idx="820">
                  <v>-105422</v>
                </pt>
                <pt idx="821">
                  <v>-120878</v>
                </pt>
                <pt idx="822">
                  <v>-112551</v>
                </pt>
                <pt idx="823">
                  <v>-101147</v>
                </pt>
                <pt idx="824">
                  <v>-71738</v>
                </pt>
                <pt idx="825">
                  <v>-67399</v>
                </pt>
                <pt idx="826">
                  <v>-71651</v>
                </pt>
                <pt idx="827">
                  <v>-82563</v>
                </pt>
                <pt idx="828">
                  <v>-92454</v>
                </pt>
                <pt idx="829">
                  <v>-104380</v>
                </pt>
                <pt idx="830">
                  <v>-111160</v>
                </pt>
                <pt idx="831">
                  <v>-104136</v>
                </pt>
                <pt idx="832">
                  <v>-86927</v>
                </pt>
                <pt idx="833">
                  <v>-93742</v>
                </pt>
                <pt idx="834">
                  <v>-96319</v>
                </pt>
                <pt idx="835">
                  <v>-90083</v>
                </pt>
                <pt idx="836">
                  <v>-94625</v>
                </pt>
                <pt idx="837">
                  <v>-77886</v>
                </pt>
                <pt idx="838">
                  <v>-64658</v>
                </pt>
                <pt idx="839">
                  <v>-59571</v>
                </pt>
                <pt idx="840">
                  <v>-55124</v>
                </pt>
                <pt idx="841">
                  <v>-49091</v>
                </pt>
                <pt idx="842">
                  <v>-47512</v>
                </pt>
                <pt idx="843">
                  <v>-52521</v>
                </pt>
                <pt idx="844">
                  <v>-59387</v>
                </pt>
                <pt idx="845">
                  <v>-48054</v>
                </pt>
                <pt idx="846">
                  <v>-45905</v>
                </pt>
                <pt idx="847">
                  <v>-23924</v>
                </pt>
                <pt idx="848">
                  <v>-24449</v>
                </pt>
                <pt idx="849">
                  <v>-23070</v>
                </pt>
                <pt idx="850">
                  <v>-14448</v>
                </pt>
                <pt idx="851">
                  <v>-5493</v>
                </pt>
                <pt idx="852">
                  <v>-31183</v>
                </pt>
                <pt idx="853">
                  <v>-23593</v>
                </pt>
                <pt idx="854">
                  <v>-22005</v>
                </pt>
                <pt idx="855">
                  <v>-62224</v>
                </pt>
                <pt idx="856">
                  <v>-85693</v>
                </pt>
                <pt idx="857">
                  <v>-116286</v>
                </pt>
                <pt idx="858">
                  <v>-80664</v>
                </pt>
                <pt idx="859">
                  <v>-87717</v>
                </pt>
                <pt idx="860">
                  <v>-78822</v>
                </pt>
                <pt idx="861">
                  <v>-63629</v>
                </pt>
                <pt idx="862">
                  <v>-47371</v>
                </pt>
                <pt idx="863">
                  <v>-62314</v>
                </pt>
                <pt idx="864">
                  <v>-63538</v>
                </pt>
                <pt idx="865">
                  <v>-79716</v>
                </pt>
                <pt idx="866">
                  <v>-105226</v>
                </pt>
                <pt idx="867">
                  <v>-90130</v>
                </pt>
                <pt idx="868">
                  <v>-39059</v>
                </pt>
                <pt idx="869">
                  <v>-15555</v>
                </pt>
                <pt idx="870">
                  <v>-6662</v>
                </pt>
                <pt idx="871">
                  <v>-26814</v>
                </pt>
                <pt idx="872">
                  <v>-23678</v>
                </pt>
                <pt idx="873">
                  <v>-22052</v>
                </pt>
                <pt idx="874">
                  <v>-17599</v>
                </pt>
                <pt idx="875">
                  <v>-13832</v>
                </pt>
                <pt idx="876">
                  <v>-3639</v>
                </pt>
                <pt idx="877">
                  <v>-33911</v>
                </pt>
                <pt idx="878">
                  <v>-43787</v>
                </pt>
                <pt idx="879">
                  <v>-66888</v>
                </pt>
                <pt idx="880">
                  <v>-78611</v>
                </pt>
                <pt idx="881">
                  <v>-77336</v>
                </pt>
                <pt idx="882">
                  <v>-74901</v>
                </pt>
                <pt idx="883">
                  <v>-68050</v>
                </pt>
                <pt idx="884">
                  <v>-26580</v>
                </pt>
                <pt idx="885">
                  <v>-30367</v>
                </pt>
                <pt idx="886">
                  <v>-17226</v>
                </pt>
                <pt idx="887">
                  <v>4103</v>
                </pt>
                <pt idx="888">
                  <v>25266</v>
                </pt>
                <pt idx="889">
                  <v>37653</v>
                </pt>
                <pt idx="890">
                  <v>50026</v>
                </pt>
                <pt idx="891">
                  <v>37245</v>
                </pt>
                <pt idx="892">
                  <v>43232</v>
                </pt>
                <pt idx="893">
                  <v>47901</v>
                </pt>
                <pt idx="894">
                  <v>52734</v>
                </pt>
                <pt idx="895">
                  <v>59625</v>
                </pt>
                <pt idx="896">
                  <v>64333</v>
                </pt>
                <pt idx="897">
                  <v>45489</v>
                </pt>
                <pt idx="898">
                  <v>53346</v>
                </pt>
                <pt idx="899">
                  <v>54387</v>
                </pt>
                <pt idx="900">
                  <v>60073</v>
                </pt>
                <pt idx="901">
                  <v>66190</v>
                </pt>
                <pt idx="902">
                  <v>71870</v>
                </pt>
                <pt idx="903">
                  <v>66498</v>
                </pt>
                <pt idx="904">
                  <v>61521</v>
                </pt>
                <pt idx="905">
                  <v>59047</v>
                </pt>
                <pt idx="906">
                  <v>58919</v>
                </pt>
                <pt idx="907">
                  <v>22059</v>
                </pt>
                <pt idx="908">
                  <v>14837</v>
                </pt>
                <pt idx="909">
                  <v>42853</v>
                </pt>
                <pt idx="910">
                  <v>55690</v>
                </pt>
                <pt idx="911">
                  <v>52296</v>
                </pt>
                <pt idx="912">
                  <v>59750</v>
                </pt>
                <pt idx="913">
                  <v>63568</v>
                </pt>
                <pt idx="914">
                  <v>47545</v>
                </pt>
                <pt idx="915">
                  <v>39353</v>
                </pt>
                <pt idx="916">
                  <v>34958</v>
                </pt>
                <pt idx="917">
                  <v>41700</v>
                </pt>
                <pt idx="918">
                  <v>48831</v>
                </pt>
                <pt idx="919">
                  <v>56006</v>
                </pt>
                <pt idx="920">
                  <v>60316</v>
                </pt>
                <pt idx="921">
                  <v>63661</v>
                </pt>
                <pt idx="922">
                  <v>54489</v>
                </pt>
                <pt idx="923">
                  <v>56846</v>
                </pt>
                <pt idx="924">
                  <v>58785</v>
                </pt>
                <pt idx="925">
                  <v>68892</v>
                </pt>
                <pt idx="926">
                  <v>68695</v>
                </pt>
                <pt idx="927">
                  <v>45909</v>
                </pt>
                <pt idx="928">
                  <v>36991</v>
                </pt>
                <pt idx="929">
                  <v>44595</v>
                </pt>
                <pt idx="930">
                  <v>43160</v>
                </pt>
                <pt idx="931">
                  <v>31956</v>
                </pt>
                <pt idx="932">
                  <v>20676</v>
                </pt>
                <pt idx="933">
                  <v>10900</v>
                </pt>
                <pt idx="934">
                  <v>-269</v>
                </pt>
                <pt idx="935">
                  <v>-33937</v>
                </pt>
                <pt idx="936">
                  <v>-63429</v>
                </pt>
                <pt idx="937">
                  <v>-75449</v>
                </pt>
                <pt idx="938">
                  <v>-87009</v>
                </pt>
                <pt idx="939">
                  <v>-86764</v>
                </pt>
                <pt idx="940">
                  <v>-79839</v>
                </pt>
                <pt idx="941">
                  <v>-77830</v>
                </pt>
                <pt idx="942">
                  <v>-66840</v>
                </pt>
                <pt idx="943">
                  <v>-58331</v>
                </pt>
                <pt idx="944">
                  <v>-55060</v>
                </pt>
                <pt idx="945">
                  <v>-51284</v>
                </pt>
                <pt idx="946">
                  <v>-50162</v>
                </pt>
                <pt idx="947">
                  <v>-50017</v>
                </pt>
                <pt idx="948">
                  <v>-54700</v>
                </pt>
                <pt idx="949">
                  <v>-71297</v>
                </pt>
                <pt idx="950">
                  <v>-66987</v>
                </pt>
                <pt idx="951">
                  <v>-53181</v>
                </pt>
                <pt idx="952">
                  <v>-45800</v>
                </pt>
                <pt idx="953">
                  <v>-34764</v>
                </pt>
                <pt idx="954">
                  <v>-30463</v>
                </pt>
                <pt idx="955">
                  <v>-26869</v>
                </pt>
                <pt idx="956">
                  <v>-30483</v>
                </pt>
                <pt idx="957">
                  <v>-36307</v>
                </pt>
                <pt idx="958">
                  <v>-60008</v>
                </pt>
                <pt idx="959">
                  <v>-51656</v>
                </pt>
                <pt idx="960">
                  <v>-52275</v>
                </pt>
                <pt idx="961">
                  <v>-55027</v>
                </pt>
                <pt idx="962">
                  <v>-50553</v>
                </pt>
                <pt idx="963">
                  <v>-49959</v>
                </pt>
                <pt idx="964">
                  <v>-61350</v>
                </pt>
                <pt idx="965">
                  <v>-75036</v>
                </pt>
                <pt idx="966">
                  <v>-112125</v>
                </pt>
                <pt idx="967">
                  <v>-126919</v>
                </pt>
                <pt idx="968">
                  <v>-121489</v>
                </pt>
                <pt idx="969">
                  <v>-112196</v>
                </pt>
                <pt idx="970">
                  <v>-95813</v>
                </pt>
                <pt idx="971">
                  <v>-77492</v>
                </pt>
                <pt idx="972">
                  <v>-74086</v>
                </pt>
                <pt idx="973">
                  <v>-68524</v>
                </pt>
                <pt idx="974">
                  <v>-72945</v>
                </pt>
                <pt idx="975">
                  <v>-57297</v>
                </pt>
                <pt idx="976">
                  <v>-51322</v>
                </pt>
                <pt idx="977">
                  <v>-71347</v>
                </pt>
                <pt idx="978">
                  <v>-84643</v>
                </pt>
                <pt idx="979">
                  <v>-101419</v>
                </pt>
                <pt idx="980">
                  <v>-101286</v>
                </pt>
                <pt idx="981">
                  <v>-116857</v>
                </pt>
                <pt idx="982">
                  <v>-118869</v>
                </pt>
                <pt idx="983">
                  <v>-127848</v>
                </pt>
                <pt idx="984">
                  <v>-135999</v>
                </pt>
                <pt idx="985">
                  <v>-122602</v>
                </pt>
                <pt idx="986">
                  <v>-110640</v>
                </pt>
                <pt idx="987">
                  <v>-114267</v>
                </pt>
                <pt idx="988">
                  <v>-114123</v>
                </pt>
                <pt idx="989">
                  <v>-114373</v>
                </pt>
                <pt idx="990">
                  <v>-116086</v>
                </pt>
                <pt idx="991">
                  <v>-121766</v>
                </pt>
                <pt idx="992">
                  <v>-125536</v>
                </pt>
                <pt idx="993">
                  <v>-119350</v>
                </pt>
                <pt idx="994">
                  <v>-122870</v>
                </pt>
                <pt idx="995">
                  <v>-114696</v>
                </pt>
                <pt idx="996">
                  <v>-112876</v>
                </pt>
                <pt idx="997">
                  <v>-115509</v>
                </pt>
                <pt idx="998">
                  <v>-108338</v>
                </pt>
                <pt idx="999">
                  <v>-96651</v>
                </pt>
                <pt idx="1000">
                  <v>-86845</v>
                </pt>
                <pt idx="1001">
                  <v>-79539</v>
                </pt>
                <pt idx="1002">
                  <v>-21999</v>
                </pt>
                <pt idx="1003">
                  <v>-3668</v>
                </pt>
                <pt idx="1004">
                  <v>3572</v>
                </pt>
                <pt idx="1005">
                  <v>2761</v>
                </pt>
                <pt idx="1006">
                  <v>2591</v>
                </pt>
                <pt idx="1007">
                  <v>583</v>
                </pt>
                <pt idx="1008">
                  <v>-1405</v>
                </pt>
                <pt idx="1009">
                  <v>-5462</v>
                </pt>
                <pt idx="1010">
                  <v>3680</v>
                </pt>
                <pt idx="1011">
                  <v>-2767</v>
                </pt>
                <pt idx="1012">
                  <v>-8036</v>
                </pt>
                <pt idx="1013">
                  <v>-3437</v>
                </pt>
                <pt idx="1014">
                  <v>5052</v>
                </pt>
                <pt idx="1015">
                  <v>-35562</v>
                </pt>
                <pt idx="1016">
                  <v>-34221</v>
                </pt>
                <pt idx="1017">
                  <v>-38730</v>
                </pt>
                <pt idx="1018">
                  <v>-39832</v>
                </pt>
                <pt idx="1019">
                  <v>-58650</v>
                </pt>
                <pt idx="1020">
                  <v>-73769</v>
                </pt>
                <pt idx="1021">
                  <v>-68457</v>
                </pt>
                <pt idx="1022">
                  <v>-62807</v>
                </pt>
                <pt idx="1023">
                  <v>-58368</v>
                </pt>
                <pt idx="1024">
                  <v>-47406</v>
                </pt>
                <pt idx="1025">
                  <v>-46041</v>
                </pt>
                <pt idx="1026">
                  <v>-51932</v>
                </pt>
                <pt idx="1027">
                  <v>-53886</v>
                </pt>
                <pt idx="1028">
                  <v>-63755</v>
                </pt>
                <pt idx="1029">
                  <v>-84719</v>
                </pt>
                <pt idx="1030">
                  <v>-114046</v>
                </pt>
                <pt idx="1031">
                  <v>-115201</v>
                </pt>
                <pt idx="1032">
                  <v>-100621</v>
                </pt>
                <pt idx="1033">
                  <v>-92804</v>
                </pt>
                <pt idx="1034">
                  <v>-91620</v>
                </pt>
                <pt idx="1035">
                  <v>-89122</v>
                </pt>
                <pt idx="1036">
                  <v>-102294</v>
                </pt>
                <pt idx="1037">
                  <v>-100065</v>
                </pt>
                <pt idx="1038">
                  <v>-104324</v>
                </pt>
                <pt idx="1039">
                  <v>-109766</v>
                </pt>
                <pt idx="1040">
                  <v>-97606</v>
                </pt>
                <pt idx="1041">
                  <v>-102771</v>
                </pt>
                <pt idx="1042">
                  <v>-99089</v>
                </pt>
                <pt idx="1043">
                  <v>-88623</v>
                </pt>
                <pt idx="1044">
                  <v>-61314</v>
                </pt>
                <pt idx="1045">
                  <v>-46421</v>
                </pt>
                <pt idx="1046">
                  <v>-39667</v>
                </pt>
                <pt idx="1047">
                  <v>-33345</v>
                </pt>
                <pt idx="1048">
                  <v>-31410</v>
                </pt>
                <pt idx="1049">
                  <v>-30742</v>
                </pt>
                <pt idx="1050">
                  <v>-37461</v>
                </pt>
                <pt idx="1051">
                  <v>-39654</v>
                </pt>
                <pt idx="1052">
                  <v>-51306</v>
                </pt>
                <pt idx="1053">
                  <v>-58781</v>
                </pt>
                <pt idx="1054">
                  <v>-59221</v>
                </pt>
                <pt idx="1055">
                  <v>-62121</v>
                </pt>
                <pt idx="1056">
                  <v>-62741</v>
                </pt>
                <pt idx="1057">
                  <v>-71520</v>
                </pt>
                <pt idx="1058">
                  <v>-87106</v>
                </pt>
                <pt idx="1059">
                  <v>-94414</v>
                </pt>
                <pt idx="1060">
                  <v>-99599</v>
                </pt>
                <pt idx="1061">
                  <v>-91717</v>
                </pt>
                <pt idx="1062">
                  <v>-61580</v>
                </pt>
                <pt idx="1063">
                  <v>-55192</v>
                </pt>
                <pt idx="1064">
                  <v>-55577</v>
                </pt>
                <pt idx="1065">
                  <v>-44389</v>
                </pt>
                <pt idx="1066">
                  <v>-45165</v>
                </pt>
                <pt idx="1067">
                  <v>-16565</v>
                </pt>
                <pt idx="1068">
                  <v>-10147</v>
                </pt>
                <pt idx="1069">
                  <v>-1227</v>
                </pt>
                <pt idx="1070">
                  <v>-3651</v>
                </pt>
                <pt idx="1071">
                  <v>-11380</v>
                </pt>
                <pt idx="1072">
                  <v>-9377</v>
                </pt>
                <pt idx="1073">
                  <v>-4218</v>
                </pt>
                <pt idx="1074">
                  <v>10561</v>
                </pt>
                <pt idx="1075">
                  <v>24742</v>
                </pt>
                <pt idx="1076">
                  <v>31154</v>
                </pt>
                <pt idx="1077">
                  <v>33607</v>
                </pt>
                <pt idx="1078">
                  <v>27682</v>
                </pt>
                <pt idx="1079">
                  <v>32591</v>
                </pt>
                <pt idx="1080">
                  <v>23862</v>
                </pt>
                <pt idx="1081">
                  <v>12783</v>
                </pt>
                <pt idx="1082">
                  <v>13917</v>
                </pt>
                <pt idx="1083">
                  <v>11012</v>
                </pt>
                <pt idx="1084">
                  <v>-6641</v>
                </pt>
                <pt idx="1085">
                  <v>-18165</v>
                </pt>
                <pt idx="1086">
                  <v>-19698</v>
                </pt>
                <pt idx="1087">
                  <v>-26605</v>
                </pt>
                <pt idx="1088">
                  <v>-34997</v>
                </pt>
                <pt idx="1089">
                  <v>-35031</v>
                </pt>
                <pt idx="1090">
                  <v>-39591</v>
                </pt>
                <pt idx="1091">
                  <v>-47823</v>
                </pt>
                <pt idx="1092">
                  <v>-43682</v>
                </pt>
                <pt idx="1093">
                  <v>-42062</v>
                </pt>
                <pt idx="1094">
                  <v>-33542</v>
                </pt>
                <pt idx="1095">
                  <v>-25302</v>
                </pt>
                <pt idx="1096">
                  <v>-12248</v>
                </pt>
                <pt idx="1097">
                  <v>-31430</v>
                </pt>
                <pt idx="1098">
                  <v>-44701</v>
                </pt>
                <pt idx="1099">
                  <v>-36025</v>
                </pt>
                <pt idx="1100">
                  <v>-21898</v>
                </pt>
                <pt idx="1101">
                  <v>-26188</v>
                </pt>
                <pt idx="1102">
                  <v>-27221</v>
                </pt>
                <pt idx="1103">
                  <v>-56389</v>
                </pt>
                <pt idx="1104">
                  <v>-42324</v>
                </pt>
                <pt idx="1105">
                  <v>8157</v>
                </pt>
                <pt idx="1106">
                  <v>32935</v>
                </pt>
                <pt idx="1107">
                  <v>23863</v>
                </pt>
                <pt idx="1108">
                  <v>18282</v>
                </pt>
                <pt idx="1109">
                  <v>22410</v>
                </pt>
                <pt idx="1110">
                  <v>22643</v>
                </pt>
                <pt idx="1111">
                  <v>26026</v>
                </pt>
                <pt idx="1112">
                  <v>32326</v>
                </pt>
                <pt idx="1113">
                  <v>27214</v>
                </pt>
                <pt idx="1114">
                  <v>27937</v>
                </pt>
                <pt idx="1115">
                  <v>27470</v>
                </pt>
                <pt idx="1116">
                  <v>34607</v>
                </pt>
                <pt idx="1117">
                  <v>32579</v>
                </pt>
                <pt idx="1118">
                  <v>17462</v>
                </pt>
                <pt idx="1119">
                  <v>22110</v>
                </pt>
                <pt idx="1120">
                  <v>27458</v>
                </pt>
                <pt idx="1121">
                  <v>23861</v>
                </pt>
                <pt idx="1122">
                  <v>16812</v>
                </pt>
                <pt idx="1123">
                  <v>18326</v>
                </pt>
                <pt idx="1124">
                  <v>19307</v>
                </pt>
                <pt idx="1125">
                  <v>28507</v>
                </pt>
                <pt idx="1126">
                  <v>31429</v>
                </pt>
                <pt idx="1127">
                  <v>27016</v>
                </pt>
                <pt idx="1128">
                  <v>20584</v>
                </pt>
                <pt idx="1129">
                  <v>23616</v>
                </pt>
                <pt idx="1130">
                  <v>29604</v>
                </pt>
                <pt idx="1131">
                  <v>21742</v>
                </pt>
                <pt idx="1132">
                  <v>22889</v>
                </pt>
                <pt idx="1133">
                  <v>29581</v>
                </pt>
                <pt idx="1134">
                  <v>24789</v>
                </pt>
                <pt idx="1135">
                  <v>21102</v>
                </pt>
                <pt idx="1136">
                  <v>19976</v>
                </pt>
                <pt idx="1137">
                  <v>14183</v>
                </pt>
                <pt idx="1138">
                  <v>17893</v>
                </pt>
                <pt idx="1139">
                  <v>28098</v>
                </pt>
                <pt idx="1140">
                  <v>41894</v>
                </pt>
                <pt idx="1141">
                  <v>29667</v>
                </pt>
                <pt idx="1142">
                  <v>40242</v>
                </pt>
                <pt idx="1143">
                  <v>47503</v>
                </pt>
                <pt idx="1144">
                  <v>48166</v>
                </pt>
                <pt idx="1145">
                  <v>43963</v>
                </pt>
                <pt idx="1146">
                  <v>46093</v>
                </pt>
                <pt idx="1147">
                  <v>47350</v>
                </pt>
                <pt idx="1148">
                  <v>50190</v>
                </pt>
                <pt idx="1149">
                  <v>50520</v>
                </pt>
                <pt idx="1150">
                  <v>50014</v>
                </pt>
                <pt idx="1151">
                  <v>44992</v>
                </pt>
                <pt idx="1152">
                  <v>44629</v>
                </pt>
                <pt idx="1153">
                  <v>34618</v>
                </pt>
                <pt idx="1154">
                  <v>37182</v>
                </pt>
                <pt idx="1155">
                  <v>28622</v>
                </pt>
                <pt idx="1156">
                  <v>19270</v>
                </pt>
                <pt idx="1157">
                  <v>6514</v>
                </pt>
                <pt idx="1158">
                  <v>-39368</v>
                </pt>
                <pt idx="1159">
                  <v>-53525</v>
                </pt>
                <pt idx="1160">
                  <v>-59481</v>
                </pt>
                <pt idx="1161">
                  <v>-57989</v>
                </pt>
                <pt idx="1162">
                  <v>-58312</v>
                </pt>
                <pt idx="1163">
                  <v>-59819</v>
                </pt>
                <pt idx="1164">
                  <v>-48509</v>
                </pt>
                <pt idx="1165">
                  <v>-41492</v>
                </pt>
                <pt idx="1166">
                  <v>-41728</v>
                </pt>
                <pt idx="1167">
                  <v>-50948</v>
                </pt>
                <pt idx="1168">
                  <v>-50156</v>
                </pt>
                <pt idx="1169">
                  <v>-47115</v>
                </pt>
                <pt idx="1170">
                  <v>-37314</v>
                </pt>
                <pt idx="1171">
                  <v>-46850</v>
                </pt>
                <pt idx="1172">
                  <v>-53862</v>
                </pt>
                <pt idx="1173">
                  <v>-69895</v>
                </pt>
                <pt idx="1174">
                  <v>-69136</v>
                </pt>
                <pt idx="1175">
                  <v>-56250</v>
                </pt>
                <pt idx="1176">
                  <v>-55731</v>
                </pt>
                <pt idx="1177">
                  <v>-59934</v>
                </pt>
                <pt idx="1178">
                  <v>-55190</v>
                </pt>
                <pt idx="1179">
                  <v>-60657</v>
                </pt>
                <pt idx="1180">
                  <v>-63208</v>
                </pt>
                <pt idx="1181">
                  <v>-66671</v>
                </pt>
                <pt idx="1182">
                  <v>-63130</v>
                </pt>
                <pt idx="1183">
                  <v>-62325</v>
                </pt>
                <pt idx="1184">
                  <v>-60295</v>
                </pt>
                <pt idx="1185">
                  <v>-56071</v>
                </pt>
                <pt idx="1186">
                  <v>-64760</v>
                </pt>
                <pt idx="1187">
                  <v>-63694</v>
                </pt>
                <pt idx="1188">
                  <v>-76634</v>
                </pt>
                <pt idx="1189">
                  <v>-102734</v>
                </pt>
                <pt idx="1190">
                  <v>-107036</v>
                </pt>
                <pt idx="1191">
                  <v>-107624</v>
                </pt>
                <pt idx="1192">
                  <v>-105351</v>
                </pt>
                <pt idx="1193">
                  <v>-93126</v>
                </pt>
                <pt idx="1194">
                  <v>-97253</v>
                </pt>
                <pt idx="1195">
                  <v>-78866</v>
                </pt>
                <pt idx="1196">
                  <v>-63081</v>
                </pt>
                <pt idx="1197">
                  <v>-53523</v>
                </pt>
                <pt idx="1198">
                  <v>-52286</v>
                </pt>
                <pt idx="1199">
                  <v>-53102</v>
                </pt>
                <pt idx="1200">
                  <v>-62262</v>
                </pt>
                <pt idx="1201">
                  <v>-87525</v>
                </pt>
                <pt idx="1202">
                  <v>-80879</v>
                </pt>
                <pt idx="1203">
                  <v>-68273</v>
                </pt>
                <pt idx="1204">
                  <v>-60640</v>
                </pt>
                <pt idx="1205">
                  <v>-59148</v>
                </pt>
                <pt idx="1206">
                  <v>-66162</v>
                </pt>
                <pt idx="1207">
                  <v>-63187</v>
                </pt>
                <pt idx="1208">
                  <v>-68732</v>
                </pt>
                <pt idx="1209">
                  <v>-55856</v>
                </pt>
                <pt idx="1210">
                  <v>-62340</v>
                </pt>
                <pt idx="1211">
                  <v>-78482</v>
                </pt>
                <pt idx="1212">
                  <v>-102131</v>
                </pt>
                <pt idx="1213">
                  <v>-103829</v>
                </pt>
                <pt idx="1214">
                  <v>-111827</v>
                </pt>
                <pt idx="1215">
                  <v>-107187</v>
                </pt>
                <pt idx="1216">
                  <v>-95535</v>
                </pt>
                <pt idx="1217">
                  <v>-100794</v>
                </pt>
                <pt idx="1218">
                  <v>-110454</v>
                </pt>
                <pt idx="1219">
                  <v>-102309</v>
                </pt>
                <pt idx="1220">
                  <v>-99444</v>
                </pt>
                <pt idx="1221">
                  <v>-94439</v>
                </pt>
                <pt idx="1222">
                  <v>-91646</v>
                </pt>
                <pt idx="1223">
                  <v>-69755</v>
                </pt>
                <pt idx="1224">
                  <v>-58454</v>
                </pt>
                <pt idx="1225">
                  <v>-52570</v>
                </pt>
                <pt idx="1226">
                  <v>-54445</v>
                </pt>
                <pt idx="1227">
                  <v>-59998</v>
                </pt>
                <pt idx="1228">
                  <v>-59225</v>
                </pt>
                <pt idx="1229">
                  <v>-61481</v>
                </pt>
                <pt idx="1230">
                  <v>-42753</v>
                </pt>
                <pt idx="1231">
                  <v>-25032</v>
                </pt>
                <pt idx="1232">
                  <v>-28891</v>
                </pt>
                <pt idx="1233">
                  <v>-38807</v>
                </pt>
                <pt idx="1234">
                  <v>-41531</v>
                </pt>
                <pt idx="1235">
                  <v>-58189</v>
                </pt>
                <pt idx="1236">
                  <v>-80692</v>
                </pt>
                <pt idx="1237">
                  <v>-81280</v>
                </pt>
                <pt idx="1238">
                  <v>-82556</v>
                </pt>
                <pt idx="1239">
                  <v>-81623</v>
                </pt>
                <pt idx="1240">
                  <v>-77393</v>
                </pt>
                <pt idx="1241">
                  <v>-94336</v>
                </pt>
                <pt idx="1242">
                  <v>-102618</v>
                </pt>
                <pt idx="1243">
                  <v>-77620</v>
                </pt>
                <pt idx="1244">
                  <v>-75258</v>
                </pt>
                <pt idx="1245">
                  <v>-65842</v>
                </pt>
                <pt idx="1246">
                  <v>-64850</v>
                </pt>
                <pt idx="1247">
                  <v>-67394</v>
                </pt>
                <pt idx="1248">
                  <v>-65996</v>
                </pt>
                <pt idx="1249">
                  <v>-53188</v>
                </pt>
                <pt idx="1250">
                  <v>-40881</v>
                </pt>
                <pt idx="1251">
                  <v>-37730</v>
                </pt>
                <pt idx="1252">
                  <v>-46864</v>
                </pt>
                <pt idx="1253">
                  <v>-35377</v>
                </pt>
              </numCache>
            </numRef>
          </val>
          <smooth val="0"/>
        </ser>
        <dLbls>
          <showLegendKey val="0"/>
          <showVal val="0"/>
          <showCatName val="0"/>
          <showSerName val="0"/>
          <showPercent val="0"/>
          <showBubbleSize val="0"/>
        </dLbls>
        <smooth val="0"/>
        <axId val="1152381112"/>
        <axId val="1152381768"/>
      </lineChart>
      <dateAx>
        <axId val="1152381112"/>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768"/>
        <crosses val="autoZero"/>
        <lblOffset val="100"/>
        <baseTimeUnit val="days"/>
      </dateAx>
      <valAx>
        <axId val="11523817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112"/>
        <crosses val="autoZero"/>
        <crossBetween val="between"/>
      </valAx>
    </plotArea>
    <plotVisOnly val="1"/>
    <dispBlanksAs val="gap"/>
  </chart>
</chartSpace>
</file>

<file path=xl/charts/chart2.xml><?xml version="1.0" encoding="utf-8"?>
<chartSpace xmlns="http://schemas.openxmlformats.org/drawingml/2006/chart">
  <chart>
    <title>
      <tx>
        <strRef>
          <f>Currency!$B$2</f>
          <strCache>
            <ptCount val="1"/>
            <pt idx="0">
              <v>COT Non-Commercial Net - JPY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Currency!$B$2</f>
              <strCache>
                <ptCount val="1"/>
                <pt idx="0">
                  <v>COT Non-Commercial Net - JPY</v>
                </pt>
              </strCache>
            </strRef>
          </tx>
          <spPr>
            <a:solidFill xmlns:a="http://schemas.openxmlformats.org/drawingml/2006/main">
              <a:schemeClr val="accent1"/>
            </a:solidFill>
            <a:ln xmlns:a="http://schemas.openxmlformats.org/drawingml/2006/main">
              <a:noFill/>
              <a:prstDash val="solid"/>
            </a:ln>
          </spPr>
          <invertIfNegative val="0"/>
          <cat>
            <numRef>
              <f>Currency!$A$900:$A$1378</f>
              <numCache>
                <formatCode>m/d/yyyy</formatCode>
                <ptCount val="479"/>
                <pt idx="0">
                  <v>42416</v>
                </pt>
                <pt idx="1">
                  <v>42423</v>
                </pt>
                <pt idx="2">
                  <v>42430</v>
                </pt>
                <pt idx="3">
                  <v>42437</v>
                </pt>
                <pt idx="4">
                  <v>42444</v>
                </pt>
                <pt idx="5">
                  <v>42451</v>
                </pt>
                <pt idx="6">
                  <v>42458</v>
                </pt>
                <pt idx="7">
                  <v>42465</v>
                </pt>
                <pt idx="8">
                  <v>42472</v>
                </pt>
                <pt idx="9">
                  <v>42479</v>
                </pt>
                <pt idx="10">
                  <v>42486</v>
                </pt>
                <pt idx="11">
                  <v>42493</v>
                </pt>
                <pt idx="12">
                  <v>42500</v>
                </pt>
                <pt idx="13">
                  <v>42507</v>
                </pt>
                <pt idx="14">
                  <v>42514</v>
                </pt>
                <pt idx="15">
                  <v>42521</v>
                </pt>
                <pt idx="16">
                  <v>42528</v>
                </pt>
                <pt idx="17">
                  <v>42535</v>
                </pt>
                <pt idx="18">
                  <v>42542</v>
                </pt>
                <pt idx="19">
                  <v>42549</v>
                </pt>
                <pt idx="20">
                  <v>42556</v>
                </pt>
                <pt idx="21">
                  <v>42563</v>
                </pt>
                <pt idx="22">
                  <v>42570</v>
                </pt>
                <pt idx="23">
                  <v>42577</v>
                </pt>
                <pt idx="24">
                  <v>42584</v>
                </pt>
                <pt idx="25">
                  <v>42591</v>
                </pt>
                <pt idx="26">
                  <v>42598</v>
                </pt>
                <pt idx="27">
                  <v>42605</v>
                </pt>
                <pt idx="28">
                  <v>42612</v>
                </pt>
                <pt idx="29">
                  <v>42619</v>
                </pt>
                <pt idx="30">
                  <v>42626</v>
                </pt>
                <pt idx="31">
                  <v>42633</v>
                </pt>
                <pt idx="32">
                  <v>42640</v>
                </pt>
                <pt idx="33">
                  <v>42647</v>
                </pt>
                <pt idx="34">
                  <v>42654</v>
                </pt>
                <pt idx="35">
                  <v>42661</v>
                </pt>
                <pt idx="36">
                  <v>42668</v>
                </pt>
                <pt idx="37">
                  <v>42675</v>
                </pt>
                <pt idx="38">
                  <v>42682</v>
                </pt>
                <pt idx="39">
                  <v>42689</v>
                </pt>
                <pt idx="40">
                  <v>42696</v>
                </pt>
                <pt idx="41">
                  <v>42703</v>
                </pt>
                <pt idx="42">
                  <v>42710</v>
                </pt>
                <pt idx="43">
                  <v>42717</v>
                </pt>
                <pt idx="44">
                  <v>42724</v>
                </pt>
                <pt idx="45">
                  <v>42731</v>
                </pt>
                <pt idx="46">
                  <v>42738</v>
                </pt>
                <pt idx="47">
                  <v>42745</v>
                </pt>
                <pt idx="48">
                  <v>42752</v>
                </pt>
                <pt idx="49">
                  <v>42759</v>
                </pt>
                <pt idx="50">
                  <v>42766</v>
                </pt>
                <pt idx="51">
                  <v>42773</v>
                </pt>
                <pt idx="52">
                  <v>42780</v>
                </pt>
                <pt idx="53">
                  <v>42787</v>
                </pt>
                <pt idx="54">
                  <v>42794</v>
                </pt>
                <pt idx="55">
                  <v>42801</v>
                </pt>
                <pt idx="56">
                  <v>42808</v>
                </pt>
                <pt idx="57">
                  <v>42815</v>
                </pt>
                <pt idx="58">
                  <v>42822</v>
                </pt>
                <pt idx="59">
                  <v>42829</v>
                </pt>
                <pt idx="60">
                  <v>42836</v>
                </pt>
                <pt idx="61">
                  <v>42843</v>
                </pt>
                <pt idx="62">
                  <v>42850</v>
                </pt>
                <pt idx="63">
                  <v>42857</v>
                </pt>
                <pt idx="64">
                  <v>42864</v>
                </pt>
                <pt idx="65">
                  <v>42871</v>
                </pt>
                <pt idx="66">
                  <v>42878</v>
                </pt>
                <pt idx="67">
                  <v>42885</v>
                </pt>
                <pt idx="68">
                  <v>42892</v>
                </pt>
                <pt idx="69">
                  <v>42899</v>
                </pt>
                <pt idx="70">
                  <v>42906</v>
                </pt>
                <pt idx="71">
                  <v>42913</v>
                </pt>
                <pt idx="72">
                  <v>42920</v>
                </pt>
                <pt idx="73">
                  <v>42927</v>
                </pt>
                <pt idx="74">
                  <v>42934</v>
                </pt>
                <pt idx="75">
                  <v>42941</v>
                </pt>
                <pt idx="76">
                  <v>42948</v>
                </pt>
                <pt idx="77">
                  <v>42955</v>
                </pt>
                <pt idx="78">
                  <v>42962</v>
                </pt>
                <pt idx="79">
                  <v>42969</v>
                </pt>
                <pt idx="80">
                  <v>42976</v>
                </pt>
                <pt idx="81">
                  <v>42983</v>
                </pt>
                <pt idx="82">
                  <v>42990</v>
                </pt>
                <pt idx="83">
                  <v>42997</v>
                </pt>
                <pt idx="84">
                  <v>43004</v>
                </pt>
                <pt idx="85">
                  <v>43011</v>
                </pt>
                <pt idx="86">
                  <v>43018</v>
                </pt>
                <pt idx="87">
                  <v>43025</v>
                </pt>
                <pt idx="88">
                  <v>43032</v>
                </pt>
                <pt idx="89">
                  <v>43039</v>
                </pt>
                <pt idx="90">
                  <v>43046</v>
                </pt>
                <pt idx="91">
                  <v>43053</v>
                </pt>
                <pt idx="92">
                  <v>43060</v>
                </pt>
                <pt idx="93">
                  <v>43067</v>
                </pt>
                <pt idx="94">
                  <v>43074</v>
                </pt>
                <pt idx="95">
                  <v>43081</v>
                </pt>
                <pt idx="96">
                  <v>43088</v>
                </pt>
                <pt idx="97">
                  <v>43095</v>
                </pt>
                <pt idx="98">
                  <v>43102</v>
                </pt>
                <pt idx="99">
                  <v>43109</v>
                </pt>
                <pt idx="100">
                  <v>43116</v>
                </pt>
                <pt idx="101">
                  <v>43123</v>
                </pt>
                <pt idx="102">
                  <v>43130</v>
                </pt>
                <pt idx="103">
                  <v>43137</v>
                </pt>
                <pt idx="104">
                  <v>43144</v>
                </pt>
                <pt idx="105">
                  <v>43151</v>
                </pt>
                <pt idx="106">
                  <v>43158</v>
                </pt>
                <pt idx="107">
                  <v>43165</v>
                </pt>
                <pt idx="108">
                  <v>43172</v>
                </pt>
                <pt idx="109">
                  <v>43179</v>
                </pt>
                <pt idx="110">
                  <v>43186</v>
                </pt>
                <pt idx="111">
                  <v>43193</v>
                </pt>
                <pt idx="112">
                  <v>43200</v>
                </pt>
                <pt idx="113">
                  <v>43207</v>
                </pt>
                <pt idx="114">
                  <v>43214</v>
                </pt>
                <pt idx="115">
                  <v>43221</v>
                </pt>
                <pt idx="116">
                  <v>43228</v>
                </pt>
                <pt idx="117">
                  <v>43235</v>
                </pt>
                <pt idx="118">
                  <v>43242</v>
                </pt>
                <pt idx="119">
                  <v>43249</v>
                </pt>
                <pt idx="120">
                  <v>43256</v>
                </pt>
                <pt idx="121">
                  <v>43263</v>
                </pt>
                <pt idx="122">
                  <v>43270</v>
                </pt>
                <pt idx="123">
                  <v>43277</v>
                </pt>
                <pt idx="124">
                  <v>43284</v>
                </pt>
                <pt idx="125">
                  <v>43291</v>
                </pt>
                <pt idx="126">
                  <v>43298</v>
                </pt>
                <pt idx="127">
                  <v>43305</v>
                </pt>
                <pt idx="128">
                  <v>43312</v>
                </pt>
                <pt idx="129">
                  <v>43319</v>
                </pt>
                <pt idx="130">
                  <v>43326</v>
                </pt>
                <pt idx="131">
                  <v>43333</v>
                </pt>
                <pt idx="132">
                  <v>43340</v>
                </pt>
                <pt idx="133">
                  <v>43347</v>
                </pt>
                <pt idx="134">
                  <v>43354</v>
                </pt>
                <pt idx="135">
                  <v>43361</v>
                </pt>
                <pt idx="136">
                  <v>43368</v>
                </pt>
                <pt idx="137">
                  <v>43375</v>
                </pt>
                <pt idx="138">
                  <v>43382</v>
                </pt>
                <pt idx="139">
                  <v>43389</v>
                </pt>
                <pt idx="140">
                  <v>43396</v>
                </pt>
                <pt idx="141">
                  <v>43403</v>
                </pt>
                <pt idx="142">
                  <v>43410</v>
                </pt>
                <pt idx="143">
                  <v>43417</v>
                </pt>
                <pt idx="144">
                  <v>43424</v>
                </pt>
                <pt idx="145">
                  <v>43431</v>
                </pt>
                <pt idx="146">
                  <v>43438</v>
                </pt>
                <pt idx="147">
                  <v>43445</v>
                </pt>
                <pt idx="148">
                  <v>43452</v>
                </pt>
                <pt idx="149">
                  <v>43458</v>
                </pt>
                <pt idx="150">
                  <v>43465</v>
                </pt>
                <pt idx="151">
                  <v>43473</v>
                </pt>
                <pt idx="152">
                  <v>43480</v>
                </pt>
                <pt idx="153">
                  <v>43487</v>
                </pt>
                <pt idx="154">
                  <v>43494</v>
                </pt>
                <pt idx="155">
                  <v>43501</v>
                </pt>
                <pt idx="156">
                  <v>43508</v>
                </pt>
                <pt idx="157">
                  <v>43515</v>
                </pt>
                <pt idx="158">
                  <v>43522</v>
                </pt>
                <pt idx="159">
                  <v>43529</v>
                </pt>
                <pt idx="160">
                  <v>43536</v>
                </pt>
                <pt idx="161">
                  <v>43543</v>
                </pt>
                <pt idx="162">
                  <v>43550</v>
                </pt>
                <pt idx="163">
                  <v>43557</v>
                </pt>
                <pt idx="164">
                  <v>43564</v>
                </pt>
                <pt idx="165">
                  <v>43571</v>
                </pt>
                <pt idx="166">
                  <v>43578</v>
                </pt>
                <pt idx="167">
                  <v>43585</v>
                </pt>
                <pt idx="168">
                  <v>43592</v>
                </pt>
                <pt idx="169">
                  <v>43599</v>
                </pt>
                <pt idx="170">
                  <v>43606</v>
                </pt>
                <pt idx="171">
                  <v>43613</v>
                </pt>
                <pt idx="172">
                  <v>43620</v>
                </pt>
                <pt idx="173">
                  <v>43627</v>
                </pt>
                <pt idx="174">
                  <v>43634</v>
                </pt>
                <pt idx="175">
                  <v>43641</v>
                </pt>
                <pt idx="176">
                  <v>43648</v>
                </pt>
                <pt idx="177">
                  <v>43655</v>
                </pt>
                <pt idx="178">
                  <v>43662</v>
                </pt>
                <pt idx="179">
                  <v>43669</v>
                </pt>
                <pt idx="180">
                  <v>43676</v>
                </pt>
                <pt idx="181">
                  <v>43683</v>
                </pt>
                <pt idx="182">
                  <v>43690</v>
                </pt>
                <pt idx="183">
                  <v>43697</v>
                </pt>
                <pt idx="184">
                  <v>43704</v>
                </pt>
                <pt idx="185">
                  <v>43711</v>
                </pt>
                <pt idx="186">
                  <v>43718</v>
                </pt>
                <pt idx="187">
                  <v>43725</v>
                </pt>
                <pt idx="188">
                  <v>43732</v>
                </pt>
                <pt idx="189">
                  <v>43739</v>
                </pt>
                <pt idx="190">
                  <v>43746</v>
                </pt>
                <pt idx="191">
                  <v>43753</v>
                </pt>
                <pt idx="192">
                  <v>43760</v>
                </pt>
                <pt idx="193">
                  <v>43767</v>
                </pt>
                <pt idx="194">
                  <v>43774</v>
                </pt>
                <pt idx="195">
                  <v>43781</v>
                </pt>
                <pt idx="196">
                  <v>43788</v>
                </pt>
                <pt idx="197">
                  <v>43795</v>
                </pt>
                <pt idx="198">
                  <v>43802</v>
                </pt>
                <pt idx="199">
                  <v>43809</v>
                </pt>
                <pt idx="200">
                  <v>43816</v>
                </pt>
                <pt idx="201">
                  <v>43823</v>
                </pt>
                <pt idx="202">
                  <v>43830</v>
                </pt>
                <pt idx="203">
                  <v>43837</v>
                </pt>
                <pt idx="204">
                  <v>43844</v>
                </pt>
                <pt idx="205">
                  <v>43851</v>
                </pt>
                <pt idx="206">
                  <v>43858</v>
                </pt>
                <pt idx="207">
                  <v>43865</v>
                </pt>
                <pt idx="208">
                  <v>43872</v>
                </pt>
                <pt idx="209">
                  <v>43879</v>
                </pt>
                <pt idx="210">
                  <v>43886</v>
                </pt>
                <pt idx="211">
                  <v>43893</v>
                </pt>
                <pt idx="212">
                  <v>43900</v>
                </pt>
                <pt idx="213">
                  <v>43907</v>
                </pt>
                <pt idx="214">
                  <v>43914</v>
                </pt>
                <pt idx="215">
                  <v>43921</v>
                </pt>
                <pt idx="216">
                  <v>43928</v>
                </pt>
                <pt idx="217">
                  <v>43935</v>
                </pt>
                <pt idx="218">
                  <v>43942</v>
                </pt>
                <pt idx="219">
                  <v>43949</v>
                </pt>
                <pt idx="220">
                  <v>43956</v>
                </pt>
                <pt idx="221">
                  <v>43963</v>
                </pt>
                <pt idx="222">
                  <v>43970</v>
                </pt>
                <pt idx="223">
                  <v>43977</v>
                </pt>
                <pt idx="224">
                  <v>43984</v>
                </pt>
                <pt idx="225">
                  <v>43991</v>
                </pt>
                <pt idx="226">
                  <v>43998</v>
                </pt>
                <pt idx="227">
                  <v>44005</v>
                </pt>
                <pt idx="228">
                  <v>44012</v>
                </pt>
                <pt idx="229">
                  <v>44019</v>
                </pt>
                <pt idx="230">
                  <v>44026</v>
                </pt>
                <pt idx="231">
                  <v>44033</v>
                </pt>
                <pt idx="232">
                  <v>44040</v>
                </pt>
                <pt idx="233">
                  <v>44047</v>
                </pt>
                <pt idx="234">
                  <v>44054</v>
                </pt>
                <pt idx="235">
                  <v>44061</v>
                </pt>
                <pt idx="236">
                  <v>44068</v>
                </pt>
                <pt idx="237">
                  <v>44075</v>
                </pt>
                <pt idx="238">
                  <v>44082</v>
                </pt>
                <pt idx="239">
                  <v>44089</v>
                </pt>
                <pt idx="240">
                  <v>44096</v>
                </pt>
                <pt idx="241">
                  <v>44103</v>
                </pt>
                <pt idx="242">
                  <v>44110</v>
                </pt>
                <pt idx="243">
                  <v>44117</v>
                </pt>
                <pt idx="244">
                  <v>44124</v>
                </pt>
                <pt idx="245">
                  <v>44131</v>
                </pt>
                <pt idx="246">
                  <v>44138</v>
                </pt>
                <pt idx="247">
                  <v>44145</v>
                </pt>
                <pt idx="248">
                  <v>44152</v>
                </pt>
                <pt idx="249">
                  <v>44159</v>
                </pt>
                <pt idx="250">
                  <v>44166</v>
                </pt>
                <pt idx="251">
                  <v>44173</v>
                </pt>
                <pt idx="252">
                  <v>44180</v>
                </pt>
                <pt idx="253">
                  <v>44186</v>
                </pt>
                <pt idx="254">
                  <v>44194</v>
                </pt>
                <pt idx="255">
                  <v>44201</v>
                </pt>
                <pt idx="256">
                  <v>44208</v>
                </pt>
                <pt idx="257">
                  <v>44215</v>
                </pt>
                <pt idx="258">
                  <v>44222</v>
                </pt>
                <pt idx="259">
                  <v>44229</v>
                </pt>
                <pt idx="260">
                  <v>44236</v>
                </pt>
                <pt idx="261">
                  <v>44243</v>
                </pt>
                <pt idx="262">
                  <v>44250</v>
                </pt>
                <pt idx="263">
                  <v>44257</v>
                </pt>
                <pt idx="264">
                  <v>44264</v>
                </pt>
                <pt idx="265">
                  <v>44271</v>
                </pt>
                <pt idx="266">
                  <v>44278</v>
                </pt>
                <pt idx="267">
                  <v>44285</v>
                </pt>
                <pt idx="268">
                  <v>44292</v>
                </pt>
                <pt idx="269">
                  <v>44299</v>
                </pt>
                <pt idx="270">
                  <v>44306</v>
                </pt>
                <pt idx="271">
                  <v>44313</v>
                </pt>
                <pt idx="272">
                  <v>44320</v>
                </pt>
                <pt idx="273">
                  <v>44327</v>
                </pt>
                <pt idx="274">
                  <v>44334</v>
                </pt>
                <pt idx="275">
                  <v>44341</v>
                </pt>
                <pt idx="276">
                  <v>44348</v>
                </pt>
                <pt idx="277">
                  <v>44355</v>
                </pt>
                <pt idx="278">
                  <v>44362</v>
                </pt>
                <pt idx="279">
                  <v>44369</v>
                </pt>
                <pt idx="280">
                  <v>44376</v>
                </pt>
                <pt idx="281">
                  <v>44383</v>
                </pt>
                <pt idx="282">
                  <v>44390</v>
                </pt>
                <pt idx="283">
                  <v>44397</v>
                </pt>
                <pt idx="284">
                  <v>44404</v>
                </pt>
                <pt idx="285">
                  <v>44411</v>
                </pt>
                <pt idx="286">
                  <v>44418</v>
                </pt>
                <pt idx="287">
                  <v>44425</v>
                </pt>
                <pt idx="288">
                  <v>44432</v>
                </pt>
                <pt idx="289">
                  <v>44439</v>
                </pt>
                <pt idx="290">
                  <v>44446</v>
                </pt>
                <pt idx="291">
                  <v>44453</v>
                </pt>
                <pt idx="292">
                  <v>44460</v>
                </pt>
                <pt idx="293">
                  <v>44467</v>
                </pt>
                <pt idx="294">
                  <v>44474</v>
                </pt>
                <pt idx="295">
                  <v>44481</v>
                </pt>
                <pt idx="296">
                  <v>44488</v>
                </pt>
                <pt idx="297">
                  <v>44495</v>
                </pt>
                <pt idx="298">
                  <v>44502</v>
                </pt>
                <pt idx="299">
                  <v>44509</v>
                </pt>
                <pt idx="300">
                  <v>44516</v>
                </pt>
                <pt idx="301">
                  <v>44523</v>
                </pt>
                <pt idx="302">
                  <v>44530</v>
                </pt>
                <pt idx="303">
                  <v>44537</v>
                </pt>
                <pt idx="304">
                  <v>44544</v>
                </pt>
                <pt idx="305">
                  <v>44551</v>
                </pt>
                <pt idx="306">
                  <v>44558</v>
                </pt>
                <pt idx="307">
                  <v>44565</v>
                </pt>
                <pt idx="308">
                  <v>44572</v>
                </pt>
                <pt idx="309">
                  <v>44579</v>
                </pt>
                <pt idx="310">
                  <v>44586</v>
                </pt>
                <pt idx="311">
                  <v>44593</v>
                </pt>
                <pt idx="312">
                  <v>44600</v>
                </pt>
                <pt idx="313">
                  <v>44607</v>
                </pt>
                <pt idx="314">
                  <v>44614</v>
                </pt>
                <pt idx="315">
                  <v>44621</v>
                </pt>
                <pt idx="316">
                  <v>44628</v>
                </pt>
                <pt idx="317">
                  <v>44635</v>
                </pt>
                <pt idx="318">
                  <v>44642</v>
                </pt>
                <pt idx="319">
                  <v>44649</v>
                </pt>
                <pt idx="320">
                  <v>44656</v>
                </pt>
                <pt idx="321">
                  <v>44663</v>
                </pt>
                <pt idx="322">
                  <v>44670</v>
                </pt>
                <pt idx="323">
                  <v>44677</v>
                </pt>
                <pt idx="324">
                  <v>44684</v>
                </pt>
                <pt idx="325">
                  <v>44691</v>
                </pt>
                <pt idx="326">
                  <v>44698</v>
                </pt>
                <pt idx="327">
                  <v>44705</v>
                </pt>
                <pt idx="328">
                  <v>44712</v>
                </pt>
                <pt idx="329">
                  <v>44719</v>
                </pt>
                <pt idx="330">
                  <v>44726</v>
                </pt>
                <pt idx="331">
                  <v>44733</v>
                </pt>
                <pt idx="332">
                  <v>44740</v>
                </pt>
                <pt idx="333">
                  <v>44747</v>
                </pt>
                <pt idx="334">
                  <v>44754</v>
                </pt>
                <pt idx="335">
                  <v>44761</v>
                </pt>
                <pt idx="336">
                  <v>44768</v>
                </pt>
                <pt idx="337">
                  <v>44775</v>
                </pt>
                <pt idx="338">
                  <v>44782</v>
                </pt>
                <pt idx="339">
                  <v>44789</v>
                </pt>
                <pt idx="340">
                  <v>44796</v>
                </pt>
                <pt idx="341">
                  <v>44803</v>
                </pt>
                <pt idx="342">
                  <v>44810</v>
                </pt>
                <pt idx="343">
                  <v>44817</v>
                </pt>
                <pt idx="344">
                  <v>44824</v>
                </pt>
                <pt idx="345">
                  <v>44831</v>
                </pt>
                <pt idx="346">
                  <v>44838</v>
                </pt>
                <pt idx="347">
                  <v>44845</v>
                </pt>
                <pt idx="348">
                  <v>44852</v>
                </pt>
                <pt idx="349">
                  <v>44859</v>
                </pt>
                <pt idx="350">
                  <v>44866</v>
                </pt>
                <pt idx="351">
                  <v>44873</v>
                </pt>
                <pt idx="352">
                  <v>44880</v>
                </pt>
                <pt idx="353">
                  <v>44887</v>
                </pt>
                <pt idx="354">
                  <v>44894</v>
                </pt>
                <pt idx="355">
                  <v>44901</v>
                </pt>
                <pt idx="356">
                  <v>44908</v>
                </pt>
                <pt idx="357">
                  <v>44915</v>
                </pt>
                <pt idx="358">
                  <v>44922</v>
                </pt>
                <pt idx="359">
                  <v>44929</v>
                </pt>
                <pt idx="360">
                  <v>44936</v>
                </pt>
              </numCache>
            </numRef>
          </cat>
          <val>
            <numRef>
              <f>Currency!$B$900:$B$1378</f>
              <numCache>
                <formatCode>#,##0</formatCode>
                <ptCount val="479"/>
                <pt idx="0">
                  <v>47901</v>
                </pt>
                <pt idx="1">
                  <v>52734</v>
                </pt>
                <pt idx="2">
                  <v>59625</v>
                </pt>
                <pt idx="3">
                  <v>64333</v>
                </pt>
                <pt idx="4">
                  <v>45489</v>
                </pt>
                <pt idx="5">
                  <v>53346</v>
                </pt>
                <pt idx="6">
                  <v>54387</v>
                </pt>
                <pt idx="7">
                  <v>60073</v>
                </pt>
                <pt idx="8">
                  <v>66190</v>
                </pt>
                <pt idx="9">
                  <v>71870</v>
                </pt>
                <pt idx="10">
                  <v>66498</v>
                </pt>
                <pt idx="11">
                  <v>61521</v>
                </pt>
                <pt idx="12">
                  <v>59047</v>
                </pt>
                <pt idx="13">
                  <v>58919</v>
                </pt>
                <pt idx="14">
                  <v>22059</v>
                </pt>
                <pt idx="15">
                  <v>14837</v>
                </pt>
                <pt idx="16">
                  <v>42853</v>
                </pt>
                <pt idx="17">
                  <v>55690</v>
                </pt>
                <pt idx="18">
                  <v>52296</v>
                </pt>
                <pt idx="19">
                  <v>59750</v>
                </pt>
                <pt idx="20">
                  <v>63568</v>
                </pt>
                <pt idx="21">
                  <v>47545</v>
                </pt>
                <pt idx="22">
                  <v>39353</v>
                </pt>
                <pt idx="23">
                  <v>34958</v>
                </pt>
                <pt idx="24">
                  <v>41700</v>
                </pt>
                <pt idx="25">
                  <v>48831</v>
                </pt>
                <pt idx="26">
                  <v>56006</v>
                </pt>
                <pt idx="27">
                  <v>60316</v>
                </pt>
                <pt idx="28">
                  <v>63661</v>
                </pt>
                <pt idx="29">
                  <v>54489</v>
                </pt>
                <pt idx="30">
                  <v>56846</v>
                </pt>
                <pt idx="31">
                  <v>58785</v>
                </pt>
                <pt idx="32">
                  <v>68892</v>
                </pt>
                <pt idx="33">
                  <v>68695</v>
                </pt>
                <pt idx="34">
                  <v>45909</v>
                </pt>
                <pt idx="35">
                  <v>36991</v>
                </pt>
                <pt idx="36">
                  <v>44595</v>
                </pt>
                <pt idx="37">
                  <v>43160</v>
                </pt>
                <pt idx="38">
                  <v>31956</v>
                </pt>
                <pt idx="39">
                  <v>20676</v>
                </pt>
                <pt idx="40">
                  <v>10900</v>
                </pt>
                <pt idx="41">
                  <v>-269</v>
                </pt>
                <pt idx="42">
                  <v>-33937</v>
                </pt>
                <pt idx="43">
                  <v>-63429</v>
                </pt>
                <pt idx="44">
                  <v>-75449</v>
                </pt>
                <pt idx="45">
                  <v>-87009</v>
                </pt>
                <pt idx="46">
                  <v>-86764</v>
                </pt>
                <pt idx="47">
                  <v>-79839</v>
                </pt>
                <pt idx="48">
                  <v>-77830</v>
                </pt>
                <pt idx="49">
                  <v>-66840</v>
                </pt>
                <pt idx="50">
                  <v>-58331</v>
                </pt>
                <pt idx="51">
                  <v>-55060</v>
                </pt>
                <pt idx="52">
                  <v>-51284</v>
                </pt>
                <pt idx="53">
                  <v>-50162</v>
                </pt>
                <pt idx="54">
                  <v>-50017</v>
                </pt>
                <pt idx="55">
                  <v>-54700</v>
                </pt>
                <pt idx="56">
                  <v>-71297</v>
                </pt>
                <pt idx="57">
                  <v>-66987</v>
                </pt>
                <pt idx="58">
                  <v>-53181</v>
                </pt>
                <pt idx="59">
                  <v>-45800</v>
                </pt>
                <pt idx="60">
                  <v>-34764</v>
                </pt>
                <pt idx="61">
                  <v>-30463</v>
                </pt>
                <pt idx="62">
                  <v>-26869</v>
                </pt>
                <pt idx="63">
                  <v>-30483</v>
                </pt>
                <pt idx="64">
                  <v>-36307</v>
                </pt>
                <pt idx="65">
                  <v>-60008</v>
                </pt>
                <pt idx="66">
                  <v>-51656</v>
                </pt>
                <pt idx="67">
                  <v>-52275</v>
                </pt>
                <pt idx="68">
                  <v>-55027</v>
                </pt>
                <pt idx="69">
                  <v>-50553</v>
                </pt>
                <pt idx="70">
                  <v>-49959</v>
                </pt>
                <pt idx="71">
                  <v>-61350</v>
                </pt>
                <pt idx="72">
                  <v>-75036</v>
                </pt>
                <pt idx="73">
                  <v>-112125</v>
                </pt>
                <pt idx="74">
                  <v>-126919</v>
                </pt>
                <pt idx="75">
                  <v>-121489</v>
                </pt>
                <pt idx="76">
                  <v>-112196</v>
                </pt>
                <pt idx="77">
                  <v>-95813</v>
                </pt>
                <pt idx="78">
                  <v>-77492</v>
                </pt>
                <pt idx="79">
                  <v>-74086</v>
                </pt>
                <pt idx="80">
                  <v>-68524</v>
                </pt>
                <pt idx="81">
                  <v>-72945</v>
                </pt>
                <pt idx="82">
                  <v>-57297</v>
                </pt>
                <pt idx="83">
                  <v>-51322</v>
                </pt>
                <pt idx="84">
                  <v>-71347</v>
                </pt>
                <pt idx="85">
                  <v>-84643</v>
                </pt>
                <pt idx="86">
                  <v>-101419</v>
                </pt>
                <pt idx="87">
                  <v>-101286</v>
                </pt>
                <pt idx="88">
                  <v>-116857</v>
                </pt>
                <pt idx="89">
                  <v>-118869</v>
                </pt>
                <pt idx="90">
                  <v>-127848</v>
                </pt>
                <pt idx="91">
                  <v>-135999</v>
                </pt>
                <pt idx="92">
                  <v>-122602</v>
                </pt>
                <pt idx="93">
                  <v>-110640</v>
                </pt>
                <pt idx="94">
                  <v>-114267</v>
                </pt>
                <pt idx="95">
                  <v>-114123</v>
                </pt>
                <pt idx="96">
                  <v>-114373</v>
                </pt>
                <pt idx="97">
                  <v>-116086</v>
                </pt>
                <pt idx="98">
                  <v>-121766</v>
                </pt>
                <pt idx="99">
                  <v>-125536</v>
                </pt>
                <pt idx="100">
                  <v>-119350</v>
                </pt>
                <pt idx="101">
                  <v>-122870</v>
                </pt>
                <pt idx="102">
                  <v>-114696</v>
                </pt>
                <pt idx="103">
                  <v>-112876</v>
                </pt>
                <pt idx="104">
                  <v>-115509</v>
                </pt>
                <pt idx="105">
                  <v>-108338</v>
                </pt>
                <pt idx="106">
                  <v>-96651</v>
                </pt>
                <pt idx="107">
                  <v>-86845</v>
                </pt>
                <pt idx="108">
                  <v>-79539</v>
                </pt>
                <pt idx="109">
                  <v>-21999</v>
                </pt>
                <pt idx="110">
                  <v>-3668</v>
                </pt>
                <pt idx="111">
                  <v>3572</v>
                </pt>
                <pt idx="112">
                  <v>2761</v>
                </pt>
                <pt idx="113">
                  <v>2591</v>
                </pt>
                <pt idx="114">
                  <v>583</v>
                </pt>
                <pt idx="115">
                  <v>-1405</v>
                </pt>
                <pt idx="116">
                  <v>-5462</v>
                </pt>
                <pt idx="117">
                  <v>3680</v>
                </pt>
                <pt idx="118">
                  <v>-2767</v>
                </pt>
                <pt idx="119">
                  <v>-8036</v>
                </pt>
                <pt idx="120">
                  <v>-3437</v>
                </pt>
                <pt idx="121">
                  <v>5052</v>
                </pt>
                <pt idx="122">
                  <v>-35562</v>
                </pt>
                <pt idx="123">
                  <v>-34221</v>
                </pt>
                <pt idx="124">
                  <v>-38730</v>
                </pt>
                <pt idx="125">
                  <v>-39832</v>
                </pt>
                <pt idx="126">
                  <v>-58650</v>
                </pt>
                <pt idx="127">
                  <v>-73769</v>
                </pt>
                <pt idx="128">
                  <v>-68457</v>
                </pt>
                <pt idx="129">
                  <v>-62807</v>
                </pt>
                <pt idx="130">
                  <v>-58368</v>
                </pt>
                <pt idx="131">
                  <v>-47406</v>
                </pt>
                <pt idx="132">
                  <v>-46041</v>
                </pt>
                <pt idx="133">
                  <v>-51932</v>
                </pt>
                <pt idx="134">
                  <v>-53886</v>
                </pt>
                <pt idx="135">
                  <v>-63755</v>
                </pt>
                <pt idx="136">
                  <v>-84719</v>
                </pt>
                <pt idx="137">
                  <v>-114046</v>
                </pt>
                <pt idx="138">
                  <v>-115201</v>
                </pt>
                <pt idx="139">
                  <v>-100621</v>
                </pt>
                <pt idx="140">
                  <v>-92804</v>
                </pt>
                <pt idx="141">
                  <v>-91620</v>
                </pt>
                <pt idx="142">
                  <v>-89122</v>
                </pt>
                <pt idx="143">
                  <v>-102294</v>
                </pt>
                <pt idx="144">
                  <v>-100065</v>
                </pt>
                <pt idx="145">
                  <v>-104324</v>
                </pt>
                <pt idx="146">
                  <v>-109766</v>
                </pt>
                <pt idx="147">
                  <v>-97606</v>
                </pt>
                <pt idx="148">
                  <v>-102771</v>
                </pt>
                <pt idx="149">
                  <v>-99089</v>
                </pt>
                <pt idx="150">
                  <v>-88623</v>
                </pt>
                <pt idx="151">
                  <v>-61314</v>
                </pt>
                <pt idx="152">
                  <v>-46421</v>
                </pt>
                <pt idx="153">
                  <v>-39667</v>
                </pt>
                <pt idx="154">
                  <v>-33345</v>
                </pt>
                <pt idx="155">
                  <v>-31410</v>
                </pt>
                <pt idx="156">
                  <v>-30742</v>
                </pt>
                <pt idx="157">
                  <v>-37461</v>
                </pt>
                <pt idx="158">
                  <v>-39654</v>
                </pt>
                <pt idx="159">
                  <v>-51306</v>
                </pt>
                <pt idx="160">
                  <v>-58781</v>
                </pt>
                <pt idx="161">
                  <v>-59221</v>
                </pt>
                <pt idx="162">
                  <v>-62121</v>
                </pt>
                <pt idx="163">
                  <v>-62741</v>
                </pt>
                <pt idx="164">
                  <v>-71520</v>
                </pt>
                <pt idx="165">
                  <v>-87106</v>
                </pt>
                <pt idx="166">
                  <v>-94414</v>
                </pt>
                <pt idx="167">
                  <v>-99599</v>
                </pt>
                <pt idx="168">
                  <v>-91717</v>
                </pt>
                <pt idx="169">
                  <v>-61580</v>
                </pt>
                <pt idx="170">
                  <v>-55192</v>
                </pt>
                <pt idx="171">
                  <v>-55577</v>
                </pt>
                <pt idx="172">
                  <v>-44389</v>
                </pt>
                <pt idx="173">
                  <v>-45165</v>
                </pt>
                <pt idx="174">
                  <v>-16565</v>
                </pt>
                <pt idx="175">
                  <v>-10147</v>
                </pt>
                <pt idx="176">
                  <v>-1227</v>
                </pt>
                <pt idx="177">
                  <v>-3651</v>
                </pt>
                <pt idx="178">
                  <v>-11380</v>
                </pt>
                <pt idx="179">
                  <v>-9377</v>
                </pt>
                <pt idx="180">
                  <v>-4218</v>
                </pt>
                <pt idx="181">
                  <v>10561</v>
                </pt>
                <pt idx="182">
                  <v>24742</v>
                </pt>
                <pt idx="183">
                  <v>31154</v>
                </pt>
                <pt idx="184">
                  <v>33607</v>
                </pt>
                <pt idx="185">
                  <v>27682</v>
                </pt>
                <pt idx="186">
                  <v>32591</v>
                </pt>
                <pt idx="187">
                  <v>23862</v>
                </pt>
                <pt idx="188">
                  <v>12783</v>
                </pt>
                <pt idx="189">
                  <v>13917</v>
                </pt>
                <pt idx="190">
                  <v>11012</v>
                </pt>
                <pt idx="191">
                  <v>-6641</v>
                </pt>
                <pt idx="192">
                  <v>-18165</v>
                </pt>
                <pt idx="193">
                  <v>-19698</v>
                </pt>
                <pt idx="194">
                  <v>-26605</v>
                </pt>
                <pt idx="195">
                  <v>-34997</v>
                </pt>
                <pt idx="196">
                  <v>-35031</v>
                </pt>
                <pt idx="197">
                  <v>-39591</v>
                </pt>
                <pt idx="198">
                  <v>-47823</v>
                </pt>
                <pt idx="199">
                  <v>-43682</v>
                </pt>
                <pt idx="200">
                  <v>-42062</v>
                </pt>
                <pt idx="201">
                  <v>-33542</v>
                </pt>
                <pt idx="202">
                  <v>-25302</v>
                </pt>
                <pt idx="203">
                  <v>-12248</v>
                </pt>
                <pt idx="204">
                  <v>-31430</v>
                </pt>
                <pt idx="205">
                  <v>-44701</v>
                </pt>
                <pt idx="206">
                  <v>-36025</v>
                </pt>
                <pt idx="207">
                  <v>-21898</v>
                </pt>
                <pt idx="208">
                  <v>-26188</v>
                </pt>
                <pt idx="209">
                  <v>-27221</v>
                </pt>
                <pt idx="210">
                  <v>-56389</v>
                </pt>
                <pt idx="211">
                  <v>-42324</v>
                </pt>
                <pt idx="212">
                  <v>8157</v>
                </pt>
                <pt idx="213">
                  <v>32935</v>
                </pt>
                <pt idx="214">
                  <v>23863</v>
                </pt>
                <pt idx="215">
                  <v>18282</v>
                </pt>
                <pt idx="216">
                  <v>22410</v>
                </pt>
                <pt idx="217">
                  <v>22643</v>
                </pt>
                <pt idx="218">
                  <v>26026</v>
                </pt>
                <pt idx="219">
                  <v>32326</v>
                </pt>
                <pt idx="220">
                  <v>27214</v>
                </pt>
                <pt idx="221">
                  <v>27937</v>
                </pt>
                <pt idx="222">
                  <v>27470</v>
                </pt>
                <pt idx="223">
                  <v>34607</v>
                </pt>
                <pt idx="224">
                  <v>32579</v>
                </pt>
                <pt idx="225">
                  <v>17462</v>
                </pt>
                <pt idx="226">
                  <v>22110</v>
                </pt>
                <pt idx="227">
                  <v>27458</v>
                </pt>
                <pt idx="228">
                  <v>23861</v>
                </pt>
                <pt idx="229">
                  <v>16812</v>
                </pt>
                <pt idx="230">
                  <v>18326</v>
                </pt>
                <pt idx="231">
                  <v>19307</v>
                </pt>
                <pt idx="232">
                  <v>28507</v>
                </pt>
                <pt idx="233">
                  <v>31429</v>
                </pt>
                <pt idx="234">
                  <v>27016</v>
                </pt>
                <pt idx="235">
                  <v>20584</v>
                </pt>
                <pt idx="236">
                  <v>23616</v>
                </pt>
                <pt idx="237">
                  <v>29604</v>
                </pt>
                <pt idx="238">
                  <v>21742</v>
                </pt>
                <pt idx="239">
                  <v>22889</v>
                </pt>
                <pt idx="240">
                  <v>29581</v>
                </pt>
                <pt idx="241">
                  <v>24789</v>
                </pt>
                <pt idx="242">
                  <v>21102</v>
                </pt>
                <pt idx="243">
                  <v>19976</v>
                </pt>
                <pt idx="244">
                  <v>14183</v>
                </pt>
                <pt idx="245">
                  <v>17893</v>
                </pt>
                <pt idx="246">
                  <v>28098</v>
                </pt>
                <pt idx="247">
                  <v>41894</v>
                </pt>
                <pt idx="248">
                  <v>29667</v>
                </pt>
                <pt idx="249">
                  <v>40242</v>
                </pt>
                <pt idx="250">
                  <v>47503</v>
                </pt>
                <pt idx="251">
                  <v>48166</v>
                </pt>
                <pt idx="252">
                  <v>43963</v>
                </pt>
                <pt idx="253">
                  <v>46093</v>
                </pt>
                <pt idx="254">
                  <v>47350</v>
                </pt>
                <pt idx="255">
                  <v>50190</v>
                </pt>
                <pt idx="256">
                  <v>50520</v>
                </pt>
                <pt idx="257">
                  <v>50014</v>
                </pt>
                <pt idx="258">
                  <v>44992</v>
                </pt>
                <pt idx="259">
                  <v>44629</v>
                </pt>
                <pt idx="260">
                  <v>34618</v>
                </pt>
                <pt idx="261">
                  <v>37182</v>
                </pt>
                <pt idx="262">
                  <v>28622</v>
                </pt>
                <pt idx="263">
                  <v>19270</v>
                </pt>
                <pt idx="264">
                  <v>6514</v>
                </pt>
                <pt idx="265">
                  <v>-39368</v>
                </pt>
                <pt idx="266">
                  <v>-53525</v>
                </pt>
                <pt idx="267">
                  <v>-59481</v>
                </pt>
                <pt idx="268">
                  <v>-57989</v>
                </pt>
                <pt idx="269">
                  <v>-58312</v>
                </pt>
                <pt idx="270">
                  <v>-59819</v>
                </pt>
                <pt idx="271">
                  <v>-48509</v>
                </pt>
                <pt idx="272">
                  <v>-41492</v>
                </pt>
                <pt idx="273">
                  <v>-41728</v>
                </pt>
                <pt idx="274">
                  <v>-50948</v>
                </pt>
                <pt idx="275">
                  <v>-50156</v>
                </pt>
                <pt idx="276">
                  <v>-47115</v>
                </pt>
                <pt idx="277">
                  <v>-37314</v>
                </pt>
                <pt idx="278">
                  <v>-46850</v>
                </pt>
                <pt idx="279">
                  <v>-53862</v>
                </pt>
                <pt idx="280">
                  <v>-69895</v>
                </pt>
                <pt idx="281">
                  <v>-69136</v>
                </pt>
                <pt idx="282">
                  <v>-56250</v>
                </pt>
                <pt idx="283">
                  <v>-55731</v>
                </pt>
                <pt idx="284">
                  <v>-59934</v>
                </pt>
                <pt idx="285">
                  <v>-55190</v>
                </pt>
                <pt idx="286">
                  <v>-60657</v>
                </pt>
                <pt idx="287">
                  <v>-63208</v>
                </pt>
                <pt idx="288">
                  <v>-66671</v>
                </pt>
                <pt idx="289">
                  <v>-63130</v>
                </pt>
                <pt idx="290">
                  <v>-62325</v>
                </pt>
                <pt idx="291">
                  <v>-60295</v>
                </pt>
                <pt idx="292">
                  <v>-56071</v>
                </pt>
                <pt idx="293">
                  <v>-64760</v>
                </pt>
                <pt idx="294">
                  <v>-63694</v>
                </pt>
                <pt idx="295">
                  <v>-76634</v>
                </pt>
                <pt idx="296">
                  <v>-102734</v>
                </pt>
                <pt idx="297">
                  <v>-107036</v>
                </pt>
                <pt idx="298">
                  <v>-107624</v>
                </pt>
                <pt idx="299">
                  <v>-105351</v>
                </pt>
                <pt idx="300">
                  <v>-93126</v>
                </pt>
                <pt idx="301">
                  <v>-97253</v>
                </pt>
                <pt idx="302">
                  <v>-78866</v>
                </pt>
                <pt idx="303">
                  <v>-63081</v>
                </pt>
                <pt idx="304">
                  <v>-53523</v>
                </pt>
                <pt idx="305">
                  <v>-52286</v>
                </pt>
                <pt idx="306">
                  <v>-53102</v>
                </pt>
                <pt idx="307">
                  <v>-62262</v>
                </pt>
                <pt idx="308">
                  <v>-87525</v>
                </pt>
                <pt idx="309">
                  <v>-80879</v>
                </pt>
                <pt idx="310">
                  <v>-68273</v>
                </pt>
                <pt idx="311">
                  <v>-60640</v>
                </pt>
                <pt idx="312">
                  <v>-59148</v>
                </pt>
                <pt idx="313">
                  <v>-66162</v>
                </pt>
                <pt idx="314">
                  <v>-63187</v>
                </pt>
                <pt idx="315">
                  <v>-68732</v>
                </pt>
                <pt idx="316">
                  <v>-55856</v>
                </pt>
                <pt idx="317">
                  <v>-62340</v>
                </pt>
                <pt idx="318">
                  <v>-78482</v>
                </pt>
                <pt idx="319">
                  <v>-102131</v>
                </pt>
                <pt idx="320">
                  <v>-103829</v>
                </pt>
                <pt idx="321">
                  <v>-111827</v>
                </pt>
                <pt idx="322">
                  <v>-107187</v>
                </pt>
                <pt idx="323">
                  <v>-95535</v>
                </pt>
                <pt idx="324">
                  <v>-100794</v>
                </pt>
                <pt idx="325">
                  <v>-110454</v>
                </pt>
                <pt idx="326">
                  <v>-102309</v>
                </pt>
                <pt idx="327">
                  <v>-99444</v>
                </pt>
                <pt idx="328">
                  <v>-94439</v>
                </pt>
                <pt idx="329">
                  <v>-91646</v>
                </pt>
                <pt idx="330">
                  <v>-69755</v>
                </pt>
                <pt idx="331">
                  <v>-58454</v>
                </pt>
                <pt idx="332">
                  <v>-52570</v>
                </pt>
                <pt idx="333">
                  <v>-54445</v>
                </pt>
                <pt idx="334">
                  <v>-59998</v>
                </pt>
                <pt idx="335">
                  <v>-59225</v>
                </pt>
                <pt idx="336">
                  <v>-61481</v>
                </pt>
                <pt idx="337">
                  <v>-42753</v>
                </pt>
                <pt idx="338">
                  <v>-25032</v>
                </pt>
                <pt idx="339">
                  <v>-28891</v>
                </pt>
                <pt idx="340">
                  <v>-38807</v>
                </pt>
                <pt idx="341">
                  <v>-41531</v>
                </pt>
                <pt idx="342">
                  <v>-58189</v>
                </pt>
                <pt idx="343">
                  <v>-80692</v>
                </pt>
                <pt idx="344">
                  <v>-81280</v>
                </pt>
                <pt idx="345">
                  <v>-82556</v>
                </pt>
                <pt idx="346">
                  <v>-81623</v>
                </pt>
                <pt idx="347">
                  <v>-77393</v>
                </pt>
                <pt idx="348">
                  <v>-94336</v>
                </pt>
                <pt idx="349">
                  <v>-102618</v>
                </pt>
                <pt idx="350">
                  <v>-77620</v>
                </pt>
                <pt idx="351">
                  <v>-75258</v>
                </pt>
                <pt idx="352">
                  <v>-65842</v>
                </pt>
                <pt idx="353">
                  <v>-64850</v>
                </pt>
                <pt idx="354">
                  <v>-67394</v>
                </pt>
                <pt idx="355">
                  <v>-65996</v>
                </pt>
                <pt idx="356">
                  <v>-53188</v>
                </pt>
                <pt idx="357">
                  <v>-40881</v>
                </pt>
                <pt idx="358">
                  <v>-37730</v>
                </pt>
                <pt idx="359">
                  <v>-46864</v>
                </pt>
                <pt idx="360">
                  <v>-35377</v>
                </pt>
              </numCache>
            </numRef>
          </val>
        </ser>
        <dLbls>
          <showLegendKey val="0"/>
          <showVal val="0"/>
          <showCatName val="0"/>
          <showSerName val="0"/>
          <showPercent val="0"/>
          <showBubbleSize val="0"/>
        </dLbls>
        <gapWidth val="150"/>
        <axId val="1152381112"/>
        <axId val="1152381768"/>
      </barChart>
      <dateAx>
        <axId val="1152381112"/>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768"/>
        <crosses val="autoZero"/>
        <lblOffset val="100"/>
        <baseTimeUnit val="days"/>
      </dateAx>
      <valAx>
        <axId val="11523817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11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0"/>
          <order val="0"/>
          <tx>
            <strRef>
              <f>Database!$L$1</f>
              <strCache>
                <ptCount val="1"/>
                <pt idx="0">
                  <v>ZAR</v>
                </pt>
              </strCache>
            </strRef>
          </tx>
          <spPr>
            <a:solidFill xmlns:a="http://schemas.openxmlformats.org/drawingml/2006/main">
              <a:schemeClr val="accent5">
                <a:lumMod val="60000"/>
              </a:schemeClr>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Database!$L$2:$L$1564</f>
              <numCache>
                <formatCode>General</formatCode>
                <ptCount val="1563"/>
                <pt idx="1181">
                  <v>-2468</v>
                </pt>
                <pt idx="1183">
                  <v>-2449</v>
                </pt>
                <pt idx="1190">
                  <v>-3464</v>
                </pt>
                <pt idx="1191">
                  <v>-3636</v>
                </pt>
                <pt idx="1192">
                  <v>-3916</v>
                </pt>
                <pt idx="1193">
                  <v>-3831</v>
                </pt>
                <pt idx="1194">
                  <v>-3831</v>
                </pt>
                <pt idx="1195">
                  <v>-4109</v>
                </pt>
                <pt idx="1197">
                  <v>-1025</v>
                </pt>
                <pt idx="1199">
                  <v>-2307</v>
                </pt>
                <pt idx="1201">
                  <v>-2816</v>
                </pt>
                <pt idx="1204">
                  <v>-3155</v>
                </pt>
                <pt idx="1205">
                  <v>-3188</v>
                </pt>
                <pt idx="1206">
                  <v>-2935</v>
                </pt>
                <pt idx="1207">
                  <v>-2965</v>
                </pt>
                <pt idx="1208">
                  <v>-3632</v>
                </pt>
                <pt idx="1209">
                  <v>-3310</v>
                </pt>
                <pt idx="1216">
                  <v>-428</v>
                </pt>
                <pt idx="1232">
                  <v>-1110</v>
                </pt>
                <pt idx="1243">
                  <v>-1515</v>
                </pt>
                <pt idx="1244">
                  <v>-1181</v>
                </pt>
                <pt idx="1249">
                  <v>-1299</v>
                </pt>
                <pt idx="1261">
                  <v>-1598</v>
                </pt>
                <pt idx="1262">
                  <v>-1545</v>
                </pt>
                <pt idx="1263">
                  <v>330</v>
                </pt>
                <pt idx="1264">
                  <v>392</v>
                </pt>
                <pt idx="1265">
                  <v>737</v>
                </pt>
                <pt idx="1266">
                  <v>1687</v>
                </pt>
                <pt idx="1267">
                  <v>2057</v>
                </pt>
                <pt idx="1268">
                  <v>2785</v>
                </pt>
                <pt idx="1269">
                  <v>5918</v>
                </pt>
                <pt idx="1270">
                  <v>5712</v>
                </pt>
                <pt idx="1271">
                  <v>5838</v>
                </pt>
                <pt idx="1272">
                  <v>6153</v>
                </pt>
                <pt idx="1273">
                  <v>6365</v>
                </pt>
                <pt idx="1274">
                  <v>7192</v>
                </pt>
                <pt idx="1275">
                  <v>4169</v>
                </pt>
                <pt idx="1276">
                  <v>4112</v>
                </pt>
                <pt idx="1277">
                  <v>3716</v>
                </pt>
                <pt idx="1278">
                  <v>3834</v>
                </pt>
                <pt idx="1279">
                  <v>3456</v>
                </pt>
                <pt idx="1280">
                  <v>1318</v>
                </pt>
                <pt idx="1281">
                  <v>1878</v>
                </pt>
                <pt idx="1282">
                  <v>2033</v>
                </pt>
                <pt idx="1283">
                  <v>1198</v>
                </pt>
                <pt idx="1284">
                  <v>1626</v>
                </pt>
                <pt idx="1285">
                  <v>1499</v>
                </pt>
                <pt idx="1286">
                  <v>2072</v>
                </pt>
                <pt idx="1287">
                  <v>10113</v>
                </pt>
                <pt idx="1288">
                  <v>17200</v>
                </pt>
                <pt idx="1289">
                  <v>19329</v>
                </pt>
                <pt idx="1290">
                  <v>20013</v>
                </pt>
                <pt idx="1291">
                  <v>19124</v>
                </pt>
                <pt idx="1292">
                  <v>10145</v>
                </pt>
                <pt idx="1293">
                  <v>8332</v>
                </pt>
                <pt idx="1294">
                  <v>8648</v>
                </pt>
                <pt idx="1295">
                  <v>8544</v>
                </pt>
                <pt idx="1296">
                  <v>7906</v>
                </pt>
                <pt idx="1297">
                  <v>9472</v>
                </pt>
                <pt idx="1298">
                  <v>11203</v>
                </pt>
                <pt idx="1299">
                  <v>11624</v>
                </pt>
                <pt idx="1300">
                  <v>11558</v>
                </pt>
                <pt idx="1301">
                  <v>12346</v>
                </pt>
                <pt idx="1302">
                  <v>12869</v>
                </pt>
                <pt idx="1303">
                  <v>11356</v>
                </pt>
                <pt idx="1304">
                  <v>9209</v>
                </pt>
                <pt idx="1305">
                  <v>8525</v>
                </pt>
                <pt idx="1306">
                  <v>9052</v>
                </pt>
                <pt idx="1307">
                  <v>8598</v>
                </pt>
                <pt idx="1308">
                  <v>8376</v>
                </pt>
                <pt idx="1309">
                  <v>9290</v>
                </pt>
                <pt idx="1310">
                  <v>9916</v>
                </pt>
                <pt idx="1311">
                  <v>10212</v>
                </pt>
                <pt idx="1312">
                  <v>9636</v>
                </pt>
                <pt idx="1313">
                  <v>9927</v>
                </pt>
                <pt idx="1314">
                  <v>9801</v>
                </pt>
                <pt idx="1315">
                  <v>7462</v>
                </pt>
                <pt idx="1316">
                  <v>8867</v>
                </pt>
                <pt idx="1317">
                  <v>8754</v>
                </pt>
                <pt idx="1318">
                  <v>8895</v>
                </pt>
                <pt idx="1319">
                  <v>8753</v>
                </pt>
                <pt idx="1320">
                  <v>8594</v>
                </pt>
                <pt idx="1321">
                  <v>8746</v>
                </pt>
                <pt idx="1322">
                  <v>8439</v>
                </pt>
                <pt idx="1323">
                  <v>8113</v>
                </pt>
                <pt idx="1324">
                  <v>8044</v>
                </pt>
                <pt idx="1325">
                  <v>7920</v>
                </pt>
                <pt idx="1326">
                  <v>7796</v>
                </pt>
                <pt idx="1327">
                  <v>7614</v>
                </pt>
                <pt idx="1328">
                  <v>7348</v>
                </pt>
                <pt idx="1329">
                  <v>7840</v>
                </pt>
                <pt idx="1330">
                  <v>7911</v>
                </pt>
                <pt idx="1331">
                  <v>7654</v>
                </pt>
                <pt idx="1332">
                  <v>7534</v>
                </pt>
                <pt idx="1333">
                  <v>6663</v>
                </pt>
                <pt idx="1334">
                  <v>6445</v>
                </pt>
                <pt idx="1335">
                  <v>6431</v>
                </pt>
                <pt idx="1336">
                  <v>6510</v>
                </pt>
                <pt idx="1337">
                  <v>6281</v>
                </pt>
                <pt idx="1338">
                  <v>6319</v>
                </pt>
                <pt idx="1339">
                  <v>7041</v>
                </pt>
                <pt idx="1340">
                  <v>7785</v>
                </pt>
                <pt idx="1345">
                  <v>-62</v>
                </pt>
                <pt idx="1346">
                  <v>797</v>
                </pt>
                <pt idx="1347">
                  <v>2399</v>
                </pt>
                <pt idx="1348">
                  <v>2322</v>
                </pt>
                <pt idx="1349">
                  <v>3553</v>
                </pt>
                <pt idx="1350">
                  <v>1351</v>
                </pt>
                <pt idx="1351">
                  <v>1127</v>
                </pt>
                <pt idx="1352">
                  <v>1374</v>
                </pt>
                <pt idx="1353">
                  <v>1204</v>
                </pt>
                <pt idx="1354">
                  <v>-2393</v>
                </pt>
                <pt idx="1355">
                  <v>-4491</v>
                </pt>
                <pt idx="1358">
                  <v>-3295</v>
                </pt>
                <pt idx="1360">
                  <v>-1945</v>
                </pt>
                <pt idx="1366">
                  <v>555</v>
                </pt>
                <pt idx="1369">
                  <v>-1178</v>
                </pt>
                <pt idx="1370">
                  <v>-1997</v>
                </pt>
                <pt idx="1371">
                  <v>-1662</v>
                </pt>
                <pt idx="1372">
                  <v>-1081</v>
                </pt>
                <pt idx="1373">
                  <v>-1407</v>
                </pt>
                <pt idx="1374">
                  <v>-255</v>
                </pt>
                <pt idx="1375">
                  <v>444</v>
                </pt>
                <pt idx="1376">
                  <v>845</v>
                </pt>
                <pt idx="1378">
                  <v>-138</v>
                </pt>
                <pt idx="1379">
                  <v>-376</v>
                </pt>
                <pt idx="1380">
                  <v>-184</v>
                </pt>
                <pt idx="1388">
                  <v>117</v>
                </pt>
                <pt idx="1390">
                  <v>2475</v>
                </pt>
                <pt idx="1391">
                  <v>2816</v>
                </pt>
                <pt idx="1392">
                  <v>2519</v>
                </pt>
                <pt idx="1393">
                  <v>-72</v>
                </pt>
                <pt idx="1394">
                  <v>451</v>
                </pt>
                <pt idx="1395">
                  <v>1429</v>
                </pt>
                <pt idx="1396">
                  <v>3095</v>
                </pt>
                <pt idx="1397">
                  <v>3678</v>
                </pt>
                <pt idx="1398">
                  <v>4137</v>
                </pt>
                <pt idx="1399">
                  <v>6125</v>
                </pt>
                <pt idx="1400">
                  <v>8968</v>
                </pt>
                <pt idx="1401">
                  <v>8167</v>
                </pt>
                <pt idx="1402">
                  <v>7423</v>
                </pt>
                <pt idx="1403">
                  <v>7339</v>
                </pt>
                <pt idx="1404">
                  <v>7365</v>
                </pt>
                <pt idx="1405">
                  <v>6484</v>
                </pt>
                <pt idx="1406">
                  <v>5950</v>
                </pt>
                <pt idx="1407">
                  <v>6831</v>
                </pt>
                <pt idx="1408">
                  <v>7441</v>
                </pt>
                <pt idx="1409">
                  <v>5679</v>
                </pt>
                <pt idx="1410">
                  <v>4635</v>
                </pt>
                <pt idx="1411">
                  <v>4138</v>
                </pt>
                <pt idx="1412">
                  <v>5754</v>
                </pt>
                <pt idx="1413">
                  <v>6955</v>
                </pt>
                <pt idx="1414">
                  <v>7071</v>
                </pt>
                <pt idx="1415">
                  <v>6701</v>
                </pt>
                <pt idx="1416">
                  <v>6828</v>
                </pt>
                <pt idx="1417">
                  <v>6268</v>
                </pt>
                <pt idx="1418">
                  <v>5967</v>
                </pt>
                <pt idx="1419">
                  <v>11286</v>
                </pt>
                <pt idx="1420">
                  <v>10561</v>
                </pt>
                <pt idx="1421">
                  <v>11375</v>
                </pt>
                <pt idx="1422">
                  <v>11374</v>
                </pt>
                <pt idx="1423">
                  <v>12015</v>
                </pt>
                <pt idx="1424">
                  <v>12156</v>
                </pt>
                <pt idx="1425">
                  <v>12886</v>
                </pt>
                <pt idx="1426">
                  <v>11001</v>
                </pt>
                <pt idx="1427">
                  <v>11186</v>
                </pt>
                <pt idx="1428">
                  <v>11505</v>
                </pt>
                <pt idx="1429">
                  <v>12871</v>
                </pt>
                <pt idx="1430">
                  <v>11321</v>
                </pt>
                <pt idx="1431">
                  <v>10956</v>
                </pt>
                <pt idx="1432">
                  <v>1153</v>
                </pt>
                <pt idx="1433">
                  <v>-1536</v>
                </pt>
                <pt idx="1434">
                  <v>-1968</v>
                </pt>
                <pt idx="1435">
                  <v>-529</v>
                </pt>
                <pt idx="1436">
                  <v>-219</v>
                </pt>
                <pt idx="1437">
                  <v>146</v>
                </pt>
                <pt idx="1438">
                  <v>281</v>
                </pt>
                <pt idx="1439">
                  <v>1130</v>
                </pt>
                <pt idx="1440">
                  <v>1998</v>
                </pt>
                <pt idx="1441">
                  <v>1349</v>
                </pt>
                <pt idx="1442">
                  <v>1237</v>
                </pt>
                <pt idx="1443">
                  <v>3293</v>
                </pt>
                <pt idx="1444">
                  <v>3688</v>
                </pt>
                <pt idx="1445">
                  <v>5972</v>
                </pt>
                <pt idx="1446">
                  <v>5988</v>
                </pt>
                <pt idx="1447">
                  <v>6687</v>
                </pt>
                <pt idx="1448">
                  <v>5617</v>
                </pt>
                <pt idx="1449">
                  <v>6070</v>
                </pt>
                <pt idx="1450">
                  <v>5173</v>
                </pt>
                <pt idx="1451">
                  <v>4071</v>
                </pt>
                <pt idx="1452">
                  <v>3529</v>
                </pt>
                <pt idx="1453">
                  <v>2646</v>
                </pt>
                <pt idx="1454">
                  <v>2654</v>
                </pt>
                <pt idx="1455">
                  <v>1793</v>
                </pt>
                <pt idx="1456">
                  <v>2986</v>
                </pt>
                <pt idx="1457">
                  <v>3854</v>
                </pt>
                <pt idx="1458">
                  <v>3459</v>
                </pt>
                <pt idx="1459">
                  <v>4835</v>
                </pt>
                <pt idx="1460">
                  <v>5330</v>
                </pt>
                <pt idx="1461">
                  <v>5221</v>
                </pt>
                <pt idx="1462">
                  <v>5227</v>
                </pt>
                <pt idx="1463">
                  <v>5016</v>
                </pt>
                <pt idx="1464">
                  <v>4652</v>
                </pt>
                <pt idx="1465">
                  <v>6090</v>
                </pt>
                <pt idx="1466">
                  <v>6948</v>
                </pt>
                <pt idx="1467">
                  <v>7667</v>
                </pt>
                <pt idx="1468">
                  <v>7733</v>
                </pt>
                <pt idx="1469">
                  <v>8112</v>
                </pt>
                <pt idx="1470">
                  <v>7303</v>
                </pt>
                <pt idx="1471">
                  <v>7957</v>
                </pt>
                <pt idx="1472">
                  <v>7477</v>
                </pt>
                <pt idx="1473">
                  <v>7377</v>
                </pt>
                <pt idx="1474">
                  <v>7620</v>
                </pt>
                <pt idx="1475">
                  <v>6453</v>
                </pt>
                <pt idx="1476">
                  <v>5283</v>
                </pt>
                <pt idx="1477">
                  <v>5050</v>
                </pt>
                <pt idx="1478">
                  <v>4259</v>
                </pt>
                <pt idx="1479">
                  <v>3845</v>
                </pt>
                <pt idx="1480">
                  <v>4579</v>
                </pt>
                <pt idx="1481">
                  <v>5780</v>
                </pt>
                <pt idx="1482">
                  <v>6361</v>
                </pt>
                <pt idx="1483">
                  <v>5606</v>
                </pt>
                <pt idx="1484">
                  <v>2185</v>
                </pt>
                <pt idx="1485">
                  <v>2050</v>
                </pt>
                <pt idx="1486">
                  <v>2116</v>
                </pt>
                <pt idx="1487">
                  <v>1900</v>
                </pt>
                <pt idx="1488">
                  <v>2523</v>
                </pt>
                <pt idx="1489">
                  <v>3828</v>
                </pt>
                <pt idx="1490">
                  <v>5443</v>
                </pt>
                <pt idx="1491">
                  <v>4535</v>
                </pt>
                <pt idx="1492">
                  <v>5622</v>
                </pt>
                <pt idx="1493">
                  <v>5779</v>
                </pt>
                <pt idx="1494">
                  <v>4883</v>
                </pt>
                <pt idx="1495">
                  <v>5037</v>
                </pt>
                <pt idx="1496">
                  <v>5254</v>
                </pt>
                <pt idx="1497">
                  <v>7030</v>
                </pt>
                <pt idx="1498">
                  <v>7301</v>
                </pt>
                <pt idx="1499">
                  <v>6440</v>
                </pt>
                <pt idx="1500">
                  <v>6046</v>
                </pt>
                <pt idx="1501">
                  <v>6626</v>
                </pt>
                <pt idx="1502">
                  <v>5643</v>
                </pt>
                <pt idx="1503">
                  <v>5005</v>
                </pt>
                <pt idx="1504">
                  <v>3949</v>
                </pt>
                <pt idx="1505">
                  <v>4509</v>
                </pt>
                <pt idx="1506">
                  <v>5117</v>
                </pt>
                <pt idx="1507">
                  <v>5483</v>
                </pt>
                <pt idx="1508">
                  <v>5400</v>
                </pt>
                <pt idx="1509">
                  <v>5407</v>
                </pt>
                <pt idx="1510">
                  <v>4374</v>
                </pt>
                <pt idx="1511">
                  <v>4305</v>
                </pt>
                <pt idx="1512">
                  <v>2519</v>
                </pt>
                <pt idx="1513">
                  <v>2536</v>
                </pt>
                <pt idx="1514">
                  <v>2156</v>
                </pt>
                <pt idx="1515">
                  <v>3713</v>
                </pt>
                <pt idx="1516">
                  <v>3951</v>
                </pt>
                <pt idx="1517">
                  <v>2427</v>
                </pt>
                <pt idx="1518">
                  <v>1638</v>
                </pt>
                <pt idx="1519">
                  <v>3277</v>
                </pt>
                <pt idx="1520">
                  <v>3230</v>
                </pt>
                <pt idx="1521">
                  <v>4239</v>
                </pt>
                <pt idx="1522">
                  <v>3818</v>
                </pt>
                <pt idx="1523">
                  <v>-187</v>
                </pt>
                <pt idx="1524">
                  <v>-440</v>
                </pt>
                <pt idx="1525">
                  <v>8</v>
                </pt>
                <pt idx="1526">
                  <v>193</v>
                </pt>
                <pt idx="1527">
                  <v>1761</v>
                </pt>
                <pt idx="1528">
                  <v>1853</v>
                </pt>
                <pt idx="1529">
                  <v>2183</v>
                </pt>
                <pt idx="1530">
                  <v>2820</v>
                </pt>
                <pt idx="1531">
                  <v>3299</v>
                </pt>
                <pt idx="1532">
                  <v>2798</v>
                </pt>
                <pt idx="1533">
                  <v>1742</v>
                </pt>
                <pt idx="1534">
                  <v>2376</v>
                </pt>
                <pt idx="1535">
                  <v>-239</v>
                </pt>
                <pt idx="1536">
                  <v>13402</v>
                </pt>
                <pt idx="1537">
                  <v>13113</v>
                </pt>
                <pt idx="1538">
                  <v>13682</v>
                </pt>
                <pt idx="1539">
                  <v>13737</v>
                </pt>
                <pt idx="1540">
                  <v>14344</v>
                </pt>
                <pt idx="1541">
                  <v>15526</v>
                </pt>
                <pt idx="1542">
                  <v>15493</v>
                </pt>
                <pt idx="1543">
                  <v>15338</v>
                </pt>
                <pt idx="1544">
                  <v>13542</v>
                </pt>
                <pt idx="1545">
                  <v>13373</v>
                </pt>
                <pt idx="1546">
                  <v>13712</v>
                </pt>
                <pt idx="1547">
                  <v>13665</v>
                </pt>
                <pt idx="1548">
                  <v>14207</v>
                </pt>
                <pt idx="1549">
                  <v>21795</v>
                </pt>
                <pt idx="1550">
                  <v>22383</v>
                </pt>
                <pt idx="1551">
                  <v>22579</v>
                </pt>
                <pt idx="1552">
                  <v>22713</v>
                </pt>
                <pt idx="1553">
                  <v>13529</v>
                </pt>
                <pt idx="1554">
                  <v>9539</v>
                </pt>
                <pt idx="1555">
                  <v>6649</v>
                </pt>
                <pt idx="1556">
                  <v>6388</v>
                </pt>
                <pt idx="1557">
                  <v>5938</v>
                </pt>
                <pt idx="1558">
                  <v>5925</v>
                </pt>
                <pt idx="1559">
                  <v>6885</v>
                </pt>
                <pt idx="1560">
                  <v>6841</v>
                </pt>
                <pt idx="1561">
                  <v>7115</v>
                </pt>
                <pt idx="1562">
                  <v>6634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0"/>
          <order val="0"/>
          <tx>
            <strRef>
              <f>Database!$B$1</f>
              <strCache>
                <ptCount val="1"/>
                <pt idx="0">
                  <v>AUD</v>
                </pt>
              </strCache>
            </strRef>
          </tx>
          <spPr>
            <a:solidFill xmlns:a="http://schemas.openxmlformats.org/drawingml/2006/main">
              <a:schemeClr val="accent1"/>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Database!$B$2:$B$1564</f>
              <numCache>
                <formatCode>General</formatCode>
                <ptCount val="1563"/>
                <pt idx="13">
                  <v>-1326</v>
                </pt>
                <pt idx="14">
                  <v>-1626</v>
                </pt>
                <pt idx="15">
                  <v>-1626</v>
                </pt>
                <pt idx="16">
                  <v>-1417</v>
                </pt>
                <pt idx="17">
                  <v>-1619</v>
                </pt>
                <pt idx="18">
                  <v>-1252</v>
                </pt>
                <pt idx="19">
                  <v>-851</v>
                </pt>
                <pt idx="20">
                  <v>-25</v>
                </pt>
                <pt idx="21">
                  <v>738</v>
                </pt>
                <pt idx="22">
                  <v>738</v>
                </pt>
                <pt idx="23">
                  <v>872</v>
                </pt>
                <pt idx="24">
                  <v>1059</v>
                </pt>
                <pt idx="25">
                  <v>1059</v>
                </pt>
                <pt idx="26">
                  <v>327</v>
                </pt>
                <pt idx="27">
                  <v>548</v>
                </pt>
                <pt idx="28">
                  <v>656</v>
                </pt>
                <pt idx="29">
                  <v>650</v>
                </pt>
                <pt idx="30">
                  <v>319</v>
                </pt>
                <pt idx="31">
                  <v>319</v>
                </pt>
                <pt idx="32">
                  <v>25</v>
                </pt>
                <pt idx="33">
                  <v>-60</v>
                </pt>
                <pt idx="34">
                  <v>-459</v>
                </pt>
                <pt idx="35">
                  <v>-533</v>
                </pt>
                <pt idx="36">
                  <v>-588</v>
                </pt>
                <pt idx="37">
                  <v>-877</v>
                </pt>
                <pt idx="38">
                  <v>-981</v>
                </pt>
                <pt idx="39">
                  <v>-781</v>
                </pt>
                <pt idx="40">
                  <v>-708</v>
                </pt>
                <pt idx="41">
                  <v>-940</v>
                </pt>
                <pt idx="42">
                  <v>-953</v>
                </pt>
                <pt idx="43">
                  <v>-420</v>
                </pt>
                <pt idx="44">
                  <v>704</v>
                </pt>
                <pt idx="45">
                  <v>2115</v>
                </pt>
                <pt idx="46">
                  <v>1102</v>
                </pt>
                <pt idx="47">
                  <v>964</v>
                </pt>
                <pt idx="48">
                  <v>-1775</v>
                </pt>
                <pt idx="49">
                  <v>-2131</v>
                </pt>
                <pt idx="50">
                  <v>-2201</v>
                </pt>
                <pt idx="51">
                  <v>-2201</v>
                </pt>
                <pt idx="52">
                  <v>-2630</v>
                </pt>
                <pt idx="53">
                  <v>-1735</v>
                </pt>
                <pt idx="54">
                  <v>-1265</v>
                </pt>
                <pt idx="55">
                  <v>-1149</v>
                </pt>
                <pt idx="56">
                  <v>-145</v>
                </pt>
                <pt idx="57">
                  <v>428</v>
                </pt>
                <pt idx="58">
                  <v>-413</v>
                </pt>
                <pt idx="59">
                  <v>-413</v>
                </pt>
                <pt idx="60">
                  <v>-413</v>
                </pt>
                <pt idx="61">
                  <v>-308</v>
                </pt>
                <pt idx="62">
                  <v>-9</v>
                </pt>
                <pt idx="63">
                  <v>1328</v>
                </pt>
                <pt idx="64">
                  <v>1560</v>
                </pt>
                <pt idx="65">
                  <v>2242</v>
                </pt>
                <pt idx="66">
                  <v>2499</v>
                </pt>
                <pt idx="67">
                  <v>3051</v>
                </pt>
                <pt idx="68">
                  <v>4590</v>
                </pt>
                <pt idx="69">
                  <v>3474</v>
                </pt>
                <pt idx="70">
                  <v>3467</v>
                </pt>
                <pt idx="71">
                  <v>3159</v>
                </pt>
                <pt idx="72">
                  <v>3545</v>
                </pt>
                <pt idx="73">
                  <v>3708</v>
                </pt>
                <pt idx="74">
                  <v>2640</v>
                </pt>
                <pt idx="75">
                  <v>1285</v>
                </pt>
                <pt idx="76">
                  <v>1478</v>
                </pt>
                <pt idx="77">
                  <v>830</v>
                </pt>
                <pt idx="78">
                  <v>-400</v>
                </pt>
                <pt idx="79">
                  <v>1226</v>
                </pt>
                <pt idx="80">
                  <v>1461</v>
                </pt>
                <pt idx="81">
                  <v>1379</v>
                </pt>
                <pt idx="82">
                  <v>1490</v>
                </pt>
                <pt idx="83">
                  <v>1077</v>
                </pt>
                <pt idx="84">
                  <v>1709</v>
                </pt>
                <pt idx="85">
                  <v>2883</v>
                </pt>
                <pt idx="86">
                  <v>2924</v>
                </pt>
                <pt idx="87">
                  <v>2647</v>
                </pt>
                <pt idx="88">
                  <v>2589</v>
                </pt>
                <pt idx="89">
                  <v>2967</v>
                </pt>
                <pt idx="90">
                  <v>178</v>
                </pt>
                <pt idx="91">
                  <v>396</v>
                </pt>
                <pt idx="92">
                  <v>1302</v>
                </pt>
                <pt idx="93">
                  <v>1484</v>
                </pt>
                <pt idx="94">
                  <v>2235</v>
                </pt>
                <pt idx="95">
                  <v>2524</v>
                </pt>
                <pt idx="96">
                  <v>3113</v>
                </pt>
                <pt idx="97">
                  <v>3177</v>
                </pt>
                <pt idx="98">
                  <v>1670</v>
                </pt>
                <pt idx="99">
                  <v>2227</v>
                </pt>
                <pt idx="100">
                  <v>2190</v>
                </pt>
                <pt idx="101">
                  <v>1933</v>
                </pt>
                <pt idx="102">
                  <v>1300</v>
                </pt>
                <pt idx="103">
                  <v>1306</v>
                </pt>
                <pt idx="104">
                  <v>1296</v>
                </pt>
                <pt idx="105">
                  <v>1259</v>
                </pt>
                <pt idx="106">
                  <v>1010</v>
                </pt>
                <pt idx="107">
                  <v>-2683</v>
                </pt>
                <pt idx="108">
                  <v>513</v>
                </pt>
                <pt idx="109">
                  <v>6538</v>
                </pt>
                <pt idx="110">
                  <v>7392</v>
                </pt>
                <pt idx="111">
                  <v>9051</v>
                </pt>
                <pt idx="112">
                  <v>6828</v>
                </pt>
                <pt idx="113">
                  <v>6766</v>
                </pt>
                <pt idx="114">
                  <v>7049</v>
                </pt>
                <pt idx="115">
                  <v>8570</v>
                </pt>
                <pt idx="116">
                  <v>8825</v>
                </pt>
                <pt idx="117">
                  <v>7941</v>
                </pt>
                <pt idx="118">
                  <v>6114</v>
                </pt>
                <pt idx="119">
                  <v>2127</v>
                </pt>
                <pt idx="120">
                  <v>2657</v>
                </pt>
                <pt idx="121">
                  <v>1381</v>
                </pt>
                <pt idx="122">
                  <v>-1920</v>
                </pt>
                <pt idx="123">
                  <v>-2651</v>
                </pt>
                <pt idx="124">
                  <v>-3216</v>
                </pt>
                <pt idx="125">
                  <v>-3173</v>
                </pt>
                <pt idx="126">
                  <v>-1948</v>
                </pt>
                <pt idx="127">
                  <v>-1561</v>
                </pt>
                <pt idx="128">
                  <v>-3962</v>
                </pt>
                <pt idx="129">
                  <v>-3961</v>
                </pt>
                <pt idx="130">
                  <v>-2702</v>
                </pt>
                <pt idx="131">
                  <v>-1593</v>
                </pt>
                <pt idx="132">
                  <v>-1509</v>
                </pt>
                <pt idx="133">
                  <v>-1832</v>
                </pt>
                <pt idx="134">
                  <v>-1696</v>
                </pt>
                <pt idx="135">
                  <v>-784</v>
                </pt>
                <pt idx="136">
                  <v>-877</v>
                </pt>
                <pt idx="137">
                  <v>-1962</v>
                </pt>
                <pt idx="138">
                  <v>-1822</v>
                </pt>
                <pt idx="139">
                  <v>-2027</v>
                </pt>
                <pt idx="140">
                  <v>-1906</v>
                </pt>
                <pt idx="141">
                  <v>-647</v>
                </pt>
                <pt idx="142">
                  <v>-1326</v>
                </pt>
                <pt idx="143">
                  <v>-1550</v>
                </pt>
                <pt idx="144">
                  <v>-1316</v>
                </pt>
                <pt idx="145">
                  <v>1227</v>
                </pt>
                <pt idx="146">
                  <v>1671</v>
                </pt>
                <pt idx="147">
                  <v>1833</v>
                </pt>
                <pt idx="148">
                  <v>2797</v>
                </pt>
                <pt idx="149">
                  <v>1903</v>
                </pt>
                <pt idx="150">
                  <v>673</v>
                </pt>
                <pt idx="151">
                  <v>3719</v>
                </pt>
                <pt idx="152">
                  <v>4443</v>
                </pt>
                <pt idx="153">
                  <v>5067</v>
                </pt>
                <pt idx="154">
                  <v>6974</v>
                </pt>
                <pt idx="155">
                  <v>1955</v>
                </pt>
                <pt idx="156">
                  <v>3185</v>
                </pt>
                <pt idx="157">
                  <v>3148</v>
                </pt>
                <pt idx="158">
                  <v>2838</v>
                </pt>
                <pt idx="159">
                  <v>1200</v>
                </pt>
                <pt idx="160">
                  <v>1666</v>
                </pt>
                <pt idx="161">
                  <v>1702</v>
                </pt>
                <pt idx="162">
                  <v>-208</v>
                </pt>
                <pt idx="163">
                  <v>-520</v>
                </pt>
                <pt idx="164">
                  <v>-28</v>
                </pt>
                <pt idx="165">
                  <v>-305</v>
                </pt>
                <pt idx="166">
                  <v>-148</v>
                </pt>
                <pt idx="167">
                  <v>0</v>
                </pt>
                <pt idx="168">
                  <v>0</v>
                </pt>
                <pt idx="169">
                  <v>-230</v>
                </pt>
                <pt idx="170">
                  <v>-253</v>
                </pt>
                <pt idx="171">
                  <v>0</v>
                </pt>
                <pt idx="172">
                  <v>-1588</v>
                </pt>
                <pt idx="173">
                  <v>-823</v>
                </pt>
                <pt idx="174">
                  <v>2268</v>
                </pt>
                <pt idx="175">
                  <v>2637</v>
                </pt>
                <pt idx="176">
                  <v>2532</v>
                </pt>
                <pt idx="177">
                  <v>2797</v>
                </pt>
                <pt idx="178">
                  <v>3706</v>
                </pt>
                <pt idx="179">
                  <v>4890</v>
                </pt>
                <pt idx="180">
                  <v>5679</v>
                </pt>
                <pt idx="181">
                  <v>5403</v>
                </pt>
                <pt idx="182">
                  <v>6926</v>
                </pt>
                <pt idx="183">
                  <v>5403</v>
                </pt>
                <pt idx="184">
                  <v>4649</v>
                </pt>
                <pt idx="185">
                  <v>4889</v>
                </pt>
                <pt idx="186">
                  <v>4808</v>
                </pt>
                <pt idx="187">
                  <v>5581</v>
                </pt>
                <pt idx="188">
                  <v>6106</v>
                </pt>
                <pt idx="189">
                  <v>5514</v>
                </pt>
                <pt idx="190">
                  <v>5620</v>
                </pt>
                <pt idx="191">
                  <v>5198</v>
                </pt>
                <pt idx="192">
                  <v>3425</v>
                </pt>
                <pt idx="193">
                  <v>2491</v>
                </pt>
                <pt idx="194">
                  <v>2999</v>
                </pt>
                <pt idx="195">
                  <v>202</v>
                </pt>
                <pt idx="196">
                  <v>417</v>
                </pt>
                <pt idx="197">
                  <v>1260</v>
                </pt>
                <pt idx="198">
                  <v>127</v>
                </pt>
                <pt idx="199">
                  <v>-1358</v>
                </pt>
                <pt idx="200">
                  <v>-2190</v>
                </pt>
                <pt idx="201">
                  <v>-1919</v>
                </pt>
                <pt idx="202">
                  <v>-313</v>
                </pt>
                <pt idx="203">
                  <v>0</v>
                </pt>
                <pt idx="204">
                  <v>223</v>
                </pt>
                <pt idx="205">
                  <v>3593</v>
                </pt>
                <pt idx="206">
                  <v>764</v>
                </pt>
                <pt idx="207">
                  <v>-200</v>
                </pt>
                <pt idx="208">
                  <v>-322</v>
                </pt>
                <pt idx="209">
                  <v>-322</v>
                </pt>
                <pt idx="210">
                  <v>284</v>
                </pt>
                <pt idx="211">
                  <v>1496</v>
                </pt>
                <pt idx="212">
                  <v>284</v>
                </pt>
                <pt idx="213">
                  <v>64</v>
                </pt>
                <pt idx="214">
                  <v>-740</v>
                </pt>
                <pt idx="215">
                  <v>924</v>
                </pt>
                <pt idx="216">
                  <v>6004</v>
                </pt>
                <pt idx="217">
                  <v>1930</v>
                </pt>
                <pt idx="218">
                  <v>997</v>
                </pt>
                <pt idx="219">
                  <v>211</v>
                </pt>
                <pt idx="220">
                  <v>171</v>
                </pt>
                <pt idx="221">
                  <v>171</v>
                </pt>
                <pt idx="222">
                  <v>-20</v>
                </pt>
                <pt idx="223">
                  <v>-3796</v>
                </pt>
                <pt idx="224">
                  <v>-3806</v>
                </pt>
                <pt idx="225">
                  <v>-4293</v>
                </pt>
                <pt idx="226">
                  <v>-5296</v>
                </pt>
                <pt idx="227">
                  <v>-5872</v>
                </pt>
                <pt idx="228">
                  <v>-5608</v>
                </pt>
                <pt idx="229">
                  <v>-2134</v>
                </pt>
                <pt idx="230">
                  <v>351</v>
                </pt>
                <pt idx="231">
                  <v>1198</v>
                </pt>
                <pt idx="232">
                  <v>1569</v>
                </pt>
                <pt idx="233">
                  <v>895</v>
                </pt>
                <pt idx="234">
                  <v>254</v>
                </pt>
                <pt idx="235">
                  <v>-745</v>
                </pt>
                <pt idx="236">
                  <v>-488</v>
                </pt>
                <pt idx="237">
                  <v>-489</v>
                </pt>
                <pt idx="238">
                  <v>-703</v>
                </pt>
                <pt idx="239">
                  <v>-57</v>
                </pt>
                <pt idx="240">
                  <v>-490</v>
                </pt>
                <pt idx="241">
                  <v>-662</v>
                </pt>
                <pt idx="242">
                  <v>-5078</v>
                </pt>
                <pt idx="243">
                  <v>-6631</v>
                </pt>
                <pt idx="244">
                  <v>-6048</v>
                </pt>
                <pt idx="245">
                  <v>-7466</v>
                </pt>
                <pt idx="246">
                  <v>-6826</v>
                </pt>
                <pt idx="247">
                  <v>-7144</v>
                </pt>
                <pt idx="248">
                  <v>-8099</v>
                </pt>
                <pt idx="249">
                  <v>-8703</v>
                </pt>
                <pt idx="250">
                  <v>-8461</v>
                </pt>
                <pt idx="251">
                  <v>-7270</v>
                </pt>
                <pt idx="252">
                  <v>-5599</v>
                </pt>
                <pt idx="253">
                  <v>-6017</v>
                </pt>
                <pt idx="254">
                  <v>-5457</v>
                </pt>
                <pt idx="255">
                  <v>-4392</v>
                </pt>
                <pt idx="256">
                  <v>-5734</v>
                </pt>
                <pt idx="257">
                  <v>-6658</v>
                </pt>
                <pt idx="258">
                  <v>-8604</v>
                </pt>
                <pt idx="259">
                  <v>-8868</v>
                </pt>
                <pt idx="260">
                  <v>-8828</v>
                </pt>
                <pt idx="261">
                  <v>-7774</v>
                </pt>
                <pt idx="262">
                  <v>-5369</v>
                </pt>
                <pt idx="263">
                  <v>-6200</v>
                </pt>
                <pt idx="264">
                  <v>-9175</v>
                </pt>
                <pt idx="265">
                  <v>-8508</v>
                </pt>
                <pt idx="266">
                  <v>-8162</v>
                </pt>
                <pt idx="267">
                  <v>-7924</v>
                </pt>
                <pt idx="268">
                  <v>-7752</v>
                </pt>
                <pt idx="269">
                  <v>-7837</v>
                </pt>
                <pt idx="270">
                  <v>-8075</v>
                </pt>
                <pt idx="271">
                  <v>-8604</v>
                </pt>
                <pt idx="272">
                  <v>-7966</v>
                </pt>
                <pt idx="273">
                  <v>-7956</v>
                </pt>
                <pt idx="274">
                  <v>-8833</v>
                </pt>
                <pt idx="275">
                  <v>-8868</v>
                </pt>
                <pt idx="276">
                  <v>-6204</v>
                </pt>
                <pt idx="277">
                  <v>-3862</v>
                </pt>
                <pt idx="278">
                  <v>-1017</v>
                </pt>
                <pt idx="279">
                  <v>-1795</v>
                </pt>
                <pt idx="280">
                  <v>-2179</v>
                </pt>
                <pt idx="281">
                  <v>-1884</v>
                </pt>
                <pt idx="282">
                  <v>-1173</v>
                </pt>
                <pt idx="283">
                  <v>-3270</v>
                </pt>
                <pt idx="284">
                  <v>-3482</v>
                </pt>
                <pt idx="285">
                  <v>-3270</v>
                </pt>
                <pt idx="286">
                  <v>-2764</v>
                </pt>
                <pt idx="287">
                  <v>-3332</v>
                </pt>
                <pt idx="288">
                  <v>-6050</v>
                </pt>
                <pt idx="289">
                  <v>-6814</v>
                </pt>
                <pt idx="290">
                  <v>-7053</v>
                </pt>
                <pt idx="291">
                  <v>-7405</v>
                </pt>
                <pt idx="292">
                  <v>-7771</v>
                </pt>
                <pt idx="293">
                  <v>-8906</v>
                </pt>
                <pt idx="294">
                  <v>-8319</v>
                </pt>
                <pt idx="295">
                  <v>-8628</v>
                </pt>
                <pt idx="296">
                  <v>-7939</v>
                </pt>
                <pt idx="297">
                  <v>-9109</v>
                </pt>
                <pt idx="298">
                  <v>-5707</v>
                </pt>
                <pt idx="299">
                  <v>-4680</v>
                </pt>
                <pt idx="300">
                  <v>-3920</v>
                </pt>
                <pt idx="301">
                  <v>-3381</v>
                </pt>
                <pt idx="302">
                  <v>-1946</v>
                </pt>
                <pt idx="303">
                  <v>-2408</v>
                </pt>
                <pt idx="304">
                  <v>-2384</v>
                </pt>
                <pt idx="305">
                  <v>-2830</v>
                </pt>
                <pt idx="306">
                  <v>-2995</v>
                </pt>
                <pt idx="307">
                  <v>-6413</v>
                </pt>
                <pt idx="308">
                  <v>-8624</v>
                </pt>
                <pt idx="309">
                  <v>-8168</v>
                </pt>
                <pt idx="310">
                  <v>-7236</v>
                </pt>
                <pt idx="311">
                  <v>-6232</v>
                </pt>
                <pt idx="312">
                  <v>-4034</v>
                </pt>
                <pt idx="313">
                  <v>-3827</v>
                </pt>
                <pt idx="314">
                  <v>-842</v>
                </pt>
                <pt idx="315">
                  <v>2671</v>
                </pt>
                <pt idx="316">
                  <v>2671</v>
                </pt>
                <pt idx="317">
                  <v>2402</v>
                </pt>
                <pt idx="318">
                  <v>3214</v>
                </pt>
                <pt idx="319">
                  <v>3812</v>
                </pt>
                <pt idx="320">
                  <v>4377</v>
                </pt>
                <pt idx="321">
                  <v>3805</v>
                </pt>
                <pt idx="322">
                  <v>2846</v>
                </pt>
                <pt idx="323">
                  <v>257</v>
                </pt>
                <pt idx="324">
                  <v>758</v>
                </pt>
                <pt idx="325">
                  <v>-779</v>
                </pt>
                <pt idx="326">
                  <v>-591</v>
                </pt>
                <pt idx="327">
                  <v>900</v>
                </pt>
                <pt idx="328">
                  <v>900</v>
                </pt>
                <pt idx="329">
                  <v>900</v>
                </pt>
                <pt idx="330">
                  <v>419</v>
                </pt>
                <pt idx="331">
                  <v>8032</v>
                </pt>
                <pt idx="332">
                  <v>7102</v>
                </pt>
                <pt idx="333">
                  <v>5741</v>
                </pt>
                <pt idx="334">
                  <v>-128</v>
                </pt>
                <pt idx="335">
                  <v>898</v>
                </pt>
                <pt idx="336">
                  <v>1698</v>
                </pt>
                <pt idx="337">
                  <v>2622</v>
                </pt>
                <pt idx="338">
                  <v>1118</v>
                </pt>
                <pt idx="339">
                  <v>2565</v>
                </pt>
                <pt idx="340">
                  <v>1198</v>
                </pt>
                <pt idx="341">
                  <v>7666</v>
                </pt>
                <pt idx="342">
                  <v>15853</v>
                </pt>
                <pt idx="343">
                  <v>18553</v>
                </pt>
                <pt idx="344">
                  <v>20329</v>
                </pt>
                <pt idx="345">
                  <v>19619</v>
                </pt>
                <pt idx="346">
                  <v>14325</v>
                </pt>
                <pt idx="347">
                  <v>9210</v>
                </pt>
                <pt idx="348">
                  <v>5673</v>
                </pt>
                <pt idx="349">
                  <v>7062</v>
                </pt>
                <pt idx="350">
                  <v>7244</v>
                </pt>
                <pt idx="351">
                  <v>7330</v>
                </pt>
                <pt idx="352">
                  <v>9659</v>
                </pt>
                <pt idx="353">
                  <v>11422</v>
                </pt>
                <pt idx="354">
                  <v>1474</v>
                </pt>
                <pt idx="355">
                  <v>-214</v>
                </pt>
                <pt idx="356">
                  <v>140</v>
                </pt>
                <pt idx="357">
                  <v>-556</v>
                </pt>
                <pt idx="358">
                  <v>-698</v>
                </pt>
                <pt idx="359">
                  <v>-9578</v>
                </pt>
                <pt idx="360">
                  <v>-10202</v>
                </pt>
                <pt idx="361">
                  <v>-8999</v>
                </pt>
                <pt idx="362">
                  <v>-3909</v>
                </pt>
                <pt idx="363">
                  <v>-3727</v>
                </pt>
                <pt idx="364">
                  <v>-980</v>
                </pt>
                <pt idx="365">
                  <v>1595</v>
                </pt>
                <pt idx="366">
                  <v>2067</v>
                </pt>
                <pt idx="367">
                  <v>-994</v>
                </pt>
                <pt idx="368">
                  <v>1677</v>
                </pt>
                <pt idx="369">
                  <v>-1747</v>
                </pt>
                <pt idx="370">
                  <v>-2886</v>
                </pt>
                <pt idx="371">
                  <v>-2011</v>
                </pt>
                <pt idx="372">
                  <v>-2920</v>
                </pt>
                <pt idx="373">
                  <v>-4723</v>
                </pt>
                <pt idx="374">
                  <v>-7275</v>
                </pt>
                <pt idx="375">
                  <v>-7381</v>
                </pt>
                <pt idx="376">
                  <v>-5165</v>
                </pt>
                <pt idx="377">
                  <v>-4713</v>
                </pt>
                <pt idx="378">
                  <v>6279</v>
                </pt>
                <pt idx="379">
                  <v>9140</v>
                </pt>
                <pt idx="380">
                  <v>17309</v>
                </pt>
                <pt idx="381">
                  <v>15399</v>
                </pt>
                <pt idx="382">
                  <v>-3012</v>
                </pt>
                <pt idx="383">
                  <v>-3098</v>
                </pt>
                <pt idx="384">
                  <v>-4947</v>
                </pt>
                <pt idx="385">
                  <v>-5025</v>
                </pt>
                <pt idx="386">
                  <v>-7213</v>
                </pt>
                <pt idx="387">
                  <v>-7703</v>
                </pt>
                <pt idx="388">
                  <v>-8421</v>
                </pt>
                <pt idx="389">
                  <v>-8307</v>
                </pt>
                <pt idx="390">
                  <v>-7848</v>
                </pt>
                <pt idx="391">
                  <v>-7568</v>
                </pt>
                <pt idx="392">
                  <v>-8015</v>
                </pt>
                <pt idx="393">
                  <v>-8965</v>
                </pt>
                <pt idx="394">
                  <v>-8292</v>
                </pt>
                <pt idx="395">
                  <v>-9583</v>
                </pt>
                <pt idx="396">
                  <v>-8048</v>
                </pt>
                <pt idx="397">
                  <v>-5768</v>
                </pt>
                <pt idx="398">
                  <v>-5283</v>
                </pt>
                <pt idx="399">
                  <v>-4782</v>
                </pt>
                <pt idx="400">
                  <v>-5438</v>
                </pt>
                <pt idx="401">
                  <v>-3879</v>
                </pt>
                <pt idx="412">
                  <v>-2507</v>
                </pt>
                <pt idx="413">
                  <v>-2722</v>
                </pt>
                <pt idx="414">
                  <v>-3554</v>
                </pt>
                <pt idx="416">
                  <v>-3422</v>
                </pt>
                <pt idx="417">
                  <v>-3613</v>
                </pt>
                <pt idx="418">
                  <v>-3490</v>
                </pt>
                <pt idx="419">
                  <v>-3201</v>
                </pt>
                <pt idx="420">
                  <v>-1728</v>
                </pt>
                <pt idx="421">
                  <v>-2146</v>
                </pt>
                <pt idx="422">
                  <v>-2616</v>
                </pt>
                <pt idx="423">
                  <v>-1741</v>
                </pt>
                <pt idx="424">
                  <v>-2270</v>
                </pt>
                <pt idx="425">
                  <v>-773</v>
                </pt>
                <pt idx="426">
                  <v>660</v>
                </pt>
                <pt idx="427">
                  <v>670</v>
                </pt>
                <pt idx="430">
                  <v>3046</v>
                </pt>
                <pt idx="431">
                  <v>3332</v>
                </pt>
                <pt idx="432">
                  <v>3259</v>
                </pt>
                <pt idx="433">
                  <v>2837</v>
                </pt>
                <pt idx="434">
                  <v>1874</v>
                </pt>
                <pt idx="435">
                  <v>1831</v>
                </pt>
                <pt idx="436">
                  <v>312</v>
                </pt>
                <pt idx="437">
                  <v>-1215</v>
                </pt>
                <pt idx="438">
                  <v>-1401</v>
                </pt>
                <pt idx="439">
                  <v>-1537</v>
                </pt>
                <pt idx="440">
                  <v>-1488</v>
                </pt>
                <pt idx="441">
                  <v>-3168</v>
                </pt>
                <pt idx="442">
                  <v>-2628</v>
                </pt>
                <pt idx="443">
                  <v>-3132</v>
                </pt>
                <pt idx="444">
                  <v>-3645</v>
                </pt>
                <pt idx="445">
                  <v>-3069</v>
                </pt>
                <pt idx="446">
                  <v>-1223</v>
                </pt>
                <pt idx="447">
                  <v>-785</v>
                </pt>
                <pt idx="448">
                  <v>-744</v>
                </pt>
                <pt idx="449">
                  <v>-1359</v>
                </pt>
                <pt idx="450">
                  <v>1508</v>
                </pt>
                <pt idx="451">
                  <v>616</v>
                </pt>
                <pt idx="452">
                  <v>843</v>
                </pt>
                <pt idx="453">
                  <v>79</v>
                </pt>
                <pt idx="456">
                  <v>-711</v>
                </pt>
                <pt idx="457">
                  <v>-525</v>
                </pt>
                <pt idx="458">
                  <v>-1853</v>
                </pt>
                <pt idx="459">
                  <v>-1158</v>
                </pt>
                <pt idx="460">
                  <v>-767</v>
                </pt>
                <pt idx="461">
                  <v>-590</v>
                </pt>
                <pt idx="462">
                  <v>-118</v>
                </pt>
                <pt idx="463">
                  <v>4724</v>
                </pt>
                <pt idx="464">
                  <v>3986</v>
                </pt>
                <pt idx="465">
                  <v>3933</v>
                </pt>
                <pt idx="466">
                  <v>3703</v>
                </pt>
                <pt idx="467">
                  <v>-1830</v>
                </pt>
                <pt idx="468">
                  <v>-1816</v>
                </pt>
                <pt idx="469">
                  <v>-1205</v>
                </pt>
                <pt idx="470">
                  <v>-2512</v>
                </pt>
                <pt idx="471">
                  <v>-942</v>
                </pt>
                <pt idx="472">
                  <v>-647</v>
                </pt>
                <pt idx="473">
                  <v>540</v>
                </pt>
                <pt idx="474">
                  <v>996</v>
                </pt>
                <pt idx="475">
                  <v>12</v>
                </pt>
                <pt idx="476">
                  <v>3301</v>
                </pt>
                <pt idx="477">
                  <v>3209</v>
                </pt>
                <pt idx="478">
                  <v>2136</v>
                </pt>
                <pt idx="479">
                  <v>-78</v>
                </pt>
                <pt idx="486">
                  <v>977</v>
                </pt>
                <pt idx="487">
                  <v>386</v>
                </pt>
                <pt idx="488">
                  <v>-2837</v>
                </pt>
                <pt idx="490">
                  <v>85</v>
                </pt>
                <pt idx="492">
                  <v>5426</v>
                </pt>
                <pt idx="493">
                  <v>6875</v>
                </pt>
                <pt idx="494">
                  <v>12260</v>
                </pt>
                <pt idx="495">
                  <v>14303</v>
                </pt>
                <pt idx="496">
                  <v>24037</v>
                </pt>
                <pt idx="497">
                  <v>17167</v>
                </pt>
                <pt idx="498">
                  <v>19351</v>
                </pt>
                <pt idx="499">
                  <v>16621</v>
                </pt>
                <pt idx="500">
                  <v>15329</v>
                </pt>
                <pt idx="501">
                  <v>11337</v>
                </pt>
                <pt idx="502">
                  <v>8071</v>
                </pt>
                <pt idx="503">
                  <v>11822</v>
                </pt>
                <pt idx="504">
                  <v>14029</v>
                </pt>
                <pt idx="505">
                  <v>11349</v>
                </pt>
                <pt idx="506">
                  <v>8436</v>
                </pt>
                <pt idx="507">
                  <v>6562</v>
                </pt>
                <pt idx="508">
                  <v>6222</v>
                </pt>
                <pt idx="509">
                  <v>6337</v>
                </pt>
                <pt idx="510">
                  <v>4379</v>
                </pt>
                <pt idx="511">
                  <v>749</v>
                </pt>
                <pt idx="513">
                  <v>1111</v>
                </pt>
                <pt idx="514">
                  <v>1191</v>
                </pt>
                <pt idx="515">
                  <v>553</v>
                </pt>
                <pt idx="516">
                  <v>-90</v>
                </pt>
                <pt idx="517">
                  <v>167</v>
                </pt>
                <pt idx="518">
                  <v>524</v>
                </pt>
                <pt idx="521">
                  <v>2342</v>
                </pt>
                <pt idx="522">
                  <v>5845</v>
                </pt>
                <pt idx="523">
                  <v>5242</v>
                </pt>
                <pt idx="524">
                  <v>9971</v>
                </pt>
                <pt idx="525">
                  <v>12614</v>
                </pt>
                <pt idx="526">
                  <v>17716</v>
                </pt>
                <pt idx="527">
                  <v>17738</v>
                </pt>
                <pt idx="528">
                  <v>17300</v>
                </pt>
                <pt idx="529">
                  <v>15411</v>
                </pt>
                <pt idx="530">
                  <v>13508</v>
                </pt>
                <pt idx="531">
                  <v>11373</v>
                </pt>
                <pt idx="532">
                  <v>14511</v>
                </pt>
                <pt idx="533">
                  <v>12508</v>
                </pt>
                <pt idx="534">
                  <v>10920</v>
                </pt>
                <pt idx="535">
                  <v>19339</v>
                </pt>
                <pt idx="536">
                  <v>19983</v>
                </pt>
                <pt idx="537">
                  <v>19357</v>
                </pt>
                <pt idx="538">
                  <v>19938</v>
                </pt>
                <pt idx="539">
                  <v>22850</v>
                </pt>
                <pt idx="540">
                  <v>19635</v>
                </pt>
                <pt idx="541">
                  <v>18083</v>
                </pt>
                <pt idx="542">
                  <v>18030</v>
                </pt>
                <pt idx="543">
                  <v>18155</v>
                </pt>
                <pt idx="544">
                  <v>17998</v>
                </pt>
                <pt idx="545">
                  <v>9869</v>
                </pt>
                <pt idx="546">
                  <v>6153</v>
                </pt>
                <pt idx="547">
                  <v>6016</v>
                </pt>
                <pt idx="548">
                  <v>6806</v>
                </pt>
                <pt idx="549">
                  <v>10954</v>
                </pt>
                <pt idx="550">
                  <v>13782</v>
                </pt>
                <pt idx="551">
                  <v>14806</v>
                </pt>
                <pt idx="552">
                  <v>14558</v>
                </pt>
                <pt idx="553">
                  <v>14660</v>
                </pt>
                <pt idx="554">
                  <v>12942</v>
                </pt>
                <pt idx="555">
                  <v>11456</v>
                </pt>
                <pt idx="556">
                  <v>13719</v>
                </pt>
                <pt idx="557">
                  <v>12907</v>
                </pt>
                <pt idx="558">
                  <v>10956</v>
                </pt>
                <pt idx="559">
                  <v>12800</v>
                </pt>
                <pt idx="560">
                  <v>15224</v>
                </pt>
                <pt idx="561">
                  <v>14175</v>
                </pt>
                <pt idx="562">
                  <v>12233</v>
                </pt>
                <pt idx="563">
                  <v>11621</v>
                </pt>
                <pt idx="564">
                  <v>12207</v>
                </pt>
                <pt idx="565">
                  <v>11385</v>
                </pt>
                <pt idx="566">
                  <v>10578</v>
                </pt>
                <pt idx="567">
                  <v>10320</v>
                </pt>
                <pt idx="568">
                  <v>6499</v>
                </pt>
                <pt idx="569">
                  <v>4703</v>
                </pt>
                <pt idx="570">
                  <v>3434</v>
                </pt>
                <pt idx="571">
                  <v>9897</v>
                </pt>
                <pt idx="572">
                  <v>9845</v>
                </pt>
                <pt idx="573">
                  <v>11419</v>
                </pt>
                <pt idx="574">
                  <v>16743</v>
                </pt>
                <pt idx="575">
                  <v>18122</v>
                </pt>
                <pt idx="576">
                  <v>20390</v>
                </pt>
                <pt idx="577">
                  <v>22156</v>
                </pt>
                <pt idx="578">
                  <v>25320</v>
                </pt>
                <pt idx="579">
                  <v>24735</v>
                </pt>
                <pt idx="580">
                  <v>26190</v>
                </pt>
                <pt idx="581">
                  <v>25234</v>
                </pt>
                <pt idx="582">
                  <v>26431</v>
                </pt>
                <pt idx="583">
                  <v>25647</v>
                </pt>
                <pt idx="584">
                  <v>25179</v>
                </pt>
                <pt idx="585">
                  <v>27325</v>
                </pt>
                <pt idx="586">
                  <v>26121</v>
                </pt>
                <pt idx="587">
                  <v>24507</v>
                </pt>
                <pt idx="588">
                  <v>25356</v>
                </pt>
                <pt idx="589">
                  <v>25571</v>
                </pt>
                <pt idx="590">
                  <v>25370</v>
                </pt>
                <pt idx="591">
                  <v>20278</v>
                </pt>
                <pt idx="592">
                  <v>21913</v>
                </pt>
                <pt idx="593">
                  <v>29095</v>
                </pt>
                <pt idx="594">
                  <v>21347</v>
                </pt>
                <pt idx="595">
                  <v>16422</v>
                </pt>
                <pt idx="596">
                  <v>10485</v>
                </pt>
                <pt idx="597">
                  <v>3836</v>
                </pt>
                <pt idx="598">
                  <v>2966</v>
                </pt>
                <pt idx="599">
                  <v>4172</v>
                </pt>
                <pt idx="600">
                  <v>10367</v>
                </pt>
                <pt idx="601">
                  <v>11426</v>
                </pt>
                <pt idx="602">
                  <v>3246</v>
                </pt>
                <pt idx="603">
                  <v>3133</v>
                </pt>
                <pt idx="604">
                  <v>2186</v>
                </pt>
                <pt idx="605">
                  <v>-2842</v>
                </pt>
                <pt idx="606">
                  <v>-1775</v>
                </pt>
                <pt idx="607">
                  <v>-4280</v>
                </pt>
                <pt idx="608">
                  <v>-5063</v>
                </pt>
                <pt idx="609">
                  <v>-4069</v>
                </pt>
                <pt idx="610">
                  <v>-910</v>
                </pt>
                <pt idx="611">
                  <v>-1132</v>
                </pt>
                <pt idx="612">
                  <v>1704</v>
                </pt>
                <pt idx="613">
                  <v>2190</v>
                </pt>
                <pt idx="614">
                  <v>7669</v>
                </pt>
                <pt idx="615">
                  <v>10106</v>
                </pt>
                <pt idx="616">
                  <v>2649</v>
                </pt>
                <pt idx="617">
                  <v>6460</v>
                </pt>
                <pt idx="618">
                  <v>7113</v>
                </pt>
                <pt idx="619">
                  <v>8179</v>
                </pt>
                <pt idx="620">
                  <v>7279</v>
                </pt>
                <pt idx="621">
                  <v>4738</v>
                </pt>
                <pt idx="622">
                  <v>-663</v>
                </pt>
                <pt idx="624">
                  <v>813</v>
                </pt>
                <pt idx="625">
                  <v>7085</v>
                </pt>
                <pt idx="626">
                  <v>16900</v>
                </pt>
                <pt idx="627">
                  <v>24203</v>
                </pt>
                <pt idx="628">
                  <v>22509</v>
                </pt>
                <pt idx="629">
                  <v>28530</v>
                </pt>
                <pt idx="630">
                  <v>28990</v>
                </pt>
                <pt idx="631">
                  <v>32390</v>
                </pt>
                <pt idx="632">
                  <v>34603</v>
                </pt>
                <pt idx="633">
                  <v>30629</v>
                </pt>
                <pt idx="634">
                  <v>30974</v>
                </pt>
                <pt idx="635">
                  <v>34243</v>
                </pt>
                <pt idx="636">
                  <v>29561</v>
                </pt>
                <pt idx="637">
                  <v>29004</v>
                </pt>
                <pt idx="638">
                  <v>30257</v>
                </pt>
                <pt idx="639">
                  <v>30613</v>
                </pt>
                <pt idx="640">
                  <v>25977</v>
                </pt>
                <pt idx="641">
                  <v>27215</v>
                </pt>
                <pt idx="642">
                  <v>30903</v>
                </pt>
                <pt idx="643">
                  <v>35784</v>
                </pt>
                <pt idx="644">
                  <v>27599</v>
                </pt>
                <pt idx="645">
                  <v>36699</v>
                </pt>
                <pt idx="646">
                  <v>45970</v>
                </pt>
                <pt idx="647">
                  <v>55379</v>
                </pt>
                <pt idx="648">
                  <v>51953</v>
                </pt>
                <pt idx="649">
                  <v>54141</v>
                </pt>
                <pt idx="650">
                  <v>54991</v>
                </pt>
                <pt idx="651">
                  <v>26624</v>
                </pt>
                <pt idx="652">
                  <v>21086</v>
                </pt>
                <pt idx="653">
                  <v>25423</v>
                </pt>
                <pt idx="654">
                  <v>18323</v>
                </pt>
                <pt idx="655">
                  <v>27294</v>
                </pt>
                <pt idx="656">
                  <v>29365</v>
                </pt>
                <pt idx="657">
                  <v>30826</v>
                </pt>
                <pt idx="658">
                  <v>15235</v>
                </pt>
                <pt idx="659">
                  <v>13307</v>
                </pt>
                <pt idx="660">
                  <v>5924</v>
                </pt>
                <pt idx="661">
                  <v>12849</v>
                </pt>
                <pt idx="662">
                  <v>15259</v>
                </pt>
                <pt idx="663">
                  <v>33395</v>
                </pt>
                <pt idx="664">
                  <v>22974</v>
                </pt>
                <pt idx="665">
                  <v>8570</v>
                </pt>
                <pt idx="666">
                  <v>8556</v>
                </pt>
                <pt idx="667">
                  <v>6756</v>
                </pt>
                <pt idx="668">
                  <v>17343</v>
                </pt>
                <pt idx="669">
                  <v>17317</v>
                </pt>
                <pt idx="670">
                  <v>28018</v>
                </pt>
                <pt idx="671">
                  <v>26304</v>
                </pt>
                <pt idx="672">
                  <v>11870</v>
                </pt>
                <pt idx="673">
                  <v>10865</v>
                </pt>
                <pt idx="674">
                  <v>19333</v>
                </pt>
                <pt idx="675">
                  <v>33242</v>
                </pt>
                <pt idx="676">
                  <v>36201</v>
                </pt>
                <pt idx="677">
                  <v>22945</v>
                </pt>
                <pt idx="678">
                  <v>28870</v>
                </pt>
                <pt idx="679">
                  <v>16928</v>
                </pt>
                <pt idx="680">
                  <v>11062</v>
                </pt>
                <pt idx="681">
                  <v>7914</v>
                </pt>
                <pt idx="682">
                  <v>4036</v>
                </pt>
                <pt idx="683">
                  <v>4071</v>
                </pt>
                <pt idx="684">
                  <v>193</v>
                </pt>
                <pt idx="685">
                  <v>749</v>
                </pt>
                <pt idx="686">
                  <v>5742</v>
                </pt>
                <pt idx="687">
                  <v>15712</v>
                </pt>
                <pt idx="688">
                  <v>20282</v>
                </pt>
                <pt idx="689">
                  <v>7909</v>
                </pt>
                <pt idx="690">
                  <v>904</v>
                </pt>
                <pt idx="691">
                  <v>7110</v>
                </pt>
                <pt idx="692">
                  <v>21734</v>
                </pt>
                <pt idx="693">
                  <v>22709</v>
                </pt>
                <pt idx="694">
                  <v>19376</v>
                </pt>
                <pt idx="695">
                  <v>29258</v>
                </pt>
                <pt idx="696">
                  <v>20781</v>
                </pt>
                <pt idx="697">
                  <v>8051</v>
                </pt>
                <pt idx="698">
                  <v>4001</v>
                </pt>
                <pt idx="699">
                  <v>1375</v>
                </pt>
                <pt idx="700">
                  <v>-2896</v>
                </pt>
                <pt idx="701">
                  <v>1634</v>
                </pt>
                <pt idx="702">
                  <v>-11327</v>
                </pt>
                <pt idx="703">
                  <v>-13332</v>
                </pt>
                <pt idx="704">
                  <v>-5850</v>
                </pt>
                <pt idx="705">
                  <v>6937</v>
                </pt>
                <pt idx="706">
                  <v>11161</v>
                </pt>
                <pt idx="707">
                  <v>7757</v>
                </pt>
                <pt idx="708">
                  <v>21773</v>
                </pt>
                <pt idx="709">
                  <v>28854</v>
                </pt>
                <pt idx="710">
                  <v>30585</v>
                </pt>
                <pt idx="711">
                  <v>16310</v>
                </pt>
                <pt idx="712">
                  <v>26788</v>
                </pt>
                <pt idx="713">
                  <v>13918</v>
                </pt>
                <pt idx="714">
                  <v>11952</v>
                </pt>
                <pt idx="715">
                  <v>-2412</v>
                </pt>
                <pt idx="716">
                  <v>2706</v>
                </pt>
                <pt idx="717">
                  <v>5061</v>
                </pt>
                <pt idx="718">
                  <v>16936</v>
                </pt>
                <pt idx="719">
                  <v>28215</v>
                </pt>
                <pt idx="720">
                  <v>33392</v>
                </pt>
                <pt idx="721">
                  <v>38113</v>
                </pt>
                <pt idx="722">
                  <v>33057</v>
                </pt>
                <pt idx="723">
                  <v>39092</v>
                </pt>
                <pt idx="724">
                  <v>30075</v>
                </pt>
                <pt idx="725">
                  <v>33241</v>
                </pt>
                <pt idx="726">
                  <v>47946</v>
                </pt>
                <pt idx="727">
                  <v>24534</v>
                </pt>
                <pt idx="728">
                  <v>33632</v>
                </pt>
                <pt idx="729">
                  <v>30089</v>
                </pt>
                <pt idx="730">
                  <v>21581</v>
                </pt>
                <pt idx="731">
                  <v>35250</v>
                </pt>
                <pt idx="732">
                  <v>39689</v>
                </pt>
                <pt idx="733">
                  <v>56424</v>
                </pt>
                <pt idx="734">
                  <v>71353</v>
                </pt>
                <pt idx="735">
                  <v>85615</v>
                </pt>
                <pt idx="736">
                  <v>64950</v>
                </pt>
                <pt idx="737">
                  <v>67461</v>
                </pt>
                <pt idx="738">
                  <v>79758</v>
                </pt>
                <pt idx="739">
                  <v>75311</v>
                </pt>
                <pt idx="740">
                  <v>80914</v>
                </pt>
                <pt idx="741">
                  <v>88900</v>
                </pt>
                <pt idx="742">
                  <v>85035</v>
                </pt>
                <pt idx="743">
                  <v>88823</v>
                </pt>
                <pt idx="744">
                  <v>49878</v>
                </pt>
                <pt idx="745">
                  <v>66756</v>
                </pt>
                <pt idx="746">
                  <v>77248</v>
                </pt>
                <pt idx="747">
                  <v>64205</v>
                </pt>
                <pt idx="748">
                  <v>61245</v>
                </pt>
                <pt idx="749">
                  <v>64868</v>
                </pt>
                <pt idx="750">
                  <v>69617</v>
                </pt>
                <pt idx="751">
                  <v>83075</v>
                </pt>
                <pt idx="752">
                  <v>27010</v>
                </pt>
                <pt idx="753">
                  <v>48107</v>
                </pt>
                <pt idx="754">
                  <v>63165</v>
                </pt>
                <pt idx="755">
                  <v>80597</v>
                </pt>
                <pt idx="756">
                  <v>81831</v>
                </pt>
                <pt idx="757">
                  <v>74355</v>
                </pt>
                <pt idx="758">
                  <v>78317</v>
                </pt>
                <pt idx="759">
                  <v>76477</v>
                </pt>
                <pt idx="760">
                  <v>63845</v>
                </pt>
                <pt idx="761">
                  <v>73626</v>
                </pt>
                <pt idx="762">
                  <v>75138</v>
                </pt>
                <pt idx="763">
                  <v>47300</v>
                </pt>
                <pt idx="764">
                  <v>39338</v>
                </pt>
                <pt idx="765">
                  <v>77256</v>
                </pt>
                <pt idx="766">
                  <v>73374</v>
                </pt>
                <pt idx="767">
                  <v>65213</v>
                </pt>
                <pt idx="768">
                  <v>66975</v>
                </pt>
                <pt idx="769">
                  <v>58097</v>
                </pt>
                <pt idx="770">
                  <v>65158</v>
                </pt>
                <pt idx="771">
                  <v>68256</v>
                </pt>
                <pt idx="772">
                  <v>66843</v>
                </pt>
                <pt idx="773">
                  <v>35773</v>
                </pt>
                <pt idx="774">
                  <v>30719</v>
                </pt>
                <pt idx="775">
                  <v>23320</v>
                </pt>
                <pt idx="776">
                  <v>4976</v>
                </pt>
                <pt idx="777">
                  <v>11959</v>
                </pt>
                <pt idx="778">
                  <v>26520</v>
                </pt>
                <pt idx="779">
                  <v>30447</v>
                </pt>
                <pt idx="780">
                  <v>23116</v>
                </pt>
                <pt idx="781">
                  <v>39042</v>
                </pt>
                <pt idx="782">
                  <v>54632</v>
                </pt>
                <pt idx="783">
                  <v>49051</v>
                </pt>
                <pt idx="784">
                  <v>55589</v>
                </pt>
                <pt idx="785">
                  <v>43653</v>
                </pt>
                <pt idx="786">
                  <v>46022</v>
                </pt>
                <pt idx="787">
                  <v>50637</v>
                </pt>
                <pt idx="788">
                  <v>32828</v>
                </pt>
                <pt idx="789">
                  <v>30496</v>
                </pt>
                <pt idx="790">
                  <v>25654</v>
                </pt>
                <pt idx="791">
                  <v>23519</v>
                </pt>
                <pt idx="792">
                  <v>32965</v>
                </pt>
                <pt idx="793">
                  <v>11037</v>
                </pt>
                <pt idx="794">
                  <v>13540</v>
                </pt>
                <pt idx="795">
                  <v>18024</v>
                </pt>
                <pt idx="796">
                  <v>23396</v>
                </pt>
                <pt idx="797">
                  <v>25460</v>
                </pt>
                <pt idx="798">
                  <v>5607</v>
                </pt>
                <pt idx="799">
                  <v>16309</v>
                </pt>
                <pt idx="800">
                  <v>32897</v>
                </pt>
                <pt idx="801">
                  <v>35868</v>
                </pt>
                <pt idx="802">
                  <v>40420</v>
                </pt>
                <pt idx="803">
                  <v>36844</v>
                </pt>
                <pt idx="804">
                  <v>37386</v>
                </pt>
                <pt idx="805">
                  <v>31692</v>
                </pt>
                <pt idx="806">
                  <v>35565</v>
                </pt>
                <pt idx="807">
                  <v>35620</v>
                </pt>
                <pt idx="808">
                  <v>36968</v>
                </pt>
                <pt idx="809">
                  <v>51689</v>
                </pt>
                <pt idx="810">
                  <v>44645</v>
                </pt>
                <pt idx="811">
                  <v>58498</v>
                </pt>
                <pt idx="812">
                  <v>50465</v>
                </pt>
                <pt idx="813">
                  <v>65421</v>
                </pt>
                <pt idx="814">
                  <v>57454</v>
                </pt>
                <pt idx="815">
                  <v>61301</v>
                </pt>
                <pt idx="816">
                  <v>57292</v>
                </pt>
                <pt idx="817">
                  <v>53307</v>
                </pt>
                <pt idx="818">
                  <v>47497</v>
                </pt>
                <pt idx="819">
                  <v>36987</v>
                </pt>
                <pt idx="820">
                  <v>49382</v>
                </pt>
                <pt idx="821">
                  <v>51409</v>
                </pt>
                <pt idx="822">
                  <v>49306</v>
                </pt>
                <pt idx="823">
                  <v>56068</v>
                </pt>
                <pt idx="824">
                  <v>53588</v>
                </pt>
                <pt idx="825">
                  <v>28919</v>
                </pt>
                <pt idx="826">
                  <v>14747</v>
                </pt>
                <pt idx="827">
                  <v>9053</v>
                </pt>
                <pt idx="828">
                  <v>5950</v>
                </pt>
                <pt idx="829">
                  <v>1377</v>
                </pt>
                <pt idx="830">
                  <v>1511</v>
                </pt>
                <pt idx="831">
                  <v>1586</v>
                </pt>
                <pt idx="832">
                  <v>-17026</v>
                </pt>
                <pt idx="833">
                  <v>-19462</v>
                </pt>
                <pt idx="834">
                  <v>-14347</v>
                </pt>
                <pt idx="835">
                  <v>-8347</v>
                </pt>
                <pt idx="836">
                  <v>-6973</v>
                </pt>
                <pt idx="837">
                  <v>-7234</v>
                </pt>
                <pt idx="838">
                  <v>-9819</v>
                </pt>
                <pt idx="839">
                  <v>-5513</v>
                </pt>
                <pt idx="840">
                  <v>-8604</v>
                </pt>
                <pt idx="841">
                  <v>-5790</v>
                </pt>
                <pt idx="842">
                  <v>-8624</v>
                </pt>
                <pt idx="843">
                  <v>-9878</v>
                </pt>
                <pt idx="844">
                  <v>-4452</v>
                </pt>
                <pt idx="845">
                  <v>-4199</v>
                </pt>
                <pt idx="846">
                  <v>-1436</v>
                </pt>
                <pt idx="847">
                  <v>-452</v>
                </pt>
                <pt idx="848">
                  <v>595</v>
                </pt>
                <pt idx="849">
                  <v>-4476</v>
                </pt>
                <pt idx="850">
                  <v>-6115</v>
                </pt>
                <pt idx="851">
                  <v>-3415</v>
                </pt>
                <pt idx="852">
                  <v>-5119</v>
                </pt>
                <pt idx="853">
                  <v>-5848</v>
                </pt>
                <pt idx="854">
                  <v>-7290</v>
                </pt>
                <pt idx="855">
                  <v>-5583</v>
                </pt>
                <pt idx="856">
                  <v>-2786</v>
                </pt>
                <pt idx="857">
                  <v>-3945</v>
                </pt>
                <pt idx="858">
                  <v>-419</v>
                </pt>
                <pt idx="859">
                  <v>8413</v>
                </pt>
                <pt idx="860">
                  <v>11287</v>
                </pt>
                <pt idx="861">
                  <v>18116</v>
                </pt>
                <pt idx="862">
                  <v>20789</v>
                </pt>
                <pt idx="863">
                  <v>17250</v>
                </pt>
                <pt idx="864">
                  <v>16692</v>
                </pt>
                <pt idx="865">
                  <v>23064</v>
                </pt>
                <pt idx="866">
                  <v>28231</v>
                </pt>
                <pt idx="867">
                  <v>29295</v>
                </pt>
                <pt idx="868">
                  <v>32469</v>
                </pt>
                <pt idx="869">
                  <v>30744</v>
                </pt>
                <pt idx="870">
                  <v>31883</v>
                </pt>
                <pt idx="871">
                  <v>32203</v>
                </pt>
                <pt idx="872">
                  <v>29368</v>
                </pt>
                <pt idx="873">
                  <v>34990</v>
                </pt>
                <pt idx="874">
                  <v>31886</v>
                </pt>
                <pt idx="875">
                  <v>25593</v>
                </pt>
                <pt idx="876">
                  <v>38788</v>
                </pt>
                <pt idx="877">
                  <v>43495</v>
                </pt>
                <pt idx="878">
                  <v>46410</v>
                </pt>
                <pt idx="879">
                  <v>48846</v>
                </pt>
                <pt idx="880">
                  <v>44120</v>
                </pt>
                <pt idx="881">
                  <v>48287</v>
                </pt>
                <pt idx="882">
                  <v>41936</v>
                </pt>
                <pt idx="883">
                  <v>48384</v>
                </pt>
                <pt idx="884">
                  <v>48601</v>
                </pt>
                <pt idx="885">
                  <v>51524</v>
                </pt>
                <pt idx="886">
                  <v>47698</v>
                </pt>
                <pt idx="887">
                  <v>50165</v>
                </pt>
                <pt idx="888">
                  <v>52647</v>
                </pt>
                <pt idx="889">
                  <v>53990</v>
                </pt>
                <pt idx="890">
                  <v>52887</v>
                </pt>
                <pt idx="891">
                  <v>50383</v>
                </pt>
                <pt idx="892">
                  <v>47434</v>
                </pt>
                <pt idx="893">
                  <v>46888</v>
                </pt>
                <pt idx="894">
                  <v>43564</v>
                </pt>
                <pt idx="895">
                  <v>48438</v>
                </pt>
                <pt idx="896">
                  <v>46682</v>
                </pt>
                <pt idx="897">
                  <v>40983</v>
                </pt>
                <pt idx="898">
                  <v>32425</v>
                </pt>
                <pt idx="899">
                  <v>36531</v>
                </pt>
                <pt idx="900">
                  <v>47108</v>
                </pt>
                <pt idx="901">
                  <v>59352</v>
                </pt>
                <pt idx="902">
                  <v>62851</v>
                </pt>
                <pt idx="903">
                  <v>45318</v>
                </pt>
                <pt idx="904">
                  <v>33271</v>
                </pt>
                <pt idx="905">
                  <v>27606</v>
                </pt>
                <pt idx="906">
                  <v>27003</v>
                </pt>
                <pt idx="907">
                  <v>38992</v>
                </pt>
                <pt idx="908">
                  <v>48761</v>
                </pt>
                <pt idx="909">
                  <v>61285</v>
                </pt>
                <pt idx="910">
                  <v>63494</v>
                </pt>
                <pt idx="911">
                  <v>74339</v>
                </pt>
                <pt idx="912">
                  <v>69340</v>
                </pt>
                <pt idx="913">
                  <v>73198</v>
                </pt>
                <pt idx="914">
                  <v>80674</v>
                </pt>
                <pt idx="915">
                  <v>78904</v>
                </pt>
                <pt idx="916">
                  <v>66068</v>
                </pt>
                <pt idx="917">
                  <v>56982</v>
                </pt>
                <pt idx="918">
                  <v>49198</v>
                </pt>
                <pt idx="919">
                  <v>38380</v>
                </pt>
                <pt idx="920">
                  <v>19523</v>
                </pt>
                <pt idx="921">
                  <v>15045</v>
                </pt>
                <pt idx="922">
                  <v>8435</v>
                </pt>
                <pt idx="923">
                  <v>12406</v>
                </pt>
                <pt idx="924">
                  <v>11806</v>
                </pt>
                <pt idx="925">
                  <v>12854</v>
                </pt>
                <pt idx="926">
                  <v>7246</v>
                </pt>
                <pt idx="927">
                  <v>23480</v>
                </pt>
                <pt idx="928">
                  <v>32886</v>
                </pt>
                <pt idx="929">
                  <v>40533</v>
                </pt>
                <pt idx="930">
                  <v>48715</v>
                </pt>
                <pt idx="931">
                  <v>54370</v>
                </pt>
                <pt idx="932">
                  <v>57697</v>
                </pt>
                <pt idx="933">
                  <v>47017</v>
                </pt>
                <pt idx="934">
                  <v>43808</v>
                </pt>
                <pt idx="935">
                  <v>56966</v>
                </pt>
                <pt idx="936">
                  <v>56669</v>
                </pt>
                <pt idx="937">
                  <v>64324</v>
                </pt>
                <pt idx="938">
                  <v>69533</v>
                </pt>
                <pt idx="939">
                  <v>69036</v>
                </pt>
                <pt idx="940">
                  <v>67691</v>
                </pt>
                <pt idx="941">
                  <v>59181</v>
                </pt>
                <pt idx="942">
                  <v>55115</v>
                </pt>
                <pt idx="943">
                  <v>51180</v>
                </pt>
                <pt idx="944">
                  <v>47616</v>
                </pt>
                <pt idx="945">
                  <v>36202</v>
                </pt>
                <pt idx="946">
                  <v>28471</v>
                </pt>
                <pt idx="947">
                  <v>26643</v>
                </pt>
                <pt idx="948">
                  <v>43352</v>
                </pt>
                <pt idx="949">
                  <v>53778</v>
                </pt>
                <pt idx="950">
                  <v>60550</v>
                </pt>
                <pt idx="951">
                  <v>64316</v>
                </pt>
                <pt idx="952">
                  <v>62513</v>
                </pt>
                <pt idx="953">
                  <v>53497</v>
                </pt>
                <pt idx="954">
                  <v>53508</v>
                </pt>
                <pt idx="955">
                  <v>45458</v>
                </pt>
                <pt idx="956">
                  <v>60077</v>
                </pt>
                <pt idx="957">
                  <v>71979</v>
                </pt>
                <pt idx="958">
                  <v>65514</v>
                </pt>
                <pt idx="959">
                  <v>66064</v>
                </pt>
                <pt idx="960">
                  <v>71853</v>
                </pt>
                <pt idx="961">
                  <v>73695</v>
                </pt>
                <pt idx="962">
                  <v>47951</v>
                </pt>
                <pt idx="963">
                  <v>51734</v>
                </pt>
                <pt idx="964">
                  <v>85565</v>
                </pt>
                <pt idx="965">
                  <v>90938</v>
                </pt>
                <pt idx="966">
                  <v>90651</v>
                </pt>
                <pt idx="967">
                  <v>84961</v>
                </pt>
                <pt idx="968">
                  <v>80867</v>
                </pt>
                <pt idx="969">
                  <v>73421</v>
                </pt>
                <pt idx="970">
                  <v>60321</v>
                </pt>
                <pt idx="971">
                  <v>50919</v>
                </pt>
                <pt idx="972">
                  <v>53043</v>
                </pt>
                <pt idx="973">
                  <v>60015</v>
                </pt>
                <pt idx="974">
                  <v>65205</v>
                </pt>
                <pt idx="975">
                  <v>67670</v>
                </pt>
                <pt idx="976">
                  <v>54571</v>
                </pt>
                <pt idx="977">
                  <v>46897</v>
                </pt>
                <pt idx="978">
                  <v>63336</v>
                </pt>
                <pt idx="979">
                  <v>67623</v>
                </pt>
                <pt idx="980">
                  <v>77795</v>
                </pt>
                <pt idx="981">
                  <v>81438</v>
                </pt>
                <pt idx="982">
                  <v>75598</v>
                </pt>
                <pt idx="983">
                  <v>29016</v>
                </pt>
                <pt idx="984">
                  <v>29723</v>
                </pt>
                <pt idx="985">
                  <v>43574</v>
                </pt>
                <pt idx="986">
                  <v>47569</v>
                </pt>
                <pt idx="987">
                  <v>48041</v>
                </pt>
                <pt idx="988">
                  <v>36934</v>
                </pt>
                <pt idx="989">
                  <v>23095</v>
                </pt>
                <pt idx="990">
                  <v>5167</v>
                </pt>
                <pt idx="991">
                  <v>12911</v>
                </pt>
                <pt idx="992">
                  <v>10753</v>
                </pt>
                <pt idx="993">
                  <v>20353</v>
                </pt>
                <pt idx="994">
                  <v>23071</v>
                </pt>
                <pt idx="995">
                  <v>25866</v>
                </pt>
                <pt idx="996">
                  <v>27016</v>
                </pt>
                <pt idx="997">
                  <v>24330</v>
                </pt>
                <pt idx="998">
                  <v>17960</v>
                </pt>
                <pt idx="999">
                  <v>12542</v>
                </pt>
                <pt idx="1000">
                  <v>29824</v>
                </pt>
                <pt idx="1001">
                  <v>34429</v>
                </pt>
                <pt idx="1002">
                  <v>25742</v>
                </pt>
                <pt idx="1003">
                  <v>32637</v>
                </pt>
                <pt idx="1004">
                  <v>46537</v>
                </pt>
                <pt idx="1005">
                  <v>53526</v>
                </pt>
                <pt idx="1006">
                  <v>54306</v>
                </pt>
                <pt idx="1007">
                  <v>69486</v>
                </pt>
                <pt idx="1008">
                  <v>78044</v>
                </pt>
                <pt idx="1009">
                  <v>75095</v>
                </pt>
                <pt idx="1010">
                  <v>73741</v>
                </pt>
                <pt idx="1011">
                  <v>74700</v>
                </pt>
                <pt idx="1012">
                  <v>78201</v>
                </pt>
                <pt idx="1013">
                  <v>61720</v>
                </pt>
                <pt idx="1014">
                  <v>66756</v>
                </pt>
                <pt idx="1015">
                  <v>45191</v>
                </pt>
                <pt idx="1016">
                  <v>59574</v>
                </pt>
                <pt idx="1017">
                  <v>49319</v>
                </pt>
                <pt idx="1018">
                  <v>39429</v>
                </pt>
                <pt idx="1019">
                  <v>48421</v>
                </pt>
                <pt idx="1020">
                  <v>46041</v>
                </pt>
                <pt idx="1021">
                  <v>52280</v>
                </pt>
                <pt idx="1022">
                  <v>25104</v>
                </pt>
                <pt idx="1023">
                  <v>4734</v>
                </pt>
                <pt idx="1024">
                  <v>-16898</v>
                </pt>
                <pt idx="1025">
                  <v>-35527</v>
                </pt>
                <pt idx="1026">
                  <v>-51172</v>
                </pt>
                <pt idx="1027">
                  <v>-45459</v>
                </pt>
                <pt idx="1028">
                  <v>-3458</v>
                </pt>
                <pt idx="1029">
                  <v>-2159</v>
                </pt>
                <pt idx="1030">
                  <v>9348</v>
                </pt>
                <pt idx="1031">
                  <v>19065</v>
                </pt>
                <pt idx="1032">
                  <v>13931</v>
                </pt>
                <pt idx="1033">
                  <v>26443</v>
                </pt>
                <pt idx="1034">
                  <v>37235</v>
                </pt>
                <pt idx="1035">
                  <v>52894</v>
                </pt>
                <pt idx="1036">
                  <v>66679</v>
                </pt>
                <pt idx="1037">
                  <v>86882</v>
                </pt>
                <pt idx="1038">
                  <v>78072</v>
                </pt>
                <pt idx="1039">
                  <v>62439</v>
                </pt>
                <pt idx="1040">
                  <v>68259</v>
                </pt>
                <pt idx="1041">
                  <v>69246</v>
                </pt>
                <pt idx="1042">
                  <v>89562</v>
                </pt>
                <pt idx="1043">
                  <v>63743</v>
                </pt>
                <pt idx="1044">
                  <v>39814</v>
                </pt>
                <pt idx="1045">
                  <v>38444</v>
                </pt>
                <pt idx="1046">
                  <v>45651</v>
                </pt>
                <pt idx="1047">
                  <v>52090</v>
                </pt>
                <pt idx="1048">
                  <v>60317</v>
                </pt>
                <pt idx="1049">
                  <v>68146</v>
                </pt>
                <pt idx="1050">
                  <v>64711</v>
                </pt>
                <pt idx="1051">
                  <v>76806</v>
                </pt>
                <pt idx="1052">
                  <v>92229</v>
                </pt>
                <pt idx="1053">
                  <v>103376</v>
                </pt>
                <pt idx="1054">
                  <v>97496</v>
                </pt>
                <pt idx="1055">
                  <v>75433</v>
                </pt>
                <pt idx="1056">
                  <v>79522</v>
                </pt>
                <pt idx="1057">
                  <v>80315</v>
                </pt>
                <pt idx="1058">
                  <v>89057</v>
                </pt>
                <pt idx="1059">
                  <v>97011</v>
                </pt>
                <pt idx="1060">
                  <v>85296</v>
                </pt>
                <pt idx="1061">
                  <v>80940</v>
                </pt>
                <pt idx="1062">
                  <v>54114</v>
                </pt>
                <pt idx="1063">
                  <v>43981</v>
                </pt>
                <pt idx="1064">
                  <v>25695</v>
                </pt>
                <pt idx="1065">
                  <v>7149</v>
                </pt>
                <pt idx="1066">
                  <v>23266</v>
                </pt>
                <pt idx="1067">
                  <v>54055</v>
                </pt>
                <pt idx="1068">
                  <v>85515</v>
                </pt>
                <pt idx="1069">
                  <v>83971</v>
                </pt>
                <pt idx="1070">
                  <v>77879</v>
                </pt>
                <pt idx="1071">
                  <v>53175</v>
                </pt>
                <pt idx="1072">
                  <v>31257</v>
                </pt>
                <pt idx="1073">
                  <v>30234</v>
                </pt>
                <pt idx="1074">
                  <v>6630</v>
                </pt>
                <pt idx="1075">
                  <v>-13450</v>
                </pt>
                <pt idx="1076">
                  <v>-32409</v>
                </pt>
                <pt idx="1077">
                  <v>-42307</v>
                </pt>
                <pt idx="1078">
                  <v>-58550</v>
                </pt>
                <pt idx="1079">
                  <v>-63277</v>
                </pt>
                <pt idx="1080">
                  <v>-63521</v>
                </pt>
                <pt idx="1081">
                  <v>-61644</v>
                </pt>
                <pt idx="1082">
                  <v>-70515</v>
                </pt>
                <pt idx="1083">
                  <v>-63255</v>
                </pt>
                <pt idx="1084">
                  <v>-70686</v>
                </pt>
                <pt idx="1085">
                  <v>-63982</v>
                </pt>
                <pt idx="1086">
                  <v>-72573</v>
                </pt>
                <pt idx="1087">
                  <v>-76779</v>
                </pt>
                <pt idx="1088">
                  <v>-62721</v>
                </pt>
                <pt idx="1089">
                  <v>-63183</v>
                </pt>
                <pt idx="1090">
                  <v>-71117</v>
                </pt>
                <pt idx="1091">
                  <v>-71506</v>
                </pt>
                <pt idx="1092">
                  <v>-60032</v>
                </pt>
                <pt idx="1093">
                  <v>-27360</v>
                </pt>
                <pt idx="1094">
                  <v>-34819</v>
                </pt>
                <pt idx="1095">
                  <v>-28804</v>
                </pt>
                <pt idx="1096">
                  <v>-26404</v>
                </pt>
                <pt idx="1097">
                  <v>-32237</v>
                </pt>
                <pt idx="1098">
                  <v>-22111</v>
                </pt>
                <pt idx="1099">
                  <v>-23198</v>
                </pt>
                <pt idx="1100">
                  <v>-25067</v>
                </pt>
                <pt idx="1101">
                  <v>-35809</v>
                </pt>
                <pt idx="1102">
                  <v>-35762</v>
                </pt>
                <pt idx="1103">
                  <v>-33511</v>
                </pt>
                <pt idx="1104">
                  <v>-44311</v>
                </pt>
                <pt idx="1105">
                  <v>-45850</v>
                </pt>
                <pt idx="1106">
                  <v>-51653</v>
                </pt>
                <pt idx="1107">
                  <v>-54239</v>
                </pt>
                <pt idx="1108">
                  <v>-57414</v>
                </pt>
                <pt idx="1109">
                  <v>-56852</v>
                </pt>
                <pt idx="1110">
                  <v>-51988</v>
                </pt>
                <pt idx="1111">
                  <v>-64654</v>
                </pt>
                <pt idx="1112">
                  <v>-65723</v>
                </pt>
                <pt idx="1113">
                  <v>-55523</v>
                </pt>
                <pt idx="1114">
                  <v>-47403</v>
                </pt>
                <pt idx="1115">
                  <v>-44398</v>
                </pt>
                <pt idx="1116">
                  <v>-38991</v>
                </pt>
                <pt idx="1117">
                  <v>-41108</v>
                </pt>
                <pt idx="1118">
                  <v>-40850</v>
                </pt>
                <pt idx="1119">
                  <v>-24463</v>
                </pt>
                <pt idx="1120">
                  <v>-20527</v>
                </pt>
                <pt idx="1121">
                  <v>-4880</v>
                </pt>
                <pt idx="1122">
                  <v>3310</v>
                </pt>
                <pt idx="1123">
                  <v>8097</v>
                </pt>
                <pt idx="1124">
                  <v>16370</v>
                </pt>
                <pt idx="1125">
                  <v>10706</v>
                </pt>
                <pt idx="1126">
                  <v>8637</v>
                </pt>
                <pt idx="1127">
                  <v>17127</v>
                </pt>
                <pt idx="1128">
                  <v>19462</v>
                </pt>
                <pt idx="1129">
                  <v>15848</v>
                </pt>
                <pt idx="1130">
                  <v>21527</v>
                </pt>
                <pt idx="1131">
                  <v>28247</v>
                </pt>
                <pt idx="1132">
                  <v>27029</v>
                </pt>
                <pt idx="1133">
                  <v>33463</v>
                </pt>
                <pt idx="1134">
                  <v>38879</v>
                </pt>
                <pt idx="1135">
                  <v>36603</v>
                </pt>
                <pt idx="1136">
                  <v>39743</v>
                </pt>
                <pt idx="1137">
                  <v>38793</v>
                </pt>
                <pt idx="1138">
                  <v>39606</v>
                </pt>
                <pt idx="1139">
                  <v>33300</v>
                </pt>
                <pt idx="1140">
                  <v>29546</v>
                </pt>
                <pt idx="1141">
                  <v>36574</v>
                </pt>
                <pt idx="1142">
                  <v>41938</v>
                </pt>
                <pt idx="1143">
                  <v>49047</v>
                </pt>
                <pt idx="1144">
                  <v>41229</v>
                </pt>
                <pt idx="1145">
                  <v>22140</v>
                </pt>
                <pt idx="1146">
                  <v>8347</v>
                </pt>
                <pt idx="1147">
                  <v>-2017</v>
                </pt>
                <pt idx="1148">
                  <v>-26486</v>
                </pt>
                <pt idx="1149">
                  <v>-30271</v>
                </pt>
                <pt idx="1150">
                  <v>-31509</v>
                </pt>
                <pt idx="1151">
                  <v>-33851</v>
                </pt>
                <pt idx="1152">
                  <v>-38268</v>
                </pt>
                <pt idx="1153">
                  <v>-38027</v>
                </pt>
                <pt idx="1154">
                  <v>-37602</v>
                </pt>
                <pt idx="1155">
                  <v>-44088</v>
                </pt>
                <pt idx="1156">
                  <v>-41110</v>
                </pt>
                <pt idx="1157">
                  <v>-45013</v>
                </pt>
                <pt idx="1158">
                  <v>-34253</v>
                </pt>
                <pt idx="1159">
                  <v>-39236</v>
                </pt>
                <pt idx="1160">
                  <v>-40697</v>
                </pt>
                <pt idx="1161">
                  <v>-48652</v>
                </pt>
                <pt idx="1162">
                  <v>-45365</v>
                </pt>
                <pt idx="1163">
                  <v>-46580</v>
                </pt>
                <pt idx="1164">
                  <v>-48943</v>
                </pt>
                <pt idx="1165">
                  <v>-56159</v>
                </pt>
                <pt idx="1166">
                  <v>-53182</v>
                </pt>
                <pt idx="1167">
                  <v>-53831</v>
                </pt>
                <pt idx="1168">
                  <v>-63154</v>
                </pt>
                <pt idx="1169">
                  <v>-61545</v>
                </pt>
                <pt idx="1170">
                  <v>-76851</v>
                </pt>
                <pt idx="1171">
                  <v>-28807</v>
                </pt>
                <pt idx="1172">
                  <v>-28368</v>
                </pt>
                <pt idx="1173">
                  <v>-24356</v>
                </pt>
                <pt idx="1174">
                  <v>-40281</v>
                </pt>
                <pt idx="1175">
                  <v>-42433</v>
                </pt>
                <pt idx="1176">
                  <v>-34663</v>
                </pt>
                <pt idx="1177">
                  <v>-27405</v>
                </pt>
                <pt idx="1178">
                  <v>626</v>
                </pt>
                <pt idx="1179">
                  <v>4487</v>
                </pt>
                <pt idx="1180">
                  <v>7323</v>
                </pt>
                <pt idx="1181">
                  <v>6422</v>
                </pt>
                <pt idx="1182">
                  <v>-13256</v>
                </pt>
                <pt idx="1183">
                  <v>-14027</v>
                </pt>
                <pt idx="1184">
                  <v>-4048</v>
                </pt>
                <pt idx="1185">
                  <v>-9052</v>
                </pt>
                <pt idx="1186">
                  <v>-12031</v>
                </pt>
                <pt idx="1187">
                  <v>-22197</v>
                </pt>
                <pt idx="1188">
                  <v>-33541</v>
                </pt>
                <pt idx="1189">
                  <v>-40850</v>
                </pt>
                <pt idx="1190">
                  <v>-50659</v>
                </pt>
                <pt idx="1191">
                  <v>-49412</v>
                </pt>
                <pt idx="1192">
                  <v>-51270</v>
                </pt>
                <pt idx="1193">
                  <v>-49883</v>
                </pt>
                <pt idx="1194">
                  <v>-63727</v>
                </pt>
                <pt idx="1195">
                  <v>-55732</v>
                </pt>
                <pt idx="1196">
                  <v>-53316</v>
                </pt>
                <pt idx="1197">
                  <v>-40729</v>
                </pt>
                <pt idx="1198">
                  <v>-52832</v>
                </pt>
                <pt idx="1199">
                  <v>-48865</v>
                </pt>
                <pt idx="1200">
                  <v>-40839</v>
                </pt>
                <pt idx="1201">
                  <v>-33705</v>
                </pt>
                <pt idx="1202">
                  <v>-38412</v>
                </pt>
                <pt idx="1203">
                  <v>-36352</v>
                </pt>
                <pt idx="1204">
                  <v>-38625</v>
                </pt>
                <pt idx="1205">
                  <v>-52830</v>
                </pt>
                <pt idx="1206">
                  <v>-66464</v>
                </pt>
                <pt idx="1207">
                  <v>-57145</v>
                </pt>
                <pt idx="1208">
                  <v>-46648</v>
                </pt>
                <pt idx="1209">
                  <v>-33579</v>
                </pt>
                <pt idx="1210">
                  <v>-10452</v>
                </pt>
                <pt idx="1211">
                  <v>-20854</v>
                </pt>
                <pt idx="1212">
                  <v>-17545</v>
                </pt>
                <pt idx="1213">
                  <v>-13761</v>
                </pt>
                <pt idx="1214">
                  <v>-23043</v>
                </pt>
                <pt idx="1215">
                  <v>-36267</v>
                </pt>
                <pt idx="1216">
                  <v>-32798</v>
                </pt>
                <pt idx="1217">
                  <v>-26168</v>
                </pt>
                <pt idx="1218">
                  <v>-5626</v>
                </pt>
                <pt idx="1219">
                  <v>2807</v>
                </pt>
                <pt idx="1220">
                  <v>9575</v>
                </pt>
                <pt idx="1221">
                  <v>16861</v>
                </pt>
                <pt idx="1222">
                  <v>29195</v>
                </pt>
                <pt idx="1223">
                  <v>12782</v>
                </pt>
                <pt idx="1224">
                  <v>18030</v>
                </pt>
                <pt idx="1225">
                  <v>23466</v>
                </pt>
                <pt idx="1226">
                  <v>26845</v>
                </pt>
                <pt idx="1227">
                  <v>35122</v>
                </pt>
                <pt idx="1228">
                  <v>44106</v>
                </pt>
                <pt idx="1229">
                  <v>59540</v>
                </pt>
                <pt idx="1230">
                  <v>52395</v>
                </pt>
                <pt idx="1231">
                  <v>38158</v>
                </pt>
                <pt idx="1232">
                  <v>24893</v>
                </pt>
                <pt idx="1233">
                  <v>124</v>
                </pt>
                <pt idx="1234">
                  <v>-4758</v>
                </pt>
                <pt idx="1235">
                  <v>-15808</v>
                </pt>
                <pt idx="1236">
                  <v>-6778</v>
                </pt>
                <pt idx="1237">
                  <v>-7043</v>
                </pt>
                <pt idx="1238">
                  <v>-1952</v>
                </pt>
                <pt idx="1239">
                  <v>4903</v>
                </pt>
                <pt idx="1240">
                  <v>16216</v>
                </pt>
                <pt idx="1241">
                  <v>33431</v>
                </pt>
                <pt idx="1242">
                  <v>31510</v>
                </pt>
                <pt idx="1243">
                  <v>31363</v>
                </pt>
                <pt idx="1244">
                  <v>34884</v>
                </pt>
                <pt idx="1245">
                  <v>41113</v>
                </pt>
                <pt idx="1246">
                  <v>42757</v>
                </pt>
                <pt idx="1247">
                  <v>42566</v>
                </pt>
                <pt idx="1248">
                  <v>38959</v>
                </pt>
                <pt idx="1249">
                  <v>36467</v>
                </pt>
                <pt idx="1250">
                  <v>6848</v>
                </pt>
                <pt idx="1251">
                  <v>15008</v>
                </pt>
                <pt idx="1252">
                  <v>23938</v>
                </pt>
                <pt idx="1253">
                  <v>26104</v>
                </pt>
                <pt idx="1254">
                  <v>29980</v>
                </pt>
                <pt idx="1255">
                  <v>31923</v>
                </pt>
                <pt idx="1256">
                  <v>40867</v>
                </pt>
                <pt idx="1257">
                  <v>41108</v>
                </pt>
                <pt idx="1258">
                  <v>41518</v>
                </pt>
                <pt idx="1259">
                  <v>30705</v>
                </pt>
                <pt idx="1260">
                  <v>20957</v>
                </pt>
                <pt idx="1261">
                  <v>20871</v>
                </pt>
                <pt idx="1262">
                  <v>13473</v>
                </pt>
                <pt idx="1263">
                  <v>3941</v>
                </pt>
                <pt idx="1264">
                  <v>-1510</v>
                </pt>
                <pt idx="1265">
                  <v>-3256</v>
                </pt>
                <pt idx="1266">
                  <v>-3848</v>
                </pt>
                <pt idx="1267">
                  <v>4845</v>
                </pt>
                <pt idx="1268">
                  <v>10294</v>
                </pt>
                <pt idx="1269">
                  <v>12056</v>
                </pt>
                <pt idx="1270">
                  <v>16748</v>
                </pt>
                <pt idx="1271">
                  <v>24218</v>
                </pt>
                <pt idx="1272">
                  <v>33522</v>
                </pt>
                <pt idx="1273">
                  <v>51915</v>
                </pt>
                <pt idx="1274">
                  <v>50978</v>
                </pt>
                <pt idx="1275">
                  <v>43265</v>
                </pt>
                <pt idx="1276">
                  <v>44955</v>
                </pt>
                <pt idx="1277">
                  <v>53138</v>
                </pt>
                <pt idx="1278">
                  <v>49593</v>
                </pt>
                <pt idx="1279">
                  <v>45151</v>
                </pt>
                <pt idx="1280">
                  <v>43262</v>
                </pt>
                <pt idx="1281">
                  <v>42702</v>
                </pt>
                <pt idx="1282">
                  <v>42675</v>
                </pt>
                <pt idx="1283">
                  <v>25784</v>
                </pt>
                <pt idx="1284">
                  <v>6344</v>
                </pt>
                <pt idx="1285">
                  <v>2635</v>
                </pt>
                <pt idx="1286">
                  <v>3067</v>
                </pt>
                <pt idx="1287">
                  <v>-114</v>
                </pt>
                <pt idx="1288">
                  <v>-1511</v>
                </pt>
                <pt idx="1289">
                  <v>15033</v>
                </pt>
                <pt idx="1290">
                  <v>19749</v>
                </pt>
                <pt idx="1291">
                  <v>32414</v>
                </pt>
                <pt idx="1292">
                  <v>36806</v>
                </pt>
                <pt idx="1293">
                  <v>51356</v>
                </pt>
                <pt idx="1294">
                  <v>56374</v>
                </pt>
                <pt idx="1295">
                  <v>60713</v>
                </pt>
                <pt idx="1296">
                  <v>58010</v>
                </pt>
                <pt idx="1297">
                  <v>59612</v>
                </pt>
                <pt idx="1298">
                  <v>60484</v>
                </pt>
                <pt idx="1299">
                  <v>66527</v>
                </pt>
                <pt idx="1300">
                  <v>64904</v>
                </pt>
                <pt idx="1301">
                  <v>63033</v>
                </pt>
                <pt idx="1302">
                  <v>72512</v>
                </pt>
                <pt idx="1303">
                  <v>77194</v>
                </pt>
                <pt idx="1304">
                  <v>71812</v>
                </pt>
                <pt idx="1305">
                  <v>69182</v>
                </pt>
                <pt idx="1306">
                  <v>61800</v>
                </pt>
                <pt idx="1307">
                  <v>57250</v>
                </pt>
                <pt idx="1308">
                  <v>51608</v>
                </pt>
                <pt idx="1309">
                  <v>45437</v>
                </pt>
                <pt idx="1310">
                  <v>44032</v>
                </pt>
                <pt idx="1311">
                  <v>39817</v>
                </pt>
                <pt idx="1312">
                  <v>38882</v>
                </pt>
                <pt idx="1313">
                  <v>40328</v>
                </pt>
                <pt idx="1314">
                  <v>40720</v>
                </pt>
                <pt idx="1315">
                  <v>-12660</v>
                </pt>
                <pt idx="1316">
                  <v>-13639</v>
                </pt>
                <pt idx="1317">
                  <v>-20026</v>
                </pt>
                <pt idx="1318">
                  <v>5458</v>
                </pt>
                <pt idx="1319">
                  <v>10074</v>
                </pt>
                <pt idx="1320">
                  <v>16679</v>
                </pt>
                <pt idx="1321">
                  <v>13151</v>
                </pt>
                <pt idx="1322">
                  <v>13748</v>
                </pt>
                <pt idx="1323">
                  <v>9081</v>
                </pt>
                <pt idx="1324">
                  <v>11875</v>
                </pt>
                <pt idx="1325">
                  <v>9574</v>
                </pt>
                <pt idx="1326">
                  <v>3135</v>
                </pt>
                <pt idx="1327">
                  <v>-779</v>
                </pt>
                <pt idx="1328">
                  <v>17925</v>
                </pt>
                <pt idx="1329">
                  <v>8074</v>
                </pt>
                <pt idx="1330">
                  <v>-75</v>
                </pt>
                <pt idx="1331">
                  <v>-2796</v>
                </pt>
                <pt idx="1332">
                  <v>-10155</v>
                </pt>
                <pt idx="1333">
                  <v>-3396</v>
                </pt>
                <pt idx="1334">
                  <v>-5672</v>
                </pt>
                <pt idx="1335">
                  <v>-16766</v>
                </pt>
                <pt idx="1336">
                  <v>-23106</v>
                </pt>
                <pt idx="1337">
                  <v>-21112</v>
                </pt>
                <pt idx="1338">
                  <v>-23235</v>
                </pt>
                <pt idx="1339">
                  <v>-20208</v>
                </pt>
                <pt idx="1340">
                  <v>-15235</v>
                </pt>
                <pt idx="1341">
                  <v>-43099</v>
                </pt>
                <pt idx="1342">
                  <v>-40978</v>
                </pt>
                <pt idx="1343">
                  <v>-39230</v>
                </pt>
                <pt idx="1344">
                  <v>-40973</v>
                </pt>
                <pt idx="1345">
                  <v>-40525</v>
                </pt>
                <pt idx="1346">
                  <v>-45486</v>
                </pt>
                <pt idx="1347">
                  <v>-51476</v>
                </pt>
                <pt idx="1348">
                  <v>-54540</v>
                </pt>
                <pt idx="1349">
                  <v>-51783</v>
                </pt>
                <pt idx="1350">
                  <v>-50207</v>
                </pt>
                <pt idx="1351">
                  <v>-44633</v>
                </pt>
                <pt idx="1352">
                  <v>-44031</v>
                </pt>
                <pt idx="1353">
                  <v>-44312</v>
                </pt>
                <pt idx="1354">
                  <v>-68003</v>
                </pt>
                <pt idx="1355">
                  <v>-72061</v>
                </pt>
                <pt idx="1356">
                  <v>-71718</v>
                </pt>
                <pt idx="1357">
                  <v>-73284</v>
                </pt>
                <pt idx="1358">
                  <v>-71491</v>
                </pt>
                <pt idx="1359">
                  <v>-70368</v>
                </pt>
                <pt idx="1360">
                  <v>-70412</v>
                </pt>
                <pt idx="1361">
                  <v>-66445</v>
                </pt>
                <pt idx="1362">
                  <v>-59780</v>
                </pt>
                <pt idx="1363">
                  <v>-59180</v>
                </pt>
                <pt idx="1364">
                  <v>-53903</v>
                </pt>
                <pt idx="1365">
                  <v>-50755</v>
                </pt>
                <pt idx="1366">
                  <v>-45531</v>
                </pt>
                <pt idx="1367">
                  <v>-35069</v>
                </pt>
                <pt idx="1368">
                  <v>-31261</v>
                </pt>
                <pt idx="1369">
                  <v>-26291</v>
                </pt>
                <pt idx="1370">
                  <v>-37775</v>
                </pt>
                <pt idx="1371">
                  <v>-37969</v>
                </pt>
                <pt idx="1372">
                  <v>-36063</v>
                </pt>
                <pt idx="1373">
                  <v>-32112</v>
                </pt>
                <pt idx="1374">
                  <v>-35617</v>
                </pt>
                <pt idx="1375">
                  <v>-34495</v>
                </pt>
                <pt idx="1376">
                  <v>-37068</v>
                </pt>
                <pt idx="1377">
                  <v>-35743</v>
                </pt>
                <pt idx="1378">
                  <v>-40741</v>
                </pt>
                <pt idx="1379">
                  <v>-43699</v>
                </pt>
                <pt idx="1380">
                  <v>-51902</v>
                </pt>
                <pt idx="1381">
                  <v>-53670</v>
                </pt>
                <pt idx="1382">
                  <v>-55743</v>
                </pt>
                <pt idx="1383">
                  <v>-54416</v>
                </pt>
                <pt idx="1384">
                  <v>-46880</v>
                </pt>
                <pt idx="1385">
                  <v>-50449</v>
                </pt>
                <pt idx="1386">
                  <v>-59005</v>
                </pt>
                <pt idx="1387">
                  <v>-57049</v>
                </pt>
                <pt idx="1388">
                  <v>-64046</v>
                </pt>
                <pt idx="1389">
                  <v>-66111</v>
                </pt>
                <pt idx="1390">
                  <v>-66393</v>
                </pt>
                <pt idx="1391">
                  <v>-63291</v>
                </pt>
                <pt idx="1392">
                  <v>-63226</v>
                </pt>
                <pt idx="1393">
                  <v>-64863</v>
                </pt>
                <pt idx="1394">
                  <v>-66320</v>
                </pt>
                <pt idx="1395">
                  <v>-58735</v>
                </pt>
                <pt idx="1396">
                  <v>-54007</v>
                </pt>
                <pt idx="1397">
                  <v>-52576</v>
                </pt>
                <pt idx="1398">
                  <v>-47980</v>
                </pt>
                <pt idx="1399">
                  <v>-53442</v>
                </pt>
                <pt idx="1400">
                  <v>-55511</v>
                </pt>
                <pt idx="1401">
                  <v>-62912</v>
                </pt>
                <pt idx="1402">
                  <v>-62781</v>
                </pt>
                <pt idx="1403">
                  <v>-61032</v>
                </pt>
                <pt idx="1404">
                  <v>-59318</v>
                </pt>
                <pt idx="1405">
                  <v>-53014</v>
                </pt>
                <pt idx="1406">
                  <v>-40082</v>
                </pt>
                <pt idx="1407">
                  <v>-47155</v>
                </pt>
                <pt idx="1408">
                  <v>-52302</v>
                </pt>
                <pt idx="1409">
                  <v>-46944</v>
                </pt>
                <pt idx="1410">
                  <v>-47605</v>
                </pt>
                <pt idx="1411">
                  <v>-43986</v>
                </pt>
                <pt idx="1412">
                  <v>-40287</v>
                </pt>
                <pt idx="1413">
                  <v>-26794</v>
                </pt>
                <pt idx="1414">
                  <v>-40809</v>
                </pt>
                <pt idx="1415">
                  <v>-47240</v>
                </pt>
                <pt idx="1416">
                  <v>-45355</v>
                </pt>
                <pt idx="1417">
                  <v>-36433</v>
                </pt>
                <pt idx="1418">
                  <v>-36808</v>
                </pt>
                <pt idx="1419">
                  <v>-46578</v>
                </pt>
                <pt idx="1420">
                  <v>-46164</v>
                </pt>
                <pt idx="1421">
                  <v>-38339</v>
                </pt>
                <pt idx="1422">
                  <v>-27249</v>
                </pt>
                <pt idx="1423">
                  <v>-20549</v>
                </pt>
                <pt idx="1424">
                  <v>-19301</v>
                </pt>
                <pt idx="1425">
                  <v>-27520</v>
                </pt>
                <pt idx="1426">
                  <v>-43297</v>
                </pt>
                <pt idx="1427">
                  <v>-32668</v>
                </pt>
                <pt idx="1428">
                  <v>-37477</v>
                </pt>
                <pt idx="1429">
                  <v>-43852</v>
                </pt>
                <pt idx="1430">
                  <v>-51953</v>
                </pt>
                <pt idx="1431">
                  <v>-54013</v>
                </pt>
                <pt idx="1432">
                  <v>-28733</v>
                </pt>
                <pt idx="1433">
                  <v>-25207</v>
                </pt>
                <pt idx="1434">
                  <v>-31664</v>
                </pt>
                <pt idx="1435">
                  <v>-35398</v>
                </pt>
                <pt idx="1436">
                  <v>-35554</v>
                </pt>
                <pt idx="1437">
                  <v>-34820</v>
                </pt>
                <pt idx="1438">
                  <v>-37741</v>
                </pt>
                <pt idx="1439">
                  <v>-33455</v>
                </pt>
                <pt idx="1440">
                  <v>-35425</v>
                </pt>
                <pt idx="1441">
                  <v>-39558</v>
                </pt>
                <pt idx="1442">
                  <v>-40538</v>
                </pt>
                <pt idx="1443">
                  <v>-40791</v>
                </pt>
                <pt idx="1444">
                  <v>-36575</v>
                </pt>
                <pt idx="1445">
                  <v>-6532</v>
                </pt>
                <pt idx="1446">
                  <v>-4810</v>
                </pt>
                <pt idx="1447">
                  <v>-2908</v>
                </pt>
                <pt idx="1448">
                  <v>-694</v>
                </pt>
                <pt idx="1449">
                  <v>4250</v>
                </pt>
                <pt idx="1450">
                  <v>-205</v>
                </pt>
                <pt idx="1451">
                  <v>-5012</v>
                </pt>
                <pt idx="1452">
                  <v>-1048</v>
                </pt>
                <pt idx="1453">
                  <v>-3488</v>
                </pt>
                <pt idx="1454">
                  <v>-3300</v>
                </pt>
                <pt idx="1455">
                  <v>-3899</v>
                </pt>
                <pt idx="1456">
                  <v>-165</v>
                </pt>
                <pt idx="1457">
                  <v>-2044</v>
                </pt>
                <pt idx="1458">
                  <v>16219</v>
                </pt>
                <pt idx="1459">
                  <v>16339</v>
                </pt>
                <pt idx="1460">
                  <v>8937</v>
                </pt>
                <pt idx="1461">
                  <v>10847</v>
                </pt>
                <pt idx="1462">
                  <v>3854</v>
                </pt>
                <pt idx="1463">
                  <v>6755</v>
                </pt>
                <pt idx="1464">
                  <v>8890</v>
                </pt>
                <pt idx="1465">
                  <v>-1314</v>
                </pt>
                <pt idx="1466">
                  <v>-8720</v>
                </pt>
                <pt idx="1467">
                  <v>-6123</v>
                </pt>
                <pt idx="1468">
                  <v>-5277</v>
                </pt>
                <pt idx="1469">
                  <v>-10800</v>
                </pt>
                <pt idx="1470">
                  <v>-10107</v>
                </pt>
                <pt idx="1471">
                  <v>-9325</v>
                </pt>
                <pt idx="1472">
                  <v>-4419</v>
                </pt>
                <pt idx="1473">
                  <v>-6506</v>
                </pt>
                <pt idx="1474">
                  <v>-3907</v>
                </pt>
                <pt idx="1475">
                  <v>5456</v>
                </pt>
                <pt idx="1476">
                  <v>4860</v>
                </pt>
                <pt idx="1477">
                  <v>771</v>
                </pt>
                <pt idx="1478">
                  <v>-1467</v>
                </pt>
                <pt idx="1479">
                  <v>-216</v>
                </pt>
                <pt idx="1480">
                  <v>-2821</v>
                </pt>
                <pt idx="1481">
                  <v>-1636</v>
                </pt>
                <pt idx="1482">
                  <v>6041</v>
                </pt>
                <pt idx="1483">
                  <v>8075</v>
                </pt>
                <pt idx="1484">
                  <v>7620</v>
                </pt>
                <pt idx="1485">
                  <v>5942</v>
                </pt>
                <pt idx="1486">
                  <v>12263</v>
                </pt>
                <pt idx="1487">
                  <v>4066</v>
                </pt>
                <pt idx="1488">
                  <v>3759</v>
                </pt>
                <pt idx="1489">
                  <v>-1806</v>
                </pt>
                <pt idx="1490">
                  <v>-1410</v>
                </pt>
                <pt idx="1491">
                  <v>1476</v>
                </pt>
                <pt idx="1492">
                  <v>2416</v>
                </pt>
                <pt idx="1493">
                  <v>3002</v>
                </pt>
                <pt idx="1494">
                  <v>-809</v>
                </pt>
                <pt idx="1495">
                  <v>-1925</v>
                </pt>
                <pt idx="1496">
                  <v>-9437</v>
                </pt>
                <pt idx="1497">
                  <v>-17880</v>
                </pt>
                <pt idx="1498">
                  <v>-17575</v>
                </pt>
                <pt idx="1499">
                  <v>-17800</v>
                </pt>
                <pt idx="1500">
                  <v>-24870</v>
                </pt>
                <pt idx="1501">
                  <v>-28788</v>
                </pt>
                <pt idx="1502">
                  <v>-35690</v>
                </pt>
                <pt idx="1503">
                  <v>-39347</v>
                </pt>
                <pt idx="1504">
                  <v>-41283</v>
                </pt>
                <pt idx="1505">
                  <v>-49313</v>
                </pt>
                <pt idx="1506">
                  <v>-50367</v>
                </pt>
                <pt idx="1507">
                  <v>-56600</v>
                </pt>
                <pt idx="1508">
                  <v>-60078</v>
                </pt>
                <pt idx="1509">
                  <v>-70488</v>
                </pt>
                <pt idx="1510">
                  <v>-83383</v>
                </pt>
                <pt idx="1511">
                  <v>-85584</v>
                </pt>
                <pt idx="1512">
                  <v>-86383</v>
                </pt>
                <pt idx="1513">
                  <v>-89979</v>
                </pt>
                <pt idx="1514">
                  <v>-87608</v>
                </pt>
                <pt idx="1515">
                  <v>-76058</v>
                </pt>
                <pt idx="1516">
                  <v>-75246</v>
                </pt>
                <pt idx="1517">
                  <v>-75496</v>
                </pt>
                <pt idx="1518">
                  <v>-63424</v>
                </pt>
                <pt idx="1519">
                  <v>-61153</v>
                </pt>
                <pt idx="1520">
                  <v>-63265</v>
                </pt>
                <pt idx="1521">
                  <v>-80185</v>
                </pt>
                <pt idx="1522">
                  <v>-81792</v>
                </pt>
                <pt idx="1523">
                  <v>-78903</v>
                </pt>
                <pt idx="1524">
                  <v>-80354</v>
                </pt>
                <pt idx="1525">
                  <v>-81741</v>
                </pt>
                <pt idx="1526">
                  <v>-89366</v>
                </pt>
                <pt idx="1527">
                  <v>-91486</v>
                </pt>
                <pt idx="1528">
                  <v>-88454</v>
                </pt>
                <pt idx="1529">
                  <v>-83273</v>
                </pt>
                <pt idx="1530">
                  <v>-79829</v>
                </pt>
                <pt idx="1531">
                  <v>-85741</v>
                </pt>
                <pt idx="1532">
                  <v>-86694</v>
                </pt>
                <pt idx="1533">
                  <v>-84080</v>
                </pt>
                <pt idx="1534">
                  <v>-78336</v>
                </pt>
                <pt idx="1535">
                  <v>-78195</v>
                </pt>
                <pt idx="1536">
                  <v>-44856</v>
                </pt>
                <pt idx="1537">
                  <v>-51189</v>
                </pt>
                <pt idx="1538">
                  <v>-49606</v>
                </pt>
                <pt idx="1539">
                  <v>-37513</v>
                </pt>
                <pt idx="1540">
                  <v>-28715</v>
                </pt>
                <pt idx="1541">
                  <v>-28837</v>
                </pt>
                <pt idx="1542">
                  <v>-27651</v>
                </pt>
                <pt idx="1543">
                  <v>-28516</v>
                </pt>
                <pt idx="1544">
                  <v>-41714</v>
                </pt>
                <pt idx="1545">
                  <v>-44642</v>
                </pt>
                <pt idx="1546">
                  <v>-45446</v>
                </pt>
                <pt idx="1547">
                  <v>-48682</v>
                </pt>
                <pt idx="1548">
                  <v>-47896</v>
                </pt>
                <pt idx="1549">
                  <v>-43254</v>
                </pt>
                <pt idx="1550">
                  <v>-40606</v>
                </pt>
                <pt idx="1551">
                  <v>-42980</v>
                </pt>
                <pt idx="1552">
                  <v>-47621</v>
                </pt>
                <pt idx="1553">
                  <v>-41600</v>
                </pt>
                <pt idx="1554">
                  <v>-43148</v>
                </pt>
                <pt idx="1555">
                  <v>-47385</v>
                </pt>
                <pt idx="1556">
                  <v>-55950</v>
                </pt>
                <pt idx="1557">
                  <v>-57588</v>
                </pt>
                <pt idx="1558">
                  <v>-59248</v>
                </pt>
                <pt idx="1559">
                  <v>-60028</v>
                </pt>
                <pt idx="1560">
                  <v>-57393</v>
                </pt>
                <pt idx="1561">
                  <v>-56500</v>
                </pt>
                <pt idx="1562">
                  <v>-57850</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
          <order val="0"/>
          <tx>
            <strRef>
              <f>Database!$C$1</f>
              <strCache>
                <ptCount val="1"/>
                <pt idx="0">
                  <v>BRL</v>
                </pt>
              </strCache>
            </strRef>
          </tx>
          <spPr>
            <a:solidFill xmlns:a="http://schemas.openxmlformats.org/drawingml/2006/main">
              <a:schemeClr val="accent2"/>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Database!$C$2:$C$1564</f>
              <numCache>
                <formatCode>General</formatCode>
                <ptCount val="1563"/>
                <pt idx="1317">
                  <v>0</v>
                </pt>
                <pt idx="1318">
                  <v>0</v>
                </pt>
                <pt idx="1319">
                  <v>0</v>
                </pt>
                <pt idx="1320">
                  <v>0</v>
                </pt>
                <pt idx="1321">
                  <v>0</v>
                </pt>
                <pt idx="1322">
                  <v>0</v>
                </pt>
                <pt idx="1323">
                  <v>0</v>
                </pt>
                <pt idx="1324">
                  <v>0</v>
                </pt>
                <pt idx="1325">
                  <v>2533</v>
                </pt>
                <pt idx="1326">
                  <v>-12374</v>
                </pt>
                <pt idx="1327">
                  <v>-13318</v>
                </pt>
                <pt idx="1328">
                  <v>-12495</v>
                </pt>
                <pt idx="1329">
                  <v>-14013</v>
                </pt>
                <pt idx="1330">
                  <v>-22788</v>
                </pt>
                <pt idx="1331">
                  <v>-22192</v>
                </pt>
                <pt idx="1332">
                  <v>-22313</v>
                </pt>
                <pt idx="1333">
                  <v>-21471</v>
                </pt>
                <pt idx="1334">
                  <v>-22142</v>
                </pt>
                <pt idx="1335">
                  <v>-25742</v>
                </pt>
                <pt idx="1336">
                  <v>-25685</v>
                </pt>
                <pt idx="1337">
                  <v>-25341</v>
                </pt>
                <pt idx="1338">
                  <v>-25324</v>
                </pt>
                <pt idx="1339">
                  <v>-30262</v>
                </pt>
                <pt idx="1340">
                  <v>-28526</v>
                </pt>
                <pt idx="1341">
                  <v>-28024</v>
                </pt>
                <pt idx="1342">
                  <v>-28797</v>
                </pt>
                <pt idx="1343">
                  <v>-28556</v>
                </pt>
                <pt idx="1344">
                  <v>-27320</v>
                </pt>
                <pt idx="1345">
                  <v>-27010</v>
                </pt>
                <pt idx="1346">
                  <v>-26432</v>
                </pt>
                <pt idx="1347">
                  <v>-21376</v>
                </pt>
                <pt idx="1348">
                  <v>-17205</v>
                </pt>
                <pt idx="1349">
                  <v>-17126</v>
                </pt>
                <pt idx="1350">
                  <v>-18484</v>
                </pt>
                <pt idx="1351">
                  <v>-18029</v>
                </pt>
                <pt idx="1352">
                  <v>-16771</v>
                </pt>
                <pt idx="1353">
                  <v>-26560</v>
                </pt>
                <pt idx="1354">
                  <v>-26000</v>
                </pt>
                <pt idx="1355">
                  <v>-28589</v>
                </pt>
                <pt idx="1356">
                  <v>-27239</v>
                </pt>
                <pt idx="1357">
                  <v>-18828</v>
                </pt>
                <pt idx="1358">
                  <v>-15693</v>
                </pt>
                <pt idx="1359">
                  <v>-15265</v>
                </pt>
                <pt idx="1360">
                  <v>-15657</v>
                </pt>
                <pt idx="1361">
                  <v>3600</v>
                </pt>
                <pt idx="1362">
                  <v>3214</v>
                </pt>
                <pt idx="1363">
                  <v>4043</v>
                </pt>
                <pt idx="1364">
                  <v>2455</v>
                </pt>
                <pt idx="1365">
                  <v>511</v>
                </pt>
                <pt idx="1366">
                  <v>-13</v>
                </pt>
                <pt idx="1367">
                  <v>219</v>
                </pt>
                <pt idx="1368">
                  <v>-485</v>
                </pt>
                <pt idx="1369">
                  <v>-3143</v>
                </pt>
                <pt idx="1370">
                  <v>-2896</v>
                </pt>
                <pt idx="1371">
                  <v>-1455</v>
                </pt>
                <pt idx="1372">
                  <v>36</v>
                </pt>
                <pt idx="1373">
                  <v>-108</v>
                </pt>
                <pt idx="1374">
                  <v>2767</v>
                </pt>
                <pt idx="1375">
                  <v>1476</v>
                </pt>
                <pt idx="1376">
                  <v>1025</v>
                </pt>
                <pt idx="1377">
                  <v>1097</v>
                </pt>
                <pt idx="1378">
                  <v>3138</v>
                </pt>
                <pt idx="1379">
                  <v>-4458</v>
                </pt>
                <pt idx="1380">
                  <v>1258</v>
                </pt>
                <pt idx="1381">
                  <v>-3159</v>
                </pt>
                <pt idx="1382">
                  <v>-14059</v>
                </pt>
                <pt idx="1383">
                  <v>-14769</v>
                </pt>
                <pt idx="1384">
                  <v>-14063</v>
                </pt>
                <pt idx="1385">
                  <v>-16357</v>
                </pt>
                <pt idx="1386">
                  <v>-15651</v>
                </pt>
                <pt idx="1387">
                  <v>-24481</v>
                </pt>
                <pt idx="1388">
                  <v>-25920</v>
                </pt>
                <pt idx="1389">
                  <v>-25900</v>
                </pt>
                <pt idx="1390">
                  <v>-26901</v>
                </pt>
                <pt idx="1391">
                  <v>-30679</v>
                </pt>
                <pt idx="1392">
                  <v>-25647</v>
                </pt>
                <pt idx="1393">
                  <v>-22567</v>
                </pt>
                <pt idx="1394">
                  <v>-22668</v>
                </pt>
                <pt idx="1395">
                  <v>-4262</v>
                </pt>
                <pt idx="1396">
                  <v>-94</v>
                </pt>
                <pt idx="1397">
                  <v>2365</v>
                </pt>
                <pt idx="1398">
                  <v>2996</v>
                </pt>
                <pt idx="1399">
                  <v>2224</v>
                </pt>
                <pt idx="1400">
                  <v>9269</v>
                </pt>
                <pt idx="1401">
                  <v>676</v>
                </pt>
                <pt idx="1402">
                  <v>-8661</v>
                </pt>
                <pt idx="1403">
                  <v>-9752</v>
                </pt>
                <pt idx="1404">
                  <v>-10928</v>
                </pt>
                <pt idx="1405">
                  <v>-34732</v>
                </pt>
                <pt idx="1406">
                  <v>-34303</v>
                </pt>
                <pt idx="1407">
                  <v>-34451</v>
                </pt>
                <pt idx="1408">
                  <v>-39880</v>
                </pt>
                <pt idx="1409">
                  <v>-45833</v>
                </pt>
                <pt idx="1410">
                  <v>-44435</v>
                </pt>
                <pt idx="1411">
                  <v>-47024</v>
                </pt>
                <pt idx="1412">
                  <v>-43719</v>
                </pt>
                <pt idx="1413">
                  <v>-43452</v>
                </pt>
                <pt idx="1414">
                  <v>-43098</v>
                </pt>
                <pt idx="1415">
                  <v>-42863</v>
                </pt>
                <pt idx="1416">
                  <v>-44614</v>
                </pt>
                <pt idx="1417">
                  <v>-51274</v>
                </pt>
                <pt idx="1418">
                  <v>-46995</v>
                </pt>
                <pt idx="1419">
                  <v>-42690</v>
                </pt>
                <pt idx="1420">
                  <v>-39978</v>
                </pt>
                <pt idx="1421">
                  <v>-38730</v>
                </pt>
                <pt idx="1422">
                  <v>-19623</v>
                </pt>
                <pt idx="1423">
                  <v>-19455</v>
                </pt>
                <pt idx="1424">
                  <v>-21335</v>
                </pt>
                <pt idx="1425">
                  <v>-23624</v>
                </pt>
                <pt idx="1426">
                  <v>-30336</v>
                </pt>
                <pt idx="1427">
                  <v>-32205</v>
                </pt>
                <pt idx="1428">
                  <v>-34980</v>
                </pt>
                <pt idx="1429">
                  <v>-36987</v>
                </pt>
                <pt idx="1430">
                  <v>-42858</v>
                </pt>
                <pt idx="1431">
                  <v>-39826</v>
                </pt>
                <pt idx="1432">
                  <v>-33983</v>
                </pt>
                <pt idx="1433">
                  <v>-33269</v>
                </pt>
                <pt idx="1434">
                  <v>-27804</v>
                </pt>
                <pt idx="1435">
                  <v>-9328</v>
                </pt>
                <pt idx="1436">
                  <v>-9444</v>
                </pt>
                <pt idx="1437">
                  <v>-9394</v>
                </pt>
                <pt idx="1438">
                  <v>-9256</v>
                </pt>
                <pt idx="1439">
                  <v>-11089</v>
                </pt>
                <pt idx="1440">
                  <v>-9753</v>
                </pt>
                <pt idx="1441">
                  <v>-10416</v>
                </pt>
                <pt idx="1442">
                  <v>-11158</v>
                </pt>
                <pt idx="1443">
                  <v>-12003</v>
                </pt>
                <pt idx="1444">
                  <v>-13014</v>
                </pt>
                <pt idx="1445">
                  <v>-12470</v>
                </pt>
                <pt idx="1446">
                  <v>-11309</v>
                </pt>
                <pt idx="1447">
                  <v>-10709</v>
                </pt>
                <pt idx="1448">
                  <v>-9615</v>
                </pt>
                <pt idx="1449">
                  <v>-9406</v>
                </pt>
                <pt idx="1450">
                  <v>-10821</v>
                </pt>
                <pt idx="1451">
                  <v>-10734</v>
                </pt>
                <pt idx="1452">
                  <v>-12702</v>
                </pt>
                <pt idx="1453">
                  <v>-13546</v>
                </pt>
                <pt idx="1454">
                  <v>-16159</v>
                </pt>
                <pt idx="1455">
                  <v>-12814</v>
                </pt>
                <pt idx="1456">
                  <v>-19274</v>
                </pt>
                <pt idx="1457">
                  <v>-26136</v>
                </pt>
                <pt idx="1458">
                  <v>-25013</v>
                </pt>
                <pt idx="1459">
                  <v>-23794</v>
                </pt>
                <pt idx="1460">
                  <v>-23214</v>
                </pt>
                <pt idx="1461">
                  <v>-26298</v>
                </pt>
                <pt idx="1462">
                  <v>-26591</v>
                </pt>
                <pt idx="1463">
                  <v>-27570</v>
                </pt>
                <pt idx="1464">
                  <v>-26894</v>
                </pt>
                <pt idx="1465">
                  <v>-28162</v>
                </pt>
                <pt idx="1466">
                  <v>-25938</v>
                </pt>
                <pt idx="1467">
                  <v>-21089</v>
                </pt>
                <pt idx="1468">
                  <v>-18145</v>
                </pt>
                <pt idx="1469">
                  <v>-17773</v>
                </pt>
                <pt idx="1470">
                  <v>-12718</v>
                </pt>
                <pt idx="1471">
                  <v>-9213</v>
                </pt>
                <pt idx="1472">
                  <v>-9503</v>
                </pt>
                <pt idx="1473">
                  <v>-9677</v>
                </pt>
                <pt idx="1474">
                  <v>-3194</v>
                </pt>
                <pt idx="1475">
                  <v>-5732</v>
                </pt>
                <pt idx="1476">
                  <v>-7145</v>
                </pt>
                <pt idx="1477">
                  <v>-8330</v>
                </pt>
                <pt idx="1478">
                  <v>-14449</v>
                </pt>
                <pt idx="1479">
                  <v>-17366</v>
                </pt>
                <pt idx="1480">
                  <v>-18206</v>
                </pt>
                <pt idx="1481">
                  <v>-15937</v>
                </pt>
                <pt idx="1482">
                  <v>-21051</v>
                </pt>
                <pt idx="1483">
                  <v>-23314</v>
                </pt>
                <pt idx="1484">
                  <v>-23767</v>
                </pt>
                <pt idx="1485">
                  <v>-25249</v>
                </pt>
                <pt idx="1486">
                  <v>-25309</v>
                </pt>
                <pt idx="1487">
                  <v>-26506</v>
                </pt>
                <pt idx="1488">
                  <v>-26591</v>
                </pt>
                <pt idx="1489">
                  <v>-25995</v>
                </pt>
                <pt idx="1490">
                  <v>-26286</v>
                </pt>
                <pt idx="1491">
                  <v>-9898</v>
                </pt>
                <pt idx="1492">
                  <v>2513</v>
                </pt>
                <pt idx="1493">
                  <v>4831</v>
                </pt>
                <pt idx="1494">
                  <v>5607</v>
                </pt>
                <pt idx="1495">
                  <v>4088</v>
                </pt>
                <pt idx="1496">
                  <v>20048</v>
                </pt>
                <pt idx="1497">
                  <v>18659</v>
                </pt>
                <pt idx="1498">
                  <v>18265</v>
                </pt>
                <pt idx="1499">
                  <v>20486</v>
                </pt>
                <pt idx="1500">
                  <v>21305</v>
                </pt>
                <pt idx="1501">
                  <v>22220</v>
                </pt>
                <pt idx="1502">
                  <v>21413</v>
                </pt>
                <pt idx="1503">
                  <v>21761</v>
                </pt>
                <pt idx="1504">
                  <v>23444</v>
                </pt>
                <pt idx="1505">
                  <v>20538</v>
                </pt>
                <pt idx="1506">
                  <v>18989</v>
                </pt>
                <pt idx="1507">
                  <v>13346</v>
                </pt>
                <pt idx="1508">
                  <v>12258</v>
                </pt>
                <pt idx="1509">
                  <v>6334</v>
                </pt>
                <pt idx="1510">
                  <v>6994</v>
                </pt>
                <pt idx="1511">
                  <v>5772</v>
                </pt>
                <pt idx="1512">
                  <v>5086</v>
                </pt>
                <pt idx="1513">
                  <v>-2290</v>
                </pt>
                <pt idx="1514">
                  <v>-373</v>
                </pt>
                <pt idx="1515">
                  <v>-658</v>
                </pt>
                <pt idx="1516">
                  <v>-942</v>
                </pt>
                <pt idx="1517">
                  <v>-14272</v>
                </pt>
                <pt idx="1518">
                  <v>-15458</v>
                </pt>
                <pt idx="1519">
                  <v>-15698</v>
                </pt>
                <pt idx="1520">
                  <v>-14804</v>
                </pt>
                <pt idx="1521">
                  <v>-13842</v>
                </pt>
                <pt idx="1522">
                  <v>-5624</v>
                </pt>
                <pt idx="1523">
                  <v>-4617</v>
                </pt>
                <pt idx="1524">
                  <v>-6547</v>
                </pt>
                <pt idx="1525">
                  <v>-5286</v>
                </pt>
                <pt idx="1526">
                  <v>-1076</v>
                </pt>
                <pt idx="1527">
                  <v>-10812</v>
                </pt>
                <pt idx="1528">
                  <v>-11369</v>
                </pt>
                <pt idx="1529">
                  <v>-12616</v>
                </pt>
                <pt idx="1530">
                  <v>-13353</v>
                </pt>
                <pt idx="1531">
                  <v>20246</v>
                </pt>
                <pt idx="1532">
                  <v>23760</v>
                </pt>
                <pt idx="1533">
                  <v>24445</v>
                </pt>
                <pt idx="1534">
                  <v>50448</v>
                </pt>
                <pt idx="1535">
                  <v>50496</v>
                </pt>
                <pt idx="1536">
                  <v>44163</v>
                </pt>
                <pt idx="1537">
                  <v>41564</v>
                </pt>
                <pt idx="1538">
                  <v>42616</v>
                </pt>
                <pt idx="1539">
                  <v>45526</v>
                </pt>
                <pt idx="1540">
                  <v>46129</v>
                </pt>
                <pt idx="1541">
                  <v>44572</v>
                </pt>
                <pt idx="1542">
                  <v>46884</v>
                </pt>
                <pt idx="1543">
                  <v>41788</v>
                </pt>
                <pt idx="1544">
                  <v>40778</v>
                </pt>
                <pt idx="1545">
                  <v>38095</v>
                </pt>
                <pt idx="1546">
                  <v>38714</v>
                </pt>
                <pt idx="1547">
                  <v>45316</v>
                </pt>
                <pt idx="1548">
                  <v>46705</v>
                </pt>
                <pt idx="1549">
                  <v>47213</v>
                </pt>
                <pt idx="1550">
                  <v>44345</v>
                </pt>
                <pt idx="1551">
                  <v>37028</v>
                </pt>
                <pt idx="1552">
                  <v>16333</v>
                </pt>
                <pt idx="1553">
                  <v>10205</v>
                </pt>
                <pt idx="1554">
                  <v>10475</v>
                </pt>
                <pt idx="1555">
                  <v>11712</v>
                </pt>
                <pt idx="1556">
                  <v>-1130</v>
                </pt>
                <pt idx="1557">
                  <v>1733</v>
                </pt>
                <pt idx="1558">
                  <v>6523</v>
                </pt>
                <pt idx="1559">
                  <v>6365</v>
                </pt>
                <pt idx="1560">
                  <v>8859</v>
                </pt>
                <pt idx="1561">
                  <v>30860</v>
                </pt>
                <pt idx="1562">
                  <v>32953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2"/>
          <order val="0"/>
          <tx>
            <strRef>
              <f>Database!$D$1</f>
              <strCache>
                <ptCount val="1"/>
                <pt idx="0">
                  <v>CAD</v>
                </pt>
              </strCache>
            </strRef>
          </tx>
          <spPr>
            <a:solidFill xmlns:a="http://schemas.openxmlformats.org/drawingml/2006/main">
              <a:schemeClr val="accent3"/>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Database!$D$2:$D$1564</f>
              <numCache>
                <formatCode>General</formatCode>
                <ptCount val="1563"/>
                <pt idx="13">
                  <v>758</v>
                </pt>
                <pt idx="14">
                  <v>-6</v>
                </pt>
                <pt idx="15">
                  <v>-359</v>
                </pt>
                <pt idx="16">
                  <v>-1147</v>
                </pt>
                <pt idx="17">
                  <v>3878</v>
                </pt>
                <pt idx="18">
                  <v>4504</v>
                </pt>
                <pt idx="19">
                  <v>4939</v>
                </pt>
                <pt idx="20">
                  <v>6167</v>
                </pt>
                <pt idx="21">
                  <v>7565</v>
                </pt>
                <pt idx="22">
                  <v>6708</v>
                </pt>
                <pt idx="23">
                  <v>7529</v>
                </pt>
                <pt idx="24">
                  <v>5126</v>
                </pt>
                <pt idx="25">
                  <v>1794</v>
                </pt>
                <pt idx="26">
                  <v>306</v>
                </pt>
                <pt idx="27">
                  <v>-526</v>
                </pt>
                <pt idx="28">
                  <v>-2348</v>
                </pt>
                <pt idx="29">
                  <v>-5515</v>
                </pt>
                <pt idx="30">
                  <v>-6440</v>
                </pt>
                <pt idx="31">
                  <v>-7287</v>
                </pt>
                <pt idx="32">
                  <v>-5530</v>
                </pt>
                <pt idx="33">
                  <v>-113</v>
                </pt>
                <pt idx="34">
                  <v>-1087</v>
                </pt>
                <pt idx="35">
                  <v>-6437</v>
                </pt>
                <pt idx="36">
                  <v>-7068</v>
                </pt>
                <pt idx="37">
                  <v>-2428</v>
                </pt>
                <pt idx="38">
                  <v>-2898</v>
                </pt>
                <pt idx="39">
                  <v>-5661</v>
                </pt>
                <pt idx="40">
                  <v>-2209</v>
                </pt>
                <pt idx="41">
                  <v>414</v>
                </pt>
                <pt idx="42">
                  <v>-1996</v>
                </pt>
                <pt idx="43">
                  <v>-10779</v>
                </pt>
                <pt idx="44">
                  <v>-12884</v>
                </pt>
                <pt idx="45">
                  <v>-18602</v>
                </pt>
                <pt idx="46">
                  <v>-18328</v>
                </pt>
                <pt idx="47">
                  <v>-15844</v>
                </pt>
                <pt idx="48">
                  <v>-15482</v>
                </pt>
                <pt idx="49">
                  <v>-10328</v>
                </pt>
                <pt idx="50">
                  <v>-6499</v>
                </pt>
                <pt idx="51">
                  <v>-8246</v>
                </pt>
                <pt idx="52">
                  <v>-16540</v>
                </pt>
                <pt idx="53">
                  <v>-14494</v>
                </pt>
                <pt idx="54">
                  <v>-10891</v>
                </pt>
                <pt idx="55">
                  <v>4078</v>
                </pt>
                <pt idx="56">
                  <v>4970</v>
                </pt>
                <pt idx="57">
                  <v>5445</v>
                </pt>
                <pt idx="58">
                  <v>-1487</v>
                </pt>
                <pt idx="59">
                  <v>1089</v>
                </pt>
                <pt idx="60">
                  <v>-838</v>
                </pt>
                <pt idx="61">
                  <v>782</v>
                </pt>
                <pt idx="62">
                  <v>-1136</v>
                </pt>
                <pt idx="63">
                  <v>-2089</v>
                </pt>
                <pt idx="64">
                  <v>702</v>
                </pt>
                <pt idx="65">
                  <v>7372</v>
                </pt>
                <pt idx="66">
                  <v>5829</v>
                </pt>
                <pt idx="67">
                  <v>4678</v>
                </pt>
                <pt idx="68">
                  <v>6951</v>
                </pt>
                <pt idx="69">
                  <v>3854</v>
                </pt>
                <pt idx="70">
                  <v>-1477</v>
                </pt>
                <pt idx="71">
                  <v>-5197</v>
                </pt>
                <pt idx="72">
                  <v>-4246</v>
                </pt>
                <pt idx="73">
                  <v>-6991</v>
                </pt>
                <pt idx="74">
                  <v>-9400</v>
                </pt>
                <pt idx="75">
                  <v>-9547</v>
                </pt>
                <pt idx="76">
                  <v>-8132</v>
                </pt>
                <pt idx="77">
                  <v>-10015</v>
                </pt>
                <pt idx="78">
                  <v>-11630</v>
                </pt>
                <pt idx="79">
                  <v>-8967</v>
                </pt>
                <pt idx="80">
                  <v>-6361</v>
                </pt>
                <pt idx="81">
                  <v>-4437</v>
                </pt>
                <pt idx="82">
                  <v>-6427</v>
                </pt>
                <pt idx="83">
                  <v>-2405</v>
                </pt>
                <pt idx="84">
                  <v>-4139</v>
                </pt>
                <pt idx="85">
                  <v>-7335</v>
                </pt>
                <pt idx="86">
                  <v>-5900</v>
                </pt>
                <pt idx="87">
                  <v>2168</v>
                </pt>
                <pt idx="88">
                  <v>386</v>
                </pt>
                <pt idx="89">
                  <v>-4817</v>
                </pt>
                <pt idx="90">
                  <v>-3945</v>
                </pt>
                <pt idx="91">
                  <v>2447</v>
                </pt>
                <pt idx="92">
                  <v>452</v>
                </pt>
                <pt idx="93">
                  <v>5649</v>
                </pt>
                <pt idx="94">
                  <v>6988</v>
                </pt>
                <pt idx="95">
                  <v>-2124</v>
                </pt>
                <pt idx="96">
                  <v>8935</v>
                </pt>
                <pt idx="97">
                  <v>8472</v>
                </pt>
                <pt idx="98">
                  <v>6255</v>
                </pt>
                <pt idx="99">
                  <v>8277</v>
                </pt>
                <pt idx="100">
                  <v>6541</v>
                </pt>
                <pt idx="101">
                  <v>16032</v>
                </pt>
                <pt idx="102">
                  <v>21018</v>
                </pt>
                <pt idx="103">
                  <v>20149</v>
                </pt>
                <pt idx="104">
                  <v>19723</v>
                </pt>
                <pt idx="105">
                  <v>18385</v>
                </pt>
                <pt idx="106">
                  <v>1015</v>
                </pt>
                <pt idx="107">
                  <v>3593</v>
                </pt>
                <pt idx="108">
                  <v>380</v>
                </pt>
                <pt idx="109">
                  <v>-3834</v>
                </pt>
                <pt idx="110">
                  <v>-7652</v>
                </pt>
                <pt idx="111">
                  <v>-17033</v>
                </pt>
                <pt idx="112">
                  <v>-20226</v>
                </pt>
                <pt idx="113">
                  <v>-17574</v>
                </pt>
                <pt idx="114">
                  <v>-22865</v>
                </pt>
                <pt idx="115">
                  <v>-24444</v>
                </pt>
                <pt idx="116">
                  <v>-24857</v>
                </pt>
                <pt idx="117">
                  <v>-27195</v>
                </pt>
                <pt idx="118">
                  <v>-26749</v>
                </pt>
                <pt idx="119">
                  <v>-24149</v>
                </pt>
                <pt idx="120">
                  <v>-22638</v>
                </pt>
                <pt idx="121">
                  <v>-17701</v>
                </pt>
                <pt idx="122">
                  <v>-5438</v>
                </pt>
                <pt idx="123">
                  <v>-232</v>
                </pt>
                <pt idx="124">
                  <v>890</v>
                </pt>
                <pt idx="125">
                  <v>688</v>
                </pt>
                <pt idx="126">
                  <v>-620</v>
                </pt>
                <pt idx="127">
                  <v>-2049</v>
                </pt>
                <pt idx="128">
                  <v>1318</v>
                </pt>
                <pt idx="129">
                  <v>1987</v>
                </pt>
                <pt idx="130">
                  <v>6371</v>
                </pt>
                <pt idx="131">
                  <v>14413</v>
                </pt>
                <pt idx="132">
                  <v>16433</v>
                </pt>
                <pt idx="133">
                  <v>16548</v>
                </pt>
                <pt idx="134">
                  <v>17147</v>
                </pt>
                <pt idx="135">
                  <v>16780</v>
                </pt>
                <pt idx="136">
                  <v>15673</v>
                </pt>
                <pt idx="137">
                  <v>13255</v>
                </pt>
                <pt idx="138">
                  <v>8040</v>
                </pt>
                <pt idx="139">
                  <v>4727</v>
                </pt>
                <pt idx="140">
                  <v>1955</v>
                </pt>
                <pt idx="141">
                  <v>4353</v>
                </pt>
                <pt idx="142">
                  <v>6117</v>
                </pt>
                <pt idx="143">
                  <v>6628</v>
                </pt>
                <pt idx="144">
                  <v>17139</v>
                </pt>
                <pt idx="145">
                  <v>16720</v>
                </pt>
                <pt idx="146">
                  <v>16394</v>
                </pt>
                <pt idx="147">
                  <v>11119</v>
                </pt>
                <pt idx="148">
                  <v>11699</v>
                </pt>
                <pt idx="149">
                  <v>10476</v>
                </pt>
                <pt idx="150">
                  <v>11930</v>
                </pt>
                <pt idx="151">
                  <v>24193</v>
                </pt>
                <pt idx="152">
                  <v>25699</v>
                </pt>
                <pt idx="153">
                  <v>23619</v>
                </pt>
                <pt idx="154">
                  <v>1674</v>
                </pt>
                <pt idx="155">
                  <v>2674</v>
                </pt>
                <pt idx="156">
                  <v>9148</v>
                </pt>
                <pt idx="157">
                  <v>10566</v>
                </pt>
                <pt idx="158">
                  <v>10324</v>
                </pt>
                <pt idx="159">
                  <v>1125</v>
                </pt>
                <pt idx="160">
                  <v>3819</v>
                </pt>
                <pt idx="161">
                  <v>4669</v>
                </pt>
                <pt idx="162">
                  <v>3872</v>
                </pt>
                <pt idx="163">
                  <v>3943</v>
                </pt>
                <pt idx="164">
                  <v>4281</v>
                </pt>
                <pt idx="165">
                  <v>654</v>
                </pt>
                <pt idx="166">
                  <v>-8677</v>
                </pt>
                <pt idx="167">
                  <v>-8324</v>
                </pt>
                <pt idx="168">
                  <v>1291</v>
                </pt>
                <pt idx="169">
                  <v>1548</v>
                </pt>
                <pt idx="170">
                  <v>2333</v>
                </pt>
                <pt idx="171">
                  <v>2074</v>
                </pt>
                <pt idx="172">
                  <v>385</v>
                </pt>
                <pt idx="173">
                  <v>-11492</v>
                </pt>
                <pt idx="174">
                  <v>-9728</v>
                </pt>
                <pt idx="175">
                  <v>-222</v>
                </pt>
                <pt idx="176">
                  <v>-5355</v>
                </pt>
                <pt idx="177">
                  <v>-3733</v>
                </pt>
                <pt idx="178">
                  <v>43</v>
                </pt>
                <pt idx="179">
                  <v>3373</v>
                </pt>
                <pt idx="180">
                  <v>14241</v>
                </pt>
                <pt idx="181">
                  <v>13452</v>
                </pt>
                <pt idx="182">
                  <v>18679</v>
                </pt>
                <pt idx="183">
                  <v>15126</v>
                </pt>
                <pt idx="184">
                  <v>13763</v>
                </pt>
                <pt idx="185">
                  <v>9827</v>
                </pt>
                <pt idx="186">
                  <v>6656</v>
                </pt>
                <pt idx="187">
                  <v>5741</v>
                </pt>
                <pt idx="188">
                  <v>689</v>
                </pt>
                <pt idx="189">
                  <v>-10879</v>
                </pt>
                <pt idx="190">
                  <v>-14179</v>
                </pt>
                <pt idx="191">
                  <v>-2432</v>
                </pt>
                <pt idx="192">
                  <v>2216</v>
                </pt>
                <pt idx="193">
                  <v>1528</v>
                </pt>
                <pt idx="194">
                  <v>8276</v>
                </pt>
                <pt idx="195">
                  <v>7489</v>
                </pt>
                <pt idx="196">
                  <v>306</v>
                </pt>
                <pt idx="197">
                  <v>-132</v>
                </pt>
                <pt idx="198">
                  <v>-779</v>
                </pt>
                <pt idx="199">
                  <v>-4596</v>
                </pt>
                <pt idx="200">
                  <v>-4457</v>
                </pt>
                <pt idx="201">
                  <v>-4255</v>
                </pt>
                <pt idx="202">
                  <v>-2504</v>
                </pt>
                <pt idx="203">
                  <v>4653</v>
                </pt>
                <pt idx="204">
                  <v>8448</v>
                </pt>
                <pt idx="205">
                  <v>-2226</v>
                </pt>
                <pt idx="206">
                  <v>-981</v>
                </pt>
                <pt idx="207">
                  <v>6144</v>
                </pt>
                <pt idx="208">
                  <v>11509</v>
                </pt>
                <pt idx="209">
                  <v>27983</v>
                </pt>
                <pt idx="210">
                  <v>28668</v>
                </pt>
                <pt idx="211">
                  <v>31017</v>
                </pt>
                <pt idx="212">
                  <v>37902</v>
                </pt>
                <pt idx="213">
                  <v>41530</v>
                </pt>
                <pt idx="214">
                  <v>45809</v>
                </pt>
                <pt idx="215">
                  <v>30578</v>
                </pt>
                <pt idx="216">
                  <v>27776</v>
                </pt>
                <pt idx="217">
                  <v>14976</v>
                </pt>
                <pt idx="218">
                  <v>1905</v>
                </pt>
                <pt idx="219">
                  <v>4299</v>
                </pt>
                <pt idx="220">
                  <v>2914</v>
                </pt>
                <pt idx="221">
                  <v>717</v>
                </pt>
                <pt idx="222">
                  <v>-4230</v>
                </pt>
                <pt idx="223">
                  <v>1801</v>
                </pt>
                <pt idx="224">
                  <v>3742</v>
                </pt>
                <pt idx="225">
                  <v>3383</v>
                </pt>
                <pt idx="226">
                  <v>1965</v>
                </pt>
                <pt idx="227">
                  <v>-73</v>
                </pt>
                <pt idx="228">
                  <v>1165</v>
                </pt>
                <pt idx="229">
                  <v>-3054</v>
                </pt>
                <pt idx="230">
                  <v>-10706</v>
                </pt>
                <pt idx="231">
                  <v>-9735</v>
                </pt>
                <pt idx="232">
                  <v>-11987</v>
                </pt>
                <pt idx="233">
                  <v>-14532</v>
                </pt>
                <pt idx="234">
                  <v>-14733</v>
                </pt>
                <pt idx="235">
                  <v>-17249</v>
                </pt>
                <pt idx="236">
                  <v>-16240</v>
                </pt>
                <pt idx="237">
                  <v>-16178</v>
                </pt>
                <pt idx="238">
                  <v>-14470</v>
                </pt>
                <pt idx="239">
                  <v>-8540</v>
                </pt>
                <pt idx="240">
                  <v>-10082</v>
                </pt>
                <pt idx="241">
                  <v>-3263</v>
                </pt>
                <pt idx="242">
                  <v>461</v>
                </pt>
                <pt idx="243">
                  <v>-33</v>
                </pt>
                <pt idx="244">
                  <v>-3014</v>
                </pt>
                <pt idx="245">
                  <v>-1745</v>
                </pt>
                <pt idx="246">
                  <v>-3653</v>
                </pt>
                <pt idx="247">
                  <v>-3605</v>
                </pt>
                <pt idx="248">
                  <v>-1096</v>
                </pt>
                <pt idx="249">
                  <v>-2548</v>
                </pt>
                <pt idx="250">
                  <v>-1074</v>
                </pt>
                <pt idx="251">
                  <v>-4934</v>
                </pt>
                <pt idx="252">
                  <v>-4163</v>
                </pt>
                <pt idx="253">
                  <v>-8948</v>
                </pt>
                <pt idx="254">
                  <v>-14432</v>
                </pt>
                <pt idx="255">
                  <v>-15188</v>
                </pt>
                <pt idx="256">
                  <v>-5755</v>
                </pt>
                <pt idx="257">
                  <v>-2913</v>
                </pt>
                <pt idx="258">
                  <v>-9130</v>
                </pt>
                <pt idx="259">
                  <v>-10071</v>
                </pt>
                <pt idx="260">
                  <v>-1729</v>
                </pt>
                <pt idx="261">
                  <v>10291</v>
                </pt>
                <pt idx="262">
                  <v>2040</v>
                </pt>
                <pt idx="263">
                  <v>-8155</v>
                </pt>
                <pt idx="264">
                  <v>-26066</v>
                </pt>
                <pt idx="265">
                  <v>-25503</v>
                </pt>
                <pt idx="266">
                  <v>-22096</v>
                </pt>
                <pt idx="267">
                  <v>-21731</v>
                </pt>
                <pt idx="268">
                  <v>-20917</v>
                </pt>
                <pt idx="269">
                  <v>-19508</v>
                </pt>
                <pt idx="270">
                  <v>-18778</v>
                </pt>
                <pt idx="271">
                  <v>-16209</v>
                </pt>
                <pt idx="272">
                  <v>-20384</v>
                </pt>
                <pt idx="273">
                  <v>-21397</v>
                </pt>
                <pt idx="274">
                  <v>-19269</v>
                </pt>
                <pt idx="275">
                  <v>-14732</v>
                </pt>
                <pt idx="276">
                  <v>-13732</v>
                </pt>
                <pt idx="277">
                  <v>-16912</v>
                </pt>
                <pt idx="278">
                  <v>-15670</v>
                </pt>
                <pt idx="279">
                  <v>-7988</v>
                </pt>
                <pt idx="280">
                  <v>-9049</v>
                </pt>
                <pt idx="281">
                  <v>-3731</v>
                </pt>
                <pt idx="282">
                  <v>-4000</v>
                </pt>
                <pt idx="283">
                  <v>3194</v>
                </pt>
                <pt idx="284">
                  <v>4887</v>
                </pt>
                <pt idx="285">
                  <v>4074</v>
                </pt>
                <pt idx="286">
                  <v>4118</v>
                </pt>
                <pt idx="287">
                  <v>2768</v>
                </pt>
                <pt idx="288">
                  <v>-3614</v>
                </pt>
                <pt idx="289">
                  <v>-7390</v>
                </pt>
                <pt idx="290">
                  <v>-8879</v>
                </pt>
                <pt idx="291">
                  <v>-9320</v>
                </pt>
                <pt idx="292">
                  <v>-9503</v>
                </pt>
                <pt idx="293">
                  <v>-19175</v>
                </pt>
                <pt idx="294">
                  <v>-18768</v>
                </pt>
                <pt idx="295">
                  <v>-19285</v>
                </pt>
                <pt idx="296">
                  <v>-19367</v>
                </pt>
                <pt idx="297">
                  <v>-24781</v>
                </pt>
                <pt idx="298">
                  <v>-21656</v>
                </pt>
                <pt idx="299">
                  <v>-22497</v>
                </pt>
                <pt idx="300">
                  <v>-21148</v>
                </pt>
                <pt idx="301">
                  <v>-18804</v>
                </pt>
                <pt idx="302">
                  <v>-20194</v>
                </pt>
                <pt idx="303">
                  <v>-22338</v>
                </pt>
                <pt idx="304">
                  <v>-23332</v>
                </pt>
                <pt idx="305">
                  <v>-21831</v>
                </pt>
                <pt idx="306">
                  <v>-22653</v>
                </pt>
                <pt idx="307">
                  <v>-22301</v>
                </pt>
                <pt idx="308">
                  <v>-11021</v>
                </pt>
                <pt idx="309">
                  <v>-7682</v>
                </pt>
                <pt idx="310">
                  <v>-6228</v>
                </pt>
                <pt idx="311">
                  <v>-5433</v>
                </pt>
                <pt idx="312">
                  <v>-3423</v>
                </pt>
                <pt idx="313">
                  <v>-4299</v>
                </pt>
                <pt idx="314">
                  <v>-3602</v>
                </pt>
                <pt idx="315">
                  <v>-2843</v>
                </pt>
                <pt idx="316">
                  <v>-2984</v>
                </pt>
                <pt idx="317">
                  <v>-1649</v>
                </pt>
                <pt idx="318">
                  <v>-1777</v>
                </pt>
                <pt idx="319">
                  <v>-5248</v>
                </pt>
                <pt idx="320">
                  <v>-6077</v>
                </pt>
                <pt idx="321">
                  <v>-2762</v>
                </pt>
                <pt idx="322">
                  <v>-5354</v>
                </pt>
                <pt idx="323">
                  <v>-5538</v>
                </pt>
                <pt idx="324">
                  <v>-8206</v>
                </pt>
                <pt idx="325">
                  <v>-8275</v>
                </pt>
                <pt idx="326">
                  <v>695</v>
                </pt>
                <pt idx="327">
                  <v>8313</v>
                </pt>
                <pt idx="328">
                  <v>3161</v>
                </pt>
                <pt idx="329">
                  <v>3347</v>
                </pt>
                <pt idx="330">
                  <v>3346</v>
                </pt>
                <pt idx="331">
                  <v>14693</v>
                </pt>
                <pt idx="332">
                  <v>16047</v>
                </pt>
                <pt idx="333">
                  <v>15846</v>
                </pt>
                <pt idx="334">
                  <v>10266</v>
                </pt>
                <pt idx="335">
                  <v>7752</v>
                </pt>
                <pt idx="336">
                  <v>6038</v>
                </pt>
                <pt idx="337">
                  <v>10203</v>
                </pt>
                <pt idx="338">
                  <v>6463</v>
                </pt>
                <pt idx="339">
                  <v>9693</v>
                </pt>
                <pt idx="340">
                  <v>19131</v>
                </pt>
                <pt idx="341">
                  <v>28655</v>
                </pt>
                <pt idx="342">
                  <v>32190</v>
                </pt>
                <pt idx="343">
                  <v>31764</v>
                </pt>
                <pt idx="344">
                  <v>31165</v>
                </pt>
                <pt idx="345">
                  <v>30898</v>
                </pt>
                <pt idx="346">
                  <v>28613</v>
                </pt>
                <pt idx="347">
                  <v>21820</v>
                </pt>
                <pt idx="348">
                  <v>19517</v>
                </pt>
                <pt idx="349">
                  <v>20264</v>
                </pt>
                <pt idx="350">
                  <v>19208</v>
                </pt>
                <pt idx="351">
                  <v>19682</v>
                </pt>
                <pt idx="352">
                  <v>15129</v>
                </pt>
                <pt idx="353">
                  <v>8218</v>
                </pt>
                <pt idx="354">
                  <v>2444</v>
                </pt>
                <pt idx="355">
                  <v>-24931</v>
                </pt>
                <pt idx="356">
                  <v>-29215</v>
                </pt>
                <pt idx="357">
                  <v>-17570</v>
                </pt>
                <pt idx="358">
                  <v>-4821</v>
                </pt>
                <pt idx="359">
                  <v>-6644</v>
                </pt>
                <pt idx="360">
                  <v>-5808</v>
                </pt>
                <pt idx="361">
                  <v>-4142</v>
                </pt>
                <pt idx="362">
                  <v>2058</v>
                </pt>
                <pt idx="363">
                  <v>7402</v>
                </pt>
                <pt idx="364">
                  <v>12569</v>
                </pt>
                <pt idx="365">
                  <v>15928</v>
                </pt>
                <pt idx="366">
                  <v>15523</v>
                </pt>
                <pt idx="367">
                  <v>-1275</v>
                </pt>
                <pt idx="368">
                  <v>3215</v>
                </pt>
                <pt idx="369">
                  <v>6256</v>
                </pt>
                <pt idx="370">
                  <v>10363</v>
                </pt>
                <pt idx="371">
                  <v>11516</v>
                </pt>
                <pt idx="372">
                  <v>12540</v>
                </pt>
                <pt idx="373">
                  <v>5193</v>
                </pt>
                <pt idx="374">
                  <v>-2655</v>
                </pt>
                <pt idx="375">
                  <v>-3618</v>
                </pt>
                <pt idx="376">
                  <v>-7101</v>
                </pt>
                <pt idx="377">
                  <v>6422</v>
                </pt>
                <pt idx="378">
                  <v>13425</v>
                </pt>
                <pt idx="379">
                  <v>10081</v>
                </pt>
                <pt idx="380">
                  <v>19712</v>
                </pt>
                <pt idx="381">
                  <v>27084</v>
                </pt>
                <pt idx="382">
                  <v>19494</v>
                </pt>
                <pt idx="383">
                  <v>20468</v>
                </pt>
                <pt idx="384">
                  <v>12644</v>
                </pt>
                <pt idx="385">
                  <v>4590</v>
                </pt>
                <pt idx="386">
                  <v>3629</v>
                </pt>
                <pt idx="387">
                  <v>-885</v>
                </pt>
                <pt idx="388">
                  <v>-1925</v>
                </pt>
                <pt idx="389">
                  <v>-9242</v>
                </pt>
                <pt idx="390">
                  <v>-2461</v>
                </pt>
                <pt idx="391">
                  <v>-393</v>
                </pt>
                <pt idx="392">
                  <v>-4185</v>
                </pt>
                <pt idx="393">
                  <v>-11578</v>
                </pt>
                <pt idx="394">
                  <v>-11360</v>
                </pt>
                <pt idx="395">
                  <v>-12079</v>
                </pt>
                <pt idx="396">
                  <v>-13032</v>
                </pt>
                <pt idx="397">
                  <v>-19834</v>
                </pt>
                <pt idx="398">
                  <v>-25769</v>
                </pt>
                <pt idx="399">
                  <v>-31489</v>
                </pt>
                <pt idx="400">
                  <v>-18072</v>
                </pt>
                <pt idx="401">
                  <v>-14917</v>
                </pt>
                <pt idx="402">
                  <v>-14343</v>
                </pt>
                <pt idx="403">
                  <v>-16298</v>
                </pt>
                <pt idx="404">
                  <v>-19794</v>
                </pt>
                <pt idx="405">
                  <v>-19674</v>
                </pt>
                <pt idx="406">
                  <v>-18534</v>
                </pt>
                <pt idx="407">
                  <v>-5242</v>
                </pt>
                <pt idx="408">
                  <v>-13002</v>
                </pt>
                <pt idx="409">
                  <v>-12663</v>
                </pt>
                <pt idx="410">
                  <v>-14278</v>
                </pt>
                <pt idx="411">
                  <v>-12427</v>
                </pt>
                <pt idx="412">
                  <v>-13740</v>
                </pt>
                <pt idx="413">
                  <v>-8772</v>
                </pt>
                <pt idx="414">
                  <v>-11975</v>
                </pt>
                <pt idx="415">
                  <v>-16783</v>
                </pt>
                <pt idx="416">
                  <v>-22895</v>
                </pt>
                <pt idx="417">
                  <v>-35165</v>
                </pt>
                <pt idx="418">
                  <v>-34960</v>
                </pt>
                <pt idx="419">
                  <v>-37305</v>
                </pt>
                <pt idx="420">
                  <v>-38022</v>
                </pt>
                <pt idx="421">
                  <v>-37105</v>
                </pt>
                <pt idx="422">
                  <v>-31595</v>
                </pt>
                <pt idx="423">
                  <v>-29729</v>
                </pt>
                <pt idx="424">
                  <v>-27650</v>
                </pt>
                <pt idx="425">
                  <v>-19181</v>
                </pt>
                <pt idx="426">
                  <v>-18437</v>
                </pt>
                <pt idx="427">
                  <v>-14861</v>
                </pt>
                <pt idx="428">
                  <v>-13646</v>
                </pt>
                <pt idx="429">
                  <v>-11530</v>
                </pt>
                <pt idx="430">
                  <v>-3823</v>
                </pt>
                <pt idx="431">
                  <v>2021</v>
                </pt>
                <pt idx="432">
                  <v>3974</v>
                </pt>
                <pt idx="433">
                  <v>9917</v>
                </pt>
                <pt idx="434">
                  <v>7224</v>
                </pt>
                <pt idx="435">
                  <v>8652</v>
                </pt>
                <pt idx="436">
                  <v>25</v>
                </pt>
                <pt idx="437">
                  <v>-4298</v>
                </pt>
                <pt idx="438">
                  <v>-12949</v>
                </pt>
                <pt idx="439">
                  <v>-13480</v>
                </pt>
                <pt idx="440">
                  <v>-13419</v>
                </pt>
                <pt idx="441">
                  <v>-14674</v>
                </pt>
                <pt idx="442">
                  <v>-21032</v>
                </pt>
                <pt idx="443">
                  <v>-19364</v>
                </pt>
                <pt idx="444">
                  <v>-15022</v>
                </pt>
                <pt idx="445">
                  <v>-15602</v>
                </pt>
                <pt idx="446">
                  <v>-13517</v>
                </pt>
                <pt idx="447">
                  <v>-12156</v>
                </pt>
                <pt idx="448">
                  <v>-13134</v>
                </pt>
                <pt idx="449">
                  <v>-14854</v>
                </pt>
                <pt idx="450">
                  <v>-11502</v>
                </pt>
                <pt idx="451">
                  <v>-14042</v>
                </pt>
                <pt idx="452">
                  <v>-11529</v>
                </pt>
                <pt idx="453">
                  <v>-5509</v>
                </pt>
                <pt idx="454">
                  <v>-4810</v>
                </pt>
                <pt idx="455">
                  <v>-3407</v>
                </pt>
                <pt idx="456">
                  <v>2124</v>
                </pt>
                <pt idx="457">
                  <v>1472</v>
                </pt>
                <pt idx="458">
                  <v>-4163</v>
                </pt>
                <pt idx="459">
                  <v>-12191</v>
                </pt>
                <pt idx="460">
                  <v>-1375</v>
                </pt>
                <pt idx="461">
                  <v>-1560</v>
                </pt>
                <pt idx="462">
                  <v>-1651</v>
                </pt>
                <pt idx="463">
                  <v>-7134</v>
                </pt>
                <pt idx="464">
                  <v>-6875</v>
                </pt>
                <pt idx="465">
                  <v>-15527</v>
                </pt>
                <pt idx="466">
                  <v>-25267</v>
                </pt>
                <pt idx="467">
                  <v>-26578</v>
                </pt>
                <pt idx="468">
                  <v>-27937</v>
                </pt>
                <pt idx="469">
                  <v>-30339</v>
                </pt>
                <pt idx="470">
                  <v>-20289</v>
                </pt>
                <pt idx="471">
                  <v>-12618</v>
                </pt>
                <pt idx="472">
                  <v>-19804</v>
                </pt>
                <pt idx="473">
                  <v>-20573</v>
                </pt>
                <pt idx="474">
                  <v>-26432</v>
                </pt>
                <pt idx="475">
                  <v>-28089</v>
                </pt>
                <pt idx="476">
                  <v>-25375</v>
                </pt>
                <pt idx="477">
                  <v>-26672</v>
                </pt>
                <pt idx="478">
                  <v>-7970</v>
                </pt>
                <pt idx="479">
                  <v>-7794</v>
                </pt>
                <pt idx="480">
                  <v>-4900</v>
                </pt>
                <pt idx="481">
                  <v>-6091</v>
                </pt>
                <pt idx="482">
                  <v>-14601</v>
                </pt>
                <pt idx="483">
                  <v>-15333</v>
                </pt>
                <pt idx="484">
                  <v>-15445</v>
                </pt>
                <pt idx="485">
                  <v>-22045</v>
                </pt>
                <pt idx="486">
                  <v>-17164</v>
                </pt>
                <pt idx="487">
                  <v>-15426</v>
                </pt>
                <pt idx="488">
                  <v>-13596</v>
                </pt>
                <pt idx="489">
                  <v>-9338</v>
                </pt>
                <pt idx="490">
                  <v>-19960</v>
                </pt>
                <pt idx="491">
                  <v>-10094</v>
                </pt>
                <pt idx="492">
                  <v>-2100</v>
                </pt>
                <pt idx="493">
                  <v>-2291</v>
                </pt>
                <pt idx="494">
                  <v>-4556</v>
                </pt>
                <pt idx="495">
                  <v>-12486</v>
                </pt>
                <pt idx="496">
                  <v>-20762</v>
                </pt>
                <pt idx="497">
                  <v>-8822</v>
                </pt>
                <pt idx="498">
                  <v>-469</v>
                </pt>
                <pt idx="499">
                  <v>2307</v>
                </pt>
                <pt idx="500">
                  <v>6182</v>
                </pt>
                <pt idx="501">
                  <v>10523</v>
                </pt>
                <pt idx="502">
                  <v>15201</v>
                </pt>
                <pt idx="503">
                  <v>18205</v>
                </pt>
                <pt idx="504">
                  <v>23278</v>
                </pt>
                <pt idx="505">
                  <v>24689</v>
                </pt>
                <pt idx="506">
                  <v>18945</v>
                </pt>
                <pt idx="507">
                  <v>18175</v>
                </pt>
                <pt idx="508">
                  <v>23412</v>
                </pt>
                <pt idx="509">
                  <v>22316</v>
                </pt>
                <pt idx="510">
                  <v>16222</v>
                </pt>
                <pt idx="511">
                  <v>9106</v>
                </pt>
                <pt idx="512">
                  <v>4205</v>
                </pt>
                <pt idx="513">
                  <v>1234</v>
                </pt>
                <pt idx="514">
                  <v>1061</v>
                </pt>
                <pt idx="515">
                  <v>557</v>
                </pt>
                <pt idx="516">
                  <v>2767</v>
                </pt>
                <pt idx="517">
                  <v>10520</v>
                </pt>
                <pt idx="518">
                  <v>10603</v>
                </pt>
                <pt idx="519">
                  <v>2174</v>
                </pt>
                <pt idx="520">
                  <v>612</v>
                </pt>
                <pt idx="521">
                  <v>-414</v>
                </pt>
                <pt idx="522">
                  <v>53</v>
                </pt>
                <pt idx="523">
                  <v>-410</v>
                </pt>
                <pt idx="524">
                  <v>7566</v>
                </pt>
                <pt idx="525">
                  <v>12585</v>
                </pt>
                <pt idx="526">
                  <v>15616</v>
                </pt>
                <pt idx="527">
                  <v>11725</v>
                </pt>
                <pt idx="528">
                  <v>4490</v>
                </pt>
                <pt idx="529">
                  <v>4302</v>
                </pt>
                <pt idx="530">
                  <v>16642</v>
                </pt>
                <pt idx="531">
                  <v>18682</v>
                </pt>
                <pt idx="532">
                  <v>23613</v>
                </pt>
                <pt idx="533">
                  <v>23062</v>
                </pt>
                <pt idx="534">
                  <v>11519</v>
                </pt>
                <pt idx="535">
                  <v>13131</v>
                </pt>
                <pt idx="536">
                  <v>24982</v>
                </pt>
                <pt idx="537">
                  <v>31985</v>
                </pt>
                <pt idx="538">
                  <v>38248</v>
                </pt>
                <pt idx="539">
                  <v>43147</v>
                </pt>
                <pt idx="540">
                  <v>42822</v>
                </pt>
                <pt idx="541">
                  <v>43406</v>
                </pt>
                <pt idx="542">
                  <v>41609</v>
                </pt>
                <pt idx="543">
                  <v>42464</v>
                </pt>
                <pt idx="544">
                  <v>41764</v>
                </pt>
                <pt idx="545">
                  <v>42676</v>
                </pt>
                <pt idx="546">
                  <v>34208</v>
                </pt>
                <pt idx="547">
                  <v>33189</v>
                </pt>
                <pt idx="548">
                  <v>32803</v>
                </pt>
                <pt idx="549">
                  <v>33309</v>
                </pt>
                <pt idx="550">
                  <v>31088</v>
                </pt>
                <pt idx="551">
                  <v>35436</v>
                </pt>
                <pt idx="552">
                  <v>32757</v>
                </pt>
                <pt idx="553">
                  <v>30890</v>
                </pt>
                <pt idx="554">
                  <v>25560</v>
                </pt>
                <pt idx="555">
                  <v>19947</v>
                </pt>
                <pt idx="556">
                  <v>18362</v>
                </pt>
                <pt idx="557">
                  <v>17680</v>
                </pt>
                <pt idx="558">
                  <v>18454</v>
                </pt>
                <pt idx="559">
                  <v>15779</v>
                </pt>
                <pt idx="560">
                  <v>16781</v>
                </pt>
                <pt idx="561">
                  <v>17923</v>
                </pt>
                <pt idx="562">
                  <v>9336</v>
                </pt>
                <pt idx="563">
                  <v>8266</v>
                </pt>
                <pt idx="564">
                  <v>9434</v>
                </pt>
                <pt idx="565">
                  <v>8295</v>
                </pt>
                <pt idx="566">
                  <v>13046</v>
                </pt>
                <pt idx="567">
                  <v>9971</v>
                </pt>
                <pt idx="568">
                  <v>9549</v>
                </pt>
                <pt idx="569">
                  <v>12265</v>
                </pt>
                <pt idx="570">
                  <v>19420</v>
                </pt>
                <pt idx="571">
                  <v>20132</v>
                </pt>
                <pt idx="572">
                  <v>22307</v>
                </pt>
                <pt idx="573">
                  <v>23087</v>
                </pt>
                <pt idx="574">
                  <v>30600</v>
                </pt>
                <pt idx="575">
                  <v>29854</v>
                </pt>
                <pt idx="576">
                  <v>29405</v>
                </pt>
                <pt idx="577">
                  <v>32871</v>
                </pt>
                <pt idx="578">
                  <v>28720</v>
                </pt>
                <pt idx="579">
                  <v>29705</v>
                </pt>
                <pt idx="580">
                  <v>33476</v>
                </pt>
                <pt idx="581">
                  <v>25877</v>
                </pt>
                <pt idx="582">
                  <v>30668</v>
                </pt>
                <pt idx="583">
                  <v>27087</v>
                </pt>
                <pt idx="584">
                  <v>16598</v>
                </pt>
                <pt idx="585">
                  <v>8663</v>
                </pt>
                <pt idx="586">
                  <v>18959</v>
                </pt>
                <pt idx="587">
                  <v>27212</v>
                </pt>
                <pt idx="588">
                  <v>37569</v>
                </pt>
                <pt idx="589">
                  <v>23944</v>
                </pt>
                <pt idx="590">
                  <v>13709</v>
                </pt>
                <pt idx="591">
                  <v>-3852</v>
                </pt>
                <pt idx="592">
                  <v>-4434</v>
                </pt>
                <pt idx="593">
                  <v>-373</v>
                </pt>
                <pt idx="594">
                  <v>-6776</v>
                </pt>
                <pt idx="595">
                  <v>-9415</v>
                </pt>
                <pt idx="596">
                  <v>2824</v>
                </pt>
                <pt idx="597">
                  <v>3742</v>
                </pt>
                <pt idx="598">
                  <v>7100</v>
                </pt>
                <pt idx="599">
                  <v>33015</v>
                </pt>
                <pt idx="600">
                  <v>41865</v>
                </pt>
                <pt idx="601">
                  <v>17150</v>
                </pt>
                <pt idx="602">
                  <v>-552</v>
                </pt>
                <pt idx="603">
                  <v>-9625</v>
                </pt>
                <pt idx="604">
                  <v>-19391</v>
                </pt>
                <pt idx="605">
                  <v>-25648</v>
                </pt>
                <pt idx="606">
                  <v>-28734</v>
                </pt>
                <pt idx="607">
                  <v>-19177</v>
                </pt>
                <pt idx="608">
                  <v>-14276</v>
                </pt>
                <pt idx="609">
                  <v>-4892</v>
                </pt>
                <pt idx="610">
                  <v>-10990</v>
                </pt>
                <pt idx="611">
                  <v>-15205</v>
                </pt>
                <pt idx="612">
                  <v>265</v>
                </pt>
                <pt idx="613">
                  <v>11321</v>
                </pt>
                <pt idx="614">
                  <v>23876</v>
                </pt>
                <pt idx="615">
                  <v>30978</v>
                </pt>
                <pt idx="616">
                  <v>25715</v>
                </pt>
                <pt idx="617">
                  <v>23601</v>
                </pt>
                <pt idx="618">
                  <v>26639</v>
                </pt>
                <pt idx="619">
                  <v>31094</v>
                </pt>
                <pt idx="620">
                  <v>33743</v>
                </pt>
                <pt idx="621">
                  <v>29138</v>
                </pt>
                <pt idx="622">
                  <v>41303</v>
                </pt>
                <pt idx="623">
                  <v>44652</v>
                </pt>
                <pt idx="624">
                  <v>39399</v>
                </pt>
                <pt idx="625">
                  <v>46756</v>
                </pt>
                <pt idx="626">
                  <v>45168</v>
                </pt>
                <pt idx="627">
                  <v>49386</v>
                </pt>
                <pt idx="628">
                  <v>40020</v>
                </pt>
                <pt idx="629">
                  <v>36223</v>
                </pt>
                <pt idx="630">
                  <v>39692</v>
                </pt>
                <pt idx="631">
                  <v>34972</v>
                </pt>
                <pt idx="632">
                  <v>33335</v>
                </pt>
                <pt idx="633">
                  <v>29471</v>
                </pt>
                <pt idx="634">
                  <v>23631</v>
                </pt>
                <pt idx="635">
                  <v>18370</v>
                </pt>
                <pt idx="636">
                  <v>9077</v>
                </pt>
                <pt idx="637">
                  <v>6276</v>
                </pt>
                <pt idx="638">
                  <v>6134</v>
                </pt>
                <pt idx="639">
                  <v>9662</v>
                </pt>
                <pt idx="640">
                  <v>9893</v>
                </pt>
                <pt idx="641">
                  <v>5500</v>
                </pt>
                <pt idx="642">
                  <v>2653</v>
                </pt>
                <pt idx="643">
                  <v>1269</v>
                </pt>
                <pt idx="644">
                  <v>-7365</v>
                </pt>
                <pt idx="645">
                  <v>-5307</v>
                </pt>
                <pt idx="646">
                  <v>-3141</v>
                </pt>
                <pt idx="647">
                  <v>-6829</v>
                </pt>
                <pt idx="648">
                  <v>3329</v>
                </pt>
                <pt idx="649">
                  <v>26150</v>
                </pt>
                <pt idx="650">
                  <v>31547</v>
                </pt>
                <pt idx="651">
                  <v>26690</v>
                </pt>
                <pt idx="652">
                  <v>25675</v>
                </pt>
                <pt idx="653">
                  <v>-7434</v>
                </pt>
                <pt idx="654">
                  <v>-16358</v>
                </pt>
                <pt idx="655">
                  <v>-24719</v>
                </pt>
                <pt idx="656">
                  <v>-33321</v>
                </pt>
                <pt idx="657">
                  <v>-27795</v>
                </pt>
                <pt idx="658">
                  <v>-33492</v>
                </pt>
                <pt idx="659">
                  <v>-32884</v>
                </pt>
                <pt idx="660">
                  <v>-31240</v>
                </pt>
                <pt idx="661">
                  <v>-26561</v>
                </pt>
                <pt idx="662">
                  <v>-21011</v>
                </pt>
                <pt idx="663">
                  <v>284</v>
                </pt>
                <pt idx="664">
                  <v>2284</v>
                </pt>
                <pt idx="665">
                  <v>4088</v>
                </pt>
                <pt idx="666">
                  <v>23203</v>
                </pt>
                <pt idx="667">
                  <v>25825</v>
                </pt>
                <pt idx="668">
                  <v>17519</v>
                </pt>
                <pt idx="669">
                  <v>12164</v>
                </pt>
                <pt idx="670">
                  <v>14214</v>
                </pt>
                <pt idx="671">
                  <v>26047</v>
                </pt>
                <pt idx="672">
                  <v>24543</v>
                </pt>
                <pt idx="673">
                  <v>28914</v>
                </pt>
                <pt idx="674">
                  <v>29993</v>
                </pt>
                <pt idx="675">
                  <v>29592</v>
                </pt>
                <pt idx="676">
                  <v>26503</v>
                </pt>
                <pt idx="677">
                  <v>43096</v>
                </pt>
                <pt idx="678">
                  <v>38031</v>
                </pt>
                <pt idx="679">
                  <v>43591</v>
                </pt>
                <pt idx="680">
                  <v>42812</v>
                </pt>
                <pt idx="681">
                  <v>36945</v>
                </pt>
                <pt idx="682">
                  <v>37160</v>
                </pt>
                <pt idx="683">
                  <v>26340</v>
                </pt>
                <pt idx="684">
                  <v>20169</v>
                </pt>
                <pt idx="685">
                  <v>15725</v>
                </pt>
                <pt idx="686">
                  <v>29010</v>
                </pt>
                <pt idx="687">
                  <v>37317</v>
                </pt>
                <pt idx="688">
                  <v>56183</v>
                </pt>
                <pt idx="689">
                  <v>48111</v>
                </pt>
                <pt idx="690">
                  <v>42292</v>
                </pt>
                <pt idx="691">
                  <v>36687</v>
                </pt>
                <pt idx="692">
                  <v>23317</v>
                </pt>
                <pt idx="693">
                  <v>26933</v>
                </pt>
                <pt idx="694">
                  <v>27133</v>
                </pt>
                <pt idx="695">
                  <v>37484</v>
                </pt>
                <pt idx="696">
                  <v>44845</v>
                </pt>
                <pt idx="697">
                  <v>40464</v>
                </pt>
                <pt idx="698">
                  <v>35197</v>
                </pt>
                <pt idx="699">
                  <v>40634</v>
                </pt>
                <pt idx="700">
                  <v>41323</v>
                </pt>
                <pt idx="701">
                  <v>14021</v>
                </pt>
                <pt idx="702">
                  <v>-3742</v>
                </pt>
                <pt idx="703">
                  <v>-7811</v>
                </pt>
                <pt idx="704">
                  <v>-4146</v>
                </pt>
                <pt idx="705">
                  <v>13942</v>
                </pt>
                <pt idx="706">
                  <v>6918</v>
                </pt>
                <pt idx="707">
                  <v>15623</v>
                </pt>
                <pt idx="708">
                  <v>32152</v>
                </pt>
                <pt idx="709">
                  <v>28873</v>
                </pt>
                <pt idx="710">
                  <v>19528</v>
                </pt>
                <pt idx="711">
                  <v>15702</v>
                </pt>
                <pt idx="712">
                  <v>31707</v>
                </pt>
                <pt idx="713">
                  <v>22862</v>
                </pt>
                <pt idx="714">
                  <v>33351</v>
                </pt>
                <pt idx="715">
                  <v>23978</v>
                </pt>
                <pt idx="716">
                  <v>30309</v>
                </pt>
                <pt idx="717">
                  <v>36447</v>
                </pt>
                <pt idx="718">
                  <v>11621</v>
                </pt>
                <pt idx="719">
                  <v>9284</v>
                </pt>
                <pt idx="720">
                  <v>-5419</v>
                </pt>
                <pt idx="721">
                  <v>-7416</v>
                </pt>
                <pt idx="722">
                  <v>9830</v>
                </pt>
                <pt idx="723">
                  <v>8597</v>
                </pt>
                <pt idx="724">
                  <v>15493</v>
                </pt>
                <pt idx="725">
                  <v>30605</v>
                </pt>
                <pt idx="726">
                  <v>27466</v>
                </pt>
                <pt idx="727">
                  <v>14782</v>
                </pt>
                <pt idx="728">
                  <v>855</v>
                </pt>
                <pt idx="729">
                  <v>6510</v>
                </pt>
                <pt idx="730">
                  <v>9279</v>
                </pt>
                <pt idx="731">
                  <v>1859</v>
                </pt>
                <pt idx="732">
                  <v>-24498</v>
                </pt>
                <pt idx="733">
                  <v>-14233</v>
                </pt>
                <pt idx="734">
                  <v>-23678</v>
                </pt>
                <pt idx="735">
                  <v>-20342</v>
                </pt>
                <pt idx="736">
                  <v>-47375</v>
                </pt>
                <pt idx="737">
                  <v>-58893</v>
                </pt>
                <pt idx="738">
                  <v>-40282</v>
                </pt>
                <pt idx="739">
                  <v>-46479</v>
                </pt>
                <pt idx="740">
                  <v>-52008</v>
                </pt>
                <pt idx="741">
                  <v>-57392</v>
                </pt>
                <pt idx="742">
                  <v>-66294</v>
                </pt>
                <pt idx="743">
                  <v>-74268</v>
                </pt>
                <pt idx="744">
                  <v>-84906</v>
                </pt>
                <pt idx="745">
                  <v>-78967</v>
                </pt>
                <pt idx="746">
                  <v>-77857</v>
                </pt>
                <pt idx="747">
                  <v>-70876</v>
                </pt>
                <pt idx="748">
                  <v>-80646</v>
                </pt>
                <pt idx="749">
                  <v>-56695</v>
                </pt>
                <pt idx="750">
                  <v>-65426</v>
                </pt>
                <pt idx="751">
                  <v>-56424</v>
                </pt>
                <pt idx="752">
                  <v>-74925</v>
                </pt>
                <pt idx="753">
                  <v>-74139</v>
                </pt>
                <pt idx="754">
                  <v>-51153</v>
                </pt>
                <pt idx="755">
                  <v>-31982</v>
                </pt>
                <pt idx="756">
                  <v>-35165</v>
                </pt>
                <pt idx="757">
                  <v>-15564</v>
                </pt>
                <pt idx="758">
                  <v>-15991</v>
                </pt>
                <pt idx="759">
                  <v>-1631</v>
                </pt>
                <pt idx="760">
                  <v>8851</v>
                </pt>
                <pt idx="761">
                  <v>17819</v>
                </pt>
                <pt idx="762">
                  <v>43097</v>
                </pt>
                <pt idx="763">
                  <v>38967</v>
                </pt>
                <pt idx="764">
                  <v>52020</v>
                </pt>
                <pt idx="765">
                  <v>43858</v>
                </pt>
                <pt idx="766">
                  <v>62005</v>
                </pt>
                <pt idx="767">
                  <v>58796</v>
                </pt>
                <pt idx="768">
                  <v>68863</v>
                </pt>
                <pt idx="769">
                  <v>65253</v>
                </pt>
                <pt idx="770">
                  <v>67378</v>
                </pt>
                <pt idx="771">
                  <v>67272</v>
                </pt>
                <pt idx="772">
                  <v>76964</v>
                </pt>
                <pt idx="773">
                  <v>49698</v>
                </pt>
                <pt idx="774">
                  <v>51938</v>
                </pt>
                <pt idx="775">
                  <v>47810</v>
                </pt>
                <pt idx="776">
                  <v>40033</v>
                </pt>
                <pt idx="777">
                  <v>45094</v>
                </pt>
                <pt idx="778">
                  <v>51345</v>
                </pt>
                <pt idx="779">
                  <v>58754</v>
                </pt>
                <pt idx="780">
                  <v>79828</v>
                </pt>
                <pt idx="781">
                  <v>59162</v>
                </pt>
                <pt idx="782">
                  <v>69179</v>
                </pt>
                <pt idx="783">
                  <v>83001</v>
                </pt>
                <pt idx="784">
                  <v>76949</v>
                </pt>
                <pt idx="785">
                  <v>71323</v>
                </pt>
                <pt idx="786">
                  <v>68831</v>
                </pt>
                <pt idx="787">
                  <v>63588</v>
                </pt>
                <pt idx="788">
                  <v>46723</v>
                </pt>
                <pt idx="789">
                  <v>32292</v>
                </pt>
                <pt idx="790">
                  <v>28999</v>
                </pt>
                <pt idx="791">
                  <v>15324</v>
                </pt>
                <pt idx="792">
                  <v>18664</v>
                </pt>
                <pt idx="793">
                  <v>23287</v>
                </pt>
                <pt idx="794">
                  <v>14723</v>
                </pt>
                <pt idx="795">
                  <v>22998</v>
                </pt>
                <pt idx="796">
                  <v>16424</v>
                </pt>
                <pt idx="797">
                  <v>7765</v>
                </pt>
                <pt idx="798">
                  <v>7677</v>
                </pt>
                <pt idx="799">
                  <v>4295</v>
                </pt>
                <pt idx="800">
                  <v>10240</v>
                </pt>
                <pt idx="801">
                  <v>20435</v>
                </pt>
                <pt idx="802">
                  <v>11947</v>
                </pt>
                <pt idx="803">
                  <v>26184</v>
                </pt>
                <pt idx="804">
                  <v>36406</v>
                </pt>
                <pt idx="805">
                  <v>28931</v>
                </pt>
                <pt idx="806">
                  <v>20899</v>
                </pt>
                <pt idx="807">
                  <v>2178</v>
                </pt>
                <pt idx="808">
                  <v>723</v>
                </pt>
                <pt idx="809">
                  <v>6564</v>
                </pt>
                <pt idx="810">
                  <v>5503</v>
                </pt>
                <pt idx="811">
                  <v>17370</v>
                </pt>
                <pt idx="812">
                  <v>7428</v>
                </pt>
                <pt idx="813">
                  <v>31712</v>
                </pt>
                <pt idx="814">
                  <v>29409</v>
                </pt>
                <pt idx="815">
                  <v>31418</v>
                </pt>
                <pt idx="816">
                  <v>50125</v>
                </pt>
                <pt idx="817">
                  <v>45738</v>
                </pt>
                <pt idx="818">
                  <v>17579</v>
                </pt>
                <pt idx="819">
                  <v>-951</v>
                </pt>
                <pt idx="820">
                  <v>-4489</v>
                </pt>
                <pt idx="821">
                  <v>-9790</v>
                </pt>
                <pt idx="822">
                  <v>-5952</v>
                </pt>
                <pt idx="823">
                  <v>12859</v>
                </pt>
                <pt idx="824">
                  <v>21889</v>
                </pt>
                <pt idx="825">
                  <v>-2246</v>
                </pt>
                <pt idx="826">
                  <v>-18772</v>
                </pt>
                <pt idx="827">
                  <v>-25329</v>
                </pt>
                <pt idx="828">
                  <v>-28085</v>
                </pt>
                <pt idx="829">
                  <v>-15764</v>
                </pt>
                <pt idx="830">
                  <v>-17574</v>
                </pt>
                <pt idx="831">
                  <v>-9984</v>
                </pt>
                <pt idx="832">
                  <v>-10222</v>
                </pt>
                <pt idx="833">
                  <v>-18653</v>
                </pt>
                <pt idx="834">
                  <v>-18021</v>
                </pt>
                <pt idx="835">
                  <v>-17152</v>
                </pt>
                <pt idx="836">
                  <v>-17884</v>
                </pt>
                <pt idx="837">
                  <v>-12395</v>
                </pt>
                <pt idx="838">
                  <v>-9847</v>
                </pt>
                <pt idx="839">
                  <v>-7494</v>
                </pt>
                <pt idx="840">
                  <v>-3245</v>
                </pt>
                <pt idx="841">
                  <v>-7177</v>
                </pt>
                <pt idx="842">
                  <v>-6269</v>
                </pt>
                <pt idx="843">
                  <v>-9707</v>
                </pt>
                <pt idx="844">
                  <v>-8829</v>
                </pt>
                <pt idx="845">
                  <v>-6748</v>
                </pt>
                <pt idx="846">
                  <v>-10030</v>
                </pt>
                <pt idx="847">
                  <v>-10355</v>
                </pt>
                <pt idx="848">
                  <v>-13872</v>
                </pt>
                <pt idx="849">
                  <v>-12204</v>
                </pt>
                <pt idx="850">
                  <v>-14585</v>
                </pt>
                <pt idx="851">
                  <v>-14966</v>
                </pt>
                <pt idx="852">
                  <v>-12575</v>
                </pt>
                <pt idx="853">
                  <v>-11471</v>
                </pt>
                <pt idx="854">
                  <v>-12909</v>
                </pt>
                <pt idx="855">
                  <v>-12965</v>
                </pt>
                <pt idx="856">
                  <v>-19013</v>
                </pt>
                <pt idx="857">
                  <v>-20290</v>
                </pt>
                <pt idx="858">
                  <v>-23950</v>
                </pt>
                <pt idx="859">
                  <v>-20672</v>
                </pt>
                <pt idx="860">
                  <v>-23346</v>
                </pt>
                <pt idx="861">
                  <v>-23311</v>
                </pt>
                <pt idx="862">
                  <v>-17729</v>
                </pt>
                <pt idx="863">
                  <v>-12707</v>
                </pt>
                <pt idx="864">
                  <v>-7707</v>
                </pt>
                <pt idx="865">
                  <v>2014</v>
                </pt>
                <pt idx="866">
                  <v>5449</v>
                </pt>
                <pt idx="867">
                  <v>5425</v>
                </pt>
                <pt idx="868">
                  <v>11532</v>
                </pt>
                <pt idx="869">
                  <v>6594</v>
                </pt>
                <pt idx="870">
                  <v>12966</v>
                </pt>
                <pt idx="871">
                  <v>15460</v>
                </pt>
                <pt idx="872">
                  <v>11347</v>
                </pt>
                <pt idx="873">
                  <v>9272</v>
                </pt>
                <pt idx="874">
                  <v>6552</v>
                </pt>
                <pt idx="875">
                  <v>5893</v>
                </pt>
                <pt idx="876">
                  <v>16506</v>
                </pt>
                <pt idx="877">
                  <v>29068</v>
                </pt>
                <pt idx="878">
                  <v>36592</v>
                </pt>
                <pt idx="879">
                  <v>33889</v>
                </pt>
                <pt idx="880">
                  <v>37458</v>
                </pt>
                <pt idx="881">
                  <v>39989</v>
                </pt>
                <pt idx="882">
                  <v>32889</v>
                </pt>
                <pt idx="883">
                  <v>36818</v>
                </pt>
                <pt idx="884">
                  <v>38032</v>
                </pt>
                <pt idx="885">
                  <v>34552</v>
                </pt>
                <pt idx="886">
                  <v>18209</v>
                </pt>
                <pt idx="887">
                  <v>35775</v>
                </pt>
                <pt idx="888">
                  <v>44196</v>
                </pt>
                <pt idx="889">
                  <v>43537</v>
                </pt>
                <pt idx="890">
                  <v>35455</v>
                </pt>
                <pt idx="891">
                  <v>23369</v>
                </pt>
                <pt idx="892">
                  <v>21984</v>
                </pt>
                <pt idx="893">
                  <v>23606</v>
                </pt>
                <pt idx="894">
                  <v>24653</v>
                </pt>
                <pt idx="895">
                  <v>30809</v>
                </pt>
                <pt idx="896">
                  <v>29459</v>
                </pt>
                <pt idx="897">
                  <v>25625</v>
                </pt>
                <pt idx="898">
                  <v>22701</v>
                </pt>
                <pt idx="899">
                  <v>39989</v>
                </pt>
                <pt idx="900">
                  <v>40196</v>
                </pt>
                <pt idx="901">
                  <v>48695</v>
                </pt>
                <pt idx="902">
                  <v>46803</v>
                </pt>
                <pt idx="903">
                  <v>25809</v>
                </pt>
                <pt idx="904">
                  <v>15355</v>
                </pt>
                <pt idx="905">
                  <v>8863</v>
                </pt>
                <pt idx="906">
                  <v>23455</v>
                </pt>
                <pt idx="907">
                  <v>28421</v>
                </pt>
                <pt idx="908">
                  <v>38289</v>
                </pt>
                <pt idx="909">
                  <v>61399</v>
                </pt>
                <pt idx="910">
                  <v>69640</v>
                </pt>
                <pt idx="911">
                  <v>73027</v>
                </pt>
                <pt idx="912">
                  <v>70296</v>
                </pt>
                <pt idx="913">
                  <v>69312</v>
                </pt>
                <pt idx="914">
                  <v>70475</v>
                </pt>
                <pt idx="915">
                  <v>69656</v>
                </pt>
                <pt idx="916">
                  <v>59198</v>
                </pt>
                <pt idx="917">
                  <v>52012</v>
                </pt>
                <pt idx="918">
                  <v>50454</v>
                </pt>
                <pt idx="919">
                  <v>44885</v>
                </pt>
                <pt idx="920">
                  <v>23872</v>
                </pt>
                <pt idx="921">
                  <v>22154</v>
                </pt>
                <pt idx="922">
                  <v>22510</v>
                </pt>
                <pt idx="923">
                  <v>27354</v>
                </pt>
                <pt idx="924">
                  <v>26353</v>
                </pt>
                <pt idx="925">
                  <v>15894</v>
                </pt>
                <pt idx="926">
                  <v>8094</v>
                </pt>
                <pt idx="927">
                  <v>22038</v>
                </pt>
                <pt idx="928">
                  <v>16424</v>
                </pt>
                <pt idx="929">
                  <v>23868</v>
                </pt>
                <pt idx="930">
                  <v>34182</v>
                </pt>
                <pt idx="931">
                  <v>41179</v>
                </pt>
                <pt idx="932">
                  <v>29514</v>
                </pt>
                <pt idx="933">
                  <v>16147</v>
                </pt>
                <pt idx="934">
                  <v>-4764</v>
                </pt>
                <pt idx="935">
                  <v>452</v>
                </pt>
                <pt idx="936">
                  <v>17695</v>
                </pt>
                <pt idx="937">
                  <v>29815</v>
                </pt>
                <pt idx="938">
                  <v>27870</v>
                </pt>
                <pt idx="939">
                  <v>42678</v>
                </pt>
                <pt idx="940">
                  <v>43786</v>
                </pt>
                <pt idx="941">
                  <v>30740</v>
                </pt>
                <pt idx="942">
                  <v>19875</v>
                </pt>
                <pt idx="943">
                  <v>23365</v>
                </pt>
                <pt idx="944">
                  <v>37338</v>
                </pt>
                <pt idx="945">
                  <v>38441</v>
                </pt>
                <pt idx="946">
                  <v>22499</v>
                </pt>
                <pt idx="947">
                  <v>19155</v>
                </pt>
                <pt idx="948">
                  <v>33722</v>
                </pt>
                <pt idx="949">
                  <v>33396</v>
                </pt>
                <pt idx="950">
                  <v>24948</v>
                </pt>
                <pt idx="951">
                  <v>34787</v>
                </pt>
                <pt idx="952">
                  <v>38348</v>
                </pt>
                <pt idx="953">
                  <v>47757</v>
                </pt>
                <pt idx="954">
                  <v>44055</v>
                </pt>
                <pt idx="955">
                  <v>31719</v>
                </pt>
                <pt idx="956">
                  <v>33814</v>
                </pt>
                <pt idx="957">
                  <v>39790</v>
                </pt>
                <pt idx="958">
                  <v>72090</v>
                </pt>
                <pt idx="959">
                  <v>68348</v>
                </pt>
                <pt idx="960">
                  <v>72827</v>
                </pt>
                <pt idx="961">
                  <v>77544</v>
                </pt>
                <pt idx="962">
                  <v>56991</v>
                </pt>
                <pt idx="963">
                  <v>45977</v>
                </pt>
                <pt idx="964">
                  <v>51245</v>
                </pt>
                <pt idx="965">
                  <v>65030</v>
                </pt>
                <pt idx="966">
                  <v>63741</v>
                </pt>
                <pt idx="967">
                  <v>65035</v>
                </pt>
                <pt idx="968">
                  <v>59063</v>
                </pt>
                <pt idx="969">
                  <v>54041</v>
                </pt>
                <pt idx="970">
                  <v>37203</v>
                </pt>
                <pt idx="971">
                  <v>26291</v>
                </pt>
                <pt idx="972">
                  <v>21277</v>
                </pt>
                <pt idx="973">
                  <v>26402</v>
                </pt>
                <pt idx="974">
                  <v>13522</v>
                </pt>
                <pt idx="975">
                  <v>18855</v>
                </pt>
                <pt idx="976">
                  <v>2204</v>
                </pt>
                <pt idx="977">
                  <v>-1863</v>
                </pt>
                <pt idx="978">
                  <v>6821</v>
                </pt>
                <pt idx="979">
                  <v>15334</v>
                </pt>
                <pt idx="980">
                  <v>27764</v>
                </pt>
                <pt idx="981">
                  <v>36141</v>
                </pt>
                <pt idx="982">
                  <v>41037</v>
                </pt>
                <pt idx="983">
                  <v>23704</v>
                </pt>
                <pt idx="984">
                  <v>4121</v>
                </pt>
                <pt idx="985">
                  <v>8804</v>
                </pt>
                <pt idx="986">
                  <v>13939</v>
                </pt>
                <pt idx="987">
                  <v>2081</v>
                </pt>
                <pt idx="988">
                  <v>-6303</v>
                </pt>
                <pt idx="989">
                  <v>-5458</v>
                </pt>
                <pt idx="990">
                  <v>-20550</v>
                </pt>
                <pt idx="991">
                  <v>-15682</v>
                </pt>
                <pt idx="992">
                  <v>-24913</v>
                </pt>
                <pt idx="993">
                  <v>-24795</v>
                </pt>
                <pt idx="994">
                  <v>-17923</v>
                </pt>
                <pt idx="995">
                  <v>-14820</v>
                </pt>
                <pt idx="996">
                  <v>-15568</v>
                </pt>
                <pt idx="997">
                  <v>-17215</v>
                </pt>
                <pt idx="998">
                  <v>-22144</v>
                </pt>
                <pt idx="999">
                  <v>-26869</v>
                </pt>
                <pt idx="1000">
                  <v>-20171</v>
                </pt>
                <pt idx="1001">
                  <v>-13385</v>
                </pt>
                <pt idx="1002">
                  <v>-26868</v>
                </pt>
                <pt idx="1003">
                  <v>-21812</v>
                </pt>
                <pt idx="1004">
                  <v>-23371</v>
                </pt>
                <pt idx="1005">
                  <v>-28649</v>
                </pt>
                <pt idx="1006">
                  <v>-28730</v>
                </pt>
                <pt idx="1007">
                  <v>-18909</v>
                </pt>
                <pt idx="1008">
                  <v>-19409</v>
                </pt>
                <pt idx="1009">
                  <v>2184</v>
                </pt>
                <pt idx="1010">
                  <v>9566</v>
                </pt>
                <pt idx="1011">
                  <v>14112</v>
                </pt>
                <pt idx="1012">
                  <v>22480</v>
                </pt>
                <pt idx="1013">
                  <v>26032</v>
                </pt>
                <pt idx="1014">
                  <v>26721</v>
                </pt>
                <pt idx="1015">
                  <v>42315</v>
                </pt>
                <pt idx="1016">
                  <v>23737</v>
                </pt>
                <pt idx="1017">
                  <v>29487</v>
                </pt>
                <pt idx="1018">
                  <v>27967</v>
                </pt>
                <pt idx="1019">
                  <v>38028</v>
                </pt>
                <pt idx="1020">
                  <v>44224</v>
                </pt>
                <pt idx="1021">
                  <v>70223</v>
                </pt>
                <pt idx="1022">
                  <v>60095</v>
                </pt>
                <pt idx="1023">
                  <v>51005</v>
                </pt>
                <pt idx="1024">
                  <v>38555</v>
                </pt>
                <pt idx="1025">
                  <v>34085</v>
                </pt>
                <pt idx="1026">
                  <v>14906</v>
                </pt>
                <pt idx="1027">
                  <v>9620</v>
                </pt>
                <pt idx="1028">
                  <v>8201</v>
                </pt>
                <pt idx="1029">
                  <v>9277</v>
                </pt>
                <pt idx="1030">
                  <v>8698</v>
                </pt>
                <pt idx="1031">
                  <v>4338</v>
                </pt>
                <pt idx="1032">
                  <v>-1208</v>
                </pt>
                <pt idx="1033">
                  <v>-2432</v>
                </pt>
                <pt idx="1034">
                  <v>12449</v>
                </pt>
                <pt idx="1035">
                  <v>19122</v>
                </pt>
                <pt idx="1036">
                  <v>28593</v>
                </pt>
                <pt idx="1037">
                  <v>50867</v>
                </pt>
                <pt idx="1038">
                  <v>60936</v>
                </pt>
                <pt idx="1039">
                  <v>66555</v>
                </pt>
                <pt idx="1040">
                  <v>101860</v>
                </pt>
                <pt idx="1041">
                  <v>111881</v>
                </pt>
                <pt idx="1042">
                  <v>105346</v>
                </pt>
                <pt idx="1043">
                  <v>101176</v>
                </pt>
                <pt idx="1044">
                  <v>95628</v>
                </pt>
                <pt idx="1045">
                  <v>93750</v>
                </pt>
                <pt idx="1046">
                  <v>89088</v>
                </pt>
                <pt idx="1047">
                  <v>78771</v>
                </pt>
                <pt idx="1048">
                  <v>74762</v>
                </pt>
                <pt idx="1049">
                  <v>66119</v>
                </pt>
                <pt idx="1050">
                  <v>61446</v>
                </pt>
                <pt idx="1051">
                  <v>62379</v>
                </pt>
                <pt idx="1052">
                  <v>57071</v>
                </pt>
                <pt idx="1053">
                  <v>62533</v>
                </pt>
                <pt idx="1054">
                  <v>74278</v>
                </pt>
                <pt idx="1055">
                  <v>63352</v>
                </pt>
                <pt idx="1056">
                  <v>65926</v>
                </pt>
                <pt idx="1057">
                  <v>64005</v>
                </pt>
                <pt idx="1058">
                  <v>68668</v>
                </pt>
                <pt idx="1059">
                  <v>57952</v>
                </pt>
                <pt idx="1060">
                  <v>35057</v>
                </pt>
                <pt idx="1061">
                  <v>27761</v>
                </pt>
                <pt idx="1062">
                  <v>26565</v>
                </pt>
                <pt idx="1063">
                  <v>19379</v>
                </pt>
                <pt idx="1064">
                  <v>-21433</v>
                </pt>
                <pt idx="1065">
                  <v>-46663</v>
                </pt>
                <pt idx="1066">
                  <v>-53397</v>
                </pt>
                <pt idx="1067">
                  <v>-65331</v>
                </pt>
                <pt idx="1068">
                  <v>-62645</v>
                </pt>
                <pt idx="1069">
                  <v>-64544</v>
                </pt>
                <pt idx="1070">
                  <v>-71133</v>
                </pt>
                <pt idx="1071">
                  <v>-75913</v>
                </pt>
                <pt idx="1072">
                  <v>-71679</v>
                </pt>
                <pt idx="1073">
                  <v>-67848</v>
                </pt>
                <pt idx="1074">
                  <v>-51916</v>
                </pt>
                <pt idx="1075">
                  <v>-44417</v>
                </pt>
                <pt idx="1076">
                  <v>-33852</v>
                </pt>
                <pt idx="1077">
                  <v>-33359</v>
                </pt>
                <pt idx="1078">
                  <v>-39776</v>
                </pt>
                <pt idx="1079">
                  <v>-35907</v>
                </pt>
                <pt idx="1080">
                  <v>-26087</v>
                </pt>
                <pt idx="1081">
                  <v>-10638</v>
                </pt>
                <pt idx="1082">
                  <v>-16250</v>
                </pt>
                <pt idx="1083">
                  <v>-23829</v>
                </pt>
                <pt idx="1084">
                  <v>-20043</v>
                </pt>
                <pt idx="1085">
                  <v>-16758</v>
                </pt>
                <pt idx="1086">
                  <v>-11434</v>
                </pt>
                <pt idx="1087">
                  <v>-10436</v>
                </pt>
                <pt idx="1088">
                  <v>-9081</v>
                </pt>
                <pt idx="1089">
                  <v>-9544</v>
                </pt>
                <pt idx="1090">
                  <v>-24959</v>
                </pt>
                <pt idx="1091">
                  <v>-34639</v>
                </pt>
                <pt idx="1092">
                  <v>-30942</v>
                </pt>
                <pt idx="1093">
                  <v>-18764</v>
                </pt>
                <pt idx="1094">
                  <v>-5675</v>
                </pt>
                <pt idx="1095">
                  <v>-955</v>
                </pt>
                <pt idx="1096">
                  <v>-8663</v>
                </pt>
                <pt idx="1097">
                  <v>-10814</v>
                </pt>
                <pt idx="1098">
                  <v>-5364</v>
                </pt>
                <pt idx="1099">
                  <v>-15237</v>
                </pt>
                <pt idx="1100">
                  <v>-18002</v>
                </pt>
                <pt idx="1101">
                  <v>-16092</v>
                </pt>
                <pt idx="1102">
                  <v>-16335</v>
                </pt>
                <pt idx="1103">
                  <v>-28780</v>
                </pt>
                <pt idx="1104">
                  <v>-41583</v>
                </pt>
                <pt idx="1105">
                  <v>-57514</v>
                </pt>
                <pt idx="1106">
                  <v>-65500</v>
                </pt>
                <pt idx="1107">
                  <v>-58432</v>
                </pt>
                <pt idx="1108">
                  <v>-57956</v>
                </pt>
                <pt idx="1109">
                  <v>-60542</v>
                </pt>
                <pt idx="1110">
                  <v>-67345</v>
                </pt>
                <pt idx="1111">
                  <v>-70327</v>
                </pt>
                <pt idx="1112">
                  <v>-62789</v>
                </pt>
                <pt idx="1113">
                  <v>-60300</v>
                </pt>
                <pt idx="1114">
                  <v>-58928</v>
                </pt>
                <pt idx="1115">
                  <v>-65000</v>
                </pt>
                <pt idx="1116">
                  <v>-58591</v>
                </pt>
                <pt idx="1117">
                  <v>-61096</v>
                </pt>
                <pt idx="1118">
                  <v>-52191</v>
                </pt>
                <pt idx="1119">
                  <v>-69805</v>
                </pt>
                <pt idx="1120">
                  <v>-33215</v>
                </pt>
                <pt idx="1121">
                  <v>-36994</v>
                </pt>
                <pt idx="1122">
                  <v>-34307</v>
                </pt>
                <pt idx="1123">
                  <v>-35426</v>
                </pt>
                <pt idx="1124">
                  <v>-35455</v>
                </pt>
                <pt idx="1125">
                  <v>-30295</v>
                </pt>
                <pt idx="1126">
                  <v>-31600</v>
                </pt>
                <pt idx="1127">
                  <v>-26037</v>
                </pt>
                <pt idx="1128">
                  <v>-26534</v>
                </pt>
                <pt idx="1129">
                  <v>-21810</v>
                </pt>
                <pt idx="1130">
                  <v>-22731</v>
                </pt>
                <pt idx="1131">
                  <v>-24108</v>
                </pt>
                <pt idx="1132">
                  <v>-21533</v>
                </pt>
                <pt idx="1133">
                  <v>-5320</v>
                </pt>
                <pt idx="1134">
                  <v>2695</v>
                </pt>
                <pt idx="1135">
                  <v>10295</v>
                </pt>
                <pt idx="1136">
                  <v>15621</v>
                </pt>
                <pt idx="1137">
                  <v>20581</v>
                </pt>
                <pt idx="1138">
                  <v>22691</v>
                </pt>
                <pt idx="1139">
                  <v>21455</v>
                </pt>
                <pt idx="1140">
                  <v>17998</v>
                </pt>
                <pt idx="1141">
                  <v>7281</v>
                </pt>
                <pt idx="1142">
                  <v>5663</v>
                </pt>
                <pt idx="1143">
                  <v>9191</v>
                </pt>
                <pt idx="1144">
                  <v>11630</v>
                </pt>
                <pt idx="1145">
                  <v>7544</v>
                </pt>
                <pt idx="1146">
                  <v>3064</v>
                </pt>
                <pt idx="1147">
                  <v>-4566</v>
                </pt>
                <pt idx="1148">
                  <v>-7452</v>
                </pt>
                <pt idx="1149">
                  <v>-16167</v>
                </pt>
                <pt idx="1150">
                  <v>-21534</v>
                </pt>
                <pt idx="1151">
                  <v>-21405</v>
                </pt>
                <pt idx="1152">
                  <v>-19415</v>
                </pt>
                <pt idx="1153">
                  <v>-21846</v>
                </pt>
                <pt idx="1154">
                  <v>-19517</v>
                </pt>
                <pt idx="1155">
                  <v>-16341</v>
                </pt>
                <pt idx="1156">
                  <v>-18389</v>
                </pt>
                <pt idx="1157">
                  <v>-14362</v>
                </pt>
                <pt idx="1158">
                  <v>-15694</v>
                </pt>
                <pt idx="1159">
                  <v>-12187</v>
                </pt>
                <pt idx="1160">
                  <v>-14033</v>
                </pt>
                <pt idx="1161">
                  <v>-17087</v>
                </pt>
                <pt idx="1162">
                  <v>-21179</v>
                </pt>
                <pt idx="1163">
                  <v>-29080</v>
                </pt>
                <pt idx="1164">
                  <v>-23963</v>
                </pt>
                <pt idx="1165">
                  <v>-27321</v>
                </pt>
                <pt idx="1166">
                  <v>-33333</v>
                </pt>
                <pt idx="1167">
                  <v>-32842</v>
                </pt>
                <pt idx="1168">
                  <v>-36245</v>
                </pt>
                <pt idx="1169">
                  <v>-38863</v>
                </pt>
                <pt idx="1170">
                  <v>-39030</v>
                </pt>
                <pt idx="1171">
                  <v>-32822</v>
                </pt>
                <pt idx="1172">
                  <v>-32656</v>
                </pt>
                <pt idx="1173">
                  <v>-29618</v>
                </pt>
                <pt idx="1174">
                  <v>-30019</v>
                </pt>
                <pt idx="1175">
                  <v>-30578</v>
                </pt>
                <pt idx="1176">
                  <v>-27051</v>
                </pt>
                <pt idx="1177">
                  <v>-20909</v>
                </pt>
                <pt idx="1178">
                  <v>-10080</v>
                </pt>
                <pt idx="1179">
                  <v>-3982</v>
                </pt>
                <pt idx="1180">
                  <v>4348</v>
                </pt>
                <pt idx="1181">
                  <v>7333</v>
                </pt>
                <pt idx="1182">
                  <v>-1025</v>
                </pt>
                <pt idx="1183">
                  <v>-13745</v>
                </pt>
                <pt idx="1184">
                  <v>-12281</v>
                </pt>
                <pt idx="1185">
                  <v>-17579</v>
                </pt>
                <pt idx="1186">
                  <v>-23450</v>
                </pt>
                <pt idx="1187">
                  <v>-32268</v>
                </pt>
                <pt idx="1188">
                  <v>-40726</v>
                </pt>
                <pt idx="1189">
                  <v>-43568</v>
                </pt>
                <pt idx="1190">
                  <v>-56067</v>
                </pt>
                <pt idx="1191">
                  <v>-64180</v>
                </pt>
                <pt idx="1192">
                  <v>-67405</v>
                </pt>
                <pt idx="1193">
                  <v>-66794</v>
                </pt>
                <pt idx="1194">
                  <v>-59712</v>
                </pt>
                <pt idx="1195">
                  <v>-55119</v>
                </pt>
                <pt idx="1196">
                  <v>-48640</v>
                </pt>
                <pt idx="1197">
                  <v>-47083</v>
                </pt>
                <pt idx="1198">
                  <v>-38394</v>
                </pt>
                <pt idx="1199">
                  <v>-42235</v>
                </pt>
                <pt idx="1200">
                  <v>-35010</v>
                </pt>
                <pt idx="1201">
                  <v>-33949</v>
                </pt>
                <pt idx="1202">
                  <v>-27112</v>
                </pt>
                <pt idx="1203">
                  <v>-18895</v>
                </pt>
                <pt idx="1204">
                  <v>-19491</v>
                </pt>
                <pt idx="1205">
                  <v>-17907</v>
                </pt>
                <pt idx="1206">
                  <v>-28352</v>
                </pt>
                <pt idx="1207">
                  <v>-38617</v>
                </pt>
                <pt idx="1208">
                  <v>-38980</v>
                </pt>
                <pt idx="1209">
                  <v>-40138</v>
                </pt>
                <pt idx="1210">
                  <v>-51009</v>
                </pt>
                <pt idx="1211">
                  <v>-56027</v>
                </pt>
                <pt idx="1212">
                  <v>-60787</v>
                </pt>
                <pt idx="1213">
                  <v>-60130</v>
                </pt>
                <pt idx="1214">
                  <v>-59214</v>
                </pt>
                <pt idx="1215">
                  <v>-66386</v>
                </pt>
                <pt idx="1216">
                  <v>-66819</v>
                </pt>
                <pt idx="1217">
                  <v>-52420</v>
                </pt>
                <pt idx="1218">
                  <v>-51935</v>
                </pt>
                <pt idx="1219">
                  <v>-45085</v>
                </pt>
                <pt idx="1220">
                  <v>-36940</v>
                </pt>
                <pt idx="1221">
                  <v>-30478</v>
                </pt>
                <pt idx="1222">
                  <v>-25781</v>
                </pt>
                <pt idx="1223">
                  <v>-16826</v>
                </pt>
                <pt idx="1224">
                  <v>-15009</v>
                </pt>
                <pt idx="1225">
                  <v>-6180</v>
                </pt>
                <pt idx="1226">
                  <v>97</v>
                </pt>
                <pt idx="1227">
                  <v>2385</v>
                </pt>
                <pt idx="1228">
                  <v>7308</v>
                </pt>
                <pt idx="1229">
                  <v>11999</v>
                </pt>
                <pt idx="1230">
                  <v>18943</v>
                </pt>
                <pt idx="1231">
                  <v>25874</v>
                </pt>
                <pt idx="1232">
                  <v>22706</v>
                </pt>
                <pt idx="1233">
                  <v>20047</v>
                </pt>
                <pt idx="1234">
                  <v>26259</v>
                </pt>
                <pt idx="1235">
                  <v>21537</v>
                </pt>
                <pt idx="1236">
                  <v>18440</v>
                </pt>
                <pt idx="1237">
                  <v>2595</v>
                </pt>
                <pt idx="1238">
                  <v>7949</v>
                </pt>
                <pt idx="1239">
                  <v>11517</v>
                </pt>
                <pt idx="1240">
                  <v>17175</v>
                </pt>
                <pt idx="1241">
                  <v>22068</v>
                </pt>
                <pt idx="1242">
                  <v>23180</v>
                </pt>
                <pt idx="1243">
                  <v>17758</v>
                </pt>
                <pt idx="1244">
                  <v>15366</v>
                </pt>
                <pt idx="1245">
                  <v>12473</v>
                </pt>
                <pt idx="1246">
                  <v>16734</v>
                </pt>
                <pt idx="1247">
                  <v>22400</v>
                </pt>
                <pt idx="1248">
                  <v>20905</v>
                </pt>
                <pt idx="1249">
                  <v>17058</v>
                </pt>
                <pt idx="1250">
                  <v>16303</v>
                </pt>
                <pt idx="1251">
                  <v>-11615</v>
                </pt>
                <pt idx="1252">
                  <v>-14077</v>
                </pt>
                <pt idx="1253">
                  <v>-11704</v>
                </pt>
                <pt idx="1254">
                  <v>-14298</v>
                </pt>
                <pt idx="1255">
                  <v>-13324</v>
                </pt>
                <pt idx="1256">
                  <v>-15960</v>
                </pt>
                <pt idx="1257">
                  <v>-21312</v>
                </pt>
                <pt idx="1258">
                  <v>-18599</v>
                </pt>
                <pt idx="1259">
                  <v>-17462</v>
                </pt>
                <pt idx="1260">
                  <v>-18576</v>
                </pt>
                <pt idx="1261">
                  <v>-18158</v>
                </pt>
                <pt idx="1262">
                  <v>-21869</v>
                </pt>
                <pt idx="1263">
                  <v>-11754</v>
                </pt>
                <pt idx="1264">
                  <v>-1598</v>
                </pt>
                <pt idx="1265">
                  <v>-3871</v>
                </pt>
                <pt idx="1266">
                  <v>-7935</v>
                </pt>
                <pt idx="1267">
                  <v>-5456</v>
                </pt>
                <pt idx="1268">
                  <v>2519</v>
                </pt>
                <pt idx="1269">
                  <v>3472</v>
                </pt>
                <pt idx="1270">
                  <v>8550</v>
                </pt>
                <pt idx="1271">
                  <v>19340</v>
                </pt>
                <pt idx="1272">
                  <v>24584</v>
                </pt>
                <pt idx="1273">
                  <v>30090</v>
                </pt>
                <pt idx="1274">
                  <v>29220</v>
                </pt>
                <pt idx="1275">
                  <v>21458</v>
                </pt>
                <pt idx="1276">
                  <v>-24403</v>
                </pt>
                <pt idx="1277">
                  <v>-28217</v>
                </pt>
                <pt idx="1278">
                  <v>-30225</v>
                </pt>
                <pt idx="1279">
                  <v>-32334</v>
                </pt>
                <pt idx="1280">
                  <v>-33252</v>
                </pt>
                <pt idx="1281">
                  <v>-42642</v>
                </pt>
                <pt idx="1282">
                  <v>-47704</v>
                </pt>
                <pt idx="1283">
                  <v>-86215</v>
                </pt>
                <pt idx="1284">
                  <v>-98000</v>
                </pt>
                <pt idx="1285">
                  <v>-99109</v>
                </pt>
                <pt idx="1286">
                  <v>-98187</v>
                </pt>
                <pt idx="1287">
                  <v>-94501</v>
                </pt>
                <pt idx="1288">
                  <v>-88595</v>
                </pt>
                <pt idx="1289">
                  <v>-82881</v>
                </pt>
                <pt idx="1290">
                  <v>-49495</v>
                </pt>
                <pt idx="1291">
                  <v>-39372</v>
                </pt>
                <pt idx="1292">
                  <v>-8604</v>
                </pt>
                <pt idx="1293">
                  <v>8043</v>
                </pt>
                <pt idx="1294">
                  <v>26613</v>
                </pt>
                <pt idx="1295">
                  <v>40638</v>
                </pt>
                <pt idx="1296">
                  <v>62821</v>
                </pt>
                <pt idx="1297">
                  <v>51349</v>
                </pt>
                <pt idx="1298">
                  <v>51099</v>
                </pt>
                <pt idx="1299">
                  <v>53167</v>
                </pt>
                <pt idx="1300">
                  <v>53644</v>
                </pt>
                <pt idx="1301">
                  <v>50499</v>
                </pt>
                <pt idx="1302">
                  <v>58846</v>
                </pt>
                <pt idx="1303">
                  <v>74605</v>
                </pt>
                <pt idx="1304">
                  <v>75128</v>
                </pt>
                <pt idx="1305">
                  <v>76392</v>
                </pt>
                <pt idx="1306">
                  <v>75086</v>
                </pt>
                <pt idx="1307">
                  <v>72332</v>
                </pt>
                <pt idx="1308">
                  <v>57839</v>
                </pt>
                <pt idx="1309">
                  <v>50889</v>
                </pt>
                <pt idx="1310">
                  <v>47335</v>
                </pt>
                <pt idx="1311">
                  <v>45125</v>
                </pt>
                <pt idx="1312">
                  <v>45658</v>
                </pt>
                <pt idx="1313">
                  <v>42466</v>
                </pt>
                <pt idx="1314">
                  <v>41960</v>
                </pt>
                <pt idx="1315">
                  <v>45901</v>
                </pt>
                <pt idx="1316">
                  <v>17346</v>
                </pt>
                <pt idx="1317">
                  <v>14739</v>
                </pt>
                <pt idx="1318">
                  <v>17461</v>
                </pt>
                <pt idx="1319">
                  <v>17556</v>
                </pt>
                <pt idx="1320">
                  <v>22557</v>
                </pt>
                <pt idx="1321">
                  <v>33465</v>
                </pt>
                <pt idx="1322">
                  <v>40164</v>
                </pt>
                <pt idx="1323">
                  <v>32529</v>
                </pt>
                <pt idx="1324">
                  <v>23127</v>
                </pt>
                <pt idx="1325">
                  <v>22220</v>
                </pt>
                <pt idx="1326">
                  <v>19565</v>
                </pt>
                <pt idx="1327">
                  <v>19420</v>
                </pt>
                <pt idx="1328">
                  <v>24560</v>
                </pt>
                <pt idx="1329">
                  <v>-27050</v>
                </pt>
                <pt idx="1330">
                  <v>-31872</v>
                </pt>
                <pt idx="1331">
                  <v>-31672</v>
                </pt>
                <pt idx="1332">
                  <v>-30324</v>
                </pt>
                <pt idx="1333">
                  <v>-25144</v>
                </pt>
                <pt idx="1334">
                  <v>-27535</v>
                </pt>
                <pt idx="1335">
                  <v>-23861</v>
                </pt>
                <pt idx="1336">
                  <v>-23656</v>
                </pt>
                <pt idx="1337">
                  <v>-26212</v>
                </pt>
                <pt idx="1338">
                  <v>-15690</v>
                </pt>
                <pt idx="1339">
                  <v>-16039</v>
                </pt>
                <pt idx="1340">
                  <v>-14988</v>
                </pt>
                <pt idx="1341">
                  <v>-14014</v>
                </pt>
                <pt idx="1342">
                  <v>-32799</v>
                </pt>
                <pt idx="1343">
                  <v>-49448</v>
                </pt>
                <pt idx="1344">
                  <v>-52887</v>
                </pt>
                <pt idx="1345">
                  <v>-47484</v>
                </pt>
                <pt idx="1346">
                  <v>-44511</v>
                </pt>
                <pt idx="1347">
                  <v>-31569</v>
                </pt>
                <pt idx="1348">
                  <v>-24898</v>
                </pt>
                <pt idx="1349">
                  <v>-26198</v>
                </pt>
                <pt idx="1350">
                  <v>-27021</v>
                </pt>
                <pt idx="1351">
                  <v>-24789</v>
                </pt>
                <pt idx="1352">
                  <v>-26307</v>
                </pt>
                <pt idx="1353">
                  <v>-26942</v>
                </pt>
                <pt idx="1354">
                  <v>-30111</v>
                </pt>
                <pt idx="1355">
                  <v>-19532</v>
                </pt>
                <pt idx="1356">
                  <v>-18484</v>
                </pt>
                <pt idx="1357">
                  <v>-12145</v>
                </pt>
                <pt idx="1358">
                  <v>-11019</v>
                </pt>
                <pt idx="1359">
                  <v>-7228</v>
                </pt>
                <pt idx="1360">
                  <v>-9655</v>
                </pt>
                <pt idx="1361">
                  <v>-2632</v>
                </pt>
                <pt idx="1362">
                  <v>-2791</v>
                </pt>
                <pt idx="1363">
                  <v>-6289</v>
                </pt>
                <pt idx="1364">
                  <v>-8630</v>
                </pt>
                <pt idx="1365">
                  <v>-12936</v>
                </pt>
                <pt idx="1366">
                  <v>-11669</v>
                </pt>
                <pt idx="1367">
                  <v>-7457</v>
                </pt>
                <pt idx="1368">
                  <v>-44692</v>
                </pt>
                <pt idx="1369">
                  <v>-50649</v>
                </pt>
                <pt idx="1370">
                  <v>-66002</v>
                </pt>
                <pt idx="1371">
                  <v>-59524</v>
                </pt>
                <pt idx="1372">
                  <v>-56096</v>
                </pt>
                <pt idx="1373">
                  <v>-56390</v>
                </pt>
                <pt idx="1374">
                  <v>-42037</v>
                </pt>
                <pt idx="1375">
                  <v>-37537</v>
                </pt>
                <pt idx="1376">
                  <v>-36437</v>
                </pt>
                <pt idx="1377">
                  <v>-39177</v>
                </pt>
                <pt idx="1378">
                  <v>-40444</v>
                </pt>
                <pt idx="1379">
                  <v>-41053</v>
                </pt>
                <pt idx="1380">
                  <v>-47774</v>
                </pt>
                <pt idx="1381">
                  <v>-39571</v>
                </pt>
                <pt idx="1382">
                  <v>-44323</v>
                </pt>
                <pt idx="1383">
                  <v>-43202</v>
                </pt>
                <pt idx="1384">
                  <v>-49162</v>
                </pt>
                <pt idx="1385">
                  <v>-47493</v>
                </pt>
                <pt idx="1386">
                  <v>-46745</v>
                </pt>
                <pt idx="1387">
                  <v>-46115</v>
                </pt>
                <pt idx="1388">
                  <v>-47588</v>
                </pt>
                <pt idx="1389">
                  <v>-42236</v>
                </pt>
                <pt idx="1390">
                  <v>-39423</v>
                </pt>
                <pt idx="1391">
                  <v>-41759</v>
                </pt>
                <pt idx="1392">
                  <v>-32840</v>
                </pt>
                <pt idx="1393">
                  <v>-38071</v>
                </pt>
                <pt idx="1394">
                  <v>-14790</v>
                </pt>
                <pt idx="1395">
                  <v>6293</v>
                </pt>
                <pt idx="1396">
                  <v>9226</v>
                </pt>
                <pt idx="1397">
                  <v>20964</v>
                </pt>
                <pt idx="1398">
                  <v>30750</v>
                </pt>
                <pt idx="1399">
                  <v>21722</v>
                </pt>
                <pt idx="1400">
                  <v>24166</v>
                </pt>
                <pt idx="1401">
                  <v>14200</v>
                </pt>
                <pt idx="1402">
                  <v>13037</v>
                </pt>
                <pt idx="1403">
                  <v>10905</v>
                </pt>
                <pt idx="1404">
                  <v>5349</v>
                </pt>
                <pt idx="1405">
                  <v>11523</v>
                </pt>
                <pt idx="1406">
                  <v>19823</v>
                </pt>
                <pt idx="1407">
                  <v>4592</v>
                </pt>
                <pt idx="1408">
                  <v>6327</v>
                </pt>
                <pt idx="1409">
                  <v>5313</v>
                </pt>
                <pt idx="1410">
                  <v>12961</v>
                </pt>
                <pt idx="1411">
                  <v>33393</v>
                </pt>
                <pt idx="1412">
                  <v>43589</v>
                </pt>
                <pt idx="1413">
                  <v>54002</v>
                </pt>
                <pt idx="1414">
                  <v>42373</v>
                </pt>
                <pt idx="1415">
                  <v>28865</v>
                </pt>
                <pt idx="1416">
                  <v>20344</v>
                </pt>
                <pt idx="1417">
                  <v>21471</v>
                </pt>
                <pt idx="1418">
                  <v>20741</v>
                </pt>
                <pt idx="1419">
                  <v>11191</v>
                </pt>
                <pt idx="1420">
                  <v>8497</v>
                </pt>
                <pt idx="1421">
                  <v>11913</v>
                </pt>
                <pt idx="1422">
                  <v>26367</v>
                </pt>
                <pt idx="1423">
                  <v>32852</v>
                </pt>
                <pt idx="1424">
                  <v>38294</v>
                </pt>
                <pt idx="1425">
                  <v>34590</v>
                </pt>
                <pt idx="1426">
                  <v>18563</v>
                </pt>
                <pt idx="1427">
                  <v>9705</v>
                </pt>
                <pt idx="1428">
                  <v>7817</v>
                </pt>
                <pt idx="1429">
                  <v>14624</v>
                </pt>
                <pt idx="1430">
                  <v>10579</v>
                </pt>
                <pt idx="1431">
                  <v>-1990</v>
                </pt>
                <pt idx="1432">
                  <v>-9623</v>
                </pt>
                <pt idx="1433">
                  <v>-29245</v>
                </pt>
                <pt idx="1434">
                  <v>-21929</v>
                </pt>
                <pt idx="1435">
                  <v>-24433</v>
                </pt>
                <pt idx="1436">
                  <v>-23760</v>
                </pt>
                <pt idx="1437">
                  <v>-23891</v>
                </pt>
                <pt idx="1438">
                  <v>-29044</v>
                </pt>
                <pt idx="1439">
                  <v>-32052</v>
                </pt>
                <pt idx="1440">
                  <v>-32246</v>
                </pt>
                <pt idx="1441">
                  <v>-35056</v>
                </pt>
                <pt idx="1442">
                  <v>-33954</v>
                </pt>
                <pt idx="1443">
                  <v>-33138</v>
                </pt>
                <pt idx="1444">
                  <v>-24829</v>
                </pt>
                <pt idx="1445">
                  <v>-25486</v>
                </pt>
                <pt idx="1446">
                  <v>-20834</v>
                </pt>
                <pt idx="1447">
                  <v>-20519</v>
                </pt>
                <pt idx="1448">
                  <v>-16818</v>
                </pt>
                <pt idx="1449">
                  <v>-19775</v>
                </pt>
                <pt idx="1450">
                  <v>-16698</v>
                </pt>
                <pt idx="1451">
                  <v>-12496</v>
                </pt>
                <pt idx="1452">
                  <v>-23195</v>
                </pt>
                <pt idx="1453">
                  <v>-29547</v>
                </pt>
                <pt idx="1454">
                  <v>-33587</v>
                </pt>
                <pt idx="1455">
                  <v>-29318</v>
                </pt>
                <pt idx="1456">
                  <v>-27006</v>
                </pt>
                <pt idx="1457">
                  <v>-17355</v>
                </pt>
                <pt idx="1458">
                  <v>-16943</v>
                </pt>
                <pt idx="1459">
                  <v>-18882</v>
                </pt>
                <pt idx="1460">
                  <v>-18948</v>
                </pt>
                <pt idx="1461">
                  <v>-18047</v>
                </pt>
                <pt idx="1462">
                  <v>-13564</v>
                </pt>
                <pt idx="1463">
                  <v>-19075</v>
                </pt>
                <pt idx="1464">
                  <v>-18069</v>
                </pt>
                <pt idx="1465">
                  <v>-20686</v>
                </pt>
                <pt idx="1466">
                  <v>-21349</v>
                </pt>
                <pt idx="1467">
                  <v>-20359</v>
                </pt>
                <pt idx="1468">
                  <v>-16846</v>
                </pt>
                <pt idx="1469">
                  <v>-21243</v>
                </pt>
                <pt idx="1470">
                  <v>-20738</v>
                </pt>
                <pt idx="1471">
                  <v>-15716</v>
                </pt>
                <pt idx="1472">
                  <v>10085</v>
                </pt>
                <pt idx="1473">
                  <v>15368</v>
                </pt>
                <pt idx="1474">
                  <v>14524</v>
                </pt>
                <pt idx="1475">
                  <v>12073</v>
                </pt>
                <pt idx="1476">
                  <v>10326</v>
                </pt>
                <pt idx="1477">
                  <v>13770</v>
                </pt>
                <pt idx="1478">
                  <v>16096</v>
                </pt>
                <pt idx="1479">
                  <v>9528</v>
                </pt>
                <pt idx="1480">
                  <v>8164</v>
                </pt>
                <pt idx="1481">
                  <v>9132</v>
                </pt>
                <pt idx="1482">
                  <v>15327</v>
                </pt>
                <pt idx="1483">
                  <v>10981</v>
                </pt>
                <pt idx="1484">
                  <v>10263</v>
                </pt>
                <pt idx="1485">
                  <v>5103</v>
                </pt>
                <pt idx="1486">
                  <v>6518</v>
                </pt>
                <pt idx="1487">
                  <v>2690</v>
                </pt>
                <pt idx="1488">
                  <v>2406</v>
                </pt>
                <pt idx="1489">
                  <v>13246</v>
                </pt>
                <pt idx="1490">
                  <v>15722</v>
                </pt>
                <pt idx="1491">
                  <v>25947</v>
                </pt>
                <pt idx="1492">
                  <v>38629</v>
                </pt>
                <pt idx="1493">
                  <v>46112</v>
                </pt>
                <pt idx="1494">
                  <v>44811</v>
                </pt>
                <pt idx="1495">
                  <v>48772</v>
                </pt>
                <pt idx="1496">
                  <v>45281</v>
                </pt>
                <pt idx="1497">
                  <v>44254</v>
                </pt>
                <pt idx="1498">
                  <v>43225</v>
                </pt>
                <pt idx="1499">
                  <v>45801</v>
                </pt>
                <pt idx="1500">
                  <v>41178</v>
                </pt>
                <pt idx="1501">
                  <v>26376</v>
                </pt>
                <pt idx="1502">
                  <v>12915</v>
                </pt>
                <pt idx="1503">
                  <v>5374</v>
                </pt>
                <pt idx="1504">
                  <v>7460</v>
                </pt>
                <pt idx="1505">
                  <v>6465</v>
                </pt>
                <pt idx="1506">
                  <v>2660</v>
                </pt>
                <pt idx="1507">
                  <v>5877</v>
                </pt>
                <pt idx="1508">
                  <v>-2848</v>
                </pt>
                <pt idx="1509">
                  <v>-6010</v>
                </pt>
                <pt idx="1510">
                  <v>-9283</v>
                </pt>
                <pt idx="1511">
                  <v>-27877</v>
                </pt>
                <pt idx="1512">
                  <v>-20235</v>
                </pt>
                <pt idx="1513">
                  <v>-26866</v>
                </pt>
                <pt idx="1514">
                  <v>-27860</v>
                </pt>
                <pt idx="1515">
                  <v>-10924</v>
                </pt>
                <pt idx="1516">
                  <v>3320</v>
                </pt>
                <pt idx="1517">
                  <v>4162</v>
                </pt>
                <pt idx="1518">
                  <v>5104</v>
                </pt>
                <pt idx="1519">
                  <v>8709</v>
                </pt>
                <pt idx="1520">
                  <v>-3135</v>
                </pt>
                <pt idx="1521">
                  <v>-14075</v>
                </pt>
                <pt idx="1522">
                  <v>-9358</v>
                </pt>
                <pt idx="1523">
                  <v>-13128</v>
                </pt>
                <pt idx="1524">
                  <v>-9877</v>
                </pt>
                <pt idx="1525">
                  <v>-10334</v>
                </pt>
                <pt idx="1526">
                  <v>-11025</v>
                </pt>
                <pt idx="1527">
                  <v>-7376</v>
                </pt>
                <pt idx="1528">
                  <v>7492</v>
                </pt>
                <pt idx="1529">
                  <v>12317</v>
                </pt>
                <pt idx="1530">
                  <v>18264</v>
                </pt>
                <pt idx="1531">
                  <v>14886</v>
                </pt>
                <pt idx="1532">
                  <v>12170</v>
                </pt>
                <pt idx="1533">
                  <v>9253</v>
                </pt>
                <pt idx="1534">
                  <v>14140</v>
                </pt>
                <pt idx="1535">
                  <v>7646</v>
                </pt>
                <pt idx="1536">
                  <v>17740</v>
                </pt>
                <pt idx="1537">
                  <v>-4940</v>
                </pt>
                <pt idx="1538">
                  <v>-1535</v>
                </pt>
                <pt idx="1539">
                  <v>6923</v>
                </pt>
                <pt idx="1540">
                  <v>12158</v>
                </pt>
                <pt idx="1541">
                  <v>21226</v>
                </pt>
                <pt idx="1542">
                  <v>20881</v>
                </pt>
                <pt idx="1543">
                  <v>9029</v>
                </pt>
                <pt idx="1544">
                  <v>-5407</v>
                </pt>
                <pt idx="1545">
                  <v>-14496</v>
                </pt>
                <pt idx="1546">
                  <v>-12687</v>
                </pt>
                <pt idx="1547">
                  <v>-7007</v>
                </pt>
                <pt idx="1548">
                  <v>-1062</v>
                </pt>
                <pt idx="1549">
                  <v>23202</v>
                </pt>
                <pt idx="1550">
                  <v>4105</v>
                </pt>
                <pt idx="1551">
                  <v>9097</v>
                </pt>
                <pt idx="1552">
                  <v>4293</v>
                </pt>
                <pt idx="1553">
                  <v>3505</v>
                </pt>
                <pt idx="1554">
                  <v>6667</v>
                </pt>
                <pt idx="1555">
                  <v>15769</v>
                </pt>
                <pt idx="1556">
                  <v>20277</v>
                </pt>
                <pt idx="1557">
                  <v>21223</v>
                </pt>
                <pt idx="1558">
                  <v>26867</v>
                </pt>
                <pt idx="1559">
                  <v>23227</v>
                </pt>
                <pt idx="1560">
                  <v>24179</v>
                </pt>
                <pt idx="1561">
                  <v>17910</v>
                </pt>
                <pt idx="1562">
                  <v>12425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3"/>
          <order val="0"/>
          <tx>
            <strRef>
              <f>Database!$E$1</f>
              <strCache>
                <ptCount val="1"/>
                <pt idx="0">
                  <v>CHF</v>
                </pt>
              </strCache>
            </strRef>
          </tx>
          <spPr>
            <a:solidFill xmlns:a="http://schemas.openxmlformats.org/drawingml/2006/main">
              <a:schemeClr val="accent4"/>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Database!$E$2:$E$1564</f>
              <numCache>
                <formatCode>General</formatCode>
                <ptCount val="1563"/>
                <pt idx="0">
                  <v>-72</v>
                </pt>
                <pt idx="1">
                  <v>-6304</v>
                </pt>
                <pt idx="2">
                  <v>-12656</v>
                </pt>
                <pt idx="3">
                  <v>-9248</v>
                </pt>
                <pt idx="4">
                  <v>-9248</v>
                </pt>
                <pt idx="5">
                  <v>-9216</v>
                </pt>
                <pt idx="6">
                  <v>-11016</v>
                </pt>
                <pt idx="7">
                  <v>-11353</v>
                </pt>
                <pt idx="8">
                  <v>-11464</v>
                </pt>
                <pt idx="9">
                  <v>-11494</v>
                </pt>
                <pt idx="10">
                  <v>-10676</v>
                </pt>
                <pt idx="11">
                  <v>-11316</v>
                </pt>
                <pt idx="12">
                  <v>-16649</v>
                </pt>
                <pt idx="13">
                  <v>-17130</v>
                </pt>
                <pt idx="14">
                  <v>-22604</v>
                </pt>
                <pt idx="15">
                  <v>-18510</v>
                </pt>
                <pt idx="16">
                  <v>-12713</v>
                </pt>
                <pt idx="17">
                  <v>-16727</v>
                </pt>
                <pt idx="18">
                  <v>-13134</v>
                </pt>
                <pt idx="19">
                  <v>-13710</v>
                </pt>
                <pt idx="20">
                  <v>-10511</v>
                </pt>
                <pt idx="21">
                  <v>-14431</v>
                </pt>
                <pt idx="22">
                  <v>-12979</v>
                </pt>
                <pt idx="23">
                  <v>-7386</v>
                </pt>
                <pt idx="24">
                  <v>-12764</v>
                </pt>
                <pt idx="25">
                  <v>-11478</v>
                </pt>
                <pt idx="26">
                  <v>-5027</v>
                </pt>
                <pt idx="27">
                  <v>3023</v>
                </pt>
                <pt idx="28">
                  <v>1632</v>
                </pt>
                <pt idx="29">
                  <v>4837</v>
                </pt>
                <pt idx="30">
                  <v>9030</v>
                </pt>
                <pt idx="31">
                  <v>4876</v>
                </pt>
                <pt idx="32">
                  <v>359</v>
                </pt>
                <pt idx="33">
                  <v>2401</v>
                </pt>
                <pt idx="34">
                  <v>4090</v>
                </pt>
                <pt idx="35">
                  <v>832</v>
                </pt>
                <pt idx="36">
                  <v>-1095</v>
                </pt>
                <pt idx="37">
                  <v>-7828</v>
                </pt>
                <pt idx="38">
                  <v>-8680</v>
                </pt>
                <pt idx="39">
                  <v>-8132</v>
                </pt>
                <pt idx="40">
                  <v>-13313</v>
                </pt>
                <pt idx="41">
                  <v>-8339</v>
                </pt>
                <pt idx="42">
                  <v>-10695</v>
                </pt>
                <pt idx="43">
                  <v>-6998</v>
                </pt>
                <pt idx="44">
                  <v>-9385</v>
                </pt>
                <pt idx="45">
                  <v>-9343</v>
                </pt>
                <pt idx="46">
                  <v>84</v>
                </pt>
                <pt idx="47">
                  <v>2924</v>
                </pt>
                <pt idx="48">
                  <v>13572</v>
                </pt>
                <pt idx="49">
                  <v>22446</v>
                </pt>
                <pt idx="50">
                  <v>23259</v>
                </pt>
                <pt idx="51">
                  <v>24365</v>
                </pt>
                <pt idx="52">
                  <v>24771</v>
                </pt>
                <pt idx="53">
                  <v>29561</v>
                </pt>
                <pt idx="54">
                  <v>14207</v>
                </pt>
                <pt idx="55">
                  <v>-1208</v>
                </pt>
                <pt idx="56">
                  <v>-13168</v>
                </pt>
                <pt idx="57">
                  <v>-13334</v>
                </pt>
                <pt idx="58">
                  <v>-26453</v>
                </pt>
                <pt idx="59">
                  <v>-22372</v>
                </pt>
                <pt idx="60">
                  <v>-18454</v>
                </pt>
                <pt idx="61">
                  <v>-3911</v>
                </pt>
                <pt idx="62">
                  <v>-3340</v>
                </pt>
                <pt idx="63">
                  <v>815</v>
                </pt>
                <pt idx="64">
                  <v>14188</v>
                </pt>
                <pt idx="65">
                  <v>9440</v>
                </pt>
                <pt idx="66">
                  <v>9594</v>
                </pt>
                <pt idx="67">
                  <v>-1930</v>
                </pt>
                <pt idx="68">
                  <v>-5741</v>
                </pt>
                <pt idx="69">
                  <v>427</v>
                </pt>
                <pt idx="70">
                  <v>4645</v>
                </pt>
                <pt idx="71">
                  <v>1215</v>
                </pt>
                <pt idx="72">
                  <v>3601</v>
                </pt>
                <pt idx="73">
                  <v>5409</v>
                </pt>
                <pt idx="74">
                  <v>5335</v>
                </pt>
                <pt idx="75">
                  <v>4478</v>
                </pt>
                <pt idx="76">
                  <v>5369</v>
                </pt>
                <pt idx="77">
                  <v>5865</v>
                </pt>
                <pt idx="78">
                  <v>1383</v>
                </pt>
                <pt idx="79">
                  <v>371</v>
                </pt>
                <pt idx="80">
                  <v>-5580</v>
                </pt>
                <pt idx="81">
                  <v>-394</v>
                </pt>
                <pt idx="82">
                  <v>12317</v>
                </pt>
                <pt idx="83">
                  <v>6240</v>
                </pt>
                <pt idx="84">
                  <v>8542</v>
                </pt>
                <pt idx="85">
                  <v>7852</v>
                </pt>
                <pt idx="86">
                  <v>8478</v>
                </pt>
                <pt idx="87">
                  <v>5973</v>
                </pt>
                <pt idx="88">
                  <v>15458</v>
                </pt>
                <pt idx="89">
                  <v>21074</v>
                </pt>
                <pt idx="90">
                  <v>20849</v>
                </pt>
                <pt idx="91">
                  <v>21634</v>
                </pt>
                <pt idx="92">
                  <v>20502</v>
                </pt>
                <pt idx="93">
                  <v>14894</v>
                </pt>
                <pt idx="94">
                  <v>11484</v>
                </pt>
                <pt idx="95">
                  <v>11954</v>
                </pt>
                <pt idx="96">
                  <v>15105</v>
                </pt>
                <pt idx="97">
                  <v>19039</v>
                </pt>
                <pt idx="98">
                  <v>20365</v>
                </pt>
                <pt idx="99">
                  <v>9802</v>
                </pt>
                <pt idx="100">
                  <v>14397</v>
                </pt>
                <pt idx="101">
                  <v>13630</v>
                </pt>
                <pt idx="102">
                  <v>13286</v>
                </pt>
                <pt idx="103">
                  <v>12150</v>
                </pt>
                <pt idx="104">
                  <v>9213</v>
                </pt>
                <pt idx="105">
                  <v>9080</v>
                </pt>
                <pt idx="106">
                  <v>15850</v>
                </pt>
                <pt idx="107">
                  <v>14295</v>
                </pt>
                <pt idx="108">
                  <v>11391</v>
                </pt>
                <pt idx="109">
                  <v>3809</v>
                </pt>
                <pt idx="110">
                  <v>-15532</v>
                </pt>
                <pt idx="111">
                  <v>-22154</v>
                </pt>
                <pt idx="112">
                  <v>-22990</v>
                </pt>
                <pt idx="113">
                  <v>-24470</v>
                </pt>
                <pt idx="114">
                  <v>-23288</v>
                </pt>
                <pt idx="115">
                  <v>-15415</v>
                </pt>
                <pt idx="116">
                  <v>-16071</v>
                </pt>
                <pt idx="117">
                  <v>-10337</v>
                </pt>
                <pt idx="118">
                  <v>-3419</v>
                </pt>
                <pt idx="119">
                  <v>-2908</v>
                </pt>
                <pt idx="120">
                  <v>-1689</v>
                </pt>
                <pt idx="121">
                  <v>-4290</v>
                </pt>
                <pt idx="122">
                  <v>-8773</v>
                </pt>
                <pt idx="123">
                  <v>-9026</v>
                </pt>
                <pt idx="124">
                  <v>-6304</v>
                </pt>
                <pt idx="125">
                  <v>-6747</v>
                </pt>
                <pt idx="126">
                  <v>5988</v>
                </pt>
                <pt idx="127">
                  <v>8460</v>
                </pt>
                <pt idx="128">
                  <v>8087</v>
                </pt>
                <pt idx="129">
                  <v>7849</v>
                </pt>
                <pt idx="130">
                  <v>6931</v>
                </pt>
                <pt idx="131">
                  <v>6414</v>
                </pt>
                <pt idx="132">
                  <v>6508</v>
                </pt>
                <pt idx="133">
                  <v>6152</v>
                </pt>
                <pt idx="134">
                  <v>5880</v>
                </pt>
                <pt idx="135">
                  <v>5887</v>
                </pt>
                <pt idx="136">
                  <v>-5105</v>
                </pt>
                <pt idx="137">
                  <v>-6378</v>
                </pt>
                <pt idx="138">
                  <v>-2821</v>
                </pt>
                <pt idx="139">
                  <v>-3081</v>
                </pt>
                <pt idx="140">
                  <v>-3063</v>
                </pt>
                <pt idx="141">
                  <v>-3316</v>
                </pt>
                <pt idx="142">
                  <v>-2145</v>
                </pt>
                <pt idx="143">
                  <v>-2800</v>
                </pt>
                <pt idx="144">
                  <v>-3727</v>
                </pt>
                <pt idx="145">
                  <v>-4807</v>
                </pt>
                <pt idx="146">
                  <v>-4077</v>
                </pt>
                <pt idx="147">
                  <v>-152</v>
                </pt>
                <pt idx="148">
                  <v>-2680</v>
                </pt>
                <pt idx="149">
                  <v>-6773</v>
                </pt>
                <pt idx="150">
                  <v>-6874</v>
                </pt>
                <pt idx="151">
                  <v>-6857</v>
                </pt>
                <pt idx="152">
                  <v>-5964</v>
                </pt>
                <pt idx="153">
                  <v>-8453</v>
                </pt>
                <pt idx="154">
                  <v>-8048</v>
                </pt>
                <pt idx="155">
                  <v>3586</v>
                </pt>
                <pt idx="156">
                  <v>3250</v>
                </pt>
                <pt idx="157">
                  <v>3265</v>
                </pt>
                <pt idx="158">
                  <v>2990</v>
                </pt>
                <pt idx="159">
                  <v>4090</v>
                </pt>
                <pt idx="160">
                  <v>3422</v>
                </pt>
                <pt idx="161">
                  <v>2805</v>
                </pt>
                <pt idx="162">
                  <v>2312</v>
                </pt>
                <pt idx="163">
                  <v>2762</v>
                </pt>
                <pt idx="164">
                  <v>1782</v>
                </pt>
                <pt idx="165">
                  <v>-11859</v>
                </pt>
                <pt idx="166">
                  <v>-11813</v>
                </pt>
                <pt idx="167">
                  <v>-10885</v>
                </pt>
                <pt idx="168">
                  <v>-10567</v>
                </pt>
                <pt idx="169">
                  <v>-9228</v>
                </pt>
                <pt idx="170">
                  <v>-11134</v>
                </pt>
                <pt idx="171">
                  <v>-11507</v>
                </pt>
                <pt idx="172">
                  <v>-13691</v>
                </pt>
                <pt idx="173">
                  <v>-14208</v>
                </pt>
                <pt idx="174">
                  <v>-14261</v>
                </pt>
                <pt idx="175">
                  <v>-13735</v>
                </pt>
                <pt idx="176">
                  <v>-10167</v>
                </pt>
                <pt idx="177">
                  <v>-8506</v>
                </pt>
                <pt idx="178">
                  <v>-6787</v>
                </pt>
                <pt idx="179">
                  <v>-6635</v>
                </pt>
                <pt idx="180">
                  <v>-6777</v>
                </pt>
                <pt idx="181">
                  <v>-6539</v>
                </pt>
                <pt idx="182">
                  <v>-5489</v>
                </pt>
                <pt idx="183">
                  <v>-8027</v>
                </pt>
                <pt idx="184">
                  <v>-13312</v>
                </pt>
                <pt idx="185">
                  <v>-12744</v>
                </pt>
                <pt idx="186">
                  <v>-14952</v>
                </pt>
                <pt idx="187">
                  <v>-15083</v>
                </pt>
                <pt idx="188">
                  <v>-14604</v>
                </pt>
                <pt idx="189">
                  <v>-15131</v>
                </pt>
                <pt idx="190">
                  <v>-15545</v>
                </pt>
                <pt idx="191">
                  <v>-13653</v>
                </pt>
                <pt idx="192">
                  <v>-14577</v>
                </pt>
                <pt idx="193">
                  <v>-11059</v>
                </pt>
                <pt idx="194">
                  <v>-12876</v>
                </pt>
                <pt idx="195">
                  <v>-13144</v>
                </pt>
                <pt idx="196">
                  <v>-12174</v>
                </pt>
                <pt idx="197">
                  <v>1954</v>
                </pt>
                <pt idx="198">
                  <v>5686</v>
                </pt>
                <pt idx="199">
                  <v>5952</v>
                </pt>
                <pt idx="200">
                  <v>7744</v>
                </pt>
                <pt idx="201">
                  <v>6853</v>
                </pt>
                <pt idx="202">
                  <v>7352</v>
                </pt>
                <pt idx="203">
                  <v>8276</v>
                </pt>
                <pt idx="204">
                  <v>7016</v>
                </pt>
                <pt idx="205">
                  <v>-7135</v>
                </pt>
                <pt idx="206">
                  <v>-12174</v>
                </pt>
                <pt idx="207">
                  <v>-12773</v>
                </pt>
                <pt idx="208">
                  <v>-13030</v>
                </pt>
                <pt idx="209">
                  <v>-12622</v>
                </pt>
                <pt idx="210">
                  <v>-14429</v>
                </pt>
                <pt idx="211">
                  <v>-15797</v>
                </pt>
                <pt idx="212">
                  <v>-13407</v>
                </pt>
                <pt idx="213">
                  <v>-15608</v>
                </pt>
                <pt idx="214">
                  <v>-14680</v>
                </pt>
                <pt idx="215">
                  <v>-15838</v>
                </pt>
                <pt idx="216">
                  <v>-17233</v>
                </pt>
                <pt idx="217">
                  <v>-15660</v>
                </pt>
                <pt idx="218">
                  <v>-16822</v>
                </pt>
                <pt idx="219">
                  <v>-15564</v>
                </pt>
                <pt idx="220">
                  <v>-17914</v>
                </pt>
                <pt idx="221">
                  <v>-16032</v>
                </pt>
                <pt idx="222">
                  <v>-17254</v>
                </pt>
                <pt idx="223">
                  <v>-20090</v>
                </pt>
                <pt idx="224">
                  <v>-19464</v>
                </pt>
                <pt idx="225">
                  <v>-18487</v>
                </pt>
                <pt idx="226">
                  <v>-18362</v>
                </pt>
                <pt idx="227">
                  <v>-17959</v>
                </pt>
                <pt idx="228">
                  <v>-18869</v>
                </pt>
                <pt idx="229">
                  <v>-19291</v>
                </pt>
                <pt idx="230">
                  <v>-18795</v>
                </pt>
                <pt idx="231">
                  <v>-17078</v>
                </pt>
                <pt idx="232">
                  <v>-14934</v>
                </pt>
                <pt idx="233">
                  <v>-14738</v>
                </pt>
                <pt idx="234">
                  <v>-15126</v>
                </pt>
                <pt idx="235">
                  <v>-16664</v>
                </pt>
                <pt idx="236">
                  <v>-16791</v>
                </pt>
                <pt idx="237">
                  <v>-16579</v>
                </pt>
                <pt idx="238">
                  <v>-16923</v>
                </pt>
                <pt idx="239">
                  <v>-12280</v>
                </pt>
                <pt idx="240">
                  <v>9949</v>
                </pt>
                <pt idx="241">
                  <v>14379</v>
                </pt>
                <pt idx="242">
                  <v>15318</v>
                </pt>
                <pt idx="243">
                  <v>11525</v>
                </pt>
                <pt idx="244">
                  <v>-9946</v>
                </pt>
                <pt idx="245">
                  <v>-9745</v>
                </pt>
                <pt idx="246">
                  <v>-4970</v>
                </pt>
                <pt idx="247">
                  <v>-12855</v>
                </pt>
                <pt idx="248">
                  <v>-20293</v>
                </pt>
                <pt idx="249">
                  <v>-16728</v>
                </pt>
                <pt idx="250">
                  <v>-17755</v>
                </pt>
                <pt idx="251">
                  <v>-21234</v>
                </pt>
                <pt idx="252">
                  <v>-22222</v>
                </pt>
                <pt idx="253">
                  <v>-17201</v>
                </pt>
                <pt idx="254">
                  <v>-15168</v>
                </pt>
                <pt idx="255">
                  <v>-10555</v>
                </pt>
                <pt idx="256">
                  <v>-11054</v>
                </pt>
                <pt idx="257">
                  <v>-8767</v>
                </pt>
                <pt idx="258">
                  <v>8239</v>
                </pt>
                <pt idx="259">
                  <v>8471</v>
                </pt>
                <pt idx="260">
                  <v>10791</v>
                </pt>
                <pt idx="261">
                  <v>15987</v>
                </pt>
                <pt idx="262">
                  <v>13583</v>
                </pt>
                <pt idx="263">
                  <v>1646</v>
                </pt>
                <pt idx="264">
                  <v>10176</v>
                </pt>
                <pt idx="265">
                  <v>12113</v>
                </pt>
                <pt idx="266">
                  <v>16168</v>
                </pt>
                <pt idx="267">
                  <v>17238</v>
                </pt>
                <pt idx="268">
                  <v>16984</v>
                </pt>
                <pt idx="269">
                  <v>11123</v>
                </pt>
                <pt idx="270">
                  <v>-17831</v>
                </pt>
                <pt idx="271">
                  <v>-13437</v>
                </pt>
                <pt idx="272">
                  <v>-12562</v>
                </pt>
                <pt idx="273">
                  <v>-15883</v>
                </pt>
                <pt idx="274">
                  <v>-20783</v>
                </pt>
                <pt idx="275">
                  <v>-22275</v>
                </pt>
                <pt idx="276">
                  <v>-28458</v>
                </pt>
                <pt idx="277">
                  <v>-14522</v>
                </pt>
                <pt idx="278">
                  <v>-12809</v>
                </pt>
                <pt idx="279">
                  <v>-13343</v>
                </pt>
                <pt idx="280">
                  <v>-14222</v>
                </pt>
                <pt idx="281">
                  <v>-12255</v>
                </pt>
                <pt idx="282">
                  <v>-13317</v>
                </pt>
                <pt idx="283">
                  <v>-22605</v>
                </pt>
                <pt idx="284">
                  <v>-18025</v>
                </pt>
                <pt idx="285">
                  <v>-23731</v>
                </pt>
                <pt idx="286">
                  <v>-27004</v>
                </pt>
                <pt idx="287">
                  <v>-30014</v>
                </pt>
                <pt idx="288">
                  <v>-19237</v>
                </pt>
                <pt idx="289">
                  <v>-14866</v>
                </pt>
                <pt idx="290">
                  <v>-14322</v>
                </pt>
                <pt idx="291">
                  <v>-12672</v>
                </pt>
                <pt idx="292">
                  <v>-7291</v>
                </pt>
                <pt idx="293">
                  <v>-8494</v>
                </pt>
                <pt idx="294">
                  <v>11107</v>
                </pt>
                <pt idx="295">
                  <v>6273</v>
                </pt>
                <pt idx="296">
                  <v>6531</v>
                </pt>
                <pt idx="297">
                  <v>-22981</v>
                </pt>
                <pt idx="298">
                  <v>-25380</v>
                </pt>
                <pt idx="299">
                  <v>-34301</v>
                </pt>
                <pt idx="300">
                  <v>-36438</v>
                </pt>
                <pt idx="301">
                  <v>-32851</v>
                </pt>
                <pt idx="302">
                  <v>-29060</v>
                </pt>
                <pt idx="303">
                  <v>-20028</v>
                </pt>
                <pt idx="304">
                  <v>-8641</v>
                </pt>
                <pt idx="305">
                  <v>-6189</v>
                </pt>
                <pt idx="306">
                  <v>-6146</v>
                </pt>
                <pt idx="307">
                  <v>-4850</v>
                </pt>
                <pt idx="308">
                  <v>26604</v>
                </pt>
                <pt idx="309">
                  <v>27678</v>
                </pt>
                <pt idx="310">
                  <v>25201</v>
                </pt>
                <pt idx="311">
                  <v>27309</v>
                </pt>
                <pt idx="312">
                  <v>26069</v>
                </pt>
                <pt idx="313">
                  <v>26625</v>
                </pt>
                <pt idx="314">
                  <v>25877</v>
                </pt>
                <pt idx="315">
                  <v>24459</v>
                </pt>
                <pt idx="316">
                  <v>22836</v>
                </pt>
                <pt idx="317">
                  <v>17326</v>
                </pt>
                <pt idx="318">
                  <v>-2954</v>
                </pt>
                <pt idx="319">
                  <v>938</v>
                </pt>
                <pt idx="320">
                  <v>-4278</v>
                </pt>
                <pt idx="321">
                  <v>-12146</v>
                </pt>
                <pt idx="322">
                  <v>-7366</v>
                </pt>
                <pt idx="323">
                  <v>11231</v>
                </pt>
                <pt idx="324">
                  <v>8344</v>
                </pt>
                <pt idx="325">
                  <v>7119</v>
                </pt>
                <pt idx="326">
                  <v>3291</v>
                </pt>
                <pt idx="327">
                  <v>-485</v>
                </pt>
                <pt idx="328">
                  <v>4843</v>
                </pt>
                <pt idx="329">
                  <v>2119</v>
                </pt>
                <pt idx="330">
                  <v>-15793</v>
                </pt>
                <pt idx="331">
                  <v>-17539</v>
                </pt>
                <pt idx="332">
                  <v>-18228</v>
                </pt>
                <pt idx="333">
                  <v>-23542</v>
                </pt>
                <pt idx="334">
                  <v>-27589</v>
                </pt>
                <pt idx="335">
                  <v>-28973</v>
                </pt>
                <pt idx="336">
                  <v>-32087</v>
                </pt>
                <pt idx="337">
                  <v>-32145</v>
                </pt>
                <pt idx="338">
                  <v>-36330</v>
                </pt>
                <pt idx="339">
                  <v>-34106</v>
                </pt>
                <pt idx="340">
                  <v>-34487</v>
                </pt>
                <pt idx="341">
                  <v>-39912</v>
                </pt>
                <pt idx="342">
                  <v>-45337</v>
                </pt>
                <pt idx="343">
                  <v>-52472</v>
                </pt>
                <pt idx="344">
                  <v>-38187</v>
                </pt>
                <pt idx="345">
                  <v>-43350</v>
                </pt>
                <pt idx="346">
                  <v>-30615</v>
                </pt>
                <pt idx="347">
                  <v>-33735</v>
                </pt>
                <pt idx="348">
                  <v>-35591</v>
                </pt>
                <pt idx="349">
                  <v>-33492</v>
                </pt>
                <pt idx="350">
                  <v>-34727</v>
                </pt>
                <pt idx="351">
                  <v>-36883</v>
                </pt>
                <pt idx="352">
                  <v>-40237</v>
                </pt>
                <pt idx="353">
                  <v>-36684</v>
                </pt>
                <pt idx="354">
                  <v>-33401</v>
                </pt>
                <pt idx="355">
                  <v>7496</v>
                </pt>
                <pt idx="356">
                  <v>15138</v>
                </pt>
                <pt idx="357">
                  <v>17095</v>
                </pt>
                <pt idx="358">
                  <v>11555</v>
                </pt>
                <pt idx="359">
                  <v>9461</v>
                </pt>
                <pt idx="360">
                  <v>7342</v>
                </pt>
                <pt idx="361">
                  <v>13062</v>
                </pt>
                <pt idx="362">
                  <v>-3594</v>
                </pt>
                <pt idx="363">
                  <v>-10421</v>
                </pt>
                <pt idx="364">
                  <v>-7584</v>
                </pt>
                <pt idx="365">
                  <v>10694</v>
                </pt>
                <pt idx="366">
                  <v>25331</v>
                </pt>
                <pt idx="367">
                  <v>44644</v>
                </pt>
                <pt idx="368">
                  <v>33579</v>
                </pt>
                <pt idx="369">
                  <v>11193</v>
                </pt>
                <pt idx="370">
                  <v>-16619</v>
                </pt>
                <pt idx="371">
                  <v>-19397</v>
                </pt>
                <pt idx="372">
                  <v>-20954</v>
                </pt>
                <pt idx="373">
                  <v>-22732</v>
                </pt>
                <pt idx="374">
                  <v>-18181</v>
                </pt>
                <pt idx="375">
                  <v>-12726</v>
                </pt>
                <pt idx="376">
                  <v>-11703</v>
                </pt>
                <pt idx="377">
                  <v>-13233</v>
                </pt>
                <pt idx="378">
                  <v>-9915</v>
                </pt>
                <pt idx="379">
                  <v>-54</v>
                </pt>
                <pt idx="380">
                  <v>-10007</v>
                </pt>
                <pt idx="381">
                  <v>-20511</v>
                </pt>
                <pt idx="382">
                  <v>-32413</v>
                </pt>
                <pt idx="383">
                  <v>-31526</v>
                </pt>
                <pt idx="384">
                  <v>-27587</v>
                </pt>
                <pt idx="385">
                  <v>-18737</v>
                </pt>
                <pt idx="386">
                  <v>-26712</v>
                </pt>
                <pt idx="387">
                  <v>-26268</v>
                </pt>
                <pt idx="388">
                  <v>-25074</v>
                </pt>
                <pt idx="389">
                  <v>-27603</v>
                </pt>
                <pt idx="390">
                  <v>-11566</v>
                </pt>
                <pt idx="391">
                  <v>-9675</v>
                </pt>
                <pt idx="392">
                  <v>-9628</v>
                </pt>
                <pt idx="393">
                  <v>-13474</v>
                </pt>
                <pt idx="394">
                  <v>-17619</v>
                </pt>
                <pt idx="395">
                  <v>-18673</v>
                </pt>
                <pt idx="396">
                  <v>-20739</v>
                </pt>
                <pt idx="397">
                  <v>-19232</v>
                </pt>
                <pt idx="398">
                  <v>-17985</v>
                </pt>
                <pt idx="399">
                  <v>-10276</v>
                </pt>
                <pt idx="400">
                  <v>-2424</v>
                </pt>
                <pt idx="401">
                  <v>8945</v>
                </pt>
                <pt idx="402">
                  <v>10376</v>
                </pt>
                <pt idx="403">
                  <v>8015</v>
                </pt>
                <pt idx="404">
                  <v>8702</v>
                </pt>
                <pt idx="405">
                  <v>9460</v>
                </pt>
                <pt idx="406">
                  <v>1386</v>
                </pt>
                <pt idx="407">
                  <v>-2360</v>
                </pt>
                <pt idx="408">
                  <v>-2907</v>
                </pt>
                <pt idx="409">
                  <v>-16995</v>
                </pt>
                <pt idx="410">
                  <v>-16919</v>
                </pt>
                <pt idx="411">
                  <v>-21490</v>
                </pt>
                <pt idx="412">
                  <v>-21678</v>
                </pt>
                <pt idx="413">
                  <v>-21864</v>
                </pt>
                <pt idx="414">
                  <v>-22852</v>
                </pt>
                <pt idx="415">
                  <v>-22237</v>
                </pt>
                <pt idx="416">
                  <v>-15777</v>
                </pt>
                <pt idx="417">
                  <v>-15332</v>
                </pt>
                <pt idx="418">
                  <v>-13893</v>
                </pt>
                <pt idx="419">
                  <v>-17512</v>
                </pt>
                <pt idx="420">
                  <v>-18005</v>
                </pt>
                <pt idx="421">
                  <v>-17293</v>
                </pt>
                <pt idx="422">
                  <v>-13199</v>
                </pt>
                <pt idx="423">
                  <v>-12417</v>
                </pt>
                <pt idx="424">
                  <v>-14700</v>
                </pt>
                <pt idx="425">
                  <v>-11163</v>
                </pt>
                <pt idx="426">
                  <v>5125</v>
                </pt>
                <pt idx="427">
                  <v>9089</v>
                </pt>
                <pt idx="428">
                  <v>8840</v>
                </pt>
                <pt idx="429">
                  <v>11154</v>
                </pt>
                <pt idx="430">
                  <v>11486</v>
                </pt>
                <pt idx="431">
                  <v>11959</v>
                </pt>
                <pt idx="432">
                  <v>13313</v>
                </pt>
                <pt idx="433">
                  <v>13668</v>
                </pt>
                <pt idx="434">
                  <v>10837</v>
                </pt>
                <pt idx="435">
                  <v>8425</v>
                </pt>
                <pt idx="436">
                  <v>7587</v>
                </pt>
                <pt idx="437">
                  <v>-1333</v>
                </pt>
                <pt idx="438">
                  <v>-2092</v>
                </pt>
                <pt idx="439">
                  <v>196</v>
                </pt>
                <pt idx="440">
                  <v>-1918</v>
                </pt>
                <pt idx="441">
                  <v>-14630</v>
                </pt>
                <pt idx="442">
                  <v>-15031</v>
                </pt>
                <pt idx="443">
                  <v>-15316</v>
                </pt>
                <pt idx="444">
                  <v>-15561</v>
                </pt>
                <pt idx="445">
                  <v>-16745</v>
                </pt>
                <pt idx="446">
                  <v>-18022</v>
                </pt>
                <pt idx="447">
                  <v>-20688</v>
                </pt>
                <pt idx="448">
                  <v>-20424</v>
                </pt>
                <pt idx="449">
                  <v>-21997</v>
                </pt>
                <pt idx="450">
                  <v>-24343</v>
                </pt>
                <pt idx="451">
                  <v>-23704</v>
                </pt>
                <pt idx="452">
                  <v>-23342</v>
                </pt>
                <pt idx="453">
                  <v>-21769</v>
                </pt>
                <pt idx="454">
                  <v>-18492</v>
                </pt>
                <pt idx="455">
                  <v>-17361</v>
                </pt>
                <pt idx="456">
                  <v>-28415</v>
                </pt>
                <pt idx="457">
                  <v>-26318</v>
                </pt>
                <pt idx="458">
                  <v>-18118</v>
                </pt>
                <pt idx="459">
                  <v>4827</v>
                </pt>
                <pt idx="460">
                  <v>6669</v>
                </pt>
                <pt idx="461">
                  <v>10999</v>
                </pt>
                <pt idx="462">
                  <v>17131</v>
                </pt>
                <pt idx="463">
                  <v>20703</v>
                </pt>
                <pt idx="464">
                  <v>20179</v>
                </pt>
                <pt idx="465">
                  <v>15362</v>
                </pt>
                <pt idx="466">
                  <v>14766</v>
                </pt>
                <pt idx="467">
                  <v>21668</v>
                </pt>
                <pt idx="468">
                  <v>18339</v>
                </pt>
                <pt idx="469">
                  <v>17158</v>
                </pt>
                <pt idx="470">
                  <v>17082</v>
                </pt>
                <pt idx="471">
                  <v>16961</v>
                </pt>
                <pt idx="472">
                  <v>9443</v>
                </pt>
                <pt idx="473">
                  <v>12429</v>
                </pt>
                <pt idx="474">
                  <v>12036</v>
                </pt>
                <pt idx="475">
                  <v>5219</v>
                </pt>
                <pt idx="476">
                  <v>239</v>
                </pt>
                <pt idx="477">
                  <v>-4584</v>
                </pt>
                <pt idx="478">
                  <v>-205</v>
                </pt>
                <pt idx="479">
                  <v>-466</v>
                </pt>
                <pt idx="480">
                  <v>7133</v>
                </pt>
                <pt idx="481">
                  <v>2250</v>
                </pt>
                <pt idx="482">
                  <v>-9439</v>
                </pt>
                <pt idx="483">
                  <v>-5865</v>
                </pt>
                <pt idx="484">
                  <v>-9020</v>
                </pt>
                <pt idx="485">
                  <v>-3946</v>
                </pt>
                <pt idx="486">
                  <v>-18370</v>
                </pt>
                <pt idx="487">
                  <v>-13957</v>
                </pt>
                <pt idx="488">
                  <v>-14326</v>
                </pt>
                <pt idx="489">
                  <v>-12230</v>
                </pt>
                <pt idx="490">
                  <v>-14899</v>
                </pt>
                <pt idx="491">
                  <v>-12945</v>
                </pt>
                <pt idx="492">
                  <v>-8036</v>
                </pt>
                <pt idx="493">
                  <v>-6555</v>
                </pt>
                <pt idx="494">
                  <v>-4257</v>
                </pt>
                <pt idx="495">
                  <v>-1741</v>
                </pt>
                <pt idx="496">
                  <v>-6540</v>
                </pt>
                <pt idx="497">
                  <v>-3517</v>
                </pt>
                <pt idx="498">
                  <v>6770</v>
                </pt>
                <pt idx="499">
                  <v>15107</v>
                </pt>
                <pt idx="500">
                  <v>15674</v>
                </pt>
                <pt idx="501">
                  <v>13315</v>
                </pt>
                <pt idx="502">
                  <v>13821</v>
                </pt>
                <pt idx="503">
                  <v>11988</v>
                </pt>
                <pt idx="504">
                  <v>10022</v>
                </pt>
                <pt idx="505">
                  <v>12475</v>
                </pt>
                <pt idx="506">
                  <v>14400</v>
                </pt>
                <pt idx="507">
                  <v>14520</v>
                </pt>
                <pt idx="508">
                  <v>13173</v>
                </pt>
                <pt idx="509">
                  <v>12398</v>
                </pt>
                <pt idx="510">
                  <v>14085</v>
                </pt>
                <pt idx="511">
                  <v>13114</v>
                </pt>
                <pt idx="512">
                  <v>8159</v>
                </pt>
                <pt idx="513">
                  <v>6487</v>
                </pt>
                <pt idx="514">
                  <v>7552</v>
                </pt>
                <pt idx="515">
                  <v>6223</v>
                </pt>
                <pt idx="516">
                  <v>9939</v>
                </pt>
                <pt idx="517">
                  <v>10931</v>
                </pt>
                <pt idx="518">
                  <v>10234</v>
                </pt>
                <pt idx="519">
                  <v>-5904</v>
                </pt>
                <pt idx="520">
                  <v>-3074</v>
                </pt>
                <pt idx="521">
                  <v>2105</v>
                </pt>
                <pt idx="522">
                  <v>-3594</v>
                </pt>
                <pt idx="523">
                  <v>-2998</v>
                </pt>
                <pt idx="524">
                  <v>-6155</v>
                </pt>
                <pt idx="525">
                  <v>1677</v>
                </pt>
                <pt idx="526">
                  <v>10550</v>
                </pt>
                <pt idx="527">
                  <v>17241</v>
                </pt>
                <pt idx="528">
                  <v>15127</v>
                </pt>
                <pt idx="529">
                  <v>6007</v>
                </pt>
                <pt idx="530">
                  <v>5308</v>
                </pt>
                <pt idx="531">
                  <v>9033</v>
                </pt>
                <pt idx="532">
                  <v>19195</v>
                </pt>
                <pt idx="533">
                  <v>21823</v>
                </pt>
                <pt idx="534">
                  <v>23253</v>
                </pt>
                <pt idx="535">
                  <v>23050</v>
                </pt>
                <pt idx="536">
                  <v>23030</v>
                </pt>
                <pt idx="537">
                  <v>26679</v>
                </pt>
                <pt idx="538">
                  <v>25464</v>
                </pt>
                <pt idx="539">
                  <v>25746</v>
                </pt>
                <pt idx="540">
                  <v>20287</v>
                </pt>
                <pt idx="541">
                  <v>14506</v>
                </pt>
                <pt idx="542">
                  <v>15843</v>
                </pt>
                <pt idx="543">
                  <v>20228</v>
                </pt>
                <pt idx="544">
                  <v>20819</v>
                </pt>
                <pt idx="545">
                  <v>5032</v>
                </pt>
                <pt idx="546">
                  <v>-443</v>
                </pt>
                <pt idx="547">
                  <v>1988</v>
                </pt>
                <pt idx="548">
                  <v>-1220</v>
                </pt>
                <pt idx="549">
                  <v>-1429</v>
                </pt>
                <pt idx="550">
                  <v>-2053</v>
                </pt>
                <pt idx="551">
                  <v>-326</v>
                </pt>
                <pt idx="552">
                  <v>13491</v>
                </pt>
                <pt idx="553">
                  <v>15626</v>
                </pt>
                <pt idx="554">
                  <v>17989</v>
                </pt>
                <pt idx="555">
                  <v>20787</v>
                </pt>
                <pt idx="556">
                  <v>16049</v>
                </pt>
                <pt idx="557">
                  <v>16140</v>
                </pt>
                <pt idx="558">
                  <v>17779</v>
                </pt>
                <pt idx="559">
                  <v>8495</v>
                </pt>
                <pt idx="560">
                  <v>379</v>
                </pt>
                <pt idx="561">
                  <v>-6099</v>
                </pt>
                <pt idx="562">
                  <v>-8852</v>
                </pt>
                <pt idx="563">
                  <v>-9025</v>
                </pt>
                <pt idx="564">
                  <v>-8140</v>
                </pt>
                <pt idx="565">
                  <v>-8456</v>
                </pt>
                <pt idx="566">
                  <v>-10002</v>
                </pt>
                <pt idx="567">
                  <v>-19797</v>
                </pt>
                <pt idx="568">
                  <v>-19376</v>
                </pt>
                <pt idx="569">
                  <v>-20089</v>
                </pt>
                <pt idx="570">
                  <v>-16104</v>
                </pt>
                <pt idx="571">
                  <v>-19934</v>
                </pt>
                <pt idx="572">
                  <v>-9503</v>
                </pt>
                <pt idx="573">
                  <v>1587</v>
                </pt>
                <pt idx="574">
                  <v>7066</v>
                </pt>
                <pt idx="575">
                  <v>14898</v>
                </pt>
                <pt idx="576">
                  <v>11393</v>
                </pt>
                <pt idx="577">
                  <v>13099</v>
                </pt>
                <pt idx="578">
                  <v>-2294</v>
                </pt>
                <pt idx="579">
                  <v>-15722</v>
                </pt>
                <pt idx="580">
                  <v>2951</v>
                </pt>
                <pt idx="581">
                  <v>4881</v>
                </pt>
                <pt idx="582">
                  <v>8458</v>
                </pt>
                <pt idx="583">
                  <v>12351</v>
                </pt>
                <pt idx="584">
                  <v>13254</v>
                </pt>
                <pt idx="585">
                  <v>11632</v>
                </pt>
                <pt idx="586">
                  <v>16783</v>
                </pt>
                <pt idx="587">
                  <v>16205</v>
                </pt>
                <pt idx="588">
                  <v>15273</v>
                </pt>
                <pt idx="589">
                  <v>9032</v>
                </pt>
                <pt idx="590">
                  <v>12979</v>
                </pt>
                <pt idx="591">
                  <v>9443</v>
                </pt>
                <pt idx="592">
                  <v>11003</v>
                </pt>
                <pt idx="593">
                  <v>11479</v>
                </pt>
                <pt idx="594">
                  <v>5374</v>
                </pt>
                <pt idx="595">
                  <v>-10780</v>
                </pt>
                <pt idx="596">
                  <v>-14773</v>
                </pt>
                <pt idx="597">
                  <v>-9323</v>
                </pt>
                <pt idx="598">
                  <v>-2862</v>
                </pt>
                <pt idx="599">
                  <v>-4620</v>
                </pt>
                <pt idx="600">
                  <v>-12828</v>
                </pt>
                <pt idx="601">
                  <v>-5941</v>
                </pt>
                <pt idx="602">
                  <v>-8303</v>
                </pt>
                <pt idx="603">
                  <v>-11092</v>
                </pt>
                <pt idx="604">
                  <v>-7089</v>
                </pt>
                <pt idx="605">
                  <v>-6895</v>
                </pt>
                <pt idx="606">
                  <v>-2598</v>
                </pt>
                <pt idx="607">
                  <v>-3540</v>
                </pt>
                <pt idx="608">
                  <v>5322</v>
                </pt>
                <pt idx="609">
                  <v>16262</v>
                </pt>
                <pt idx="610">
                  <v>16745</v>
                </pt>
                <pt idx="611">
                  <v>17438</v>
                </pt>
                <pt idx="612">
                  <v>12349</v>
                </pt>
                <pt idx="613">
                  <v>22176</v>
                </pt>
                <pt idx="614">
                  <v>26841</v>
                </pt>
                <pt idx="615">
                  <v>21163</v>
                </pt>
                <pt idx="616">
                  <v>-826</v>
                </pt>
                <pt idx="617">
                  <v>-12827</v>
                </pt>
                <pt idx="618">
                  <v>-6429</v>
                </pt>
                <pt idx="619">
                  <v>-2502</v>
                </pt>
                <pt idx="620">
                  <v>-6536</v>
                </pt>
                <pt idx="621">
                  <v>-8183</v>
                </pt>
                <pt idx="622">
                  <v>-7660</v>
                </pt>
                <pt idx="625">
                  <v>-5546</v>
                </pt>
                <pt idx="626">
                  <v>-4760</v>
                </pt>
                <pt idx="627">
                  <v>-4638</v>
                </pt>
                <pt idx="628">
                  <v>11798</v>
                </pt>
                <pt idx="629">
                  <v>27331</v>
                </pt>
                <pt idx="630">
                  <v>31792</v>
                </pt>
                <pt idx="631">
                  <v>40367</v>
                </pt>
                <pt idx="632">
                  <v>41005</v>
                </pt>
                <pt idx="633">
                  <v>38786</v>
                </pt>
                <pt idx="634">
                  <v>38938</v>
                </pt>
                <pt idx="635">
                  <v>36048</v>
                </pt>
                <pt idx="636">
                  <v>17560</v>
                </pt>
                <pt idx="637">
                  <v>11552</v>
                </pt>
                <pt idx="638">
                  <v>24989</v>
                </pt>
                <pt idx="639">
                  <v>11495</v>
                </pt>
                <pt idx="640">
                  <v>60</v>
                </pt>
                <pt idx="641">
                  <v>-1100</v>
                </pt>
                <pt idx="642">
                  <v>-5181</v>
                </pt>
                <pt idx="643">
                  <v>-7400</v>
                </pt>
                <pt idx="644">
                  <v>-17174</v>
                </pt>
                <pt idx="645">
                  <v>-11269</v>
                </pt>
                <pt idx="646">
                  <v>-3450</v>
                </pt>
                <pt idx="647">
                  <v>-1903</v>
                </pt>
                <pt idx="648">
                  <v>-3027</v>
                </pt>
                <pt idx="649">
                  <v>160</v>
                </pt>
                <pt idx="650">
                  <v>-11356</v>
                </pt>
                <pt idx="651">
                  <v>-14042</v>
                </pt>
                <pt idx="652">
                  <v>-18779</v>
                </pt>
                <pt idx="653">
                  <v>-22764</v>
                </pt>
                <pt idx="654">
                  <v>-11721</v>
                </pt>
                <pt idx="655">
                  <v>-8625</v>
                </pt>
                <pt idx="656">
                  <v>-11330</v>
                </pt>
                <pt idx="657">
                  <v>-17424</v>
                </pt>
                <pt idx="658">
                  <v>-28378</v>
                </pt>
                <pt idx="659">
                  <v>-37671</v>
                </pt>
                <pt idx="660">
                  <v>-39399</v>
                </pt>
                <pt idx="661">
                  <v>-45312</v>
                </pt>
                <pt idx="662">
                  <v>-43581</v>
                </pt>
                <pt idx="663">
                  <v>-42387</v>
                </pt>
                <pt idx="664">
                  <v>-44421</v>
                </pt>
                <pt idx="665">
                  <v>-45540</v>
                </pt>
                <pt idx="666">
                  <v>-37948</v>
                </pt>
                <pt idx="667">
                  <v>-36492</v>
                </pt>
                <pt idx="668">
                  <v>-36429</v>
                </pt>
                <pt idx="669">
                  <v>-31326</v>
                </pt>
                <pt idx="670">
                  <v>-32211</v>
                </pt>
                <pt idx="671">
                  <v>-27622</v>
                </pt>
                <pt idx="672">
                  <v>-37544</v>
                </pt>
                <pt idx="673">
                  <v>-31876</v>
                </pt>
                <pt idx="674">
                  <v>-785</v>
                </pt>
                <pt idx="675">
                  <v>-14966</v>
                </pt>
                <pt idx="676">
                  <v>-30910</v>
                </pt>
                <pt idx="677">
                  <v>-43731</v>
                </pt>
                <pt idx="678">
                  <v>-47126</v>
                </pt>
                <pt idx="679">
                  <v>-25287</v>
                </pt>
                <pt idx="680">
                  <v>-30982</v>
                </pt>
                <pt idx="681">
                  <v>-20843</v>
                </pt>
                <pt idx="682">
                  <v>-21779</v>
                </pt>
                <pt idx="683">
                  <v>-34670</v>
                </pt>
                <pt idx="684">
                  <v>-45034</v>
                </pt>
                <pt idx="685">
                  <v>-48207</v>
                </pt>
                <pt idx="686">
                  <v>-48416</v>
                </pt>
                <pt idx="687">
                  <v>-49359</v>
                </pt>
                <pt idx="688">
                  <v>-39861</v>
                </pt>
                <pt idx="689">
                  <v>-34067</v>
                </pt>
                <pt idx="690">
                  <v>-38326</v>
                </pt>
                <pt idx="691">
                  <v>-16511</v>
                </pt>
                <pt idx="692">
                  <v>-240</v>
                </pt>
                <pt idx="693">
                  <v>1460</v>
                </pt>
                <pt idx="694">
                  <v>4363</v>
                </pt>
                <pt idx="695">
                  <v>983</v>
                </pt>
                <pt idx="696">
                  <v>-14690</v>
                </pt>
                <pt idx="697">
                  <v>-31188</v>
                </pt>
                <pt idx="698">
                  <v>-36975</v>
                </pt>
                <pt idx="699">
                  <v>-68262</v>
                </pt>
                <pt idx="700">
                  <v>-46223</v>
                </pt>
                <pt idx="701">
                  <v>-48378</v>
                </pt>
                <pt idx="702">
                  <v>-46865</v>
                </pt>
                <pt idx="703">
                  <v>-45335</v>
                </pt>
                <pt idx="704">
                  <v>-38128</v>
                </pt>
                <pt idx="705">
                  <v>-28651</v>
                </pt>
                <pt idx="706">
                  <v>-22168</v>
                </pt>
                <pt idx="707">
                  <v>-24429</v>
                </pt>
                <pt idx="708">
                  <v>-12629</v>
                </pt>
                <pt idx="709">
                  <v>-11013</v>
                </pt>
                <pt idx="710">
                  <v>-1581</v>
                </pt>
                <pt idx="711">
                  <v>8382</v>
                </pt>
                <pt idx="712">
                  <v>10531</v>
                </pt>
                <pt idx="713">
                  <v>9320</v>
                </pt>
                <pt idx="714">
                  <v>-2882</v>
                </pt>
                <pt idx="715">
                  <v>-5472</v>
                </pt>
                <pt idx="716">
                  <v>-15889</v>
                </pt>
                <pt idx="717">
                  <v>-4314</v>
                </pt>
                <pt idx="718">
                  <v>-7259</v>
                </pt>
                <pt idx="719">
                  <v>-15417</v>
                </pt>
                <pt idx="720">
                  <v>-20960</v>
                </pt>
                <pt idx="721">
                  <v>-9394</v>
                </pt>
                <pt idx="722">
                  <v>-14853</v>
                </pt>
                <pt idx="723">
                  <v>-15247</v>
                </pt>
                <pt idx="724">
                  <v>-10465</v>
                </pt>
                <pt idx="725">
                  <v>-12635</v>
                </pt>
                <pt idx="726">
                  <v>-19146</v>
                </pt>
                <pt idx="727">
                  <v>-33241</v>
                </pt>
                <pt idx="728">
                  <v>-44034</v>
                </pt>
                <pt idx="729">
                  <v>-29020</v>
                </pt>
                <pt idx="730">
                  <v>-30127</v>
                </pt>
                <pt idx="731">
                  <v>-60420</v>
                </pt>
                <pt idx="732">
                  <v>-67208</v>
                </pt>
                <pt idx="733">
                  <v>-70223</v>
                </pt>
                <pt idx="734">
                  <v>-47069</v>
                </pt>
                <pt idx="735">
                  <v>-55701</v>
                </pt>
                <pt idx="736">
                  <v>-42545</v>
                </pt>
                <pt idx="737">
                  <v>-38797</v>
                </pt>
                <pt idx="738">
                  <v>-13903</v>
                </pt>
                <pt idx="739">
                  <v>-6468</v>
                </pt>
                <pt idx="740">
                  <v>-9772</v>
                </pt>
                <pt idx="741">
                  <v>-10838</v>
                </pt>
                <pt idx="742">
                  <v>-12285</v>
                </pt>
                <pt idx="743">
                  <v>-22798</v>
                </pt>
                <pt idx="744">
                  <v>-40371</v>
                </pt>
                <pt idx="745">
                  <v>-42248</v>
                </pt>
                <pt idx="746">
                  <v>-44081</v>
                </pt>
                <pt idx="747">
                  <v>-59580</v>
                </pt>
                <pt idx="748">
                  <v>-42925</v>
                </pt>
                <pt idx="749">
                  <v>-63406</v>
                </pt>
                <pt idx="750">
                  <v>-55553</v>
                </pt>
                <pt idx="751">
                  <v>-44685</v>
                </pt>
                <pt idx="752">
                  <v>-21867</v>
                </pt>
                <pt idx="753">
                  <v>-24891</v>
                </pt>
                <pt idx="754">
                  <v>-15002</v>
                </pt>
                <pt idx="755">
                  <v>-11559</v>
                </pt>
                <pt idx="756">
                  <v>-27265</v>
                </pt>
                <pt idx="757">
                  <v>-23206</v>
                </pt>
                <pt idx="758">
                  <v>-22372</v>
                </pt>
                <pt idx="759">
                  <v>-16851</v>
                </pt>
                <pt idx="760">
                  <v>-31170</v>
                </pt>
                <pt idx="761">
                  <v>-34352</v>
                </pt>
                <pt idx="762">
                  <v>-34745</v>
                </pt>
                <pt idx="763">
                  <v>-65869</v>
                </pt>
                <pt idx="764">
                  <v>-59208</v>
                </pt>
                <pt idx="765">
                  <v>-58252</v>
                </pt>
                <pt idx="766">
                  <v>-79181</v>
                </pt>
                <pt idx="767">
                  <v>-79331</v>
                </pt>
                <pt idx="768">
                  <v>-58831</v>
                </pt>
                <pt idx="769">
                  <v>-33575</v>
                </pt>
                <pt idx="770">
                  <v>-38072</v>
                </pt>
                <pt idx="771">
                  <v>-35554</v>
                </pt>
                <pt idx="772">
                  <v>-42877</v>
                </pt>
                <pt idx="773">
                  <v>-14633</v>
                </pt>
                <pt idx="774">
                  <v>-2304</v>
                </pt>
                <pt idx="775">
                  <v>-13990</v>
                </pt>
                <pt idx="776">
                  <v>-17279</v>
                </pt>
                <pt idx="777">
                  <v>-18123</v>
                </pt>
                <pt idx="778">
                  <v>-34475</v>
                </pt>
                <pt idx="779">
                  <v>2661</v>
                </pt>
                <pt idx="780">
                  <v>5489</v>
                </pt>
                <pt idx="781">
                  <v>6292</v>
                </pt>
                <pt idx="782">
                  <v>-3078</v>
                </pt>
                <pt idx="783">
                  <v>-4091</v>
                </pt>
                <pt idx="784">
                  <v>-8189</v>
                </pt>
                <pt idx="785">
                  <v>2510</v>
                </pt>
                <pt idx="786">
                  <v>10790</v>
                </pt>
                <pt idx="787">
                  <v>2419</v>
                </pt>
                <pt idx="788">
                  <v>15503</v>
                </pt>
                <pt idx="789">
                  <v>13732</v>
                </pt>
                <pt idx="790">
                  <v>13202</v>
                </pt>
                <pt idx="791">
                  <v>7043</v>
                </pt>
                <pt idx="792">
                  <v>1933</v>
                </pt>
                <pt idx="793">
                  <v>-6984</v>
                </pt>
                <pt idx="794">
                  <v>-11497</v>
                </pt>
                <pt idx="795">
                  <v>-4619</v>
                </pt>
                <pt idx="796">
                  <v>-2171</v>
                </pt>
                <pt idx="797">
                  <v>5162</v>
                </pt>
                <pt idx="798">
                  <v>15376</v>
                </pt>
                <pt idx="799">
                  <v>9233</v>
                </pt>
                <pt idx="800">
                  <v>2786</v>
                </pt>
                <pt idx="801">
                  <v>3180</v>
                </pt>
                <pt idx="802">
                  <v>987</v>
                </pt>
                <pt idx="803">
                  <v>8772</v>
                </pt>
                <pt idx="804">
                  <v>167</v>
                </pt>
                <pt idx="805">
                  <v>-4248</v>
                </pt>
                <pt idx="806">
                  <v>11224</v>
                </pt>
                <pt idx="807">
                  <v>10781</v>
                </pt>
                <pt idx="808">
                  <v>8881</v>
                </pt>
                <pt idx="809">
                  <v>917</v>
                </pt>
                <pt idx="810">
                  <v>5234</v>
                </pt>
                <pt idx="811">
                  <v>3009</v>
                </pt>
                <pt idx="812">
                  <v>7001</v>
                </pt>
                <pt idx="813">
                  <v>-4137</v>
                </pt>
                <pt idx="814">
                  <v>-17436</v>
                </pt>
                <pt idx="815">
                  <v>-4943</v>
                </pt>
                <pt idx="816">
                  <v>-9849</v>
                </pt>
                <pt idx="817">
                  <v>-7271</v>
                </pt>
                <pt idx="818">
                  <v>-3732</v>
                </pt>
                <pt idx="819">
                  <v>-8914</v>
                </pt>
                <pt idx="820">
                  <v>-2401</v>
                </pt>
                <pt idx="821">
                  <v>6607</v>
                </pt>
                <pt idx="822">
                  <v>-4697</v>
                </pt>
                <pt idx="823">
                  <v>15044</v>
                </pt>
                <pt idx="824">
                  <v>-1666</v>
                </pt>
                <pt idx="825">
                  <v>-4655</v>
                </pt>
                <pt idx="826">
                  <v>-8983</v>
                </pt>
                <pt idx="827">
                  <v>-8383</v>
                </pt>
                <pt idx="828">
                  <v>-13402</v>
                </pt>
                <pt idx="829">
                  <v>-13329</v>
                </pt>
                <pt idx="830">
                  <v>-13263</v>
                </pt>
                <pt idx="831">
                  <v>-14915</v>
                </pt>
                <pt idx="832">
                  <v>-13448</v>
                </pt>
                <pt idx="833">
                  <v>-8107</v>
                </pt>
                <pt idx="834">
                  <v>-11449</v>
                </pt>
                <pt idx="835">
                  <v>-11529</v>
                </pt>
                <pt idx="836">
                  <v>-13082</v>
                </pt>
                <pt idx="837">
                  <v>-15922</v>
                </pt>
                <pt idx="838">
                  <v>-14316</v>
                </pt>
                <pt idx="839">
                  <v>-7201</v>
                </pt>
                <pt idx="840">
                  <v>-10156</v>
                </pt>
                <pt idx="841">
                  <v>-13589</v>
                </pt>
                <pt idx="842">
                  <v>-16413</v>
                </pt>
                <pt idx="843">
                  <v>-18240</v>
                </pt>
                <pt idx="844">
                  <v>-14074</v>
                </pt>
                <pt idx="845">
                  <v>-5311</v>
                </pt>
                <pt idx="846">
                  <v>-4156</v>
                </pt>
                <pt idx="847">
                  <v>-3847</v>
                </pt>
                <pt idx="848">
                  <v>-5867</v>
                </pt>
                <pt idx="849">
                  <v>-6234</v>
                </pt>
                <pt idx="850">
                  <v>-6374</v>
                </pt>
                <pt idx="851">
                  <v>-10188</v>
                </pt>
                <pt idx="852">
                  <v>-11140</v>
                </pt>
                <pt idx="853">
                  <v>-11521</v>
                </pt>
                <pt idx="854">
                  <v>-11138</v>
                </pt>
                <pt idx="855">
                  <v>-11188</v>
                </pt>
                <pt idx="856">
                  <v>-12910</v>
                </pt>
                <pt idx="857">
                  <v>-11453</v>
                </pt>
                <pt idx="858">
                  <v>-8438</v>
                </pt>
                <pt idx="859">
                  <v>-3148</v>
                </pt>
                <pt idx="860">
                  <v>-4411</v>
                </pt>
                <pt idx="861">
                  <v>-3541</v>
                </pt>
                <pt idx="862">
                  <v>-5055</v>
                </pt>
                <pt idx="863">
                  <v>-12085</v>
                </pt>
                <pt idx="864">
                  <v>-4922</v>
                </pt>
                <pt idx="865">
                  <v>-743</v>
                </pt>
                <pt idx="866">
                  <v>1619</v>
                </pt>
                <pt idx="867">
                  <v>4609</v>
                </pt>
                <pt idx="868">
                  <v>6674</v>
                </pt>
                <pt idx="869">
                  <v>8599</v>
                </pt>
                <pt idx="870">
                  <v>8474</v>
                </pt>
                <pt idx="871">
                  <v>7902</v>
                </pt>
                <pt idx="872">
                  <v>14408</v>
                </pt>
                <pt idx="873">
                  <v>10690</v>
                </pt>
                <pt idx="874">
                  <v>11054</v>
                </pt>
                <pt idx="875">
                  <v>10792</v>
                </pt>
                <pt idx="876">
                  <v>13197</v>
                </pt>
                <pt idx="877">
                  <v>14170</v>
                </pt>
                <pt idx="878">
                  <v>14512</v>
                </pt>
                <pt idx="879">
                  <v>-37</v>
                </pt>
                <pt idx="880">
                  <v>6755</v>
                </pt>
                <pt idx="881">
                  <v>16798</v>
                </pt>
                <pt idx="882">
                  <v>14252</v>
                </pt>
                <pt idx="883">
                  <v>18137</v>
                </pt>
                <pt idx="884">
                  <v>18191</v>
                </pt>
                <pt idx="885">
                  <v>23791</v>
                </pt>
                <pt idx="886">
                  <v>17593</v>
                </pt>
                <pt idx="887">
                  <v>23470</v>
                </pt>
                <pt idx="888">
                  <v>22279</v>
                </pt>
                <pt idx="889">
                  <v>23853</v>
                </pt>
                <pt idx="890">
                  <v>17845</v>
                </pt>
                <pt idx="891">
                  <v>18665</v>
                </pt>
                <pt idx="892">
                  <v>23298</v>
                </pt>
                <pt idx="893">
                  <v>22199</v>
                </pt>
                <pt idx="894">
                  <v>22117</v>
                </pt>
                <pt idx="895">
                  <v>24725</v>
                </pt>
                <pt idx="896">
                  <v>13348</v>
                </pt>
                <pt idx="897">
                  <v>461</v>
                </pt>
                <pt idx="898">
                  <v>-4568</v>
                </pt>
                <pt idx="899">
                  <v>-7051</v>
                </pt>
                <pt idx="900">
                  <v>-2780</v>
                </pt>
                <pt idx="901">
                  <v>13926</v>
                </pt>
                <pt idx="902">
                  <v>13971</v>
                </pt>
                <pt idx="903">
                  <v>5705</v>
                </pt>
                <pt idx="904">
                  <v>-1775</v>
                </pt>
                <pt idx="905">
                  <v>-6896</v>
                </pt>
                <pt idx="906">
                  <v>-4667</v>
                </pt>
                <pt idx="907">
                  <v>-8819</v>
                </pt>
                <pt idx="908">
                  <v>-6310</v>
                </pt>
                <pt idx="909">
                  <v>-5145</v>
                </pt>
                <pt idx="910">
                  <v>-5233</v>
                </pt>
                <pt idx="911">
                  <v>-1088</v>
                </pt>
                <pt idx="912">
                  <v>-6540</v>
                </pt>
                <pt idx="913">
                  <v>-4152</v>
                </pt>
                <pt idx="914">
                  <v>-4954</v>
                </pt>
                <pt idx="915">
                  <v>-5382</v>
                </pt>
                <pt idx="916">
                  <v>-13613</v>
                </pt>
                <pt idx="917">
                  <v>-16592</v>
                </pt>
                <pt idx="918">
                  <v>-17527</v>
                </pt>
                <pt idx="919">
                  <v>-14558</v>
                </pt>
                <pt idx="920">
                  <v>-12619</v>
                </pt>
                <pt idx="921">
                  <v>-14724</v>
                </pt>
                <pt idx="922">
                  <v>-11415</v>
                </pt>
                <pt idx="923">
                  <v>-16476</v>
                </pt>
                <pt idx="924">
                  <v>-10265</v>
                </pt>
                <pt idx="925">
                  <v>-12848</v>
                </pt>
                <pt idx="926">
                  <v>-7455</v>
                </pt>
                <pt idx="927">
                  <v>14590</v>
                </pt>
                <pt idx="928">
                  <v>15113</v>
                </pt>
                <pt idx="929">
                  <v>6216</v>
                </pt>
                <pt idx="930">
                  <v>16223</v>
                </pt>
                <pt idx="931">
                  <v>10901</v>
                </pt>
                <pt idx="932">
                  <v>11750</v>
                </pt>
                <pt idx="933">
                  <v>13868</v>
                </pt>
                <pt idx="934">
                  <v>14281</v>
                </pt>
                <pt idx="935">
                  <v>16627</v>
                </pt>
                <pt idx="936">
                  <v>14236</v>
                </pt>
                <pt idx="937">
                  <v>14462</v>
                </pt>
                <pt idx="938">
                  <v>19993</v>
                </pt>
                <pt idx="939">
                  <v>22599</v>
                </pt>
                <pt idx="940">
                  <v>19947</v>
                </pt>
                <pt idx="941">
                  <v>11235</v>
                </pt>
                <pt idx="942">
                  <v>12519</v>
                </pt>
                <pt idx="943">
                  <v>12465</v>
                </pt>
                <pt idx="944">
                  <v>12615</v>
                </pt>
                <pt idx="945">
                  <v>7803</v>
                </pt>
                <pt idx="946">
                  <v>8511</v>
                </pt>
                <pt idx="947">
                  <v>7824</v>
                </pt>
                <pt idx="948">
                  <v>8987</v>
                </pt>
                <pt idx="949">
                  <v>10716</v>
                </pt>
                <pt idx="950">
                  <v>12527</v>
                </pt>
                <pt idx="951">
                  <v>14002</v>
                </pt>
                <pt idx="952">
                  <v>13032</v>
                </pt>
                <pt idx="953">
                  <v>10818</v>
                </pt>
                <pt idx="954">
                  <v>6992</v>
                </pt>
                <pt idx="955">
                  <v>6594</v>
                </pt>
                <pt idx="956">
                  <v>10441</v>
                </pt>
                <pt idx="957">
                  <v>8181</v>
                </pt>
                <pt idx="958">
                  <v>10518</v>
                </pt>
                <pt idx="959">
                  <v>12291</v>
                </pt>
                <pt idx="960">
                  <v>18017</v>
                </pt>
                <pt idx="961">
                  <v>23661</v>
                </pt>
                <pt idx="962">
                  <v>27640</v>
                </pt>
                <pt idx="963">
                  <v>21301</v>
                </pt>
                <pt idx="964">
                  <v>18957</v>
                </pt>
                <pt idx="965">
                  <v>10843</v>
                </pt>
                <pt idx="966">
                  <v>14657</v>
                </pt>
                <pt idx="967">
                  <v>17374</v>
                </pt>
                <pt idx="968">
                  <v>17841</v>
                </pt>
                <pt idx="969">
                  <v>18381</v>
                </pt>
                <pt idx="970">
                  <v>16336</v>
                </pt>
                <pt idx="971">
                  <v>15661</v>
                </pt>
                <pt idx="972">
                  <v>14725</v>
                </pt>
                <pt idx="973">
                  <v>21119</v>
                </pt>
                <pt idx="974">
                  <v>16865</v>
                </pt>
                <pt idx="975">
                  <v>13287</v>
                </pt>
                <pt idx="976">
                  <v>11813</v>
                </pt>
                <pt idx="977">
                  <v>9948</v>
                </pt>
                <pt idx="978">
                  <v>5291</v>
                </pt>
                <pt idx="979">
                  <v>8081</v>
                </pt>
                <pt idx="980">
                  <v>11494</v>
                </pt>
                <pt idx="981">
                  <v>7877</v>
                </pt>
                <pt idx="982">
                  <v>12341</v>
                </pt>
                <pt idx="983">
                  <v>4655</v>
                </pt>
                <pt idx="984">
                  <v>9008</v>
                </pt>
                <pt idx="985">
                  <v>9637</v>
                </pt>
                <pt idx="986">
                  <v>9342</v>
                </pt>
                <pt idx="987">
                  <v>7549</v>
                </pt>
                <pt idx="988">
                  <v>5493</v>
                </pt>
                <pt idx="989">
                  <v>4221</v>
                </pt>
                <pt idx="990">
                  <v>2424</v>
                </pt>
                <pt idx="991">
                  <v>-1109</v>
                </pt>
                <pt idx="992">
                  <v>13</v>
                </pt>
                <pt idx="993">
                  <v>-2243</v>
                </pt>
                <pt idx="994">
                  <v>-1203</v>
                </pt>
                <pt idx="995">
                  <v>-1746</v>
                </pt>
                <pt idx="996">
                  <v>2162</v>
                </pt>
                <pt idx="997">
                  <v>-1904</v>
                </pt>
                <pt idx="998">
                  <v>-5870</v>
                </pt>
                <pt idx="999">
                  <v>-9327</v>
                </pt>
                <pt idx="1000">
                  <v>-11158</v>
                </pt>
                <pt idx="1001">
                  <v>-10481</v>
                </pt>
                <pt idx="1002">
                  <v>-3136</v>
                </pt>
                <pt idx="1003">
                  <v>-10798</v>
                </pt>
                <pt idx="1004">
                  <v>-12355</v>
                </pt>
                <pt idx="1005">
                  <v>-12097</v>
                </pt>
                <pt idx="1006">
                  <v>-12822</v>
                </pt>
                <pt idx="1007">
                  <v>-12514</v>
                </pt>
                <pt idx="1008">
                  <v>-11222</v>
                </pt>
                <pt idx="1009">
                  <v>-9795</v>
                </pt>
                <pt idx="1010">
                  <v>-15863</v>
                </pt>
                <pt idx="1011">
                  <v>-19846</v>
                </pt>
                <pt idx="1012">
                  <v>-19391</v>
                </pt>
                <pt idx="1013">
                  <v>-19478</v>
                </pt>
                <pt idx="1014">
                  <v>-14798</v>
                </pt>
                <pt idx="1015">
                  <v>-11191</v>
                </pt>
                <pt idx="1016">
                  <v>-15096</v>
                </pt>
                <pt idx="1017">
                  <v>-14676</v>
                </pt>
                <pt idx="1018">
                  <v>-9919</v>
                </pt>
                <pt idx="1019">
                  <v>-13762</v>
                </pt>
                <pt idx="1020">
                  <v>-16641</v>
                </pt>
                <pt idx="1021">
                  <v>-14311</v>
                </pt>
                <pt idx="1022">
                  <v>-16494</v>
                </pt>
                <pt idx="1023">
                  <v>-26694</v>
                </pt>
                <pt idx="1024">
                  <v>-34851</v>
                </pt>
                <pt idx="1025">
                  <v>-30596</v>
                </pt>
                <pt idx="1026">
                  <v>-33648</v>
                </pt>
                <pt idx="1027">
                  <v>-33301</v>
                </pt>
                <pt idx="1028">
                  <v>-7007</v>
                </pt>
                <pt idx="1029">
                  <v>-23836</v>
                </pt>
                <pt idx="1030">
                  <v>-19060</v>
                </pt>
                <pt idx="1031">
                  <v>-17584</v>
                </pt>
                <pt idx="1032">
                  <v>-23090</v>
                </pt>
                <pt idx="1033">
                  <v>-25945</v>
                </pt>
                <pt idx="1034">
                  <v>-18808</v>
                </pt>
                <pt idx="1035">
                  <v>-17915</v>
                </pt>
                <pt idx="1036">
                  <v>-18854</v>
                </pt>
                <pt idx="1037">
                  <v>-15662</v>
                </pt>
                <pt idx="1038">
                  <v>-11461</v>
                </pt>
                <pt idx="1039">
                  <v>-13112</v>
                </pt>
                <pt idx="1040">
                  <v>-8967</v>
                </pt>
                <pt idx="1041">
                  <v>-4527</v>
                </pt>
                <pt idx="1042">
                  <v>-904</v>
                </pt>
                <pt idx="1043">
                  <v>-984</v>
                </pt>
                <pt idx="1044">
                  <v>-306</v>
                </pt>
                <pt idx="1045">
                  <v>-1192</v>
                </pt>
                <pt idx="1046">
                  <v>2361</v>
                </pt>
                <pt idx="1047">
                  <v>2366</v>
                </pt>
                <pt idx="1048">
                  <v>-303</v>
                </pt>
                <pt idx="1049">
                  <v>-8888</v>
                </pt>
                <pt idx="1050">
                  <v>-12488</v>
                </pt>
                <pt idx="1051">
                  <v>-3367</v>
                </pt>
                <pt idx="1052">
                  <v>636</v>
                </pt>
                <pt idx="1053">
                  <v>3209</v>
                </pt>
                <pt idx="1054">
                  <v>4280</v>
                </pt>
                <pt idx="1055">
                  <v>11435</v>
                </pt>
                <pt idx="1056">
                  <v>11631</v>
                </pt>
                <pt idx="1057">
                  <v>10261</v>
                </pt>
                <pt idx="1058">
                  <v>12770</v>
                </pt>
                <pt idx="1059">
                  <v>6384</v>
                </pt>
                <pt idx="1060">
                  <v>4148</v>
                </pt>
                <pt idx="1061">
                  <v>3876</v>
                </pt>
                <pt idx="1062">
                  <v>4552</v>
                </pt>
                <pt idx="1063">
                  <v>-675</v>
                </pt>
                <pt idx="1064">
                  <v>-8191</v>
                </pt>
                <pt idx="1065">
                  <v>-11450</v>
                </pt>
                <pt idx="1066">
                  <v>-13488</v>
                </pt>
                <pt idx="1067">
                  <v>-10996</v>
                </pt>
                <pt idx="1068">
                  <v>-12198</v>
                </pt>
                <pt idx="1069">
                  <v>-12015</v>
                </pt>
                <pt idx="1070">
                  <v>-10014</v>
                </pt>
                <pt idx="1071">
                  <v>-3253</v>
                </pt>
                <pt idx="1072">
                  <v>1179</v>
                </pt>
                <pt idx="1073">
                  <v>-8264</v>
                </pt>
                <pt idx="1074">
                  <v>-6235</v>
                </pt>
                <pt idx="1075">
                  <v>-15410</v>
                </pt>
                <pt idx="1076">
                  <v>-19930</v>
                </pt>
                <pt idx="1077">
                  <v>-28972</v>
                </pt>
                <pt idx="1078">
                  <v>-25803</v>
                </pt>
                <pt idx="1079">
                  <v>-20738</v>
                </pt>
                <pt idx="1080">
                  <v>5791</v>
                </pt>
                <pt idx="1081">
                  <v>2464</v>
                </pt>
                <pt idx="1082">
                  <v>-116</v>
                </pt>
                <pt idx="1083">
                  <v>-1776</v>
                </pt>
                <pt idx="1084">
                  <v>-4969</v>
                </pt>
                <pt idx="1085">
                  <v>-5433</v>
                </pt>
                <pt idx="1086">
                  <v>-1261</v>
                </pt>
                <pt idx="1087">
                  <v>-325</v>
                </pt>
                <pt idx="1088">
                  <v>2136</v>
                </pt>
                <pt idx="1089">
                  <v>291</v>
                </pt>
                <pt idx="1090">
                  <v>402</v>
                </pt>
                <pt idx="1091">
                  <v>1059</v>
                </pt>
                <pt idx="1092">
                  <v>420</v>
                </pt>
                <pt idx="1093">
                  <v>616</v>
                </pt>
                <pt idx="1094">
                  <v>5745</v>
                </pt>
                <pt idx="1095">
                  <v>6636</v>
                </pt>
                <pt idx="1096">
                  <v>10415</v>
                </pt>
                <pt idx="1097">
                  <v>10767</v>
                </pt>
                <pt idx="1098">
                  <v>10931</v>
                </pt>
                <pt idx="1099">
                  <v>11451</v>
                </pt>
                <pt idx="1100">
                  <v>8095</v>
                </pt>
                <pt idx="1101">
                  <v>3189</v>
                </pt>
                <pt idx="1102">
                  <v>3669</v>
                </pt>
                <pt idx="1103">
                  <v>4652</v>
                </pt>
                <pt idx="1104">
                  <v>6547</v>
                </pt>
                <pt idx="1105">
                  <v>11998</v>
                </pt>
                <pt idx="1106">
                  <v>11955</v>
                </pt>
                <pt idx="1107">
                  <v>11920</v>
                </pt>
                <pt idx="1108">
                  <v>10889</v>
                </pt>
                <pt idx="1109">
                  <v>4727</v>
                </pt>
                <pt idx="1110">
                  <v>-2941</v>
                </pt>
                <pt idx="1111">
                  <v>-1921</v>
                </pt>
                <pt idx="1112">
                  <v>-441</v>
                </pt>
                <pt idx="1113">
                  <v>2220</v>
                </pt>
                <pt idx="1114">
                  <v>555</v>
                </pt>
                <pt idx="1115">
                  <v>-2828</v>
                </pt>
                <pt idx="1116">
                  <v>358</v>
                </pt>
                <pt idx="1117">
                  <v>2168</v>
                </pt>
                <pt idx="1118">
                  <v>8957</v>
                </pt>
                <pt idx="1119">
                  <v>15116</v>
                </pt>
                <pt idx="1120">
                  <v>14819</v>
                </pt>
                <pt idx="1121">
                  <v>14231</v>
                </pt>
                <pt idx="1122">
                  <v>11335</v>
                </pt>
                <pt idx="1123">
                  <v>14066</v>
                </pt>
                <pt idx="1124">
                  <v>14023</v>
                </pt>
                <pt idx="1125">
                  <v>13703</v>
                </pt>
                <pt idx="1126">
                  <v>13184</v>
                </pt>
                <pt idx="1127">
                  <v>6806</v>
                </pt>
                <pt idx="1128">
                  <v>5019</v>
                </pt>
                <pt idx="1129">
                  <v>-3872</v>
                </pt>
                <pt idx="1130">
                  <v>-2012</v>
                </pt>
                <pt idx="1131">
                  <v>-3030</v>
                </pt>
                <pt idx="1132">
                  <v>3520</v>
                </pt>
                <pt idx="1133">
                  <v>-5372</v>
                </pt>
                <pt idx="1134">
                  <v>-7260</v>
                </pt>
                <pt idx="1135">
                  <v>-6813</v>
                </pt>
                <pt idx="1136">
                  <v>-6262</v>
                </pt>
                <pt idx="1137">
                  <v>-7380</v>
                </pt>
                <pt idx="1138">
                  <v>-11764</v>
                </pt>
                <pt idx="1139">
                  <v>-18853</v>
                </pt>
                <pt idx="1140">
                  <v>-17359</v>
                </pt>
                <pt idx="1141">
                  <v>-15492</v>
                </pt>
                <pt idx="1142">
                  <v>-13039</v>
                </pt>
                <pt idx="1143">
                  <v>-13167</v>
                </pt>
                <pt idx="1144">
                  <v>-13825</v>
                </pt>
                <pt idx="1145">
                  <v>-11396</v>
                </pt>
                <pt idx="1146">
                  <v>-13375</v>
                </pt>
                <pt idx="1147">
                  <v>-12557</v>
                </pt>
                <pt idx="1148">
                  <v>-12419</v>
                </pt>
                <pt idx="1149">
                  <v>-17553</v>
                </pt>
                <pt idx="1150">
                  <v>-17862</v>
                </pt>
                <pt idx="1151">
                  <v>-20283</v>
                </pt>
                <pt idx="1152">
                  <v>-20221</v>
                </pt>
                <pt idx="1153">
                  <v>-22675</v>
                </pt>
                <pt idx="1154">
                  <v>-22116</v>
                </pt>
                <pt idx="1155">
                  <v>-23424</v>
                </pt>
                <pt idx="1156">
                  <v>-22922</v>
                </pt>
                <pt idx="1157">
                  <v>-22097</v>
                </pt>
                <pt idx="1158">
                  <v>-3655</v>
                </pt>
                <pt idx="1159">
                  <v>-16846</v>
                </pt>
                <pt idx="1160">
                  <v>-16545</v>
                </pt>
                <pt idx="1161">
                  <v>-24171</v>
                </pt>
                <pt idx="1162">
                  <v>-26444</v>
                </pt>
                <pt idx="1163">
                  <v>-9809</v>
                </pt>
                <pt idx="1164">
                  <v>-7373</v>
                </pt>
                <pt idx="1165">
                  <v>-5350</v>
                </pt>
                <pt idx="1166">
                  <v>-5486</v>
                </pt>
                <pt idx="1167">
                  <v>-6044</v>
                </pt>
                <pt idx="1168">
                  <v>-5085</v>
                </pt>
                <pt idx="1169">
                  <v>-6062</v>
                </pt>
                <pt idx="1170">
                  <v>-8380</v>
                </pt>
                <pt idx="1171">
                  <v>2235</v>
                </pt>
                <pt idx="1172">
                  <v>-3955</v>
                </pt>
                <pt idx="1173">
                  <v>706</v>
                </pt>
                <pt idx="1174">
                  <v>120</v>
                </pt>
                <pt idx="1175">
                  <v>170</v>
                </pt>
                <pt idx="1176">
                  <v>335</v>
                </pt>
                <pt idx="1177">
                  <v>1335</v>
                </pt>
                <pt idx="1178">
                  <v>5331</v>
                </pt>
                <pt idx="1179">
                  <v>10550</v>
                </pt>
                <pt idx="1180">
                  <v>9405</v>
                </pt>
                <pt idx="1181">
                  <v>8330</v>
                </pt>
                <pt idx="1182">
                  <v>8359</v>
                </pt>
                <pt idx="1183">
                  <v>10129</v>
                </pt>
                <pt idx="1184">
                  <v>5358</v>
                </pt>
                <pt idx="1185">
                  <v>7072</v>
                </pt>
                <pt idx="1186">
                  <v>6855</v>
                </pt>
                <pt idx="1187">
                  <v>6121</v>
                </pt>
                <pt idx="1188">
                  <v>3081</v>
                </pt>
                <pt idx="1189">
                  <v>3417</v>
                </pt>
                <pt idx="1190">
                  <v>124</v>
                </pt>
                <pt idx="1191">
                  <v>-1466</v>
                </pt>
                <pt idx="1192">
                  <v>-7012</v>
                </pt>
                <pt idx="1193">
                  <v>-9868</v>
                </pt>
                <pt idx="1194">
                  <v>-12597</v>
                </pt>
                <pt idx="1195">
                  <v>-8503</v>
                </pt>
                <pt idx="1196">
                  <v>-6896</v>
                </pt>
                <pt idx="1197">
                  <v>3782</v>
                </pt>
                <pt idx="1198">
                  <v>-1876</v>
                </pt>
                <pt idx="1199">
                  <v>-2715</v>
                </pt>
                <pt idx="1200">
                  <v>-3970</v>
                </pt>
                <pt idx="1201">
                  <v>-2352</v>
                </pt>
                <pt idx="1202">
                  <v>625</v>
                </pt>
                <pt idx="1203">
                  <v>1499</v>
                </pt>
                <pt idx="1204">
                  <v>-7035</v>
                </pt>
                <pt idx="1205">
                  <v>-9310</v>
                </pt>
                <pt idx="1206">
                  <v>-15329</v>
                </pt>
                <pt idx="1207">
                  <v>-22209</v>
                </pt>
                <pt idx="1208">
                  <v>-24789</v>
                </pt>
                <pt idx="1209">
                  <v>-25540</v>
                </pt>
                <pt idx="1210">
                  <v>1951</v>
                </pt>
                <pt idx="1211">
                  <v>2752</v>
                </pt>
                <pt idx="1212">
                  <v>3564</v>
                </pt>
                <pt idx="1213">
                  <v>3620</v>
                </pt>
                <pt idx="1214">
                  <v>3324</v>
                </pt>
                <pt idx="1215">
                  <v>906</v>
                </pt>
                <pt idx="1216">
                  <v>-4503</v>
                </pt>
                <pt idx="1217">
                  <v>-4695</v>
                </pt>
                <pt idx="1218">
                  <v>-7268</v>
                </pt>
                <pt idx="1219">
                  <v>-4366</v>
                </pt>
                <pt idx="1220">
                  <v>-2321</v>
                </pt>
                <pt idx="1221">
                  <v>-1507</v>
                </pt>
                <pt idx="1222">
                  <v>-129</v>
                </pt>
                <pt idx="1223">
                  <v>5262</v>
                </pt>
                <pt idx="1224">
                  <v>4186</v>
                </pt>
                <pt idx="1225">
                  <v>4647</v>
                </pt>
                <pt idx="1226">
                  <v>5649</v>
                </pt>
                <pt idx="1227">
                  <v>8238</v>
                </pt>
                <pt idx="1228">
                  <v>9410</v>
                </pt>
                <pt idx="1229">
                  <v>9265</v>
                </pt>
                <pt idx="1230">
                  <v>6829</v>
                </pt>
                <pt idx="1231">
                  <v>6917</v>
                </pt>
                <pt idx="1232">
                  <v>4147</v>
                </pt>
                <pt idx="1233">
                  <v>3954</v>
                </pt>
                <pt idx="1234">
                  <v>129</v>
                </pt>
                <pt idx="1235">
                  <v>-9645</v>
                </pt>
                <pt idx="1236">
                  <v>7130</v>
                </pt>
                <pt idx="1237">
                  <v>6381</v>
                </pt>
                <pt idx="1238">
                  <v>10867</v>
                </pt>
                <pt idx="1239">
                  <v>8678</v>
                </pt>
                <pt idx="1240">
                  <v>6718</v>
                </pt>
                <pt idx="1241">
                  <v>4687</v>
                </pt>
                <pt idx="1242">
                  <v>946</v>
                </pt>
                <pt idx="1243">
                  <v>-1715</v>
                </pt>
                <pt idx="1244">
                  <v>107</v>
                </pt>
                <pt idx="1245">
                  <v>-1545</v>
                </pt>
                <pt idx="1246">
                  <v>1885</v>
                </pt>
                <pt idx="1247">
                  <v>8208</v>
                </pt>
                <pt idx="1248">
                  <v>1451</v>
                </pt>
                <pt idx="1249">
                  <v>1348</v>
                </pt>
                <pt idx="1250">
                  <v>8413</v>
                </pt>
                <pt idx="1251">
                  <v>-5956</v>
                </pt>
                <pt idx="1252">
                  <v>-2936</v>
                </pt>
                <pt idx="1253">
                  <v>-9408</v>
                </pt>
                <pt idx="1254">
                  <v>-16377</v>
                </pt>
                <pt idx="1255">
                  <v>-18700</v>
                </pt>
                <pt idx="1256">
                  <v>-19970</v>
                </pt>
                <pt idx="1257">
                  <v>-23291</v>
                </pt>
                <pt idx="1258">
                  <v>-22194</v>
                </pt>
                <pt idx="1259">
                  <v>-22900</v>
                </pt>
                <pt idx="1260">
                  <v>-24334</v>
                </pt>
                <pt idx="1261">
                  <v>-25397</v>
                </pt>
                <pt idx="1262">
                  <v>-25288</v>
                </pt>
                <pt idx="1263">
                  <v>7110</v>
                </pt>
                <pt idx="1264">
                  <v>-10091</v>
                </pt>
                <pt idx="1265">
                  <v>-13439</v>
                </pt>
                <pt idx="1266">
                  <v>-14246</v>
                </pt>
                <pt idx="1267">
                  <v>-13683</v>
                </pt>
                <pt idx="1268">
                  <v>-13644</v>
                </pt>
                <pt idx="1269">
                  <v>-17140</v>
                </pt>
                <pt idx="1270">
                  <v>-14621</v>
                </pt>
                <pt idx="1271">
                  <v>-11484</v>
                </pt>
                <pt idx="1272">
                  <v>-8936</v>
                </pt>
                <pt idx="1273">
                  <v>-11814</v>
                </pt>
                <pt idx="1274">
                  <v>-10016</v>
                </pt>
                <pt idx="1275">
                  <v>-8997</v>
                </pt>
                <pt idx="1276">
                  <v>-11979</v>
                </pt>
                <pt idx="1277">
                  <v>-16392</v>
                </pt>
                <pt idx="1278">
                  <v>-13825</v>
                </pt>
                <pt idx="1279">
                  <v>-10128</v>
                </pt>
                <pt idx="1280">
                  <v>-13802</v>
                </pt>
                <pt idx="1281">
                  <v>-17317</v>
                </pt>
                <pt idx="1282">
                  <v>-17708</v>
                </pt>
                <pt idx="1283">
                  <v>-15196</v>
                </pt>
                <pt idx="1284">
                  <v>-21162</v>
                </pt>
                <pt idx="1285">
                  <v>-19785</v>
                </pt>
                <pt idx="1286">
                  <v>-18512</v>
                </pt>
                <pt idx="1287">
                  <v>-16555</v>
                </pt>
                <pt idx="1288">
                  <v>-14460</v>
                </pt>
                <pt idx="1289">
                  <v>-2982</v>
                </pt>
                <pt idx="1290">
                  <v>-4669</v>
                </pt>
                <pt idx="1291">
                  <v>-113</v>
                </pt>
                <pt idx="1292">
                  <v>208</v>
                </pt>
                <pt idx="1293">
                  <v>-3667</v>
                </pt>
                <pt idx="1294">
                  <v>-1550</v>
                </pt>
                <pt idx="1295">
                  <v>1440</v>
                </pt>
                <pt idx="1296">
                  <v>-1402</v>
                </pt>
                <pt idx="1297">
                  <v>-1181</v>
                </pt>
                <pt idx="1298">
                  <v>-1987</v>
                </pt>
                <pt idx="1299">
                  <v>-1778</v>
                </pt>
                <pt idx="1300">
                  <v>-2171</v>
                </pt>
                <pt idx="1301">
                  <v>-1314</v>
                </pt>
                <pt idx="1302">
                  <v>-1569</v>
                </pt>
                <pt idx="1303">
                  <v>-1862</v>
                </pt>
                <pt idx="1304">
                  <v>-3293</v>
                </pt>
                <pt idx="1305">
                  <v>-4262</v>
                </pt>
                <pt idx="1306">
                  <v>-4931</v>
                </pt>
                <pt idx="1307">
                  <v>-11597</v>
                </pt>
                <pt idx="1308">
                  <v>-20671</v>
                </pt>
                <pt idx="1309">
                  <v>-25110</v>
                </pt>
                <pt idx="1310">
                  <v>-27983</v>
                </pt>
                <pt idx="1311">
                  <v>-29740</v>
                </pt>
                <pt idx="1312">
                  <v>-30184</v>
                </pt>
                <pt idx="1313">
                  <v>-29567</v>
                </pt>
                <pt idx="1314">
                  <v>-28765</v>
                </pt>
                <pt idx="1315">
                  <v>-17395</v>
                </pt>
                <pt idx="1316">
                  <v>-13902</v>
                </pt>
                <pt idx="1317">
                  <v>-16232</v>
                </pt>
                <pt idx="1318">
                  <v>-21922</v>
                </pt>
                <pt idx="1319">
                  <v>-21106</v>
                </pt>
                <pt idx="1320">
                  <v>-22115</v>
                </pt>
                <pt idx="1321">
                  <v>-20327</v>
                </pt>
                <pt idx="1322">
                  <v>-20241</v>
                </pt>
                <pt idx="1323">
                  <v>-19925</v>
                </pt>
                <pt idx="1324">
                  <v>-15788</v>
                </pt>
                <pt idx="1325">
                  <v>-15999</v>
                </pt>
                <pt idx="1326">
                  <v>-8477</v>
                </pt>
                <pt idx="1327">
                  <v>-6572</v>
                </pt>
                <pt idx="1328">
                  <v>-8246</v>
                </pt>
                <pt idx="1329">
                  <v>-9445</v>
                </pt>
                <pt idx="1330">
                  <v>-9911</v>
                </pt>
                <pt idx="1331">
                  <v>-10744</v>
                </pt>
                <pt idx="1332">
                  <v>-10521</v>
                </pt>
                <pt idx="1333">
                  <v>-10225</v>
                </pt>
                <pt idx="1334">
                  <v>-19456</v>
                </pt>
                <pt idx="1335">
                  <v>-32602</v>
                </pt>
                <pt idx="1336">
                  <v>-36393</v>
                </pt>
                <pt idx="1337">
                  <v>-37311</v>
                </pt>
                <pt idx="1338">
                  <v>-43431</v>
                </pt>
                <pt idx="1339">
                  <v>-39216</v>
                </pt>
                <pt idx="1340">
                  <v>-37245</v>
                </pt>
                <pt idx="1341">
                  <v>-31957</v>
                </pt>
                <pt idx="1342">
                  <v>-38031</v>
                </pt>
                <pt idx="1343">
                  <v>-40494</v>
                </pt>
                <pt idx="1344">
                  <v>-40121</v>
                </pt>
                <pt idx="1345">
                  <v>-42143</v>
                </pt>
                <pt idx="1346">
                  <v>-45808</v>
                </pt>
                <pt idx="1347">
                  <v>-44422</v>
                </pt>
                <pt idx="1348">
                  <v>-46108</v>
                </pt>
                <pt idx="1349">
                  <v>-45849</v>
                </pt>
                <pt idx="1350">
                  <v>-47218</v>
                </pt>
                <pt idx="1351">
                  <v>-44744</v>
                </pt>
                <pt idx="1352">
                  <v>-40394</v>
                </pt>
                <pt idx="1353">
                  <v>-35350</v>
                </pt>
                <pt idx="1354">
                  <v>-18438</v>
                </pt>
                <pt idx="1355">
                  <v>-16083</v>
                </pt>
                <pt idx="1356">
                  <v>-13402</v>
                </pt>
                <pt idx="1357">
                  <v>-12803</v>
                </pt>
                <pt idx="1358">
                  <v>-16524</v>
                </pt>
                <pt idx="1359">
                  <v>-17105</v>
                </pt>
                <pt idx="1360">
                  <v>-14522</v>
                </pt>
                <pt idx="1361">
                  <v>-19948</v>
                </pt>
                <pt idx="1362">
                  <v>-18602</v>
                </pt>
                <pt idx="1363">
                  <v>-19625</v>
                </pt>
                <pt idx="1364">
                  <v>-21068</v>
                </pt>
                <pt idx="1365">
                  <v>-19795</v>
                </pt>
                <pt idx="1366">
                  <v>-18267</v>
                </pt>
                <pt idx="1367">
                  <v>-22926</v>
                </pt>
                <pt idx="1368">
                  <v>-23329</v>
                </pt>
                <pt idx="1369">
                  <v>-25530</v>
                </pt>
                <pt idx="1370">
                  <v>-23186</v>
                </pt>
                <pt idx="1371">
                  <v>-15294</v>
                </pt>
                <pt idx="1372">
                  <v>-16402</v>
                </pt>
                <pt idx="1373">
                  <v>-18080</v>
                </pt>
                <pt idx="1374">
                  <v>-18114</v>
                </pt>
                <pt idx="1375">
                  <v>-20680</v>
                </pt>
                <pt idx="1376">
                  <v>-23350</v>
                </pt>
                <pt idx="1377">
                  <v>-25349</v>
                </pt>
                <pt idx="1378">
                  <v>-24104</v>
                </pt>
                <pt idx="1379">
                  <v>-23305</v>
                </pt>
                <pt idx="1380">
                  <v>-27189</v>
                </pt>
                <pt idx="1381">
                  <v>-27295</v>
                </pt>
                <pt idx="1382">
                  <v>-26266</v>
                </pt>
                <pt idx="1383">
                  <v>-28146</v>
                </pt>
                <pt idx="1384">
                  <v>-32584</v>
                </pt>
                <pt idx="1385">
                  <v>-37536</v>
                </pt>
                <pt idx="1386">
                  <v>-39746</v>
                </pt>
                <pt idx="1387">
                  <v>-39579</v>
                </pt>
                <pt idx="1388">
                  <v>-40010</v>
                </pt>
                <pt idx="1389">
                  <v>-37495</v>
                </pt>
                <pt idx="1390">
                  <v>-34675</v>
                </pt>
                <pt idx="1391">
                  <v>-36065</v>
                </pt>
                <pt idx="1392">
                  <v>-24788</v>
                </pt>
                <pt idx="1393">
                  <v>-15484</v>
                </pt>
                <pt idx="1394">
                  <v>-16481</v>
                </pt>
                <pt idx="1395">
                  <v>-10742</v>
                </pt>
                <pt idx="1396">
                  <v>-10428</v>
                </pt>
                <pt idx="1397">
                  <v>-11732</v>
                </pt>
                <pt idx="1398">
                  <v>-13193</v>
                </pt>
                <pt idx="1399">
                  <v>-14488</v>
                </pt>
                <pt idx="1400">
                  <v>-16431</v>
                </pt>
                <pt idx="1401">
                  <v>-12952</v>
                </pt>
                <pt idx="1402">
                  <v>-11117</v>
                </pt>
                <pt idx="1403">
                  <v>-3800</v>
                </pt>
                <pt idx="1404">
                  <v>-5839</v>
                </pt>
                <pt idx="1405">
                  <v>-2892</v>
                </pt>
                <pt idx="1406">
                  <v>-4556</v>
                </pt>
                <pt idx="1407">
                  <v>-10552</v>
                </pt>
                <pt idx="1408">
                  <v>-11535</v>
                </pt>
                <pt idx="1409">
                  <v>-11047</v>
                </pt>
                <pt idx="1410">
                  <v>-12766</v>
                </pt>
                <pt idx="1411">
                  <v>-11335</v>
                </pt>
                <pt idx="1412">
                  <v>-12484</v>
                </pt>
                <pt idx="1413">
                  <v>-14153</v>
                </pt>
                <pt idx="1414">
                  <v>-15120</v>
                </pt>
                <pt idx="1415">
                  <v>-16192</v>
                </pt>
                <pt idx="1416">
                  <v>-20975</v>
                </pt>
                <pt idx="1417">
                  <v>-22287</v>
                </pt>
                <pt idx="1418">
                  <v>-20865</v>
                </pt>
                <pt idx="1419">
                  <v>-11074</v>
                </pt>
                <pt idx="1420">
                  <v>-9679</v>
                </pt>
                <pt idx="1421">
                  <v>-5725</v>
                </pt>
                <pt idx="1422">
                  <v>-4469</v>
                </pt>
                <pt idx="1423">
                  <v>-192</v>
                </pt>
                <pt idx="1424">
                  <v>1536</v>
                </pt>
                <pt idx="1425">
                  <v>3497</v>
                </pt>
                <pt idx="1426">
                  <v>4919</v>
                </pt>
                <pt idx="1427">
                  <v>3767</v>
                </pt>
                <pt idx="1428">
                  <v>1541</v>
                </pt>
                <pt idx="1429">
                  <v>616</v>
                </pt>
                <pt idx="1430">
                  <v>-3242</v>
                </pt>
                <pt idx="1431">
                  <v>595</v>
                </pt>
                <pt idx="1432">
                  <v>7374</v>
                </pt>
                <pt idx="1433">
                  <v>4891</v>
                </pt>
                <pt idx="1434">
                  <v>4947</v>
                </pt>
                <pt idx="1435">
                  <v>5604</v>
                </pt>
                <pt idx="1436">
                  <v>4657</v>
                </pt>
                <pt idx="1437">
                  <v>4924</v>
                </pt>
                <pt idx="1438">
                  <v>5576</v>
                </pt>
                <pt idx="1439">
                  <v>7791</v>
                </pt>
                <pt idx="1440">
                  <v>6648</v>
                </pt>
                <pt idx="1441">
                  <v>8728</v>
                </pt>
                <pt idx="1442">
                  <v>8739</v>
                </pt>
                <pt idx="1443">
                  <v>8989</v>
                </pt>
                <pt idx="1444">
                  <v>1766</v>
                </pt>
                <pt idx="1445">
                  <v>1606</v>
                </pt>
                <pt idx="1446">
                  <v>1448</v>
                </pt>
                <pt idx="1447">
                  <v>4338</v>
                </pt>
                <pt idx="1448">
                  <v>3778</v>
                </pt>
                <pt idx="1449">
                  <v>7057</v>
                </pt>
                <pt idx="1450">
                  <v>7379</v>
                </pt>
                <pt idx="1451">
                  <v>8442</v>
                </pt>
                <pt idx="1452">
                  <v>11660</v>
                </pt>
                <pt idx="1453">
                  <v>17165</v>
                </pt>
                <pt idx="1454">
                  <v>14507</v>
                </pt>
                <pt idx="1455">
                  <v>11866</v>
                </pt>
                <pt idx="1456">
                  <v>11597</v>
                </pt>
                <pt idx="1457">
                  <v>11527</v>
                </pt>
                <pt idx="1458">
                  <v>12066</v>
                </pt>
                <pt idx="1459">
                  <v>15916</v>
                </pt>
                <pt idx="1460">
                  <v>12741</v>
                </pt>
                <pt idx="1461">
                  <v>13096</v>
                </pt>
                <pt idx="1462">
                  <v>12172</v>
                </pt>
                <pt idx="1463">
                  <v>14399</v>
                </pt>
                <pt idx="1464">
                  <v>15503</v>
                </pt>
                <pt idx="1465">
                  <v>14895</v>
                </pt>
                <pt idx="1466">
                  <v>15864</v>
                </pt>
                <pt idx="1467">
                  <v>14924</v>
                </pt>
                <pt idx="1468">
                  <v>14986</v>
                </pt>
                <pt idx="1469">
                  <v>14651</v>
                </pt>
                <pt idx="1470">
                  <v>10423</v>
                </pt>
                <pt idx="1471">
                  <v>9291</v>
                </pt>
                <pt idx="1472">
                  <v>11244</v>
                </pt>
                <pt idx="1473">
                  <v>11787</v>
                </pt>
                <pt idx="1474">
                  <v>9372</v>
                </pt>
                <pt idx="1475">
                  <v>11975</v>
                </pt>
                <pt idx="1476">
                  <v>9420</v>
                </pt>
                <pt idx="1477">
                  <v>10092</v>
                </pt>
                <pt idx="1478">
                  <v>14641</v>
                </pt>
                <pt idx="1479">
                  <v>11408</v>
                </pt>
                <pt idx="1480">
                  <v>8371</v>
                </pt>
                <pt idx="1481">
                  <v>11523</v>
                </pt>
                <pt idx="1482">
                  <v>12261</v>
                </pt>
                <pt idx="1483">
                  <v>14393</v>
                </pt>
                <pt idx="1484">
                  <v>4671</v>
                </pt>
                <pt idx="1485">
                  <v>2872</v>
                </pt>
                <pt idx="1486">
                  <v>4269</v>
                </pt>
                <pt idx="1487">
                  <v>3245</v>
                </pt>
                <pt idx="1488">
                  <v>824</v>
                </pt>
                <pt idx="1489">
                  <v>-1642</v>
                </pt>
                <pt idx="1490">
                  <v>-686</v>
                </pt>
                <pt idx="1491">
                  <v>56</v>
                </pt>
                <pt idx="1492">
                  <v>-2851</v>
                </pt>
                <pt idx="1493">
                  <v>-4265</v>
                </pt>
                <pt idx="1494">
                  <v>-1203</v>
                </pt>
                <pt idx="1495">
                  <v>324</v>
                </pt>
                <pt idx="1496">
                  <v>1076</v>
                </pt>
                <pt idx="1497">
                  <v>9387</v>
                </pt>
                <pt idx="1498">
                  <v>13552</v>
                </pt>
                <pt idx="1499">
                  <v>11065</v>
                </pt>
                <pt idx="1500">
                  <v>10162</v>
                </pt>
                <pt idx="1501">
                  <v>7137</v>
                </pt>
                <pt idx="1502">
                  <v>8042</v>
                </pt>
                <pt idx="1503">
                  <v>8489</v>
                </pt>
                <pt idx="1504">
                  <v>7543</v>
                </pt>
                <pt idx="1505">
                  <v>9678</v>
                </pt>
                <pt idx="1506">
                  <v>5547</v>
                </pt>
                <pt idx="1507">
                  <v>4094</v>
                </pt>
                <pt idx="1508">
                  <v>3975</v>
                </pt>
                <pt idx="1509">
                  <v>220</v>
                </pt>
                <pt idx="1510">
                  <v>-5878</v>
                </pt>
                <pt idx="1511">
                  <v>-9217</v>
                </pt>
                <pt idx="1512">
                  <v>-11587</v>
                </pt>
                <pt idx="1513">
                  <v>-15679</v>
                </pt>
                <pt idx="1514">
                  <v>-12972</v>
                </pt>
                <pt idx="1515">
                  <v>-17584</v>
                </pt>
                <pt idx="1516">
                  <v>-19379</v>
                </pt>
                <pt idx="1517">
                  <v>-20648</v>
                </pt>
                <pt idx="1518">
                  <v>-17043</v>
                </pt>
                <pt idx="1519">
                  <v>-8889</v>
                </pt>
                <pt idx="1520">
                  <v>-11376</v>
                </pt>
                <pt idx="1521">
                  <v>-14182</v>
                </pt>
                <pt idx="1522">
                  <v>-12053</v>
                </pt>
                <pt idx="1523">
                  <v>-8336</v>
                </pt>
                <pt idx="1524">
                  <v>-9227</v>
                </pt>
                <pt idx="1525">
                  <v>-10718</v>
                </pt>
                <pt idx="1526">
                  <v>-9529</v>
                </pt>
                <pt idx="1527">
                  <v>-7660</v>
                </pt>
                <pt idx="1528">
                  <v>-10810</v>
                </pt>
                <pt idx="1529">
                  <v>-8796</v>
                </pt>
                <pt idx="1530">
                  <v>-8239</v>
                </pt>
                <pt idx="1531">
                  <v>-9399</v>
                </pt>
                <pt idx="1532">
                  <v>-9715</v>
                </pt>
                <pt idx="1533">
                  <v>-10987</v>
                </pt>
                <pt idx="1534">
                  <v>-15248</v>
                </pt>
                <pt idx="1535">
                  <v>-9710</v>
                </pt>
                <pt idx="1536">
                  <v>-5229</v>
                </pt>
                <pt idx="1537">
                  <v>-8424</v>
                </pt>
                <pt idx="1538">
                  <v>-11579</v>
                </pt>
                <pt idx="1539">
                  <v>-12393</v>
                </pt>
                <pt idx="1540">
                  <v>-13942</v>
                </pt>
                <pt idx="1541">
                  <v>-11450</v>
                </pt>
                <pt idx="1542">
                  <v>-12869</v>
                </pt>
                <pt idx="1543">
                  <v>-13907</v>
                </pt>
                <pt idx="1544">
                  <v>-15763</v>
                </pt>
                <pt idx="1545">
                  <v>-16592</v>
                </pt>
                <pt idx="1546">
                  <v>-19673</v>
                </pt>
                <pt idx="1547">
                  <v>-20458</v>
                </pt>
                <pt idx="1548">
                  <v>-16132</v>
                </pt>
                <pt idx="1549">
                  <v>-6808</v>
                </pt>
                <pt idx="1550">
                  <v>-7157</v>
                </pt>
                <pt idx="1551">
                  <v>-8591</v>
                </pt>
                <pt idx="1552">
                  <v>-10135</v>
                </pt>
                <pt idx="1553">
                  <v>-8724</v>
                </pt>
                <pt idx="1554">
                  <v>-10912</v>
                </pt>
                <pt idx="1555">
                  <v>-11299</v>
                </pt>
                <pt idx="1556">
                  <v>-13308</v>
                </pt>
                <pt idx="1557">
                  <v>-9782</v>
                </pt>
                <pt idx="1558">
                  <v>-5096</v>
                </pt>
                <pt idx="1559">
                  <v>-2405</v>
                </pt>
                <pt idx="1560">
                  <v>-2262</v>
                </pt>
                <pt idx="1561">
                  <v>-4037</v>
                </pt>
                <pt idx="1562">
                  <v>-7305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5"/>
          <order val="0"/>
          <tx>
            <strRef>
              <f>Database!$F$1</f>
              <strCache>
                <ptCount val="1"/>
                <pt idx="0">
                  <v>EUR</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Database!$F$2:$F$1564</f>
              <numCache>
                <formatCode>General</formatCode>
                <ptCount val="1563"/>
                <pt idx="326">
                  <v>-240</v>
                </pt>
                <pt idx="327">
                  <v>440</v>
                </pt>
                <pt idx="328">
                  <v>973</v>
                </pt>
                <pt idx="329">
                  <v>986</v>
                </pt>
                <pt idx="330">
                  <v>-10354</v>
                </pt>
                <pt idx="331">
                  <v>-13123</v>
                </pt>
                <pt idx="332">
                  <v>-15031</v>
                </pt>
                <pt idx="333">
                  <v>-17145</v>
                </pt>
                <pt idx="334">
                  <v>-13574</v>
                </pt>
                <pt idx="335">
                  <v>-8944</v>
                </pt>
                <pt idx="336">
                  <v>-12004</v>
                </pt>
                <pt idx="337">
                  <v>-9129</v>
                </pt>
                <pt idx="338">
                  <v>-17277</v>
                </pt>
                <pt idx="339">
                  <v>-11042</v>
                </pt>
                <pt idx="340">
                  <v>-14160</v>
                </pt>
                <pt idx="341">
                  <v>-24502</v>
                </pt>
                <pt idx="342">
                  <v>-18858</v>
                </pt>
                <pt idx="343">
                  <v>-19180</v>
                </pt>
                <pt idx="344">
                  <v>-10700</v>
                </pt>
                <pt idx="345">
                  <v>-10563</v>
                </pt>
                <pt idx="346">
                  <v>-9512</v>
                </pt>
                <pt idx="347">
                  <v>-8008</v>
                </pt>
                <pt idx="348">
                  <v>-8974</v>
                </pt>
                <pt idx="349">
                  <v>-8523</v>
                </pt>
                <pt idx="350">
                  <v>-5322</v>
                </pt>
                <pt idx="351">
                  <v>-3868</v>
                </pt>
                <pt idx="352">
                  <v>-5711</v>
                </pt>
                <pt idx="353">
                  <v>-5312</v>
                </pt>
                <pt idx="354">
                  <v>-6007</v>
                </pt>
                <pt idx="355">
                  <v>1803</v>
                </pt>
                <pt idx="356">
                  <v>7453</v>
                </pt>
                <pt idx="357">
                  <v>11901</v>
                </pt>
                <pt idx="358">
                  <v>1243</v>
                </pt>
                <pt idx="359">
                  <v>605</v>
                </pt>
                <pt idx="360">
                  <v>3462</v>
                </pt>
                <pt idx="361">
                  <v>1844</v>
                </pt>
                <pt idx="362">
                  <v>-2563</v>
                </pt>
                <pt idx="363">
                  <v>-1560</v>
                </pt>
                <pt idx="364">
                  <v>2233</v>
                </pt>
                <pt idx="365">
                  <v>12979</v>
                </pt>
                <pt idx="366">
                  <v>13099</v>
                </pt>
                <pt idx="367">
                  <v>23385</v>
                </pt>
                <pt idx="368">
                  <v>10239</v>
                </pt>
                <pt idx="369">
                  <v>-4593</v>
                </pt>
                <pt idx="370">
                  <v>-4890</v>
                </pt>
                <pt idx="371">
                  <v>-9009</v>
                </pt>
                <pt idx="372">
                  <v>-14345</v>
                </pt>
                <pt idx="373">
                  <v>-25051</v>
                </pt>
                <pt idx="374">
                  <v>-20738</v>
                </pt>
                <pt idx="375">
                  <v>-16856</v>
                </pt>
                <pt idx="376">
                  <v>-6949</v>
                </pt>
                <pt idx="377">
                  <v>-12841</v>
                </pt>
                <pt idx="378">
                  <v>-5189</v>
                </pt>
                <pt idx="379">
                  <v>8714</v>
                </pt>
                <pt idx="380">
                  <v>-8018</v>
                </pt>
                <pt idx="381">
                  <v>-13303</v>
                </pt>
                <pt idx="382">
                  <v>-23010</v>
                </pt>
                <pt idx="383">
                  <v>-16692</v>
                </pt>
                <pt idx="384">
                  <v>-5414</v>
                </pt>
                <pt idx="385">
                  <v>2644</v>
                </pt>
                <pt idx="386">
                  <v>-7591</v>
                </pt>
                <pt idx="387">
                  <v>-17953</v>
                </pt>
                <pt idx="388">
                  <v>-13639</v>
                </pt>
                <pt idx="389">
                  <v>-12025</v>
                </pt>
                <pt idx="390">
                  <v>-11640</v>
                </pt>
                <pt idx="391">
                  <v>-8524</v>
                </pt>
                <pt idx="392">
                  <v>-4856</v>
                </pt>
                <pt idx="393">
                  <v>-1664</v>
                </pt>
                <pt idx="394">
                  <v>980</v>
                </pt>
                <pt idx="395">
                  <v>1649</v>
                </pt>
                <pt idx="396">
                  <v>-2179</v>
                </pt>
                <pt idx="397">
                  <v>536</v>
                </pt>
                <pt idx="398">
                  <v>519</v>
                </pt>
                <pt idx="399">
                  <v>6509</v>
                </pt>
                <pt idx="400">
                  <v>9951</v>
                </pt>
                <pt idx="401">
                  <v>10332</v>
                </pt>
                <pt idx="402">
                  <v>9625</v>
                </pt>
                <pt idx="403">
                  <v>9061</v>
                </pt>
                <pt idx="404">
                  <v>7450</v>
                </pt>
                <pt idx="405">
                  <v>10130</v>
                </pt>
                <pt idx="406">
                  <v>8045</v>
                </pt>
                <pt idx="407">
                  <v>12397</v>
                </pt>
                <pt idx="408">
                  <v>10272</v>
                </pt>
                <pt idx="409">
                  <v>8362</v>
                </pt>
                <pt idx="410">
                  <v>7634</v>
                </pt>
                <pt idx="411">
                  <v>3360</v>
                </pt>
                <pt idx="412">
                  <v>1206</v>
                </pt>
                <pt idx="413">
                  <v>382</v>
                </pt>
                <pt idx="414">
                  <v>1174</v>
                </pt>
                <pt idx="415">
                  <v>-4237</v>
                </pt>
                <pt idx="416">
                  <v>149</v>
                </pt>
                <pt idx="417">
                  <v>3393</v>
                </pt>
                <pt idx="418">
                  <v>5403</v>
                </pt>
                <pt idx="419">
                  <v>1720</v>
                </pt>
                <pt idx="420">
                  <v>1833</v>
                </pt>
                <pt idx="421">
                  <v>2173</v>
                </pt>
                <pt idx="422">
                  <v>3778</v>
                </pt>
                <pt idx="423">
                  <v>2735</v>
                </pt>
                <pt idx="424">
                  <v>5908</v>
                </pt>
                <pt idx="425">
                  <v>6941</v>
                </pt>
                <pt idx="426">
                  <v>16028</v>
                </pt>
                <pt idx="427">
                  <v>19532</v>
                </pt>
                <pt idx="428">
                  <v>21814</v>
                </pt>
                <pt idx="429">
                  <v>26380</v>
                </pt>
                <pt idx="430">
                  <v>27074</v>
                </pt>
                <pt idx="431">
                  <v>23832</v>
                </pt>
                <pt idx="432">
                  <v>20735</v>
                </pt>
                <pt idx="433">
                  <v>17242</v>
                </pt>
                <pt idx="434">
                  <v>16160</v>
                </pt>
                <pt idx="435">
                  <v>14335</v>
                </pt>
                <pt idx="436">
                  <v>14702</v>
                </pt>
                <pt idx="437">
                  <v>10002</v>
                </pt>
                <pt idx="438">
                  <v>9513</v>
                </pt>
                <pt idx="439">
                  <v>17064</v>
                </pt>
                <pt idx="440">
                  <v>7827</v>
                </pt>
                <pt idx="441">
                  <v>2613</v>
                </pt>
                <pt idx="442">
                  <v>3884</v>
                </pt>
                <pt idx="443">
                  <v>6775</v>
                </pt>
                <pt idx="444">
                  <v>5745</v>
                </pt>
                <pt idx="445">
                  <v>4993</v>
                </pt>
                <pt idx="446">
                  <v>7303</v>
                </pt>
                <pt idx="447">
                  <v>6044</v>
                </pt>
                <pt idx="448">
                  <v>4354</v>
                </pt>
                <pt idx="449">
                  <v>3408</v>
                </pt>
                <pt idx="450">
                  <v>-5453</v>
                </pt>
                <pt idx="451">
                  <v>-2931</v>
                </pt>
                <pt idx="452">
                  <v>-4813</v>
                </pt>
                <pt idx="453">
                  <v>-4588</v>
                </pt>
                <pt idx="454">
                  <v>3633</v>
                </pt>
                <pt idx="455">
                  <v>3175</v>
                </pt>
                <pt idx="456">
                  <v>3246</v>
                </pt>
                <pt idx="457">
                  <v>6651</v>
                </pt>
                <pt idx="458">
                  <v>9043</v>
                </pt>
                <pt idx="459">
                  <v>14291</v>
                </pt>
                <pt idx="460">
                  <v>16083</v>
                </pt>
                <pt idx="461">
                  <v>16640</v>
                </pt>
                <pt idx="462">
                  <v>24353</v>
                </pt>
                <pt idx="463">
                  <v>28970</v>
                </pt>
                <pt idx="464">
                  <v>29505</v>
                </pt>
                <pt idx="465">
                  <v>21821</v>
                </pt>
                <pt idx="466">
                  <v>17849</v>
                </pt>
                <pt idx="467">
                  <v>24437</v>
                </pt>
                <pt idx="468">
                  <v>27848</v>
                </pt>
                <pt idx="469">
                  <v>24952</v>
                </pt>
                <pt idx="470">
                  <v>22441</v>
                </pt>
                <pt idx="471">
                  <v>17616</v>
                </pt>
                <pt idx="472">
                  <v>9390</v>
                </pt>
                <pt idx="473">
                  <v>16686</v>
                </pt>
                <pt idx="474">
                  <v>15352</v>
                </pt>
                <pt idx="475">
                  <v>484</v>
                </pt>
                <pt idx="476">
                  <v>-286</v>
                </pt>
                <pt idx="477">
                  <v>915</v>
                </pt>
                <pt idx="478">
                  <v>13846</v>
                </pt>
                <pt idx="479">
                  <v>11906</v>
                </pt>
                <pt idx="480">
                  <v>11871</v>
                </pt>
                <pt idx="481">
                  <v>11422</v>
                </pt>
                <pt idx="482">
                  <v>11182</v>
                </pt>
                <pt idx="483">
                  <v>14773</v>
                </pt>
                <pt idx="484">
                  <v>12096</v>
                </pt>
                <pt idx="485">
                  <v>17289</v>
                </pt>
                <pt idx="486">
                  <v>855</v>
                </pt>
                <pt idx="487">
                  <v>2323</v>
                </pt>
                <pt idx="488">
                  <v>3254</v>
                </pt>
                <pt idx="489">
                  <v>8647</v>
                </pt>
                <pt idx="490">
                  <v>3133</v>
                </pt>
                <pt idx="491">
                  <v>6288</v>
                </pt>
                <pt idx="492">
                  <v>15461</v>
                </pt>
                <pt idx="493">
                  <v>21256</v>
                </pt>
                <pt idx="494">
                  <v>23293</v>
                </pt>
                <pt idx="495">
                  <v>26158</v>
                </pt>
                <pt idx="496">
                  <v>19441</v>
                </pt>
                <pt idx="497">
                  <v>27627</v>
                </pt>
                <pt idx="498">
                  <v>29623</v>
                </pt>
                <pt idx="499">
                  <v>31472</v>
                </pt>
                <pt idx="500">
                  <v>35433</v>
                </pt>
                <pt idx="501">
                  <v>34600</v>
                </pt>
                <pt idx="502">
                  <v>31173</v>
                </pt>
                <pt idx="503">
                  <v>31725</v>
                </pt>
                <pt idx="504">
                  <v>31616</v>
                </pt>
                <pt idx="505">
                  <v>28367</v>
                </pt>
                <pt idx="506">
                  <v>29457</v>
                </pt>
                <pt idx="507">
                  <v>22524</v>
                </pt>
                <pt idx="508">
                  <v>24395</v>
                </pt>
                <pt idx="509">
                  <v>24082</v>
                </pt>
                <pt idx="510">
                  <v>26654</v>
                </pt>
                <pt idx="511">
                  <v>25678</v>
                </pt>
                <pt idx="512">
                  <v>25483</v>
                </pt>
                <pt idx="513">
                  <v>20022</v>
                </pt>
                <pt idx="514">
                  <v>19782</v>
                </pt>
                <pt idx="515">
                  <v>17863</v>
                </pt>
                <pt idx="516">
                  <v>22088</v>
                </pt>
                <pt idx="517">
                  <v>25238</v>
                </pt>
                <pt idx="518">
                  <v>20351</v>
                </pt>
                <pt idx="519">
                  <v>12610</v>
                </pt>
                <pt idx="520">
                  <v>14602</v>
                </pt>
                <pt idx="521">
                  <v>16937</v>
                </pt>
                <pt idx="522">
                  <v>12652</v>
                </pt>
                <pt idx="523">
                  <v>21032</v>
                </pt>
                <pt idx="524">
                  <v>14068</v>
                </pt>
                <pt idx="525">
                  <v>19325</v>
                </pt>
                <pt idx="526">
                  <v>31037</v>
                </pt>
                <pt idx="527">
                  <v>33277</v>
                </pt>
                <pt idx="528">
                  <v>30205</v>
                </pt>
                <pt idx="529">
                  <v>28776</v>
                </pt>
                <pt idx="530">
                  <v>22876</v>
                </pt>
                <pt idx="531">
                  <v>28064</v>
                </pt>
                <pt idx="532">
                  <v>30601</v>
                </pt>
                <pt idx="533">
                  <v>28127</v>
                </pt>
                <pt idx="534">
                  <v>29010</v>
                </pt>
                <pt idx="535">
                  <v>28157</v>
                </pt>
                <pt idx="536">
                  <v>28773</v>
                </pt>
                <pt idx="537">
                  <v>28442</v>
                </pt>
                <pt idx="538">
                  <v>26336</v>
                </pt>
                <pt idx="539">
                  <v>30666</v>
                </pt>
                <pt idx="540">
                  <v>22298</v>
                </pt>
                <pt idx="541">
                  <v>25485</v>
                </pt>
                <pt idx="542">
                  <v>20063</v>
                </pt>
                <pt idx="543">
                  <v>29975</v>
                </pt>
                <pt idx="544">
                  <v>30266</v>
                </pt>
                <pt idx="545">
                  <v>13339</v>
                </pt>
                <pt idx="546">
                  <v>7594</v>
                </pt>
                <pt idx="547">
                  <v>10564</v>
                </pt>
                <pt idx="548">
                  <v>13145</v>
                </pt>
                <pt idx="549">
                  <v>14205</v>
                </pt>
                <pt idx="550">
                  <v>24387</v>
                </pt>
                <pt idx="551">
                  <v>28005</v>
                </pt>
                <pt idx="552">
                  <v>31970</v>
                </pt>
                <pt idx="553">
                  <v>24903</v>
                </pt>
                <pt idx="554">
                  <v>26898</v>
                </pt>
                <pt idx="555">
                  <v>24113</v>
                </pt>
                <pt idx="556">
                  <v>30033</v>
                </pt>
                <pt idx="557">
                  <v>26262</v>
                </pt>
                <pt idx="558">
                  <v>28123</v>
                </pt>
                <pt idx="559">
                  <v>23470</v>
                </pt>
                <pt idx="560">
                  <v>23630</v>
                </pt>
                <pt idx="561">
                  <v>19161</v>
                </pt>
                <pt idx="562">
                  <v>16195</v>
                </pt>
                <pt idx="563">
                  <v>13153</v>
                </pt>
                <pt idx="564">
                  <v>12420</v>
                </pt>
                <pt idx="565">
                  <v>13889</v>
                </pt>
                <pt idx="566">
                  <v>14702</v>
                </pt>
                <pt idx="567">
                  <v>9121</v>
                </pt>
                <pt idx="568">
                  <v>2673</v>
                </pt>
                <pt idx="569">
                  <v>2129</v>
                </pt>
                <pt idx="570">
                  <v>2505</v>
                </pt>
                <pt idx="571">
                  <v>4724</v>
                </pt>
                <pt idx="572">
                  <v>8777</v>
                </pt>
                <pt idx="573">
                  <v>13649</v>
                </pt>
                <pt idx="574">
                  <v>20025</v>
                </pt>
                <pt idx="575">
                  <v>24994</v>
                </pt>
                <pt idx="576">
                  <v>24113</v>
                </pt>
                <pt idx="577">
                  <v>24205</v>
                </pt>
                <pt idx="578">
                  <v>19573</v>
                </pt>
                <pt idx="579">
                  <v>17919</v>
                </pt>
                <pt idx="580">
                  <v>34546</v>
                </pt>
                <pt idx="581">
                  <v>30497</v>
                </pt>
                <pt idx="582">
                  <v>30680</v>
                </pt>
                <pt idx="583">
                  <v>27998</v>
                </pt>
                <pt idx="584">
                  <v>34783</v>
                </pt>
                <pt idx="585">
                  <v>33708</v>
                </pt>
                <pt idx="586">
                  <v>33556</v>
                </pt>
                <pt idx="587">
                  <v>29910</v>
                </pt>
                <pt idx="588">
                  <v>26937</v>
                </pt>
                <pt idx="589">
                  <v>28243</v>
                </pt>
                <pt idx="590">
                  <v>33298</v>
                </pt>
                <pt idx="591">
                  <v>20446</v>
                </pt>
                <pt idx="592">
                  <v>26242</v>
                </pt>
                <pt idx="593">
                  <v>28409</v>
                </pt>
                <pt idx="594">
                  <v>26367</v>
                </pt>
                <pt idx="595">
                  <v>17028</v>
                </pt>
                <pt idx="596">
                  <v>14065</v>
                </pt>
                <pt idx="597">
                  <v>8454</v>
                </pt>
                <pt idx="598">
                  <v>10293</v>
                </pt>
                <pt idx="599">
                  <v>6174</v>
                </pt>
                <pt idx="600">
                  <v>6017</v>
                </pt>
                <pt idx="601">
                  <v>5743</v>
                </pt>
                <pt idx="602">
                  <v>9799</v>
                </pt>
                <pt idx="603">
                  <v>5570</v>
                </pt>
                <pt idx="604">
                  <v>6999</v>
                </pt>
                <pt idx="605">
                  <v>12478</v>
                </pt>
                <pt idx="606">
                  <v>13422</v>
                </pt>
                <pt idx="607">
                  <v>18714</v>
                </pt>
                <pt idx="608">
                  <v>22194</v>
                </pt>
                <pt idx="609">
                  <v>23474</v>
                </pt>
                <pt idx="610">
                  <v>16588</v>
                </pt>
                <pt idx="611">
                  <v>12079</v>
                </pt>
                <pt idx="612">
                  <v>13755</v>
                </pt>
                <pt idx="613">
                  <v>19037</v>
                </pt>
                <pt idx="614">
                  <v>31012</v>
                </pt>
                <pt idx="615">
                  <v>36101</v>
                </pt>
                <pt idx="616">
                  <v>16927</v>
                </pt>
                <pt idx="617">
                  <v>12242</v>
                </pt>
                <pt idx="618">
                  <v>16857</v>
                </pt>
                <pt idx="619">
                  <v>25699</v>
                </pt>
                <pt idx="620">
                  <v>24616</v>
                </pt>
                <pt idx="621">
                  <v>20827</v>
                </pt>
                <pt idx="622">
                  <v>18032</v>
                </pt>
                <pt idx="623">
                  <v>25858</v>
                </pt>
                <pt idx="624">
                  <v>25447</v>
                </pt>
                <pt idx="625">
                  <v>32334</v>
                </pt>
                <pt idx="626">
                  <v>44811</v>
                </pt>
                <pt idx="627">
                  <v>38095</v>
                </pt>
                <pt idx="628">
                  <v>36512</v>
                </pt>
                <pt idx="629">
                  <v>45531</v>
                </pt>
                <pt idx="630">
                  <v>53465</v>
                </pt>
                <pt idx="631">
                  <v>57529</v>
                </pt>
                <pt idx="632">
                  <v>54028</v>
                </pt>
                <pt idx="633">
                  <v>32261</v>
                </pt>
                <pt idx="634">
                  <v>24485</v>
                </pt>
                <pt idx="635">
                  <v>24114</v>
                </pt>
                <pt idx="636">
                  <v>-14542</v>
                </pt>
                <pt idx="637">
                  <v>-12164</v>
                </pt>
                <pt idx="638">
                  <v>16814</v>
                </pt>
                <pt idx="639">
                  <v>11071</v>
                </pt>
                <pt idx="640">
                  <v>16181</v>
                </pt>
                <pt idx="641">
                  <v>9913</v>
                </pt>
                <pt idx="642">
                  <v>768</v>
                </pt>
                <pt idx="643">
                  <v>1925</v>
                </pt>
                <pt idx="644">
                  <v>-631</v>
                </pt>
                <pt idx="645">
                  <v>-245</v>
                </pt>
                <pt idx="646">
                  <v>4024</v>
                </pt>
                <pt idx="647">
                  <v>33418</v>
                </pt>
                <pt idx="648">
                  <v>22590</v>
                </pt>
                <pt idx="649">
                  <v>29912</v>
                </pt>
                <pt idx="650">
                  <v>27199</v>
                </pt>
                <pt idx="651">
                  <v>17753</v>
                </pt>
                <pt idx="652">
                  <v>6898</v>
                </pt>
                <pt idx="653">
                  <v>5760</v>
                </pt>
                <pt idx="654">
                  <v>5021</v>
                </pt>
                <pt idx="655">
                  <v>4219</v>
                </pt>
                <pt idx="656">
                  <v>4875</v>
                </pt>
                <pt idx="657">
                  <v>-1544</v>
                </pt>
                <pt idx="658">
                  <v>-13488</v>
                </pt>
                <pt idx="659">
                  <v>-15321</v>
                </pt>
                <pt idx="660">
                  <v>-18310</v>
                </pt>
                <pt idx="661">
                  <v>-17771</v>
                </pt>
                <pt idx="662">
                  <v>-19665</v>
                </pt>
                <pt idx="663">
                  <v>-21282</v>
                </pt>
                <pt idx="664">
                  <v>-14241</v>
                </pt>
                <pt idx="665">
                  <v>-24872</v>
                </pt>
                <pt idx="666">
                  <v>-7848</v>
                </pt>
                <pt idx="667">
                  <v>-11870</v>
                </pt>
                <pt idx="668">
                  <v>-8296</v>
                </pt>
                <pt idx="669">
                  <v>-191</v>
                </pt>
                <pt idx="670">
                  <v>4231</v>
                </pt>
                <pt idx="671">
                  <v>584</v>
                </pt>
                <pt idx="672">
                  <v>-5766</v>
                </pt>
                <pt idx="673">
                  <v>-3619</v>
                </pt>
                <pt idx="674">
                  <v>23518</v>
                </pt>
                <pt idx="675">
                  <v>7585</v>
                </pt>
                <pt idx="676">
                  <v>-1428</v>
                </pt>
                <pt idx="677">
                  <v>-1603</v>
                </pt>
                <pt idx="678">
                  <v>-1898</v>
                </pt>
                <pt idx="679">
                  <v>4792</v>
                </pt>
                <pt idx="680">
                  <v>855</v>
                </pt>
                <pt idx="681">
                  <v>-2558</v>
                </pt>
                <pt idx="682">
                  <v>6998</v>
                </pt>
                <pt idx="683">
                  <v>-6627</v>
                </pt>
                <pt idx="684">
                  <v>-13222</v>
                </pt>
                <pt idx="685">
                  <v>-11127</v>
                </pt>
                <pt idx="686">
                  <v>-18132</v>
                </pt>
                <pt idx="687">
                  <v>-22572</v>
                </pt>
                <pt idx="688">
                  <v>-1063</v>
                </pt>
                <pt idx="689">
                  <v>4504</v>
                </pt>
                <pt idx="690">
                  <v>4578</v>
                </pt>
                <pt idx="691">
                  <v>11231</v>
                </pt>
                <pt idx="692">
                  <v>21961</v>
                </pt>
                <pt idx="693">
                  <v>21211</v>
                </pt>
                <pt idx="694">
                  <v>37464</v>
                </pt>
                <pt idx="695">
                  <v>36382</v>
                </pt>
                <pt idx="696">
                  <v>18965</v>
                </pt>
                <pt idx="697">
                  <v>11956</v>
                </pt>
                <pt idx="698">
                  <v>10085</v>
                </pt>
                <pt idx="699">
                  <v>18402</v>
                </pt>
                <pt idx="700">
                  <v>13878</v>
                </pt>
                <pt idx="701">
                  <v>27984</v>
                </pt>
                <pt idx="702">
                  <v>41452</v>
                </pt>
                <pt idx="703">
                  <v>40811</v>
                </pt>
                <pt idx="704">
                  <v>52392</v>
                </pt>
                <pt idx="705">
                  <v>41630</v>
                </pt>
                <pt idx="706">
                  <v>55342</v>
                </pt>
                <pt idx="707">
                  <v>65525</v>
                </pt>
                <pt idx="708">
                  <v>74474</v>
                </pt>
                <pt idx="709">
                  <v>72911</v>
                </pt>
                <pt idx="710">
                  <v>73376</v>
                </pt>
                <pt idx="711">
                  <v>72076</v>
                </pt>
                <pt idx="712">
                  <v>79884</v>
                </pt>
                <pt idx="713">
                  <v>88196</v>
                </pt>
                <pt idx="714">
                  <v>61846</v>
                </pt>
                <pt idx="715">
                  <v>52490</v>
                </pt>
                <pt idx="716">
                  <v>64670</v>
                </pt>
                <pt idx="717">
                  <v>68545</v>
                </pt>
                <pt idx="718">
                  <v>77895</v>
                </pt>
                <pt idx="719">
                  <v>51694</v>
                </pt>
                <pt idx="720">
                  <v>50301</v>
                </pt>
                <pt idx="721">
                  <v>73429</v>
                </pt>
                <pt idx="722">
                  <v>92108</v>
                </pt>
                <pt idx="723">
                  <v>90204</v>
                </pt>
                <pt idx="724">
                  <v>81470</v>
                </pt>
                <pt idx="725">
                  <v>79637</v>
                </pt>
                <pt idx="726">
                  <v>75016</v>
                </pt>
                <pt idx="727">
                  <v>66717</v>
                </pt>
                <pt idx="728">
                  <v>51114</v>
                </pt>
                <pt idx="729">
                  <v>49942</v>
                </pt>
                <pt idx="730">
                  <v>56217</v>
                </pt>
                <pt idx="731">
                  <v>36528</v>
                </pt>
                <pt idx="732">
                  <v>26592</v>
                </pt>
                <pt idx="733">
                  <v>27151</v>
                </pt>
                <pt idx="734">
                  <v>60048</v>
                </pt>
                <pt idx="735">
                  <v>68925</v>
                </pt>
                <pt idx="736">
                  <v>60475</v>
                </pt>
                <pt idx="737">
                  <v>65306</v>
                </pt>
                <pt idx="738">
                  <v>89594</v>
                </pt>
                <pt idx="739">
                  <v>98265</v>
                </pt>
                <pt idx="740">
                  <v>96683</v>
                </pt>
                <pt idx="741">
                  <v>91970</v>
                </pt>
                <pt idx="742">
                  <v>79970</v>
                </pt>
                <pt idx="743">
                  <v>77456</v>
                </pt>
                <pt idx="744">
                  <v>75172</v>
                </pt>
                <pt idx="745">
                  <v>53542</v>
                </pt>
                <pt idx="746">
                  <v>61010</v>
                </pt>
                <pt idx="747">
                  <v>62579</v>
                </pt>
                <pt idx="748">
                  <v>45330</v>
                </pt>
                <pt idx="749">
                  <v>83795</v>
                </pt>
                <pt idx="750">
                  <v>99326</v>
                </pt>
                <pt idx="751">
                  <v>102598</v>
                </pt>
                <pt idx="752">
                  <v>88679</v>
                </pt>
                <pt idx="753">
                  <v>96155</v>
                </pt>
                <pt idx="754">
                  <v>87956</v>
                </pt>
                <pt idx="755">
                  <v>93741</v>
                </pt>
                <pt idx="756">
                  <v>95078</v>
                </pt>
                <pt idx="757">
                  <v>104394</v>
                </pt>
                <pt idx="758">
                  <v>106770</v>
                </pt>
                <pt idx="759">
                  <v>111282</v>
                </pt>
                <pt idx="760">
                  <v>106688</v>
                </pt>
                <pt idx="761">
                  <v>105270</v>
                </pt>
                <pt idx="762">
                  <v>119538</v>
                </pt>
                <pt idx="763">
                  <v>95287</v>
                </pt>
                <pt idx="764">
                  <v>94319</v>
                </pt>
                <pt idx="765">
                  <v>84965</v>
                </pt>
                <pt idx="766">
                  <v>50638</v>
                </pt>
                <pt idx="767">
                  <v>46341</v>
                </pt>
                <pt idx="768">
                  <v>67433</v>
                </pt>
                <pt idx="769">
                  <v>76524</v>
                </pt>
                <pt idx="770">
                  <v>102896</v>
                </pt>
                <pt idx="771">
                  <v>99185</v>
                </pt>
                <pt idx="772">
                  <v>96415</v>
                </pt>
                <pt idx="773">
                  <v>78453</v>
                </pt>
                <pt idx="774">
                  <v>79029</v>
                </pt>
                <pt idx="775">
                  <v>64674</v>
                </pt>
                <pt idx="776">
                  <v>38463</v>
                </pt>
                <pt idx="777">
                  <v>42826</v>
                </pt>
                <pt idx="778">
                  <v>46645</v>
                </pt>
                <pt idx="779">
                  <v>58214</v>
                </pt>
                <pt idx="780">
                  <v>86049</v>
                </pt>
                <pt idx="781">
                  <v>83448</v>
                </pt>
                <pt idx="782">
                  <v>94440</v>
                </pt>
                <pt idx="783">
                  <v>87166</v>
                </pt>
                <pt idx="784">
                  <v>86604</v>
                </pt>
                <pt idx="785">
                  <v>69016</v>
                </pt>
                <pt idx="786">
                  <v>68848</v>
                </pt>
                <pt idx="787">
                  <v>76048</v>
                </pt>
                <pt idx="788">
                  <v>69429</v>
                </pt>
                <pt idx="789">
                  <v>70028</v>
                </pt>
                <pt idx="790">
                  <v>66556</v>
                </pt>
                <pt idx="791">
                  <v>69117</v>
                </pt>
                <pt idx="792">
                  <v>63374</v>
                </pt>
                <pt idx="793">
                  <v>31149</v>
                </pt>
                <pt idx="794">
                  <v>30641</v>
                </pt>
                <pt idx="795">
                  <v>36655</v>
                </pt>
                <pt idx="796">
                  <v>51902</v>
                </pt>
                <pt idx="797">
                  <v>44982</v>
                </pt>
                <pt idx="798">
                  <v>23745</v>
                </pt>
                <pt idx="799">
                  <v>22456</v>
                </pt>
                <pt idx="800">
                  <v>12564</v>
                </pt>
                <pt idx="801">
                  <v>10295</v>
                </pt>
                <pt idx="802">
                  <v>14730</v>
                </pt>
                <pt idx="803">
                  <v>31778</v>
                </pt>
                <pt idx="804">
                  <v>32010</v>
                </pt>
                <pt idx="805">
                  <v>29099</v>
                </pt>
                <pt idx="806">
                  <v>26521</v>
                </pt>
                <pt idx="807">
                  <v>42771</v>
                </pt>
                <pt idx="808">
                  <v>29072</v>
                </pt>
                <pt idx="809">
                  <v>29435</v>
                </pt>
                <pt idx="810">
                  <v>20093</v>
                </pt>
                <pt idx="811">
                  <v>18907</v>
                </pt>
                <pt idx="812">
                  <v>-21315</v>
                </pt>
                <pt idx="813">
                  <v>-12512</v>
                </pt>
                <pt idx="814">
                  <v>-9499</v>
                </pt>
                <pt idx="815">
                  <v>6841</v>
                </pt>
                <pt idx="816">
                  <v>-3390</v>
                </pt>
                <pt idx="817">
                  <v>-14454</v>
                </pt>
                <pt idx="818">
                  <v>-7540</v>
                </pt>
                <pt idx="819">
                  <v>-9290</v>
                </pt>
                <pt idx="820">
                  <v>1432</v>
                </pt>
                <pt idx="821">
                  <v>27683</v>
                </pt>
                <pt idx="822">
                  <v>24007</v>
                </pt>
                <pt idx="823">
                  <v>23049</v>
                </pt>
                <pt idx="824">
                  <v>4071</v>
                </pt>
                <pt idx="825">
                  <v>-16218</v>
                </pt>
                <pt idx="826">
                  <v>-9447</v>
                </pt>
                <pt idx="827">
                  <v>-19427</v>
                </pt>
                <pt idx="828">
                  <v>-20364</v>
                </pt>
                <pt idx="829">
                  <v>-33778</v>
                </pt>
                <pt idx="830">
                  <v>-38623</v>
                </pt>
                <pt idx="831">
                  <v>-36432</v>
                </pt>
                <pt idx="832">
                  <v>-40654</v>
                </pt>
                <pt idx="833">
                  <v>-31057</v>
                </pt>
                <pt idx="834">
                  <v>-28932</v>
                </pt>
                <pt idx="835">
                  <v>-18662</v>
                </pt>
                <pt idx="836">
                  <v>-30100</v>
                </pt>
                <pt idx="837">
                  <v>-30620</v>
                </pt>
                <pt idx="838">
                  <v>-29052</v>
                </pt>
                <pt idx="839">
                  <v>-21433</v>
                </pt>
                <pt idx="840">
                  <v>-20621</v>
                </pt>
                <pt idx="841">
                  <v>-17358</v>
                </pt>
                <pt idx="842">
                  <v>-21478</v>
                </pt>
                <pt idx="843">
                  <v>-20197</v>
                </pt>
                <pt idx="844">
                  <v>-16668</v>
                </pt>
                <pt idx="845">
                  <v>-6626</v>
                </pt>
                <pt idx="846">
                  <v>-3645</v>
                </pt>
                <pt idx="847">
                  <v>-3204</v>
                </pt>
                <pt idx="848">
                  <v>-2375</v>
                </pt>
                <pt idx="849">
                  <v>-9348</v>
                </pt>
                <pt idx="850">
                  <v>-7580</v>
                </pt>
                <pt idx="851">
                  <v>-7489</v>
                </pt>
                <pt idx="852">
                  <v>-9052</v>
                </pt>
                <pt idx="853">
                  <v>-9994</v>
                </pt>
                <pt idx="854">
                  <v>-15437</v>
                </pt>
                <pt idx="855">
                  <v>-10081</v>
                </pt>
                <pt idx="856">
                  <v>-19431</v>
                </pt>
                <pt idx="857">
                  <v>-10232</v>
                </pt>
                <pt idx="858">
                  <v>-9039</v>
                </pt>
                <pt idx="859">
                  <v>-5458</v>
                </pt>
                <pt idx="860">
                  <v>2265</v>
                </pt>
                <pt idx="861">
                  <v>3872</v>
                </pt>
                <pt idx="862">
                  <v>5575</v>
                </pt>
                <pt idx="863">
                  <v>1597</v>
                </pt>
                <pt idx="864">
                  <v>-2073</v>
                </pt>
                <pt idx="865">
                  <v>3368</v>
                </pt>
                <pt idx="866">
                  <v>10415</v>
                </pt>
                <pt idx="867">
                  <v>12250</v>
                </pt>
                <pt idx="868">
                  <v>15584</v>
                </pt>
                <pt idx="869">
                  <v>6793</v>
                </pt>
                <pt idx="870">
                  <v>15024</v>
                </pt>
                <pt idx="871">
                  <v>12485</v>
                </pt>
                <pt idx="872">
                  <v>17423</v>
                </pt>
                <pt idx="873">
                  <v>17219</v>
                </pt>
                <pt idx="874">
                  <v>10312</v>
                </pt>
                <pt idx="875">
                  <v>13899</v>
                </pt>
                <pt idx="876">
                  <v>34772</v>
                </pt>
                <pt idx="877">
                  <v>20287</v>
                </pt>
                <pt idx="878">
                  <v>27106</v>
                </pt>
                <pt idx="879">
                  <v>16811</v>
                </pt>
                <pt idx="880">
                  <v>5732</v>
                </pt>
                <pt idx="881">
                  <v>18171</v>
                </pt>
                <pt idx="882">
                  <v>9017</v>
                </pt>
                <pt idx="883">
                  <v>18033</v>
                </pt>
                <pt idx="884">
                  <v>37772</v>
                </pt>
                <pt idx="885">
                  <v>38000</v>
                </pt>
                <pt idx="886">
                  <v>39766</v>
                </pt>
                <pt idx="887">
                  <v>51045</v>
                </pt>
                <pt idx="888">
                  <v>43367</v>
                </pt>
                <pt idx="889">
                  <v>36033</v>
                </pt>
                <pt idx="890">
                  <v>32869</v>
                </pt>
                <pt idx="891">
                  <v>22191</v>
                </pt>
                <pt idx="892">
                  <v>25173</v>
                </pt>
                <pt idx="893">
                  <v>11956</v>
                </pt>
                <pt idx="894">
                  <v>18467</v>
                </pt>
                <pt idx="895">
                  <v>22151</v>
                </pt>
                <pt idx="896">
                  <v>-511</v>
                </pt>
                <pt idx="897">
                  <v>-16448</v>
                </pt>
                <pt idx="898">
                  <v>-14327</v>
                </pt>
                <pt idx="899">
                  <v>-33797</v>
                </pt>
                <pt idx="900">
                  <v>-35788</v>
                </pt>
                <pt idx="901">
                  <v>-17917</v>
                </pt>
                <pt idx="902">
                  <v>-25282</v>
                </pt>
                <pt idx="903">
                  <v>-39539</v>
                </pt>
                <pt idx="904">
                  <v>-43741</v>
                </pt>
                <pt idx="905">
                  <v>-57152</v>
                </pt>
                <pt idx="906">
                  <v>-59422</v>
                </pt>
                <pt idx="907">
                  <v>-71623</v>
                </pt>
                <pt idx="908">
                  <v>-66770</v>
                </pt>
                <pt idx="909">
                  <v>-74551</v>
                </pt>
                <pt idx="910">
                  <v>-46341</v>
                </pt>
                <pt idx="911">
                  <v>-74917</v>
                </pt>
                <pt idx="912">
                  <v>-85326</v>
                </pt>
                <pt idx="913">
                  <v>-67223</v>
                </pt>
                <pt idx="914">
                  <v>-55464</v>
                </pt>
                <pt idx="915">
                  <v>-71424</v>
                </pt>
                <pt idx="916">
                  <v>-89013</v>
                </pt>
                <pt idx="917">
                  <v>-103402</v>
                </pt>
                <pt idx="918">
                  <v>-113890</v>
                </pt>
                <pt idx="919">
                  <v>-107143</v>
                </pt>
                <pt idx="920">
                  <v>-106736</v>
                </pt>
                <pt idx="921">
                  <v>-93325</v>
                </pt>
                <pt idx="922">
                  <v>-111945</v>
                </pt>
                <pt idx="923">
                  <v>-62360</v>
                </pt>
                <pt idx="924">
                  <v>-70974</v>
                </pt>
                <pt idx="925">
                  <v>-73670</v>
                </pt>
                <pt idx="926">
                  <v>-38909</v>
                </pt>
                <pt idx="927">
                  <v>-27050</v>
                </pt>
                <pt idx="928">
                  <v>-24251</v>
                </pt>
                <pt idx="929">
                  <v>-21339</v>
                </pt>
                <pt idx="930">
                  <v>-7297</v>
                </pt>
                <pt idx="931">
                  <v>-3731</v>
                </pt>
                <pt idx="932">
                  <v>-14627</v>
                </pt>
                <pt idx="933">
                  <v>-21603</v>
                </pt>
                <pt idx="934">
                  <v>-25569</v>
                </pt>
                <pt idx="935">
                  <v>-23699</v>
                </pt>
                <pt idx="936">
                  <v>-9644</v>
                </pt>
                <pt idx="937">
                  <v>5097</v>
                </pt>
                <pt idx="938">
                  <v>35330</v>
                </pt>
                <pt idx="939">
                  <v>48243</v>
                </pt>
                <pt idx="940">
                  <v>41511</v>
                </pt>
                <pt idx="941">
                  <v>46748</v>
                </pt>
                <pt idx="942">
                  <v>40505</v>
                </pt>
                <pt idx="943">
                  <v>38610</v>
                </pt>
                <pt idx="944">
                  <v>23283</v>
                </pt>
                <pt idx="945">
                  <v>8606</v>
                </pt>
                <pt idx="946">
                  <v>-8293</v>
                </pt>
                <pt idx="947">
                  <v>-7248</v>
                </pt>
                <pt idx="948">
                  <v>-15290</v>
                </pt>
                <pt idx="949">
                  <v>-10304</v>
                </pt>
                <pt idx="950">
                  <v>-14093</v>
                </pt>
                <pt idx="951">
                  <v>-26479</v>
                </pt>
                <pt idx="952">
                  <v>-24201</v>
                </pt>
                <pt idx="953">
                  <v>-45182</v>
                </pt>
                <pt idx="954">
                  <v>4109</v>
                </pt>
                <pt idx="955">
                  <v>22901</v>
                </pt>
                <pt idx="956">
                  <v>39934</v>
                </pt>
                <pt idx="957">
                  <v>34734</v>
                </pt>
                <pt idx="958">
                  <v>32464</v>
                </pt>
                <pt idx="959">
                  <v>45598</v>
                </pt>
                <pt idx="960">
                  <v>51308</v>
                </pt>
                <pt idx="961">
                  <v>62294</v>
                </pt>
                <pt idx="962">
                  <v>46316</v>
                </pt>
                <pt idx="963">
                  <v>48353</v>
                </pt>
                <pt idx="964">
                  <v>56630</v>
                </pt>
                <pt idx="965">
                  <v>59857</v>
                </pt>
                <pt idx="966">
                  <v>64985</v>
                </pt>
                <pt idx="967">
                  <v>62195</v>
                </pt>
                <pt idx="968">
                  <v>68279</v>
                </pt>
                <pt idx="969">
                  <v>99516</v>
                </pt>
                <pt idx="970">
                  <v>61447</v>
                </pt>
                <pt idx="971">
                  <v>41645</v>
                </pt>
                <pt idx="972">
                  <v>19129</v>
                </pt>
                <pt idx="973">
                  <v>21970</v>
                </pt>
                <pt idx="974">
                  <v>51836</v>
                </pt>
                <pt idx="975">
                  <v>49894</v>
                </pt>
                <pt idx="976">
                  <v>29771</v>
                </pt>
                <pt idx="977">
                  <v>32987</v>
                </pt>
                <pt idx="978">
                  <v>43194</v>
                </pt>
                <pt idx="979">
                  <v>12416</v>
                </pt>
                <pt idx="980">
                  <v>9246</v>
                </pt>
                <pt idx="981">
                  <v>17038</v>
                </pt>
                <pt idx="982">
                  <v>1763</v>
                </pt>
                <pt idx="983">
                  <v>-8273</v>
                </pt>
                <pt idx="984">
                  <v>6726</v>
                </pt>
                <pt idx="985">
                  <v>2539</v>
                </pt>
                <pt idx="986">
                  <v>-384</v>
                </pt>
                <pt idx="987">
                  <v>-36443</v>
                </pt>
                <pt idx="988">
                  <v>-54459</v>
                </pt>
                <pt idx="989">
                  <v>-79460</v>
                </pt>
                <pt idx="990">
                  <v>-82473</v>
                </pt>
                <pt idx="991">
                  <v>-82697</v>
                </pt>
                <pt idx="992">
                  <v>-73795</v>
                </pt>
                <pt idx="993">
                  <v>-77720</v>
                </pt>
                <pt idx="994">
                  <v>-76512</v>
                </pt>
                <pt idx="995">
                  <v>-60060</v>
                </pt>
                <pt idx="996">
                  <v>-54257</v>
                </pt>
                <pt idx="997">
                  <v>-76147</v>
                </pt>
                <pt idx="998">
                  <v>-85068</v>
                </pt>
                <pt idx="999">
                  <v>-104302</v>
                </pt>
                <pt idx="1000">
                  <v>-95814</v>
                </pt>
                <pt idx="1001">
                  <v>-116457</v>
                </pt>
                <pt idx="1002">
                  <v>-113697</v>
                </pt>
                <pt idx="1003">
                  <v>-127879</v>
                </pt>
                <pt idx="1004">
                  <v>-138909</v>
                </pt>
                <pt idx="1005">
                  <v>-155195</v>
                </pt>
                <pt idx="1006">
                  <v>-160030</v>
                </pt>
                <pt idx="1007">
                  <v>-171347</v>
                </pt>
                <pt idx="1008">
                  <v>-157546</v>
                </pt>
                <pt idx="1009">
                  <v>-140593</v>
                </pt>
                <pt idx="1010">
                  <v>-148641</v>
                </pt>
                <pt idx="1011">
                  <v>-142159</v>
                </pt>
                <pt idx="1012">
                  <v>-109674</v>
                </pt>
                <pt idx="1013">
                  <v>-116473</v>
                </pt>
                <pt idx="1014">
                  <v>-99336</v>
                </pt>
                <pt idx="1015">
                  <v>-82954</v>
                </pt>
                <pt idx="1016">
                  <v>-89129</v>
                </pt>
                <pt idx="1017">
                  <v>-79480</v>
                </pt>
                <pt idx="1018">
                  <v>-101364</v>
                </pt>
                <pt idx="1019">
                  <v>-118125</v>
                </pt>
                <pt idx="1020">
                  <v>-113367</v>
                </pt>
                <pt idx="1021">
                  <v>-106990</v>
                </pt>
                <pt idx="1022">
                  <v>-143984</v>
                </pt>
                <pt idx="1023">
                  <v>-173869</v>
                </pt>
                <pt idx="1024">
                  <v>-195361</v>
                </pt>
                <pt idx="1025">
                  <v>-203415</v>
                </pt>
                <pt idx="1026">
                  <v>-214418</v>
                </pt>
                <pt idx="1027">
                  <v>-195187</v>
                </pt>
                <pt idx="1028">
                  <v>-141066</v>
                </pt>
                <pt idx="1029">
                  <v>-159880</v>
                </pt>
                <pt idx="1030">
                  <v>-146177</v>
                </pt>
                <pt idx="1031">
                  <v>-165705</v>
                </pt>
                <pt idx="1032">
                  <v>-167249</v>
                </pt>
                <pt idx="1033">
                  <v>-155066</v>
                </pt>
                <pt idx="1034">
                  <v>-138994</v>
                </pt>
                <pt idx="1035">
                  <v>-131711</v>
                </pt>
                <pt idx="1036">
                  <v>-137810</v>
                </pt>
                <pt idx="1037">
                  <v>-123932</v>
                </pt>
                <pt idx="1038">
                  <v>-101561</v>
                </pt>
                <pt idx="1039">
                  <v>-102306</v>
                </pt>
                <pt idx="1040">
                  <v>-93658</v>
                </pt>
                <pt idx="1041">
                  <v>-73482</v>
                </pt>
                <pt idx="1042">
                  <v>-50238</v>
                </pt>
                <pt idx="1043">
                  <v>-50265</v>
                </pt>
                <pt idx="1044">
                  <v>-72570</v>
                </pt>
                <pt idx="1045">
                  <v>-53495</v>
                </pt>
                <pt idx="1046">
                  <v>-55219</v>
                </pt>
                <pt idx="1047">
                  <v>-58204</v>
                </pt>
                <pt idx="1048">
                  <v>-67141</v>
                </pt>
                <pt idx="1049">
                  <v>-83646</v>
                </pt>
                <pt idx="1050">
                  <v>-91400</v>
                </pt>
                <pt idx="1051">
                  <v>-66693</v>
                </pt>
                <pt idx="1052">
                  <v>-32795</v>
                </pt>
                <pt idx="1053">
                  <v>-31623</v>
                </pt>
                <pt idx="1054">
                  <v>-9736</v>
                </pt>
                <pt idx="1055">
                  <v>-2549</v>
                </pt>
                <pt idx="1056">
                  <v>5126</v>
                </pt>
                <pt idx="1057">
                  <v>-8035</v>
                </pt>
                <pt idx="1058">
                  <v>7315</v>
                </pt>
                <pt idx="1059">
                  <v>21381</v>
                </pt>
                <pt idx="1060">
                  <v>27472</v>
                </pt>
                <pt idx="1061">
                  <v>37952</v>
                </pt>
                <pt idx="1062">
                  <v>24181</v>
                </pt>
                <pt idx="1063">
                  <v>19103</v>
                </pt>
                <pt idx="1064">
                  <v>-9394</v>
                </pt>
                <pt idx="1065">
                  <v>-26116</v>
                </pt>
                <pt idx="1066">
                  <v>-24787</v>
                </pt>
                <pt idx="1067">
                  <v>-44884</v>
                </pt>
                <pt idx="1068">
                  <v>-49095</v>
                </pt>
                <pt idx="1069">
                  <v>-65701</v>
                </pt>
                <pt idx="1070">
                  <v>-50858</v>
                </pt>
                <pt idx="1071">
                  <v>-29764</v>
                </pt>
                <pt idx="1072">
                  <v>-34275</v>
                </pt>
                <pt idx="1073">
                  <v>-30149</v>
                </pt>
                <pt idx="1074">
                  <v>-33533</v>
                </pt>
                <pt idx="1075">
                  <v>-46921</v>
                </pt>
                <pt idx="1076">
                  <v>-80949</v>
                </pt>
                <pt idx="1077">
                  <v>-84644</v>
                </pt>
                <pt idx="1078">
                  <v>-51621</v>
                </pt>
                <pt idx="1079">
                  <v>-7533</v>
                </pt>
                <pt idx="1080">
                  <v>20030</v>
                </pt>
                <pt idx="1081">
                  <v>17357</v>
                </pt>
                <pt idx="1082">
                  <v>-16090</v>
                </pt>
                <pt idx="1083">
                  <v>-40900</v>
                </pt>
                <pt idx="1084">
                  <v>-37165</v>
                </pt>
                <pt idx="1085">
                  <v>-27900</v>
                </pt>
                <pt idx="1086">
                  <v>-8504</v>
                </pt>
                <pt idx="1087">
                  <v>6061</v>
                </pt>
                <pt idx="1088">
                  <v>16057</v>
                </pt>
                <pt idx="1089">
                  <v>36746</v>
                </pt>
                <pt idx="1090">
                  <v>40081</v>
                </pt>
                <pt idx="1091">
                  <v>22738</v>
                </pt>
                <pt idx="1092">
                  <v>12696</v>
                </pt>
                <pt idx="1093">
                  <v>31907</v>
                </pt>
                <pt idx="1094">
                  <v>65844</v>
                </pt>
                <pt idx="1095">
                  <v>68276</v>
                </pt>
                <pt idx="1096">
                  <v>68683</v>
                </pt>
                <pt idx="1097">
                  <v>60374</v>
                </pt>
                <pt idx="1098">
                  <v>72434</v>
                </pt>
                <pt idx="1099">
                  <v>70617</v>
                </pt>
                <pt idx="1100">
                  <v>33143</v>
                </pt>
                <pt idx="1101">
                  <v>16826</v>
                </pt>
                <pt idx="1102">
                  <v>8911</v>
                </pt>
                <pt idx="1103">
                  <v>-431</v>
                </pt>
                <pt idx="1104">
                  <v>9312</v>
                </pt>
                <pt idx="1105">
                  <v>15930</v>
                </pt>
                <pt idx="1106">
                  <v>27923</v>
                </pt>
                <pt idx="1107">
                  <v>32172</v>
                </pt>
                <pt idx="1108">
                  <v>30589</v>
                </pt>
                <pt idx="1109">
                  <v>14498</v>
                </pt>
                <pt idx="1110">
                  <v>9246</v>
                </pt>
                <pt idx="1111">
                  <v>-3772</v>
                </pt>
                <pt idx="1112">
                  <v>14347</v>
                </pt>
                <pt idx="1113">
                  <v>-13610</v>
                </pt>
                <pt idx="1114">
                  <v>-6929</v>
                </pt>
                <pt idx="1115">
                  <v>8599</v>
                </pt>
                <pt idx="1116">
                  <v>13900</v>
                </pt>
                <pt idx="1117">
                  <v>23452</v>
                </pt>
                <pt idx="1118">
                  <v>36385</v>
                </pt>
                <pt idx="1119">
                  <v>52991</v>
                </pt>
                <pt idx="1120">
                  <v>39634</v>
                </pt>
                <pt idx="1121">
                  <v>33238</v>
                </pt>
                <pt idx="1122">
                  <v>23300</v>
                </pt>
                <pt idx="1123">
                  <v>27688</v>
                </pt>
                <pt idx="1124">
                  <v>25774</v>
                </pt>
                <pt idx="1125">
                  <v>25734</v>
                </pt>
                <pt idx="1126">
                  <v>32551</v>
                </pt>
                <pt idx="1127">
                  <v>-2175</v>
                </pt>
                <pt idx="1128">
                  <v>-9220</v>
                </pt>
                <pt idx="1129">
                  <v>-16633</v>
                </pt>
                <pt idx="1130">
                  <v>-33025</v>
                </pt>
                <pt idx="1131">
                  <v>-57185</v>
                </pt>
                <pt idx="1132">
                  <v>-61835</v>
                </pt>
                <pt idx="1133">
                  <v>-57503</v>
                </pt>
                <pt idx="1134">
                  <v>-60776</v>
                </pt>
                <pt idx="1135">
                  <v>-59265</v>
                </pt>
                <pt idx="1136">
                  <v>-62846</v>
                </pt>
                <pt idx="1137">
                  <v>-88823</v>
                </pt>
                <pt idx="1138">
                  <v>-108075</v>
                </pt>
                <pt idx="1139">
                  <v>-128747</v>
                </pt>
                <pt idx="1140">
                  <v>-126017</v>
                </pt>
                <pt idx="1141">
                  <v>-138825</v>
                </pt>
                <pt idx="1142">
                  <v>-150657</v>
                </pt>
                <pt idx="1143">
                  <v>-161423</v>
                </pt>
                <pt idx="1144">
                  <v>-157505</v>
                </pt>
                <pt idx="1145">
                  <v>-137149</v>
                </pt>
                <pt idx="1146">
                  <v>-141965</v>
                </pt>
                <pt idx="1147">
                  <v>-137525</v>
                </pt>
                <pt idx="1148">
                  <v>-146212</v>
                </pt>
                <pt idx="1149">
                  <v>-155342</v>
                </pt>
                <pt idx="1150">
                  <v>-159371</v>
                </pt>
                <pt idx="1151">
                  <v>-165707</v>
                </pt>
                <pt idx="1152">
                  <v>-179021</v>
                </pt>
                <pt idx="1153">
                  <v>-163893</v>
                </pt>
                <pt idx="1154">
                  <v>-168730</v>
                </pt>
                <pt idx="1155">
                  <v>-165080</v>
                </pt>
                <pt idx="1156">
                  <v>-159279</v>
                </pt>
                <pt idx="1157">
                  <v>-136912</v>
                </pt>
                <pt idx="1158">
                  <v>-126655</v>
                </pt>
                <pt idx="1159">
                  <v>-146604</v>
                </pt>
                <pt idx="1160">
                  <v>-152219</v>
                </pt>
                <pt idx="1161">
                  <v>-161040</v>
                </pt>
                <pt idx="1162">
                  <v>-167851</v>
                </pt>
                <pt idx="1163">
                  <v>-180730</v>
                </pt>
                <pt idx="1164">
                  <v>-184745</v>
                </pt>
                <pt idx="1165">
                  <v>-196309</v>
                </pt>
                <pt idx="1166">
                  <v>-194641</v>
                </pt>
                <pt idx="1167">
                  <v>-185582</v>
                </pt>
                <pt idx="1168">
                  <v>-177736</v>
                </pt>
                <pt idx="1169">
                  <v>-172389</v>
                </pt>
                <pt idx="1170">
                  <v>-181073</v>
                </pt>
                <pt idx="1171">
                  <v>-193774</v>
                </pt>
                <pt idx="1172">
                  <v>-220963</v>
                </pt>
                <pt idx="1173">
                  <v>-226560</v>
                </pt>
                <pt idx="1174">
                  <v>-215258</v>
                </pt>
                <pt idx="1175">
                  <v>-212347</v>
                </pt>
                <pt idx="1176">
                  <v>-214645</v>
                </pt>
                <pt idx="1177">
                  <v>-197766</v>
                </pt>
                <pt idx="1178">
                  <v>-190127</v>
                </pt>
                <pt idx="1179">
                  <v>-178976</v>
                </pt>
                <pt idx="1180">
                  <v>-168339</v>
                </pt>
                <pt idx="1181">
                  <v>-171740</v>
                </pt>
                <pt idx="1182">
                  <v>-165512</v>
                </pt>
                <pt idx="1183">
                  <v>-137974</v>
                </pt>
                <pt idx="1184">
                  <v>-89357</v>
                </pt>
                <pt idx="1185">
                  <v>-99306</v>
                </pt>
                <pt idx="1186">
                  <v>-100035</v>
                </pt>
                <pt idx="1187">
                  <v>-99266</v>
                </pt>
                <pt idx="1188">
                  <v>-107781</v>
                </pt>
                <pt idx="1189">
                  <v>-112976</v>
                </pt>
                <pt idx="1190">
                  <v>-104008</v>
                </pt>
                <pt idx="1191">
                  <v>-113394</v>
                </pt>
                <pt idx="1192">
                  <v>-115210</v>
                </pt>
                <pt idx="1193">
                  <v>-92732</v>
                </pt>
                <pt idx="1194">
                  <v>-66078</v>
                </pt>
                <pt idx="1195">
                  <v>-67857</v>
                </pt>
                <pt idx="1196">
                  <v>-81241</v>
                </pt>
                <pt idx="1197">
                  <v>-84202</v>
                </pt>
                <pt idx="1198">
                  <v>-81033</v>
                </pt>
                <pt idx="1199">
                  <v>-87660</v>
                </pt>
                <pt idx="1200">
                  <v>-88810</v>
                </pt>
                <pt idx="1201">
                  <v>-80576</v>
                </pt>
                <pt idx="1202">
                  <v>-62566</v>
                </pt>
                <pt idx="1203">
                  <v>-105934</v>
                </pt>
                <pt idx="1204">
                  <v>-134334</v>
                </pt>
                <pt idx="1205">
                  <v>-142939</v>
                </pt>
                <pt idx="1206">
                  <v>-164177</v>
                </pt>
                <pt idx="1207">
                  <v>-175484</v>
                </pt>
                <pt idx="1208">
                  <v>-182845</v>
                </pt>
                <pt idx="1209">
                  <v>-172331</v>
                </pt>
                <pt idx="1210">
                  <v>-159961</v>
                </pt>
                <pt idx="1211">
                  <v>-161047</v>
                </pt>
                <pt idx="1212">
                  <v>-160550</v>
                </pt>
                <pt idx="1213">
                  <v>-160643</v>
                </pt>
                <pt idx="1214">
                  <v>-146451</v>
                </pt>
                <pt idx="1215">
                  <v>-137015</v>
                </pt>
                <pt idx="1216">
                  <v>-127215</v>
                </pt>
                <pt idx="1217">
                  <v>-87073</v>
                </pt>
                <pt idx="1218">
                  <v>-63314</v>
                </pt>
                <pt idx="1219">
                  <v>-48205</v>
                </pt>
                <pt idx="1220">
                  <v>-46857</v>
                </pt>
                <pt idx="1221">
                  <v>-68541</v>
                </pt>
                <pt idx="1222">
                  <v>-71907</v>
                </pt>
                <pt idx="1223">
                  <v>-77555</v>
                </pt>
                <pt idx="1224">
                  <v>-66053</v>
                </pt>
                <pt idx="1225">
                  <v>-63811</v>
                </pt>
                <pt idx="1226">
                  <v>-53487</v>
                </pt>
                <pt idx="1227">
                  <v>-52051</v>
                </pt>
                <pt idx="1228">
                  <v>-46917</v>
                </pt>
                <pt idx="1229">
                  <v>-39667</v>
                </pt>
                <pt idx="1230">
                  <v>-23619</v>
                </pt>
                <pt idx="1231">
                  <v>-21872</v>
                </pt>
                <pt idx="1232">
                  <v>-22587</v>
                </pt>
                <pt idx="1233">
                  <v>-37895</v>
                </pt>
                <pt idx="1234">
                  <v>-37654</v>
                </pt>
                <pt idx="1235">
                  <v>-67112</v>
                </pt>
                <pt idx="1236">
                  <v>-56489</v>
                </pt>
                <pt idx="1237">
                  <v>-61346</v>
                </pt>
                <pt idx="1238">
                  <v>-61934</v>
                </pt>
                <pt idx="1239">
                  <v>-75327</v>
                </pt>
                <pt idx="1240">
                  <v>-87660</v>
                </pt>
                <pt idx="1241">
                  <v>-99891</v>
                </pt>
                <pt idx="1242">
                  <v>-112600</v>
                </pt>
                <pt idx="1243">
                  <v>-104103</v>
                </pt>
                <pt idx="1244">
                  <v>-98399</v>
                </pt>
                <pt idx="1245">
                  <v>-92508</v>
                </pt>
                <pt idx="1246">
                  <v>-76658</v>
                </pt>
                <pt idx="1247">
                  <v>-81925</v>
                </pt>
                <pt idx="1248">
                  <v>-92630</v>
                </pt>
                <pt idx="1249">
                  <v>-81475</v>
                </pt>
                <pt idx="1250">
                  <v>-85025</v>
                </pt>
                <pt idx="1251">
                  <v>-76030</v>
                </pt>
                <pt idx="1252">
                  <v>-82059</v>
                </pt>
                <pt idx="1253">
                  <v>-93472</v>
                </pt>
                <pt idx="1254">
                  <v>-109268</v>
                </pt>
                <pt idx="1255">
                  <v>-123856</v>
                </pt>
                <pt idx="1256">
                  <v>-137385</v>
                </pt>
                <pt idx="1257">
                  <v>-129314</v>
                </pt>
                <pt idx="1258">
                  <v>-119182</v>
                </pt>
                <pt idx="1259">
                  <v>-119348</v>
                </pt>
                <pt idx="1260">
                  <v>-119240</v>
                </pt>
                <pt idx="1261">
                  <v>-114556</v>
                </pt>
                <pt idx="1262">
                  <v>-87513</v>
                </pt>
                <pt idx="1263">
                  <v>-78045</v>
                </pt>
                <pt idx="1264">
                  <v>-69408</v>
                </pt>
                <pt idx="1265">
                  <v>-70056</v>
                </pt>
                <pt idx="1266">
                  <v>-65823</v>
                </pt>
                <pt idx="1267">
                  <v>-66500</v>
                </pt>
                <pt idx="1268">
                  <v>-52348</v>
                </pt>
                <pt idx="1269">
                  <v>-45713</v>
                </pt>
                <pt idx="1270">
                  <v>-44951</v>
                </pt>
                <pt idx="1271">
                  <v>-46764</v>
                </pt>
                <pt idx="1272">
                  <v>-58251</v>
                </pt>
                <pt idx="1273">
                  <v>-51164</v>
                </pt>
                <pt idx="1274">
                  <v>-59501</v>
                </pt>
                <pt idx="1275">
                  <v>-41027</v>
                </pt>
                <pt idx="1276">
                  <v>-19662</v>
                </pt>
                <pt idx="1277">
                  <v>-7923</v>
                </pt>
                <pt idx="1278">
                  <v>-11405</v>
                </pt>
                <pt idx="1279">
                  <v>-18956</v>
                </pt>
                <pt idx="1280">
                  <v>-21649</v>
                </pt>
                <pt idx="1281">
                  <v>-20895</v>
                </pt>
                <pt idx="1282">
                  <v>-1653</v>
                </pt>
                <pt idx="1283">
                  <v>22399</v>
                </pt>
                <pt idx="1284">
                  <v>37604</v>
                </pt>
                <pt idx="1285">
                  <v>64845</v>
                </pt>
                <pt idx="1286">
                  <v>72869</v>
                </pt>
                <pt idx="1287">
                  <v>74009</v>
                </pt>
                <pt idx="1288">
                  <v>79053</v>
                </pt>
                <pt idx="1289">
                  <v>44852</v>
                </pt>
                <pt idx="1290">
                  <v>58695</v>
                </pt>
                <pt idx="1291">
                  <v>77464</v>
                </pt>
                <pt idx="1292">
                  <v>83788</v>
                </pt>
                <pt idx="1293">
                  <v>91321</v>
                </pt>
                <pt idx="1294">
                  <v>90842</v>
                </pt>
                <pt idx="1295">
                  <v>82637</v>
                </pt>
                <pt idx="1296">
                  <v>93685</v>
                </pt>
                <pt idx="1297">
                  <v>79267</v>
                </pt>
                <pt idx="1298">
                  <v>87976</v>
                </pt>
                <pt idx="1299">
                  <v>86519</v>
                </pt>
                <pt idx="1300">
                  <v>96309</v>
                </pt>
                <pt idx="1301">
                  <v>86058</v>
                </pt>
                <pt idx="1302">
                  <v>62753</v>
                </pt>
                <pt idx="1303">
                  <v>88167</v>
                </pt>
                <pt idx="1304">
                  <v>90833</v>
                </pt>
                <pt idx="1305">
                  <v>98079</v>
                </pt>
                <pt idx="1306">
                  <v>90452</v>
                </pt>
                <pt idx="1307">
                  <v>83504</v>
                </pt>
                <pt idx="1308">
                  <v>72097</v>
                </pt>
                <pt idx="1309">
                  <v>85455</v>
                </pt>
                <pt idx="1310">
                  <v>84586</v>
                </pt>
                <pt idx="1311">
                  <v>95437</v>
                </pt>
                <pt idx="1312">
                  <v>89681</v>
                </pt>
                <pt idx="1313">
                  <v>93106</v>
                </pt>
                <pt idx="1314">
                  <v>113889</v>
                </pt>
                <pt idx="1315">
                  <v>86224</v>
                </pt>
                <pt idx="1316">
                  <v>92148</v>
                </pt>
                <pt idx="1317">
                  <v>127868</v>
                </pt>
                <pt idx="1318">
                  <v>144691</v>
                </pt>
                <pt idx="1319">
                  <v>139490</v>
                </pt>
                <pt idx="1320">
                  <v>144717</v>
                </pt>
                <pt idx="1321">
                  <v>148742</v>
                </pt>
                <pt idx="1322">
                  <v>140823</v>
                </pt>
                <pt idx="1323">
                  <v>127289</v>
                </pt>
                <pt idx="1324">
                  <v>126126</v>
                </pt>
                <pt idx="1325">
                  <v>137977</v>
                </pt>
                <pt idx="1326">
                  <v>132972</v>
                </pt>
                <pt idx="1327">
                  <v>146380</v>
                </pt>
                <pt idx="1328">
                  <v>132739</v>
                </pt>
                <pt idx="1329">
                  <v>141064</v>
                </pt>
                <pt idx="1330">
                  <v>134381</v>
                </pt>
                <pt idx="1331">
                  <v>147463</v>
                </pt>
                <pt idx="1332">
                  <v>151476</v>
                </pt>
                <pt idx="1333">
                  <v>130594</v>
                </pt>
                <pt idx="1334">
                  <v>120568</v>
                </pt>
                <pt idx="1335">
                  <v>120505</v>
                </pt>
                <pt idx="1336">
                  <v>115114</v>
                </pt>
                <pt idx="1337">
                  <v>109744</v>
                </pt>
                <pt idx="1338">
                  <v>93037</v>
                </pt>
                <pt idx="1339">
                  <v>89236</v>
                </pt>
                <pt idx="1340">
                  <v>88225</v>
                </pt>
                <pt idx="1341">
                  <v>36118</v>
                </pt>
                <pt idx="1342">
                  <v>33904</v>
                </pt>
                <pt idx="1343">
                  <v>36747</v>
                </pt>
                <pt idx="1344">
                  <v>24357</v>
                </pt>
                <pt idx="1345">
                  <v>21407</v>
                </pt>
                <pt idx="1346">
                  <v>29640</v>
                </pt>
                <pt idx="1347">
                  <v>22825</v>
                </pt>
                <pt idx="1348">
                  <v>10565</v>
                </pt>
                <pt idx="1349">
                  <v>-1789</v>
                </pt>
                <pt idx="1350">
                  <v>-4841</v>
                </pt>
                <pt idx="1351">
                  <v>-7219</v>
                </pt>
                <pt idx="1352">
                  <v>7963</v>
                </pt>
                <pt idx="1353">
                  <v>11170</v>
                </pt>
                <pt idx="1354">
                  <v>1666</v>
                </pt>
                <pt idx="1355">
                  <v>3696</v>
                </pt>
                <pt idx="1356">
                  <v>-7101</v>
                </pt>
                <pt idx="1357">
                  <v>-16142</v>
                </pt>
                <pt idx="1358">
                  <v>-29344</v>
                </pt>
                <pt idx="1359">
                  <v>-30304</v>
                </pt>
                <pt idx="1360">
                  <v>-32662</v>
                </pt>
                <pt idx="1361">
                  <v>-46843</v>
                </pt>
                <pt idx="1362">
                  <v>-37019</v>
                </pt>
                <pt idx="1363">
                  <v>-47229</v>
                </pt>
                <pt idx="1364">
                  <v>-55071</v>
                </pt>
                <pt idx="1365">
                  <v>-60776</v>
                </pt>
                <pt idx="1366">
                  <v>-56287</v>
                </pt>
                <pt idx="1367">
                  <v>-53124</v>
                </pt>
                <pt idx="1368">
                  <v>-58455</v>
                </pt>
                <pt idx="1369">
                  <v>-46648</v>
                </pt>
                <pt idx="1370">
                  <v>-40533</v>
                </pt>
                <pt idx="1371">
                  <v>-32661</v>
                </pt>
                <pt idx="1372">
                  <v>-41006</v>
                </pt>
                <pt idx="1373">
                  <v>-46474</v>
                </pt>
                <pt idx="1374">
                  <v>-51964</v>
                </pt>
                <pt idx="1375">
                  <v>-63900</v>
                </pt>
                <pt idx="1376">
                  <v>-74934</v>
                </pt>
                <pt idx="1377">
                  <v>-72455</v>
                </pt>
                <pt idx="1378">
                  <v>-78166</v>
                </pt>
                <pt idx="1379">
                  <v>-75745</v>
                </pt>
                <pt idx="1380">
                  <v>-77704</v>
                </pt>
                <pt idx="1381">
                  <v>-80278</v>
                </pt>
                <pt idx="1382">
                  <v>-99184</v>
                </pt>
                <pt idx="1383">
                  <v>-102198</v>
                </pt>
                <pt idx="1384">
                  <v>-98023</v>
                </pt>
                <pt idx="1385">
                  <v>-105418</v>
                </pt>
                <pt idx="1386">
                  <v>-105544</v>
                </pt>
                <pt idx="1387">
                  <v>-106105</v>
                </pt>
                <pt idx="1388">
                  <v>-95301</v>
                </pt>
                <pt idx="1389">
                  <v>-101102</v>
                </pt>
                <pt idx="1390">
                  <v>-99691</v>
                </pt>
                <pt idx="1391">
                  <v>-87551</v>
                </pt>
                <pt idx="1392">
                  <v>-86792</v>
                </pt>
                <pt idx="1393">
                  <v>-52330</v>
                </pt>
                <pt idx="1394">
                  <v>-56295</v>
                </pt>
                <pt idx="1395">
                  <v>-31733</v>
                </pt>
                <pt idx="1396">
                  <v>-35865</v>
                </pt>
                <pt idx="1397">
                  <v>-31351</v>
                </pt>
                <pt idx="1398">
                  <v>-39004</v>
                </pt>
                <pt idx="1399">
                  <v>-53983</v>
                </pt>
                <pt idx="1400">
                  <v>-44010</v>
                </pt>
                <pt idx="1401">
                  <v>-46649</v>
                </pt>
                <pt idx="1402">
                  <v>-37977</v>
                </pt>
                <pt idx="1403">
                  <v>-38804</v>
                </pt>
                <pt idx="1404">
                  <v>-49136</v>
                </pt>
                <pt idx="1405">
                  <v>-49842</v>
                </pt>
                <pt idx="1406">
                  <v>-68559</v>
                </pt>
                <pt idx="1407">
                  <v>-60722</v>
                </pt>
                <pt idx="1408">
                  <v>-65978</v>
                </pt>
                <pt idx="1409">
                  <v>-75413</v>
                </pt>
                <pt idx="1410">
                  <v>-76866</v>
                </pt>
                <pt idx="1411">
                  <v>-51050</v>
                </pt>
                <pt idx="1412">
                  <v>-53355</v>
                </pt>
                <pt idx="1413">
                  <v>-60746</v>
                </pt>
                <pt idx="1414">
                  <v>-57669</v>
                </pt>
                <pt idx="1415">
                  <v>-62503</v>
                </pt>
                <pt idx="1416">
                  <v>-61416</v>
                </pt>
                <pt idx="1417">
                  <v>-69049</v>
                </pt>
                <pt idx="1418">
                  <v>-67643</v>
                </pt>
                <pt idx="1419">
                  <v>-65694</v>
                </pt>
                <pt idx="1420">
                  <v>-72943</v>
                </pt>
                <pt idx="1421">
                  <v>-74345</v>
                </pt>
                <pt idx="1422">
                  <v>-61664</v>
                </pt>
                <pt idx="1423">
                  <v>-48182</v>
                </pt>
                <pt idx="1424">
                  <v>-47019</v>
                </pt>
                <pt idx="1425">
                  <v>-58862</v>
                </pt>
                <pt idx="1426">
                  <v>-75080</v>
                </pt>
                <pt idx="1427">
                  <v>-85669</v>
                </pt>
                <pt idx="1428">
                  <v>-91507</v>
                </pt>
                <pt idx="1429">
                  <v>-114021</v>
                </pt>
                <pt idx="1430">
                  <v>-86703</v>
                </pt>
                <pt idx="1431">
                  <v>-12667</v>
                </pt>
                <pt idx="1432">
                  <v>32495</v>
                </pt>
                <pt idx="1433">
                  <v>61290</v>
                </pt>
                <pt idx="1434">
                  <v>74247</v>
                </pt>
                <pt idx="1435">
                  <v>79624</v>
                </pt>
                <pt idx="1436">
                  <v>86617</v>
                </pt>
                <pt idx="1437">
                  <v>87218</v>
                </pt>
                <pt idx="1438">
                  <v>79681</v>
                </pt>
                <pt idx="1439">
                  <v>76299</v>
                </pt>
                <pt idx="1440">
                  <v>78140</v>
                </pt>
                <pt idx="1441">
                  <v>72562</v>
                </pt>
                <pt idx="1442">
                  <v>75222</v>
                </pt>
                <pt idx="1443">
                  <v>81240</v>
                </pt>
                <pt idx="1444">
                  <v>95649</v>
                </pt>
                <pt idx="1445">
                  <v>117132</v>
                </pt>
                <pt idx="1446">
                  <v>118448</v>
                </pt>
                <pt idx="1447">
                  <v>98955</v>
                </pt>
                <pt idx="1448">
                  <v>103597</v>
                </pt>
                <pt idx="1449">
                  <v>110912</v>
                </pt>
                <pt idx="1450">
                  <v>125047</v>
                </pt>
                <pt idx="1451">
                  <v>157559</v>
                </pt>
                <pt idx="1452">
                  <v>180648</v>
                </pt>
                <pt idx="1453">
                  <v>199751</v>
                </pt>
                <pt idx="1454">
                  <v>196943</v>
                </pt>
                <pt idx="1455">
                  <v>211752</v>
                </pt>
                <pt idx="1456">
                  <v>196747</v>
                </pt>
                <pt idx="1457">
                  <v>196814</v>
                </pt>
                <pt idx="1458">
                  <v>178576</v>
                </pt>
                <pt idx="1459">
                  <v>190822</v>
                </pt>
                <pt idx="1460">
                  <v>188116</v>
                </pt>
                <pt idx="1461">
                  <v>174308</v>
                </pt>
                <pt idx="1462">
                  <v>168637</v>
                </pt>
                <pt idx="1463">
                  <v>165943</v>
                </pt>
                <pt idx="1464">
                  <v>155555</v>
                </pt>
                <pt idx="1465">
                  <v>140349</v>
                </pt>
                <pt idx="1466">
                  <v>135287</v>
                </pt>
                <pt idx="1467">
                  <v>133960</v>
                </pt>
                <pt idx="1468">
                  <v>138250</v>
                </pt>
                <pt idx="1469">
                  <v>139894</v>
                </pt>
                <pt idx="1470">
                  <v>156429</v>
                </pt>
                <pt idx="1471">
                  <v>141833</v>
                </pt>
                <pt idx="1472">
                  <v>143902</v>
                </pt>
                <pt idx="1473">
                  <v>143076</v>
                </pt>
                <pt idx="1474">
                  <v>142991</v>
                </pt>
                <pt idx="1475">
                  <v>155890</v>
                </pt>
                <pt idx="1476">
                  <v>163466</v>
                </pt>
                <pt idx="1477">
                  <v>165344</v>
                </pt>
                <pt idx="1478">
                  <v>137003</v>
                </pt>
                <pt idx="1479">
                  <v>140222</v>
                </pt>
                <pt idx="1480">
                  <v>140006</v>
                </pt>
                <pt idx="1481">
                  <v>138365</v>
                </pt>
                <pt idx="1482">
                  <v>125988</v>
                </pt>
                <pt idx="1483">
                  <v>101964</v>
                </pt>
                <pt idx="1484">
                  <v>89976</v>
                </pt>
                <pt idx="1485">
                  <v>93322</v>
                </pt>
                <pt idx="1486">
                  <v>73739</v>
                </pt>
                <pt idx="1487">
                  <v>67522</v>
                </pt>
                <pt idx="1488">
                  <v>66851</v>
                </pt>
                <pt idx="1489">
                  <v>80808</v>
                </pt>
                <pt idx="1490">
                  <v>80967</v>
                </pt>
                <pt idx="1491">
                  <v>84829</v>
                </pt>
                <pt idx="1492">
                  <v>93907</v>
                </pt>
                <pt idx="1493">
                  <v>99858</v>
                </pt>
                <pt idx="1494">
                  <v>104000</v>
                </pt>
                <pt idx="1495">
                  <v>109322</v>
                </pt>
                <pt idx="1496">
                  <v>107213</v>
                </pt>
                <pt idx="1497">
                  <v>118186</v>
                </pt>
                <pt idx="1498">
                  <v>89057</v>
                </pt>
                <pt idx="1499">
                  <v>87146</v>
                </pt>
                <pt idx="1500">
                  <v>77190</v>
                </pt>
                <pt idx="1501">
                  <v>59713</v>
                </pt>
                <pt idx="1502">
                  <v>45822</v>
                </pt>
                <pt idx="1503">
                  <v>38126</v>
                </pt>
                <pt idx="1504">
                  <v>38007</v>
                </pt>
                <pt idx="1505">
                  <v>33857</v>
                </pt>
                <pt idx="1506">
                  <v>57640</v>
                </pt>
                <pt idx="1507">
                  <v>24630</v>
                </pt>
                <pt idx="1508">
                  <v>10476</v>
                </pt>
                <pt idx="1509">
                  <v>26308</v>
                </pt>
                <pt idx="1510">
                  <v>27805</v>
                </pt>
                <pt idx="1511">
                  <v>12095</v>
                </pt>
                <pt idx="1512">
                  <v>872</v>
                </pt>
                <pt idx="1513">
                  <v>-22334</v>
                </pt>
                <pt idx="1514">
                  <v>-18398</v>
                </pt>
                <pt idx="1515">
                  <v>-12107</v>
                </pt>
                <pt idx="1516">
                  <v>-11256</v>
                </pt>
                <pt idx="1517">
                  <v>-6138</v>
                </pt>
                <pt idx="1518">
                  <v>3773</v>
                </pt>
                <pt idx="1519">
                  <v>-3826</v>
                </pt>
                <pt idx="1520">
                  <v>-16452</v>
                </pt>
                <pt idx="1521">
                  <v>-23240</v>
                </pt>
                <pt idx="1522">
                  <v>-8299</v>
                </pt>
                <pt idx="1523">
                  <v>-11879</v>
                </pt>
                <pt idx="1524">
                  <v>-10162</v>
                </pt>
                <pt idx="1525">
                  <v>-6634</v>
                </pt>
                <pt idx="1526">
                  <v>-11458</v>
                </pt>
                <pt idx="1527">
                  <v>-4805</v>
                </pt>
                <pt idx="1528">
                  <v>15640</v>
                </pt>
                <pt idx="1529">
                  <v>32140</v>
                </pt>
                <pt idx="1530">
                  <v>22937</v>
                </pt>
                <pt idx="1531">
                  <v>29133</v>
                </pt>
                <pt idx="1532">
                  <v>37831</v>
                </pt>
                <pt idx="1533">
                  <v>49291</v>
                </pt>
                <pt idx="1534">
                  <v>57286</v>
                </pt>
                <pt idx="1535">
                  <v>51725</v>
                </pt>
                <pt idx="1536">
                  <v>8555</v>
                </pt>
                <pt idx="1537">
                  <v>21349</v>
                </pt>
                <pt idx="1538">
                  <v>19060</v>
                </pt>
                <pt idx="1539">
                  <v>18056</v>
                </pt>
                <pt idx="1540">
                  <v>29821</v>
                </pt>
                <pt idx="1541">
                  <v>22216</v>
                </pt>
                <pt idx="1542">
                  <v>12403</v>
                </pt>
                <pt idx="1543">
                  <v>-14637</v>
                </pt>
                <pt idx="1544">
                  <v>8687</v>
                </pt>
                <pt idx="1545">
                  <v>12181</v>
                </pt>
                <pt idx="1546">
                  <v>37827</v>
                </pt>
                <pt idx="1547">
                  <v>46523</v>
                </pt>
                <pt idx="1548">
                  <v>43597</v>
                </pt>
                <pt idx="1549">
                  <v>-11147</v>
                </pt>
                <pt idx="1550">
                  <v>-15893</v>
                </pt>
                <pt idx="1551">
                  <v>-7786</v>
                </pt>
                <pt idx="1552">
                  <v>-13810</v>
                </pt>
                <pt idx="1553">
                  <v>-21698</v>
                </pt>
                <pt idx="1554">
                  <v>-39294</v>
                </pt>
                <pt idx="1555">
                  <v>-38092</v>
                </pt>
                <pt idx="1556">
                  <v>-34265</v>
                </pt>
                <pt idx="1557">
                  <v>-29628</v>
                </pt>
                <pt idx="1558">
                  <v>-37541</v>
                </pt>
                <pt idx="1559">
                  <v>-39086</v>
                </pt>
                <pt idx="1560">
                  <v>-45078</v>
                </pt>
                <pt idx="1561">
                  <v>-33996</v>
                </pt>
                <pt idx="1562">
                  <v>-9811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areaChart>
        <grouping val="stacked"/>
        <varyColors val="0"/>
        <ser>
          <idx val="16"/>
          <order val="0"/>
          <tx>
            <strRef>
              <f>Database!$G$1</f>
              <strCache>
                <ptCount val="1"/>
                <pt idx="0">
                  <v>GBP</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Database!$G$2:$G$1564</f>
              <numCache>
                <formatCode>General</formatCode>
                <ptCount val="1563"/>
                <pt idx="0">
                  <v>-7651</v>
                </pt>
                <pt idx="1">
                  <v>-7228</v>
                </pt>
                <pt idx="2">
                  <v>-6089</v>
                </pt>
                <pt idx="3">
                  <v>-7853</v>
                </pt>
                <pt idx="4">
                  <v>-8347</v>
                </pt>
                <pt idx="5">
                  <v>-7677</v>
                </pt>
                <pt idx="6">
                  <v>-8216</v>
                </pt>
                <pt idx="7">
                  <v>-8827</v>
                </pt>
                <pt idx="8">
                  <v>-6178</v>
                </pt>
                <pt idx="9">
                  <v>-1986</v>
                </pt>
                <pt idx="10">
                  <v>-1762</v>
                </pt>
                <pt idx="11">
                  <v>-4274</v>
                </pt>
                <pt idx="12">
                  <v>-10404</v>
                </pt>
                <pt idx="13">
                  <v>-8878</v>
                </pt>
                <pt idx="14">
                  <v>-2051</v>
                </pt>
                <pt idx="15">
                  <v>-1152</v>
                </pt>
                <pt idx="16">
                  <v>-1603</v>
                </pt>
                <pt idx="17">
                  <v>-8951</v>
                </pt>
                <pt idx="18">
                  <v>-11824</v>
                </pt>
                <pt idx="19">
                  <v>-13191</v>
                </pt>
                <pt idx="20">
                  <v>-13425</v>
                </pt>
                <pt idx="21">
                  <v>-13284</v>
                </pt>
                <pt idx="22">
                  <v>-11891</v>
                </pt>
                <pt idx="23">
                  <v>-9627</v>
                </pt>
                <pt idx="24">
                  <v>2004</v>
                </pt>
                <pt idx="25">
                  <v>1635</v>
                </pt>
                <pt idx="26">
                  <v>4165</v>
                </pt>
                <pt idx="27">
                  <v>5694</v>
                </pt>
                <pt idx="28">
                  <v>6731</v>
                </pt>
                <pt idx="29">
                  <v>10617</v>
                </pt>
                <pt idx="30">
                  <v>10445</v>
                </pt>
                <pt idx="31">
                  <v>8956</v>
                </pt>
                <pt idx="32">
                  <v>5980</v>
                </pt>
                <pt idx="33">
                  <v>5837</v>
                </pt>
                <pt idx="34">
                  <v>3025</v>
                </pt>
                <pt idx="35">
                  <v>-3849</v>
                </pt>
                <pt idx="36">
                  <v>-4875</v>
                </pt>
                <pt idx="37">
                  <v>-9290</v>
                </pt>
                <pt idx="38">
                  <v>-4874</v>
                </pt>
                <pt idx="39">
                  <v>-4241</v>
                </pt>
                <pt idx="40">
                  <v>-3908</v>
                </pt>
                <pt idx="41">
                  <v>-3444</v>
                </pt>
                <pt idx="42">
                  <v>-3079</v>
                </pt>
                <pt idx="43">
                  <v>-4100</v>
                </pt>
                <pt idx="44">
                  <v>-9654</v>
                </pt>
                <pt idx="45">
                  <v>-10024</v>
                </pt>
                <pt idx="46">
                  <v>626</v>
                </pt>
                <pt idx="47">
                  <v>-5909</v>
                </pt>
                <pt idx="48">
                  <v>6555</v>
                </pt>
                <pt idx="49">
                  <v>7333</v>
                </pt>
                <pt idx="50">
                  <v>4459</v>
                </pt>
                <pt idx="51">
                  <v>2797</v>
                </pt>
                <pt idx="52">
                  <v>1442</v>
                </pt>
                <pt idx="53">
                  <v>1081</v>
                </pt>
                <pt idx="54">
                  <v>-4785</v>
                </pt>
                <pt idx="55">
                  <v>-7490</v>
                </pt>
                <pt idx="56">
                  <v>-7598</v>
                </pt>
                <pt idx="57">
                  <v>-10135</v>
                </pt>
                <pt idx="58">
                  <v>-9187</v>
                </pt>
                <pt idx="59">
                  <v>-6968</v>
                </pt>
                <pt idx="60">
                  <v>-3152</v>
                </pt>
                <pt idx="61">
                  <v>3076</v>
                </pt>
                <pt idx="62">
                  <v>5052</v>
                </pt>
                <pt idx="63">
                  <v>-838</v>
                </pt>
                <pt idx="64">
                  <v>7980</v>
                </pt>
                <pt idx="65">
                  <v>-2472</v>
                </pt>
                <pt idx="66">
                  <v>-1471</v>
                </pt>
                <pt idx="67">
                  <v>8819</v>
                </pt>
                <pt idx="68">
                  <v>13027</v>
                </pt>
                <pt idx="69">
                  <v>19052</v>
                </pt>
                <pt idx="70">
                  <v>-6666</v>
                </pt>
                <pt idx="71">
                  <v>-8238</v>
                </pt>
                <pt idx="72">
                  <v>-9865</v>
                </pt>
                <pt idx="73">
                  <v>-12226</v>
                </pt>
                <pt idx="74">
                  <v>-1897</v>
                </pt>
                <pt idx="75">
                  <v>612</v>
                </pt>
                <pt idx="76">
                  <v>-958</v>
                </pt>
                <pt idx="77">
                  <v>-5129</v>
                </pt>
                <pt idx="78">
                  <v>-17834</v>
                </pt>
                <pt idx="79">
                  <v>-18420</v>
                </pt>
                <pt idx="80">
                  <v>-14981</v>
                </pt>
                <pt idx="81">
                  <v>6241</v>
                </pt>
                <pt idx="82">
                  <v>12382</v>
                </pt>
                <pt idx="83">
                  <v>6704</v>
                </pt>
                <pt idx="84">
                  <v>7531</v>
                </pt>
                <pt idx="85">
                  <v>6780</v>
                </pt>
                <pt idx="86">
                  <v>6394</v>
                </pt>
                <pt idx="87">
                  <v>5521</v>
                </pt>
                <pt idx="88">
                  <v>11692</v>
                </pt>
                <pt idx="89">
                  <v>16953</v>
                </pt>
                <pt idx="90">
                  <v>16197</v>
                </pt>
                <pt idx="91">
                  <v>15147</v>
                </pt>
                <pt idx="92">
                  <v>12338</v>
                </pt>
                <pt idx="93">
                  <v>9275</v>
                </pt>
                <pt idx="94">
                  <v>-4269</v>
                </pt>
                <pt idx="95">
                  <v>-4972</v>
                </pt>
                <pt idx="96">
                  <v>-4426</v>
                </pt>
                <pt idx="97">
                  <v>-3044</v>
                </pt>
                <pt idx="98">
                  <v>38</v>
                </pt>
                <pt idx="99">
                  <v>-6618</v>
                </pt>
                <pt idx="100">
                  <v>-4327</v>
                </pt>
                <pt idx="101">
                  <v>4164</v>
                </pt>
                <pt idx="102">
                  <v>10314</v>
                </pt>
                <pt idx="103">
                  <v>11875</v>
                </pt>
                <pt idx="104">
                  <v>12819</v>
                </pt>
                <pt idx="105">
                  <v>12949</v>
                </pt>
                <pt idx="106">
                  <v>13420</v>
                </pt>
                <pt idx="107">
                  <v>14715</v>
                </pt>
                <pt idx="108">
                  <v>12479</v>
                </pt>
                <pt idx="109">
                  <v>7350</v>
                </pt>
                <pt idx="110">
                  <v>-3720</v>
                </pt>
                <pt idx="111">
                  <v>-17046</v>
                </pt>
                <pt idx="112">
                  <v>-18669</v>
                </pt>
                <pt idx="113">
                  <v>-17712</v>
                </pt>
                <pt idx="114">
                  <v>-19438</v>
                </pt>
                <pt idx="115">
                  <v>-11336</v>
                </pt>
                <pt idx="116">
                  <v>-23164</v>
                </pt>
                <pt idx="117">
                  <v>-15443</v>
                </pt>
                <pt idx="118">
                  <v>-15891</v>
                </pt>
                <pt idx="119">
                  <v>-12897</v>
                </pt>
                <pt idx="120">
                  <v>-3868</v>
                </pt>
                <pt idx="121">
                  <v>-4700</v>
                </pt>
                <pt idx="122">
                  <v>-11909</v>
                </pt>
                <pt idx="123">
                  <v>-9662</v>
                </pt>
                <pt idx="124">
                  <v>-8124</v>
                </pt>
                <pt idx="125">
                  <v>-4596</v>
                </pt>
                <pt idx="126">
                  <v>8661</v>
                </pt>
                <pt idx="127">
                  <v>4108</v>
                </pt>
                <pt idx="128">
                  <v>3477</v>
                </pt>
                <pt idx="129">
                  <v>3815</v>
                </pt>
                <pt idx="130">
                  <v>3732</v>
                </pt>
                <pt idx="131">
                  <v>2786</v>
                </pt>
                <pt idx="132">
                  <v>3473</v>
                </pt>
                <pt idx="133">
                  <v>2821</v>
                </pt>
                <pt idx="134">
                  <v>2427</v>
                </pt>
                <pt idx="135">
                  <v>1383</v>
                </pt>
                <pt idx="136">
                  <v>-10645</v>
                </pt>
                <pt idx="137">
                  <v>-10827</v>
                </pt>
                <pt idx="138">
                  <v>-6663</v>
                </pt>
                <pt idx="139">
                  <v>-6315</v>
                </pt>
                <pt idx="140">
                  <v>-6676</v>
                </pt>
                <pt idx="141">
                  <v>-2426</v>
                </pt>
                <pt idx="142">
                  <v>-4841</v>
                </pt>
                <pt idx="143">
                  <v>-5011</v>
                </pt>
                <pt idx="144">
                  <v>-5727</v>
                </pt>
                <pt idx="145">
                  <v>-5096</v>
                </pt>
                <pt idx="146">
                  <v>-6953</v>
                </pt>
                <pt idx="147">
                  <v>-1985</v>
                </pt>
                <pt idx="148">
                  <v>2824</v>
                </pt>
                <pt idx="149">
                  <v>-10450</v>
                </pt>
                <pt idx="150">
                  <v>-14645</v>
                </pt>
                <pt idx="151">
                  <v>-12982</v>
                </pt>
                <pt idx="152">
                  <v>-11932</v>
                </pt>
                <pt idx="153">
                  <v>-13621</v>
                </pt>
                <pt idx="154">
                  <v>-13549</v>
                </pt>
                <pt idx="155">
                  <v>6465</v>
                </pt>
                <pt idx="156">
                  <v>6050</v>
                </pt>
                <pt idx="157">
                  <v>7967</v>
                </pt>
                <pt idx="158">
                  <v>8494</v>
                </pt>
                <pt idx="159">
                  <v>8801</v>
                </pt>
                <pt idx="160">
                  <v>8387</v>
                </pt>
                <pt idx="161">
                  <v>8996</v>
                </pt>
                <pt idx="162">
                  <v>-9594</v>
                </pt>
                <pt idx="163">
                  <v>-18344</v>
                </pt>
                <pt idx="164">
                  <v>-15378</v>
                </pt>
                <pt idx="165">
                  <v>-16525</v>
                </pt>
                <pt idx="166">
                  <v>-14101</v>
                </pt>
                <pt idx="167">
                  <v>-12295</v>
                </pt>
                <pt idx="168">
                  <v>-1927</v>
                </pt>
                <pt idx="169">
                  <v>4562</v>
                </pt>
                <pt idx="170">
                  <v>7619</v>
                </pt>
                <pt idx="171">
                  <v>4971</v>
                </pt>
                <pt idx="172">
                  <v>-16895</v>
                </pt>
                <pt idx="173">
                  <v>-20841</v>
                </pt>
                <pt idx="174">
                  <v>-1863</v>
                </pt>
                <pt idx="175">
                  <v>1285</v>
                </pt>
                <pt idx="176">
                  <v>5746</v>
                </pt>
                <pt idx="177">
                  <v>2172</v>
                </pt>
                <pt idx="178">
                  <v>-508</v>
                </pt>
                <pt idx="179">
                  <v>-9455</v>
                </pt>
                <pt idx="180">
                  <v>-6106</v>
                </pt>
                <pt idx="181">
                  <v>-5152</v>
                </pt>
                <pt idx="182">
                  <v>-8841</v>
                </pt>
                <pt idx="183">
                  <v>-9214</v>
                </pt>
                <pt idx="184">
                  <v>-17699</v>
                </pt>
                <pt idx="185">
                  <v>-10531</v>
                </pt>
                <pt idx="186">
                  <v>-11113</v>
                </pt>
                <pt idx="187">
                  <v>-10506</v>
                </pt>
                <pt idx="188">
                  <v>-438</v>
                </pt>
                <pt idx="189">
                  <v>-852</v>
                </pt>
                <pt idx="190">
                  <v>44</v>
                </pt>
                <pt idx="191">
                  <v>25205</v>
                </pt>
                <pt idx="192">
                  <v>22915</v>
                </pt>
                <pt idx="193">
                  <v>15193</v>
                </pt>
                <pt idx="194">
                  <v>14530</v>
                </pt>
                <pt idx="195">
                  <v>16187</v>
                </pt>
                <pt idx="196">
                  <v>20190</v>
                </pt>
                <pt idx="197">
                  <v>19641</v>
                </pt>
                <pt idx="198">
                  <v>13522</v>
                </pt>
                <pt idx="199">
                  <v>13676</v>
                </pt>
                <pt idx="200">
                  <v>5934</v>
                </pt>
                <pt idx="201">
                  <v>4663</v>
                </pt>
                <pt idx="202">
                  <v>5440</v>
                </pt>
                <pt idx="203">
                  <v>8753</v>
                </pt>
                <pt idx="204">
                  <v>18934</v>
                </pt>
                <pt idx="205">
                  <v>18027</v>
                </pt>
                <pt idx="206">
                  <v>17847</v>
                </pt>
                <pt idx="207">
                  <v>16694</v>
                </pt>
                <pt idx="208">
                  <v>17986</v>
                </pt>
                <pt idx="209">
                  <v>16022</v>
                </pt>
                <pt idx="210">
                  <v>22679</v>
                </pt>
                <pt idx="211">
                  <v>23331</v>
                </pt>
                <pt idx="212">
                  <v>23706</v>
                </pt>
                <pt idx="213">
                  <v>22910</v>
                </pt>
                <pt idx="214">
                  <v>22791</v>
                </pt>
                <pt idx="215">
                  <v>21750</v>
                </pt>
                <pt idx="216">
                  <v>20397</v>
                </pt>
                <pt idx="217">
                  <v>3519</v>
                </pt>
                <pt idx="218">
                  <v>350</v>
                </pt>
                <pt idx="219">
                  <v>1278</v>
                </pt>
                <pt idx="220">
                  <v>1208</v>
                </pt>
                <pt idx="221">
                  <v>16631</v>
                </pt>
                <pt idx="222">
                  <v>14728</v>
                </pt>
                <pt idx="223">
                  <v>10728</v>
                </pt>
                <pt idx="224">
                  <v>10151</v>
                </pt>
                <pt idx="225">
                  <v>-7411</v>
                </pt>
                <pt idx="226">
                  <v>-11716</v>
                </pt>
                <pt idx="227">
                  <v>-8660</v>
                </pt>
                <pt idx="228">
                  <v>-9489</v>
                </pt>
                <pt idx="229">
                  <v>-8113</v>
                </pt>
                <pt idx="230">
                  <v>-7687</v>
                </pt>
                <pt idx="231">
                  <v>-12367</v>
                </pt>
                <pt idx="232">
                  <v>-13989</v>
                </pt>
                <pt idx="233">
                  <v>-10923</v>
                </pt>
                <pt idx="234">
                  <v>8318</v>
                </pt>
                <pt idx="235">
                  <v>8987</v>
                </pt>
                <pt idx="236">
                  <v>8513</v>
                </pt>
                <pt idx="237">
                  <v>9534</v>
                </pt>
                <pt idx="238">
                  <v>12230</v>
                </pt>
                <pt idx="239">
                  <v>8171</v>
                </pt>
                <pt idx="240">
                  <v>7370</v>
                </pt>
                <pt idx="241">
                  <v>11111</v>
                </pt>
                <pt idx="242">
                  <v>10967</v>
                </pt>
                <pt idx="243">
                  <v>11174</v>
                </pt>
                <pt idx="244">
                  <v>10422</v>
                </pt>
                <pt idx="245">
                  <v>12199</v>
                </pt>
                <pt idx="246">
                  <v>24302</v>
                </pt>
                <pt idx="247">
                  <v>21986</v>
                </pt>
                <pt idx="248">
                  <v>27277</v>
                </pt>
                <pt idx="249">
                  <v>26956</v>
                </pt>
                <pt idx="250">
                  <v>26094</v>
                </pt>
                <pt idx="251">
                  <v>-830</v>
                </pt>
                <pt idx="252">
                  <v>-5168</v>
                </pt>
                <pt idx="253">
                  <v>-12770</v>
                </pt>
                <pt idx="254">
                  <v>-13339</v>
                </pt>
                <pt idx="255">
                  <v>-11955</v>
                </pt>
                <pt idx="256">
                  <v>-11481</v>
                </pt>
                <pt idx="257">
                  <v>-10321</v>
                </pt>
                <pt idx="258">
                  <v>-11260</v>
                </pt>
                <pt idx="259">
                  <v>-9706</v>
                </pt>
                <pt idx="260">
                  <v>-7307</v>
                </pt>
                <pt idx="261">
                  <v>-5777</v>
                </pt>
                <pt idx="262">
                  <v>-6012</v>
                </pt>
                <pt idx="263">
                  <v>-111</v>
                </pt>
                <pt idx="264">
                  <v>20105</v>
                </pt>
                <pt idx="265">
                  <v>19482</v>
                </pt>
                <pt idx="266">
                  <v>24809</v>
                </pt>
                <pt idx="267">
                  <v>28441</v>
                </pt>
                <pt idx="268">
                  <v>24303</v>
                </pt>
                <pt idx="269">
                  <v>24343</v>
                </pt>
                <pt idx="270">
                  <v>5967</v>
                </pt>
                <pt idx="271">
                  <v>-1656</v>
                </pt>
                <pt idx="272">
                  <v>-1503</v>
                </pt>
                <pt idx="273">
                  <v>-381</v>
                </pt>
                <pt idx="274">
                  <v>-3620</v>
                </pt>
                <pt idx="275">
                  <v>-4560</v>
                </pt>
                <pt idx="276">
                  <v>-4240</v>
                </pt>
                <pt idx="277">
                  <v>3276</v>
                </pt>
                <pt idx="278">
                  <v>2687</v>
                </pt>
                <pt idx="279">
                  <v>1838</v>
                </pt>
                <pt idx="280">
                  <v>1615</v>
                </pt>
                <pt idx="281">
                  <v>3668</v>
                </pt>
                <pt idx="282">
                  <v>5309</v>
                </pt>
                <pt idx="283">
                  <v>-249</v>
                </pt>
                <pt idx="284">
                  <v>10879</v>
                </pt>
                <pt idx="285">
                  <v>13076</v>
                </pt>
                <pt idx="286">
                  <v>13590</v>
                </pt>
                <pt idx="287">
                  <v>11810</v>
                </pt>
                <pt idx="288">
                  <v>13358</v>
                </pt>
                <pt idx="289">
                  <v>17797</v>
                </pt>
                <pt idx="290">
                  <v>10518</v>
                </pt>
                <pt idx="291">
                  <v>6131</v>
                </pt>
                <pt idx="292">
                  <v>-12075</v>
                </pt>
                <pt idx="293">
                  <v>-19157</v>
                </pt>
                <pt idx="294">
                  <v>-16913</v>
                </pt>
                <pt idx="295">
                  <v>-18164</v>
                </pt>
                <pt idx="296">
                  <v>-16877</v>
                </pt>
                <pt idx="297">
                  <v>-11925</v>
                </pt>
                <pt idx="298">
                  <v>17132</v>
                </pt>
                <pt idx="299">
                  <v>17799</v>
                </pt>
                <pt idx="300">
                  <v>4208</v>
                </pt>
                <pt idx="301">
                  <v>-1095</v>
                </pt>
                <pt idx="302">
                  <v>-2511</v>
                </pt>
                <pt idx="303">
                  <v>4731</v>
                </pt>
                <pt idx="304">
                  <v>-2628</v>
                </pt>
                <pt idx="305">
                  <v>-4266</v>
                </pt>
                <pt idx="306">
                  <v>-26591</v>
                </pt>
                <pt idx="307">
                  <v>-13352</v>
                </pt>
                <pt idx="308">
                  <v>21739</v>
                </pt>
                <pt idx="309">
                  <v>22054</v>
                </pt>
                <pt idx="310">
                  <v>16856</v>
                </pt>
                <pt idx="311">
                  <v>18226</v>
                </pt>
                <pt idx="312">
                  <v>22791</v>
                </pt>
                <pt idx="313">
                  <v>17909</v>
                </pt>
                <pt idx="314">
                  <v>18014</v>
                </pt>
                <pt idx="315">
                  <v>16561</v>
                </pt>
                <pt idx="316">
                  <v>2108</v>
                </pt>
                <pt idx="317">
                  <v>-5703</v>
                </pt>
                <pt idx="318">
                  <v>-4665</v>
                </pt>
                <pt idx="319">
                  <v>-7483</v>
                </pt>
                <pt idx="320">
                  <v>-9562</v>
                </pt>
                <pt idx="321">
                  <v>-10428</v>
                </pt>
                <pt idx="322">
                  <v>-10692</v>
                </pt>
                <pt idx="323">
                  <v>12972</v>
                </pt>
                <pt idx="324">
                  <v>9741</v>
                </pt>
                <pt idx="325">
                  <v>12434</v>
                </pt>
                <pt idx="326">
                  <v>4966</v>
                </pt>
                <pt idx="327">
                  <v>-16161</v>
                </pt>
                <pt idx="328">
                  <v>-7265</v>
                </pt>
                <pt idx="329">
                  <v>-7263</v>
                </pt>
                <pt idx="330">
                  <v>-14356</v>
                </pt>
                <pt idx="331">
                  <v>-13656</v>
                </pt>
                <pt idx="332">
                  <v>-14215</v>
                </pt>
                <pt idx="333">
                  <v>-23784</v>
                </pt>
                <pt idx="334">
                  <v>-27766</v>
                </pt>
                <pt idx="335">
                  <v>-27603</v>
                </pt>
                <pt idx="336">
                  <v>-19133</v>
                </pt>
                <pt idx="337">
                  <v>-11196</v>
                </pt>
                <pt idx="338">
                  <v>-17021</v>
                </pt>
                <pt idx="339">
                  <v>-27260</v>
                </pt>
                <pt idx="340">
                  <v>-29132</v>
                </pt>
                <pt idx="341">
                  <v>-32116</v>
                </pt>
                <pt idx="342">
                  <v>-23495</v>
                </pt>
                <pt idx="343">
                  <v>-15908</v>
                </pt>
                <pt idx="344">
                  <v>14393</v>
                </pt>
                <pt idx="345">
                  <v>14248</v>
                </pt>
                <pt idx="346">
                  <v>-11749</v>
                </pt>
                <pt idx="347">
                  <v>-20502</v>
                </pt>
                <pt idx="348">
                  <v>-18315</v>
                </pt>
                <pt idx="349">
                  <v>-19010</v>
                </pt>
                <pt idx="350">
                  <v>-22153</v>
                </pt>
                <pt idx="351">
                  <v>-34422</v>
                </pt>
                <pt idx="352">
                  <v>-38905</v>
                </pt>
                <pt idx="353">
                  <v>-40297</v>
                </pt>
                <pt idx="354">
                  <v>-31695</v>
                </pt>
                <pt idx="355">
                  <v>-26738</v>
                </pt>
                <pt idx="356">
                  <v>3544</v>
                </pt>
                <pt idx="357">
                  <v>8285</v>
                </pt>
                <pt idx="358">
                  <v>9438</v>
                </pt>
                <pt idx="359">
                  <v>7311</v>
                </pt>
                <pt idx="360">
                  <v>10782</v>
                </pt>
                <pt idx="361">
                  <v>3943</v>
                </pt>
                <pt idx="362">
                  <v>10331</v>
                </pt>
                <pt idx="363">
                  <v>9016</v>
                </pt>
                <pt idx="364">
                  <v>28282</v>
                </pt>
                <pt idx="365">
                  <v>36351</v>
                </pt>
                <pt idx="366">
                  <v>35585</v>
                </pt>
                <pt idx="367">
                  <v>43779</v>
                </pt>
                <pt idx="368">
                  <v>34044</v>
                </pt>
                <pt idx="369">
                  <v>31156</v>
                </pt>
                <pt idx="370">
                  <v>9653</v>
                </pt>
                <pt idx="371">
                  <v>7208</v>
                </pt>
                <pt idx="372">
                  <v>8488</v>
                </pt>
                <pt idx="373">
                  <v>-1117</v>
                </pt>
                <pt idx="374">
                  <v>-3565</v>
                </pt>
                <pt idx="375">
                  <v>-3064</v>
                </pt>
                <pt idx="376">
                  <v>-3981</v>
                </pt>
                <pt idx="377">
                  <v>-4587</v>
                </pt>
                <pt idx="378">
                  <v>4043</v>
                </pt>
                <pt idx="379">
                  <v>14108</v>
                </pt>
                <pt idx="380">
                  <v>14998</v>
                </pt>
                <pt idx="381">
                  <v>20092</v>
                </pt>
                <pt idx="382">
                  <v>-201</v>
                </pt>
                <pt idx="383">
                  <v>-15910</v>
                </pt>
                <pt idx="384">
                  <v>-14138</v>
                </pt>
                <pt idx="385">
                  <v>-10441</v>
                </pt>
                <pt idx="386">
                  <v>-14810</v>
                </pt>
                <pt idx="387">
                  <v>-12357</v>
                </pt>
                <pt idx="388">
                  <v>-17790</v>
                </pt>
                <pt idx="389">
                  <v>-17132</v>
                </pt>
                <pt idx="390">
                  <v>-5674</v>
                </pt>
                <pt idx="391">
                  <v>-1120</v>
                </pt>
                <pt idx="392">
                  <v>-5762</v>
                </pt>
                <pt idx="393">
                  <v>-8699</v>
                </pt>
                <pt idx="394">
                  <v>-10669</v>
                </pt>
                <pt idx="395">
                  <v>-18048</v>
                </pt>
                <pt idx="396">
                  <v>-17943</v>
                </pt>
                <pt idx="397">
                  <v>-13124</v>
                </pt>
                <pt idx="398">
                  <v>-16389</v>
                </pt>
                <pt idx="399">
                  <v>-12974</v>
                </pt>
                <pt idx="400">
                  <v>-8019</v>
                </pt>
                <pt idx="401">
                  <v>-8103</v>
                </pt>
                <pt idx="402">
                  <v>-4660</v>
                </pt>
                <pt idx="403">
                  <v>-4662</v>
                </pt>
                <pt idx="404">
                  <v>-2439</v>
                </pt>
                <pt idx="405">
                  <v>-3554</v>
                </pt>
                <pt idx="406">
                  <v>-5797</v>
                </pt>
                <pt idx="407">
                  <v>-958</v>
                </pt>
                <pt idx="408">
                  <v>-3629</v>
                </pt>
                <pt idx="409">
                  <v>-5052</v>
                </pt>
                <pt idx="410">
                  <v>-5224</v>
                </pt>
                <pt idx="411">
                  <v>-14685</v>
                </pt>
                <pt idx="412">
                  <v>-16574</v>
                </pt>
                <pt idx="413">
                  <v>-16174</v>
                </pt>
                <pt idx="414">
                  <v>-14785</v>
                </pt>
                <pt idx="415">
                  <v>-14913</v>
                </pt>
                <pt idx="416">
                  <v>-6907</v>
                </pt>
                <pt idx="417">
                  <v>-5271</v>
                </pt>
                <pt idx="418">
                  <v>-4061</v>
                </pt>
                <pt idx="419">
                  <v>-4731</v>
                </pt>
                <pt idx="420">
                  <v>-4213</v>
                </pt>
                <pt idx="421">
                  <v>-3425</v>
                </pt>
                <pt idx="422">
                  <v>-3768</v>
                </pt>
                <pt idx="423">
                  <v>-4342</v>
                </pt>
                <pt idx="424">
                  <v>-5824</v>
                </pt>
                <pt idx="425">
                  <v>-6969</v>
                </pt>
                <pt idx="426">
                  <v>-5349</v>
                </pt>
                <pt idx="427">
                  <v>-2189</v>
                </pt>
                <pt idx="428">
                  <v>-1618</v>
                </pt>
                <pt idx="429">
                  <v>-388</v>
                </pt>
                <pt idx="430">
                  <v>1837</v>
                </pt>
                <pt idx="431">
                  <v>2638</v>
                </pt>
                <pt idx="432">
                  <v>2000</v>
                </pt>
                <pt idx="433">
                  <v>1868</v>
                </pt>
                <pt idx="434">
                  <v>1358</v>
                </pt>
                <pt idx="435">
                  <v>1002</v>
                </pt>
                <pt idx="436">
                  <v>-1701</v>
                </pt>
                <pt idx="437">
                  <v>-2950</v>
                </pt>
                <pt idx="438">
                  <v>-2738</v>
                </pt>
                <pt idx="439">
                  <v>43</v>
                </pt>
                <pt idx="440">
                  <v>998</v>
                </pt>
                <pt idx="441">
                  <v>-5106</v>
                </pt>
                <pt idx="442">
                  <v>-8302</v>
                </pt>
                <pt idx="443">
                  <v>-8464</v>
                </pt>
                <pt idx="444">
                  <v>-5579</v>
                </pt>
                <pt idx="445">
                  <v>-6973</v>
                </pt>
                <pt idx="446">
                  <v>-5013</v>
                </pt>
                <pt idx="447">
                  <v>-5592</v>
                </pt>
                <pt idx="448">
                  <v>-9522</v>
                </pt>
                <pt idx="449">
                  <v>-10314</v>
                </pt>
                <pt idx="450">
                  <v>-8024</v>
                </pt>
                <pt idx="451">
                  <v>-9858</v>
                </pt>
                <pt idx="452">
                  <v>-12241</v>
                </pt>
                <pt idx="453">
                  <v>-12401</v>
                </pt>
                <pt idx="454">
                  <v>-13351</v>
                </pt>
                <pt idx="455">
                  <v>-8951</v>
                </pt>
                <pt idx="456">
                  <v>-8565</v>
                </pt>
                <pt idx="457">
                  <v>-6817</v>
                </pt>
                <pt idx="458">
                  <v>-7682</v>
                </pt>
                <pt idx="459">
                  <v>-1720</v>
                </pt>
                <pt idx="460">
                  <v>-2012</v>
                </pt>
                <pt idx="461">
                  <v>-3137</v>
                </pt>
                <pt idx="462">
                  <v>1208</v>
                </pt>
                <pt idx="463">
                  <v>10800</v>
                </pt>
                <pt idx="464">
                  <v>14793</v>
                </pt>
                <pt idx="465">
                  <v>12046</v>
                </pt>
                <pt idx="466">
                  <v>12425</v>
                </pt>
                <pt idx="467">
                  <v>10169</v>
                </pt>
                <pt idx="468">
                  <v>9306</v>
                </pt>
                <pt idx="469">
                  <v>9194</v>
                </pt>
                <pt idx="470">
                  <v>8288</v>
                </pt>
                <pt idx="471">
                  <v>4786</v>
                </pt>
                <pt idx="472">
                  <v>-1279</v>
                </pt>
                <pt idx="473">
                  <v>899</v>
                </pt>
                <pt idx="474">
                  <v>2050</v>
                </pt>
                <pt idx="475">
                  <v>1755</v>
                </pt>
                <pt idx="476">
                  <v>-6058</v>
                </pt>
                <pt idx="477">
                  <v>-8478</v>
                </pt>
                <pt idx="478">
                  <v>-8948</v>
                </pt>
                <pt idx="479">
                  <v>-2460</v>
                </pt>
                <pt idx="480">
                  <v>1742</v>
                </pt>
                <pt idx="481">
                  <v>-1628</v>
                </pt>
                <pt idx="482">
                  <v>-2485</v>
                </pt>
                <pt idx="483">
                  <v>-3410</v>
                </pt>
                <pt idx="484">
                  <v>-4517</v>
                </pt>
                <pt idx="485">
                  <v>-3089</v>
                </pt>
                <pt idx="486">
                  <v>-11942</v>
                </pt>
                <pt idx="487">
                  <v>-10864</v>
                </pt>
                <pt idx="488">
                  <v>-5398</v>
                </pt>
                <pt idx="489">
                  <v>-5595</v>
                </pt>
                <pt idx="490">
                  <v>-6214</v>
                </pt>
                <pt idx="491">
                  <v>-3596</v>
                </pt>
                <pt idx="492">
                  <v>-10123</v>
                </pt>
                <pt idx="493">
                  <v>-6691</v>
                </pt>
                <pt idx="494">
                  <v>-855</v>
                </pt>
                <pt idx="495">
                  <v>4602</v>
                </pt>
                <pt idx="496">
                  <v>244</v>
                </pt>
                <pt idx="497">
                  <v>2437</v>
                </pt>
                <pt idx="498">
                  <v>8681</v>
                </pt>
                <pt idx="499">
                  <v>10558</v>
                </pt>
                <pt idx="500">
                  <v>11670</v>
                </pt>
                <pt idx="501">
                  <v>4393</v>
                </pt>
                <pt idx="502">
                  <v>5239</v>
                </pt>
                <pt idx="503">
                  <v>4646</v>
                </pt>
                <pt idx="504">
                  <v>2850</v>
                </pt>
                <pt idx="505">
                  <v>9828</v>
                </pt>
                <pt idx="506">
                  <v>5843</v>
                </pt>
                <pt idx="507">
                  <v>5240</v>
                </pt>
                <pt idx="508">
                  <v>2229</v>
                </pt>
                <pt idx="509">
                  <v>1916</v>
                </pt>
                <pt idx="510">
                  <v>-255</v>
                </pt>
                <pt idx="511">
                  <v>167</v>
                </pt>
                <pt idx="512">
                  <v>1514</v>
                </pt>
                <pt idx="513">
                  <v>2532</v>
                </pt>
                <pt idx="514">
                  <v>1031</v>
                </pt>
                <pt idx="515">
                  <v>-1177</v>
                </pt>
                <pt idx="516">
                  <v>2563</v>
                </pt>
                <pt idx="517">
                  <v>2871</v>
                </pt>
                <pt idx="518">
                  <v>2023</v>
                </pt>
                <pt idx="519">
                  <v>-2423</v>
                </pt>
                <pt idx="520">
                  <v>-1680</v>
                </pt>
                <pt idx="521">
                  <v>-384</v>
                </pt>
                <pt idx="522">
                  <v>-1155</v>
                </pt>
                <pt idx="523">
                  <v>2285</v>
                </pt>
                <pt idx="524">
                  <v>267</v>
                </pt>
                <pt idx="525">
                  <v>7677</v>
                </pt>
                <pt idx="526">
                  <v>9963</v>
                </pt>
                <pt idx="527">
                  <v>15319</v>
                </pt>
                <pt idx="528">
                  <v>13375</v>
                </pt>
                <pt idx="529">
                  <v>6746</v>
                </pt>
                <pt idx="530">
                  <v>740</v>
                </pt>
                <pt idx="531">
                  <v>3542</v>
                </pt>
                <pt idx="532">
                  <v>7757</v>
                </pt>
                <pt idx="533">
                  <v>6901</v>
                </pt>
                <pt idx="534">
                  <v>8370</v>
                </pt>
                <pt idx="535">
                  <v>8814</v>
                </pt>
                <pt idx="536">
                  <v>10165</v>
                </pt>
                <pt idx="537">
                  <v>11291</v>
                </pt>
                <pt idx="538">
                  <v>9304</v>
                </pt>
                <pt idx="539">
                  <v>8982</v>
                </pt>
                <pt idx="540">
                  <v>4992</v>
                </pt>
                <pt idx="541">
                  <v>376</v>
                </pt>
                <pt idx="542">
                  <v>-910</v>
                </pt>
                <pt idx="543">
                  <v>-188</v>
                </pt>
                <pt idx="544">
                  <v>1438</v>
                </pt>
                <pt idx="545">
                  <v>-4376</v>
                </pt>
                <pt idx="546">
                  <v>-2600</v>
                </pt>
                <pt idx="547">
                  <v>-2538</v>
                </pt>
                <pt idx="548">
                  <v>-3862</v>
                </pt>
                <pt idx="549">
                  <v>-3071</v>
                </pt>
                <pt idx="550">
                  <v>-2628</v>
                </pt>
                <pt idx="551">
                  <v>-2541</v>
                </pt>
                <pt idx="552">
                  <v>4928</v>
                </pt>
                <pt idx="553">
                  <v>4094</v>
                </pt>
                <pt idx="554">
                  <v>6886</v>
                </pt>
                <pt idx="555">
                  <v>7732</v>
                </pt>
                <pt idx="556">
                  <v>16036</v>
                </pt>
                <pt idx="557">
                  <v>18044</v>
                </pt>
                <pt idx="558">
                  <v>17448</v>
                </pt>
                <pt idx="559">
                  <v>17217</v>
                </pt>
                <pt idx="560">
                  <v>16438</v>
                </pt>
                <pt idx="561">
                  <v>9954</v>
                </pt>
                <pt idx="562">
                  <v>2502</v>
                </pt>
                <pt idx="563">
                  <v>-655</v>
                </pt>
                <pt idx="564">
                  <v>-1686</v>
                </pt>
                <pt idx="565">
                  <v>-299</v>
                </pt>
                <pt idx="566">
                  <v>581</v>
                </pt>
                <pt idx="567">
                  <v>-3603</v>
                </pt>
                <pt idx="568">
                  <v>-2183</v>
                </pt>
                <pt idx="569">
                  <v>-2325</v>
                </pt>
                <pt idx="570">
                  <v>-614</v>
                </pt>
                <pt idx="571">
                  <v>1521</v>
                </pt>
                <pt idx="572">
                  <v>10046</v>
                </pt>
                <pt idx="573">
                  <v>9923</v>
                </pt>
                <pt idx="574">
                  <v>11617</v>
                </pt>
                <pt idx="575">
                  <v>10700</v>
                </pt>
                <pt idx="576">
                  <v>12566</v>
                </pt>
                <pt idx="577">
                  <v>19666</v>
                </pt>
                <pt idx="578">
                  <v>19252</v>
                </pt>
                <pt idx="579">
                  <v>14700</v>
                </pt>
                <pt idx="580">
                  <v>18941</v>
                </pt>
                <pt idx="581">
                  <v>18781</v>
                </pt>
                <pt idx="582">
                  <v>23402</v>
                </pt>
                <pt idx="583">
                  <v>24626</v>
                </pt>
                <pt idx="584">
                  <v>22555</v>
                </pt>
                <pt idx="585">
                  <v>20337</v>
                </pt>
                <pt idx="586">
                  <v>19956</v>
                </pt>
                <pt idx="587">
                  <v>18050</v>
                </pt>
                <pt idx="588">
                  <v>13690</v>
                </pt>
                <pt idx="589">
                  <v>16235</v>
                </pt>
                <pt idx="590">
                  <v>17671</v>
                </pt>
                <pt idx="591">
                  <v>20893</v>
                </pt>
                <pt idx="592">
                  <v>19906</v>
                </pt>
                <pt idx="593">
                  <v>20159</v>
                </pt>
                <pt idx="594">
                  <v>21076</v>
                </pt>
                <pt idx="595">
                  <v>13977</v>
                </pt>
                <pt idx="596">
                  <v>10630</v>
                </pt>
                <pt idx="597">
                  <v>4095</v>
                </pt>
                <pt idx="598">
                  <v>5872</v>
                </pt>
                <pt idx="599">
                  <v>5235</v>
                </pt>
                <pt idx="600">
                  <v>11251</v>
                </pt>
                <pt idx="601">
                  <v>10648</v>
                </pt>
                <pt idx="602">
                  <v>5144</v>
                </pt>
                <pt idx="603">
                  <v>3732</v>
                </pt>
                <pt idx="604">
                  <v>4730</v>
                </pt>
                <pt idx="605">
                  <v>3219</v>
                </pt>
                <pt idx="606">
                  <v>1613</v>
                </pt>
                <pt idx="607">
                  <v>5902</v>
                </pt>
                <pt idx="608">
                  <v>10033</v>
                </pt>
                <pt idx="609">
                  <v>13477</v>
                </pt>
                <pt idx="610">
                  <v>16208</v>
                </pt>
                <pt idx="611">
                  <v>16182</v>
                </pt>
                <pt idx="612">
                  <v>13884</v>
                </pt>
                <pt idx="613">
                  <v>21077</v>
                </pt>
                <pt idx="614">
                  <v>30022</v>
                </pt>
                <pt idx="615">
                  <v>31767</v>
                </pt>
                <pt idx="616">
                  <v>24495</v>
                </pt>
                <pt idx="617">
                  <v>21606</v>
                </pt>
                <pt idx="618">
                  <v>22716</v>
                </pt>
                <pt idx="619">
                  <v>19198</v>
                </pt>
                <pt idx="620">
                  <v>7259</v>
                </pt>
                <pt idx="621">
                  <v>7089</v>
                </pt>
                <pt idx="622">
                  <v>1747</v>
                </pt>
                <pt idx="623">
                  <v>6009</v>
                </pt>
                <pt idx="624">
                  <v>6002</v>
                </pt>
                <pt idx="625">
                  <v>7816</v>
                </pt>
                <pt idx="626">
                  <v>26</v>
                </pt>
                <pt idx="627">
                  <v>-4173</v>
                </pt>
                <pt idx="628">
                  <v>-1701</v>
                </pt>
                <pt idx="629">
                  <v>9525</v>
                </pt>
                <pt idx="630">
                  <v>13342</v>
                </pt>
                <pt idx="631">
                  <v>23346</v>
                </pt>
                <pt idx="632">
                  <v>27649</v>
                </pt>
                <pt idx="633">
                  <v>33605</v>
                </pt>
                <pt idx="634">
                  <v>32775</v>
                </pt>
                <pt idx="635">
                  <v>33585</v>
                </pt>
                <pt idx="636">
                  <v>38786</v>
                </pt>
                <pt idx="637">
                  <v>34782</v>
                </pt>
                <pt idx="638">
                  <v>20151</v>
                </pt>
                <pt idx="639">
                  <v>12523</v>
                </pt>
                <pt idx="640">
                  <v>21392</v>
                </pt>
                <pt idx="641">
                  <v>18715</v>
                </pt>
                <pt idx="642">
                  <v>15990</v>
                </pt>
                <pt idx="643">
                  <v>16693</v>
                </pt>
                <pt idx="644">
                  <v>10109</v>
                </pt>
                <pt idx="645">
                  <v>22239</v>
                </pt>
                <pt idx="646">
                  <v>25156</v>
                </pt>
                <pt idx="647">
                  <v>33519</v>
                </pt>
                <pt idx="648">
                  <v>41127</v>
                </pt>
                <pt idx="649">
                  <v>37824</v>
                </pt>
                <pt idx="650">
                  <v>26655</v>
                </pt>
                <pt idx="651">
                  <v>11874</v>
                </pt>
                <pt idx="652">
                  <v>15484</v>
                </pt>
                <pt idx="653">
                  <v>20371</v>
                </pt>
                <pt idx="654">
                  <v>26798</v>
                </pt>
                <pt idx="655">
                  <v>23711</v>
                </pt>
                <pt idx="656">
                  <v>19878</v>
                </pt>
                <pt idx="657">
                  <v>20098</v>
                </pt>
                <pt idx="658">
                  <v>434</v>
                </pt>
                <pt idx="659">
                  <v>-7410</v>
                </pt>
                <pt idx="660">
                  <v>-11071</v>
                </pt>
                <pt idx="661">
                  <v>-8575</v>
                </pt>
                <pt idx="662">
                  <v>-16949</v>
                </pt>
                <pt idx="663">
                  <v>-12919</v>
                </pt>
                <pt idx="664">
                  <v>-19805</v>
                </pt>
                <pt idx="665">
                  <v>-20414</v>
                </pt>
                <pt idx="666">
                  <v>-22581</v>
                </pt>
                <pt idx="667">
                  <v>-25624</v>
                </pt>
                <pt idx="668">
                  <v>-19865</v>
                </pt>
                <pt idx="669">
                  <v>-16979</v>
                </pt>
                <pt idx="670">
                  <v>-15509</v>
                </pt>
                <pt idx="671">
                  <v>2358</v>
                </pt>
                <pt idx="672">
                  <v>5498</v>
                </pt>
                <pt idx="673">
                  <v>-2211</v>
                </pt>
                <pt idx="674">
                  <v>10996</v>
                </pt>
                <pt idx="675">
                  <v>18475</v>
                </pt>
                <pt idx="676">
                  <v>10578</v>
                </pt>
                <pt idx="677">
                  <v>2563</v>
                </pt>
                <pt idx="678">
                  <v>-16860</v>
                </pt>
                <pt idx="679">
                  <v>-23045</v>
                </pt>
                <pt idx="680">
                  <v>-21050</v>
                </pt>
                <pt idx="681">
                  <v>-14041</v>
                </pt>
                <pt idx="682">
                  <v>-14309</v>
                </pt>
                <pt idx="683">
                  <v>-19370</v>
                </pt>
                <pt idx="684">
                  <v>-23817</v>
                </pt>
                <pt idx="685">
                  <v>-33020</v>
                </pt>
                <pt idx="686">
                  <v>-33087</v>
                </pt>
                <pt idx="687">
                  <v>-25779</v>
                </pt>
                <pt idx="688">
                  <v>-7856</v>
                </pt>
                <pt idx="689">
                  <v>-8192</v>
                </pt>
                <pt idx="690">
                  <v>-11593</v>
                </pt>
                <pt idx="691">
                  <v>-15021</v>
                </pt>
                <pt idx="692">
                  <v>-4773</v>
                </pt>
                <pt idx="693">
                  <v>-3303</v>
                </pt>
                <pt idx="694">
                  <v>2848</v>
                </pt>
                <pt idx="695">
                  <v>-1910</v>
                </pt>
                <pt idx="696">
                  <v>-14062</v>
                </pt>
                <pt idx="697">
                  <v>-24644</v>
                </pt>
                <pt idx="698">
                  <v>-19881</v>
                </pt>
                <pt idx="699">
                  <v>-8189</v>
                </pt>
                <pt idx="700">
                  <v>-12344</v>
                </pt>
                <pt idx="701">
                  <v>-14632</v>
                </pt>
                <pt idx="702">
                  <v>-5235</v>
                </pt>
                <pt idx="703">
                  <v>-6284</v>
                </pt>
                <pt idx="704">
                  <v>-10684</v>
                </pt>
                <pt idx="705">
                  <v>-5624</v>
                </pt>
                <pt idx="706">
                  <v>5094</v>
                </pt>
                <pt idx="707">
                  <v>12290</v>
                </pt>
                <pt idx="708">
                  <v>18624</v>
                </pt>
                <pt idx="709">
                  <v>25767</v>
                </pt>
                <pt idx="710">
                  <v>24272</v>
                </pt>
                <pt idx="711">
                  <v>30558</v>
                </pt>
                <pt idx="712">
                  <v>39697</v>
                </pt>
                <pt idx="713">
                  <v>22286</v>
                </pt>
                <pt idx="714">
                  <v>22094</v>
                </pt>
                <pt idx="715">
                  <v>23402</v>
                </pt>
                <pt idx="716">
                  <v>6571</v>
                </pt>
                <pt idx="717">
                  <v>11863</v>
                </pt>
                <pt idx="718">
                  <v>13749</v>
                </pt>
                <pt idx="719">
                  <v>17077</v>
                </pt>
                <pt idx="720">
                  <v>22659</v>
                </pt>
                <pt idx="721">
                  <v>45003</v>
                </pt>
                <pt idx="722">
                  <v>55626</v>
                </pt>
                <pt idx="723">
                  <v>63196</v>
                </pt>
                <pt idx="724">
                  <v>56816</v>
                </pt>
                <pt idx="725">
                  <v>56125</v>
                </pt>
                <pt idx="726">
                  <v>53932</v>
                </pt>
                <pt idx="727">
                  <v>37581</v>
                </pt>
                <pt idx="728">
                  <v>42953</v>
                </pt>
                <pt idx="729">
                  <v>56967</v>
                </pt>
                <pt idx="730">
                  <v>44946</v>
                </pt>
                <pt idx="731">
                  <v>19835</v>
                </pt>
                <pt idx="732">
                  <v>33305</v>
                </pt>
                <pt idx="733">
                  <v>37165</v>
                </pt>
                <pt idx="734">
                  <v>59864</v>
                </pt>
                <pt idx="735">
                  <v>84280</v>
                </pt>
                <pt idx="736">
                  <v>62252</v>
                </pt>
                <pt idx="737">
                  <v>69089</v>
                </pt>
                <pt idx="738">
                  <v>80626</v>
                </pt>
                <pt idx="739">
                  <v>75832</v>
                </pt>
                <pt idx="740">
                  <v>79169</v>
                </pt>
                <pt idx="741">
                  <v>85598</v>
                </pt>
                <pt idx="742">
                  <v>73844</v>
                </pt>
                <pt idx="743">
                  <v>65157</v>
                </pt>
                <pt idx="744">
                  <v>58653</v>
                </pt>
                <pt idx="745">
                  <v>84318</v>
                </pt>
                <pt idx="746">
                  <v>94728</v>
                </pt>
                <pt idx="747">
                  <v>76927</v>
                </pt>
                <pt idx="748">
                  <v>92728</v>
                </pt>
                <pt idx="749">
                  <v>48598</v>
                </pt>
                <pt idx="750">
                  <v>59153</v>
                </pt>
                <pt idx="751">
                  <v>68028</v>
                </pt>
                <pt idx="752">
                  <v>27393</v>
                </pt>
                <pt idx="753">
                  <v>20403</v>
                </pt>
                <pt idx="754">
                  <v>46129</v>
                </pt>
                <pt idx="755">
                  <v>42578</v>
                </pt>
                <pt idx="756">
                  <v>55843</v>
                </pt>
                <pt idx="757">
                  <v>48417</v>
                </pt>
                <pt idx="758">
                  <v>59667</v>
                </pt>
                <pt idx="759">
                  <v>70066</v>
                </pt>
                <pt idx="760">
                  <v>63993</v>
                </pt>
                <pt idx="761">
                  <v>51997</v>
                </pt>
                <pt idx="762">
                  <v>41078</v>
                </pt>
                <pt idx="763">
                  <v>35338</v>
                </pt>
                <pt idx="764">
                  <v>47410</v>
                </pt>
                <pt idx="765">
                  <v>61860</v>
                </pt>
                <pt idx="766">
                  <v>39417</v>
                </pt>
                <pt idx="767">
                  <v>71693</v>
                </pt>
                <pt idx="768">
                  <v>96134</v>
                </pt>
                <pt idx="769">
                  <v>98173</v>
                </pt>
                <pt idx="770">
                  <v>88531</v>
                </pt>
                <pt idx="771">
                  <v>98366</v>
                </pt>
                <pt idx="772">
                  <v>83504</v>
                </pt>
                <pt idx="773">
                  <v>68713</v>
                </pt>
                <pt idx="774">
                  <v>54133</v>
                </pt>
                <pt idx="775">
                  <v>41358</v>
                </pt>
                <pt idx="776">
                  <v>29139</v>
                </pt>
                <pt idx="777">
                  <v>34571</v>
                </pt>
                <pt idx="778">
                  <v>32574</v>
                </pt>
                <pt idx="779">
                  <v>41591</v>
                </pt>
                <pt idx="780">
                  <v>13393</v>
                </pt>
                <pt idx="781">
                  <v>24557</v>
                </pt>
                <pt idx="782">
                  <v>26554</v>
                </pt>
                <pt idx="783">
                  <v>30488</v>
                </pt>
                <pt idx="784">
                  <v>35704</v>
                </pt>
                <pt idx="785">
                  <v>45421</v>
                </pt>
                <pt idx="786">
                  <v>52928</v>
                </pt>
                <pt idx="787">
                  <v>60326</v>
                </pt>
                <pt idx="788">
                  <v>43625</v>
                </pt>
                <pt idx="789">
                  <v>34385</v>
                </pt>
                <pt idx="790">
                  <v>35062</v>
                </pt>
                <pt idx="791">
                  <v>31528</v>
                </pt>
                <pt idx="792">
                  <v>56998</v>
                </pt>
                <pt idx="793">
                  <v>11537</v>
                </pt>
                <pt idx="794">
                  <v>9126</v>
                </pt>
                <pt idx="795">
                  <v>-2809</v>
                </pt>
                <pt idx="796">
                  <v>-3262</v>
                </pt>
                <pt idx="797">
                  <v>307</v>
                </pt>
                <pt idx="798">
                  <v>-729</v>
                </pt>
                <pt idx="799">
                  <v>5358</v>
                </pt>
                <pt idx="800">
                  <v>-7809</v>
                </pt>
                <pt idx="801">
                  <v>-13933</v>
                </pt>
                <pt idx="802">
                  <v>-12157</v>
                </pt>
                <pt idx="803">
                  <v>3637</v>
                </pt>
                <pt idx="804">
                  <v>15714</v>
                </pt>
                <pt idx="805">
                  <v>21229</v>
                </pt>
                <pt idx="806">
                  <v>29140</v>
                </pt>
                <pt idx="807">
                  <v>19728</v>
                </pt>
                <pt idx="808">
                  <v>-2760</v>
                </pt>
                <pt idx="809">
                  <v>-12560</v>
                </pt>
                <pt idx="810">
                  <v>-16136</v>
                </pt>
                <pt idx="811">
                  <v>4663</v>
                </pt>
                <pt idx="812">
                  <v>-24848</v>
                </pt>
                <pt idx="813">
                  <v>-30437</v>
                </pt>
                <pt idx="814">
                  <v>-24804</v>
                </pt>
                <pt idx="815">
                  <v>-25340</v>
                </pt>
                <pt idx="816">
                  <v>-24888</v>
                </pt>
                <pt idx="817">
                  <v>-29028</v>
                </pt>
                <pt idx="818">
                  <v>-21051</v>
                </pt>
                <pt idx="819">
                  <v>-31248</v>
                </pt>
                <pt idx="820">
                  <v>-12843</v>
                </pt>
                <pt idx="821">
                  <v>-2631</v>
                </pt>
                <pt idx="822">
                  <v>-8298</v>
                </pt>
                <pt idx="823">
                  <v>6423</v>
                </pt>
                <pt idx="824">
                  <v>3322</v>
                </pt>
                <pt idx="825">
                  <v>1460</v>
                </pt>
                <pt idx="826">
                  <v>-25875</v>
                </pt>
                <pt idx="827">
                  <v>-32946</v>
                </pt>
                <pt idx="828">
                  <v>-43728</v>
                </pt>
                <pt idx="829">
                  <v>-45109</v>
                </pt>
                <pt idx="830">
                  <v>-47285</v>
                </pt>
                <pt idx="831">
                  <v>-47520</v>
                </pt>
                <pt idx="832">
                  <v>-49359</v>
                </pt>
                <pt idx="833">
                  <v>-47771</v>
                </pt>
                <pt idx="834">
                  <v>-33036</v>
                </pt>
                <pt idx="835">
                  <v>-35224</v>
                </pt>
                <pt idx="836">
                  <v>-31473</v>
                </pt>
                <pt idx="837">
                  <v>-36701</v>
                </pt>
                <pt idx="838">
                  <v>-33090</v>
                </pt>
                <pt idx="839">
                  <v>-35265</v>
                </pt>
                <pt idx="840">
                  <v>-39838</v>
                </pt>
                <pt idx="841">
                  <v>-42431</v>
                </pt>
                <pt idx="842">
                  <v>-40244</v>
                </pt>
                <pt idx="843">
                  <v>-39225</v>
                </pt>
                <pt idx="844">
                  <v>-37426</v>
                </pt>
                <pt idx="845">
                  <v>-30400</v>
                </pt>
                <pt idx="846">
                  <v>-31630</v>
                </pt>
                <pt idx="847">
                  <v>-35843</v>
                </pt>
                <pt idx="848">
                  <v>-34684</v>
                </pt>
                <pt idx="849">
                  <v>-34052</v>
                </pt>
                <pt idx="850">
                  <v>-39037</v>
                </pt>
                <pt idx="851">
                  <v>-36994</v>
                </pt>
                <pt idx="852">
                  <v>-33423</v>
                </pt>
                <pt idx="853">
                  <v>-31930</v>
                </pt>
                <pt idx="854">
                  <v>-30570</v>
                </pt>
                <pt idx="855">
                  <v>-28282</v>
                </pt>
                <pt idx="856">
                  <v>-25449</v>
                </pt>
                <pt idx="857">
                  <v>-30680</v>
                </pt>
                <pt idx="858">
                  <v>-32990</v>
                </pt>
                <pt idx="859">
                  <v>-30746</v>
                </pt>
                <pt idx="860">
                  <v>-31136</v>
                </pt>
                <pt idx="861">
                  <v>-34462</v>
                </pt>
                <pt idx="862">
                  <v>-26510</v>
                </pt>
                <pt idx="863">
                  <v>-24160</v>
                </pt>
                <pt idx="864">
                  <v>-22913</v>
                </pt>
                <pt idx="865">
                  <v>-22437</v>
                </pt>
                <pt idx="866">
                  <v>-22506</v>
                </pt>
                <pt idx="867">
                  <v>-25928</v>
                </pt>
                <pt idx="868">
                  <v>-24805</v>
                </pt>
                <pt idx="869">
                  <v>-20160</v>
                </pt>
                <pt idx="870">
                  <v>-15333</v>
                </pt>
                <pt idx="871">
                  <v>-8474</v>
                </pt>
                <pt idx="872">
                  <v>-12158</v>
                </pt>
                <pt idx="873">
                  <v>-4101</v>
                </pt>
                <pt idx="874">
                  <v>-9150</v>
                </pt>
                <pt idx="875">
                  <v>-12654</v>
                </pt>
                <pt idx="876">
                  <v>-5691</v>
                </pt>
                <pt idx="877">
                  <v>-8043</v>
                </pt>
                <pt idx="878">
                  <v>-2228</v>
                </pt>
                <pt idx="879">
                  <v>-4256</v>
                </pt>
                <pt idx="880">
                  <v>-1658</v>
                </pt>
                <pt idx="881">
                  <v>-7017</v>
                </pt>
                <pt idx="882">
                  <v>-17518</v>
                </pt>
                <pt idx="883">
                  <v>-5960</v>
                </pt>
                <pt idx="884">
                  <v>-12487</v>
                </pt>
                <pt idx="885">
                  <v>-31595</v>
                </pt>
                <pt idx="886">
                  <v>-47826</v>
                </pt>
                <pt idx="887">
                  <v>-62106</v>
                </pt>
                <pt idx="888">
                  <v>-65346</v>
                </pt>
                <pt idx="889">
                  <v>-43318</v>
                </pt>
                <pt idx="890">
                  <v>-31431</v>
                </pt>
                <pt idx="891">
                  <v>-18905</v>
                </pt>
                <pt idx="892">
                  <v>-15857</v>
                </pt>
                <pt idx="893">
                  <v>-6585</v>
                </pt>
                <pt idx="894">
                  <v>-11355</v>
                </pt>
                <pt idx="895">
                  <v>-10663</v>
                </pt>
                <pt idx="896">
                  <v>-16876</v>
                </pt>
                <pt idx="897">
                  <v>-23444</v>
                </pt>
                <pt idx="898">
                  <v>-24577</v>
                </pt>
                <pt idx="899">
                  <v>-29475</v>
                </pt>
                <pt idx="900">
                  <v>-33564</v>
                </pt>
                <pt idx="901">
                  <v>-35467</v>
                </pt>
                <pt idx="902">
                  <v>-20171</v>
                </pt>
                <pt idx="903">
                  <v>-27153</v>
                </pt>
                <pt idx="904">
                  <v>-33968</v>
                </pt>
                <pt idx="905">
                  <v>-52756</v>
                </pt>
                <pt idx="906">
                  <v>-56079</v>
                </pt>
                <pt idx="907">
                  <v>-62884</v>
                </pt>
                <pt idx="908">
                  <v>-67549</v>
                </pt>
                <pt idx="909">
                  <v>-63473</v>
                </pt>
                <pt idx="910">
                  <v>-63987</v>
                </pt>
                <pt idx="911">
                  <v>-71624</v>
                </pt>
                <pt idx="912">
                  <v>-67073</v>
                </pt>
                <pt idx="913">
                  <v>-59474</v>
                </pt>
                <pt idx="914">
                  <v>-57391</v>
                </pt>
                <pt idx="915">
                  <v>-49298</v>
                </pt>
                <pt idx="916">
                  <v>-54666</v>
                </pt>
                <pt idx="917">
                  <v>-65616</v>
                </pt>
                <pt idx="918">
                  <v>-72188</v>
                </pt>
                <pt idx="919">
                  <v>-76745</v>
                </pt>
                <pt idx="920">
                  <v>-75079</v>
                </pt>
                <pt idx="921">
                  <v>-70454</v>
                </pt>
                <pt idx="922">
                  <v>-74680</v>
                </pt>
                <pt idx="923">
                  <v>-48134</v>
                </pt>
                <pt idx="924">
                  <v>-46346</v>
                </pt>
                <pt idx="925">
                  <v>-34771</v>
                </pt>
                <pt idx="926">
                  <v>-38077</v>
                </pt>
                <pt idx="927">
                  <v>-34671</v>
                </pt>
                <pt idx="928">
                  <v>-26767</v>
                </pt>
                <pt idx="929">
                  <v>-17940</v>
                </pt>
                <pt idx="930">
                  <v>-250</v>
                </pt>
                <pt idx="931">
                  <v>5021</v>
                </pt>
                <pt idx="932">
                  <v>-4431</v>
                </pt>
                <pt idx="933">
                  <v>-4365</v>
                </pt>
                <pt idx="934">
                  <v>-15266</v>
                </pt>
                <pt idx="935">
                  <v>-16068</v>
                </pt>
                <pt idx="936">
                  <v>-9127</v>
                </pt>
                <pt idx="937">
                  <v>-8989</v>
                </pt>
                <pt idx="938">
                  <v>-2194</v>
                </pt>
                <pt idx="939">
                  <v>9403</v>
                </pt>
                <pt idx="940">
                  <v>8066</v>
                </pt>
                <pt idx="941">
                  <v>5796</v>
                </pt>
                <pt idx="942">
                  <v>5089</v>
                </pt>
                <pt idx="943">
                  <v>15182</v>
                </pt>
                <pt idx="944">
                  <v>21266</v>
                </pt>
                <pt idx="945">
                  <v>23771</v>
                </pt>
                <pt idx="946">
                  <v>10197</v>
                </pt>
                <pt idx="947">
                  <v>-4864</v>
                </pt>
                <pt idx="948">
                  <v>-12920</v>
                </pt>
                <pt idx="949">
                  <v>-8186</v>
                </pt>
                <pt idx="950">
                  <v>-7432</v>
                </pt>
                <pt idx="951">
                  <v>-13121</v>
                </pt>
                <pt idx="952">
                  <v>-14133</v>
                </pt>
                <pt idx="953">
                  <v>-5090</v>
                </pt>
                <pt idx="954">
                  <v>5794</v>
                </pt>
                <pt idx="955">
                  <v>7888</v>
                </pt>
                <pt idx="956">
                  <v>22659</v>
                </pt>
                <pt idx="957">
                  <v>24475</v>
                </pt>
                <pt idx="958">
                  <v>52572</v>
                </pt>
                <pt idx="959">
                  <v>36009</v>
                </pt>
                <pt idx="960">
                  <v>25809</v>
                </pt>
                <pt idx="961">
                  <v>33906</v>
                </pt>
                <pt idx="962">
                  <v>-225</v>
                </pt>
                <pt idx="963">
                  <v>29724</v>
                </pt>
                <pt idx="964">
                  <v>743</v>
                </pt>
                <pt idx="965">
                  <v>32414</v>
                </pt>
                <pt idx="966">
                  <v>26671</v>
                </pt>
                <pt idx="967">
                  <v>30175</v>
                </pt>
                <pt idx="968">
                  <v>33583</v>
                </pt>
                <pt idx="969">
                  <v>30807</v>
                </pt>
                <pt idx="970">
                  <v>18118</v>
                </pt>
                <pt idx="971">
                  <v>-928</v>
                </pt>
                <pt idx="972">
                  <v>-14143</v>
                </pt>
                <pt idx="973">
                  <v>-1829</v>
                </pt>
                <pt idx="974">
                  <v>-1750</v>
                </pt>
                <pt idx="975">
                  <v>11226</v>
                </pt>
                <pt idx="976">
                  <v>-11360</v>
                </pt>
                <pt idx="977">
                  <v>-18349</v>
                </pt>
                <pt idx="978">
                  <v>-31669</v>
                </pt>
                <pt idx="979">
                  <v>-24801</v>
                </pt>
                <pt idx="980">
                  <v>-6714</v>
                </pt>
                <pt idx="981">
                  <v>1222</v>
                </pt>
                <pt idx="982">
                  <v>5139</v>
                </pt>
                <pt idx="983">
                  <v>245</v>
                </pt>
                <pt idx="984">
                  <v>-3096</v>
                </pt>
                <pt idx="985">
                  <v>10961</v>
                </pt>
                <pt idx="986">
                  <v>444</v>
                </pt>
                <pt idx="987">
                  <v>-13220</v>
                </pt>
                <pt idx="988">
                  <v>-26193</v>
                </pt>
                <pt idx="989">
                  <v>-59755</v>
                </pt>
                <pt idx="990">
                  <v>-64010</v>
                </pt>
                <pt idx="991">
                  <v>-68724</v>
                </pt>
                <pt idx="992">
                  <v>-61972</v>
                </pt>
                <pt idx="993">
                  <v>-53226</v>
                </pt>
                <pt idx="994">
                  <v>-50147</v>
                </pt>
                <pt idx="995">
                  <v>-47092</v>
                </pt>
                <pt idx="996">
                  <v>-29122</v>
                </pt>
                <pt idx="997">
                  <v>-32864</v>
                </pt>
                <pt idx="998">
                  <v>-36634</v>
                </pt>
                <pt idx="999">
                  <v>-46660</v>
                </pt>
                <pt idx="1000">
                  <v>-43560</v>
                </pt>
                <pt idx="1001">
                  <v>-39509</v>
                </pt>
                <pt idx="1002">
                  <v>-25939</v>
                </pt>
                <pt idx="1003">
                  <v>-29172</v>
                </pt>
                <pt idx="1004">
                  <v>-31899</v>
                </pt>
                <pt idx="1005">
                  <v>-35853</v>
                </pt>
                <pt idx="1006">
                  <v>-41634</v>
                </pt>
                <pt idx="1007">
                  <v>-31361</v>
                </pt>
                <pt idx="1008">
                  <v>-26214</v>
                </pt>
                <pt idx="1009">
                  <v>-33122</v>
                </pt>
                <pt idx="1010">
                  <v>-40599</v>
                </pt>
                <pt idx="1011">
                  <v>-31350</v>
                </pt>
                <pt idx="1012">
                  <v>-23235</v>
                </pt>
                <pt idx="1013">
                  <v>-37099</v>
                </pt>
                <pt idx="1014">
                  <v>-41848</v>
                </pt>
                <pt idx="1015">
                  <v>-15852</v>
                </pt>
                <pt idx="1016">
                  <v>-11110</v>
                </pt>
                <pt idx="1017">
                  <v>-8807</v>
                </pt>
                <pt idx="1018">
                  <v>-18784</v>
                </pt>
                <pt idx="1019">
                  <v>-13051</v>
                </pt>
                <pt idx="1020">
                  <v>7536</v>
                </pt>
                <pt idx="1021">
                  <v>16493</v>
                </pt>
                <pt idx="1022">
                  <v>25339</v>
                </pt>
                <pt idx="1023">
                  <v>25021</v>
                </pt>
                <pt idx="1024">
                  <v>11340</v>
                </pt>
                <pt idx="1025">
                  <v>1475</v>
                </pt>
                <pt idx="1026">
                  <v>-2867</v>
                </pt>
                <pt idx="1027">
                  <v>-23112</v>
                </pt>
                <pt idx="1028">
                  <v>-17153</v>
                </pt>
                <pt idx="1029">
                  <v>-758</v>
                </pt>
                <pt idx="1030">
                  <v>-5353</v>
                </pt>
                <pt idx="1031">
                  <v>-7622</v>
                </pt>
                <pt idx="1032">
                  <v>-7453</v>
                </pt>
                <pt idx="1033">
                  <v>-2934</v>
                </pt>
                <pt idx="1034">
                  <v>-1810</v>
                </pt>
                <pt idx="1035">
                  <v>-8275</v>
                </pt>
                <pt idx="1036">
                  <v>-288</v>
                </pt>
                <pt idx="1037">
                  <v>7833</v>
                </pt>
                <pt idx="1038">
                  <v>1968</v>
                </pt>
                <pt idx="1039">
                  <v>-6868</v>
                </pt>
                <pt idx="1040">
                  <v>-4366</v>
                </pt>
                <pt idx="1041">
                  <v>14412</v>
                </pt>
                <pt idx="1042">
                  <v>27137</v>
                </pt>
                <pt idx="1043">
                  <v>30094</v>
                </pt>
                <pt idx="1044">
                  <v>22572</v>
                </pt>
                <pt idx="1045">
                  <v>19599</v>
                </pt>
                <pt idx="1046">
                  <v>18397</v>
                </pt>
                <pt idx="1047">
                  <v>23403</v>
                </pt>
                <pt idx="1048">
                  <v>19279</v>
                </pt>
                <pt idx="1049">
                  <v>8228</v>
                </pt>
                <pt idx="1050">
                  <v>730</v>
                </pt>
                <pt idx="1051">
                  <v>10278</v>
                </pt>
                <pt idx="1052">
                  <v>27270</v>
                </pt>
                <pt idx="1053">
                  <v>27954</v>
                </pt>
                <pt idx="1054">
                  <v>28036</v>
                </pt>
                <pt idx="1055">
                  <v>37321</v>
                </pt>
                <pt idx="1056">
                  <v>36308</v>
                </pt>
                <pt idx="1057">
                  <v>25949</v>
                </pt>
                <pt idx="1058">
                  <v>28338</v>
                </pt>
                <pt idx="1059">
                  <v>17938</v>
                </pt>
                <pt idx="1060">
                  <v>10622</v>
                </pt>
                <pt idx="1061">
                  <v>1174</v>
                </pt>
                <pt idx="1062">
                  <v>-16776</v>
                </pt>
                <pt idx="1063">
                  <v>-23365</v>
                </pt>
                <pt idx="1064">
                  <v>-36130</v>
                </pt>
                <pt idx="1065">
                  <v>-43849</v>
                </pt>
                <pt idx="1066">
                  <v>-49800</v>
                </pt>
                <pt idx="1067">
                  <v>-61480</v>
                </pt>
                <pt idx="1068">
                  <v>-66555</v>
                </pt>
                <pt idx="1069">
                  <v>-65020</v>
                </pt>
                <pt idx="1070">
                  <v>-69969</v>
                </pt>
                <pt idx="1071">
                  <v>-61975</v>
                </pt>
                <pt idx="1072">
                  <v>-60112</v>
                </pt>
                <pt idx="1073">
                  <v>-58607</v>
                </pt>
                <pt idx="1074">
                  <v>-63086</v>
                </pt>
                <pt idx="1075">
                  <v>-65355</v>
                </pt>
                <pt idx="1076">
                  <v>-76976</v>
                </pt>
                <pt idx="1077">
                  <v>-74525</v>
                </pt>
                <pt idx="1078">
                  <v>-77738</v>
                </pt>
                <pt idx="1079">
                  <v>-53687</v>
                </pt>
                <pt idx="1080">
                  <v>-20406</v>
                </pt>
                <pt idx="1081">
                  <v>-19429</v>
                </pt>
                <pt idx="1082">
                  <v>-31324</v>
                </pt>
                <pt idx="1083">
                  <v>-34259</v>
                </pt>
                <pt idx="1084">
                  <v>-37446</v>
                </pt>
                <pt idx="1085">
                  <v>-49653</v>
                </pt>
                <pt idx="1086">
                  <v>-49463</v>
                </pt>
                <pt idx="1087">
                  <v>-46033</v>
                </pt>
                <pt idx="1088">
                  <v>-46521</v>
                </pt>
                <pt idx="1089">
                  <v>-39522</v>
                </pt>
                <pt idx="1090">
                  <v>-38226</v>
                </pt>
                <pt idx="1091">
                  <v>-43046</v>
                </pt>
                <pt idx="1092">
                  <v>-38166</v>
                </pt>
                <pt idx="1093">
                  <v>-6310</v>
                </pt>
                <pt idx="1094">
                  <v>1174</v>
                </pt>
                <pt idx="1095">
                  <v>1496</v>
                </pt>
                <pt idx="1096">
                  <v>8771</v>
                </pt>
                <pt idx="1097">
                  <v>12231</v>
                </pt>
                <pt idx="1098">
                  <v>14262</v>
                </pt>
                <pt idx="1099">
                  <v>10162</v>
                </pt>
                <pt idx="1100">
                  <v>-2392</v>
                </pt>
                <pt idx="1101">
                  <v>-9303</v>
                </pt>
                <pt idx="1102">
                  <v>-1665</v>
                </pt>
                <pt idx="1103">
                  <v>391</v>
                </pt>
                <pt idx="1104">
                  <v>18369</v>
                </pt>
                <pt idx="1105">
                  <v>18429</v>
                </pt>
                <pt idx="1106">
                  <v>17825</v>
                </pt>
                <pt idx="1107">
                  <v>14420</v>
                </pt>
                <pt idx="1108">
                  <v>22781</v>
                </pt>
                <pt idx="1109">
                  <v>18178</v>
                </pt>
                <pt idx="1110">
                  <v>11160</v>
                </pt>
                <pt idx="1111">
                  <v>8720</v>
                </pt>
                <pt idx="1112">
                  <v>22172</v>
                </pt>
                <pt idx="1113">
                  <v>10951</v>
                </pt>
                <pt idx="1114">
                  <v>10672</v>
                </pt>
                <pt idx="1115">
                  <v>22323</v>
                </pt>
                <pt idx="1116">
                  <v>28802</v>
                </pt>
                <pt idx="1117">
                  <v>29605</v>
                </pt>
                <pt idx="1118">
                  <v>21999</v>
                </pt>
                <pt idx="1119">
                  <v>25536</v>
                </pt>
                <pt idx="1120">
                  <v>29724</v>
                </pt>
                <pt idx="1121">
                  <v>33572</v>
                </pt>
                <pt idx="1122">
                  <v>46477</v>
                </pt>
                <pt idx="1123">
                  <v>50598</v>
                </pt>
                <pt idx="1124">
                  <v>47800</v>
                </pt>
                <pt idx="1125">
                  <v>44234</v>
                </pt>
                <pt idx="1126">
                  <v>40646</v>
                </pt>
                <pt idx="1127">
                  <v>31755</v>
                </pt>
                <pt idx="1128">
                  <v>33090</v>
                </pt>
                <pt idx="1129">
                  <v>35304</v>
                </pt>
                <pt idx="1130">
                  <v>34974</v>
                </pt>
                <pt idx="1131">
                  <v>35842</v>
                </pt>
                <pt idx="1132">
                  <v>52596</v>
                </pt>
                <pt idx="1133">
                  <v>49751</v>
                </pt>
                <pt idx="1134">
                  <v>56412</v>
                </pt>
                <pt idx="1135">
                  <v>41639</v>
                </pt>
                <pt idx="1136">
                  <v>38770</v>
                </pt>
                <pt idx="1137">
                  <v>27497</v>
                </pt>
                <pt idx="1138">
                  <v>24910</v>
                </pt>
                <pt idx="1139">
                  <v>12121</v>
                </pt>
                <pt idx="1140">
                  <v>18799</v>
                </pt>
                <pt idx="1141">
                  <v>13287</v>
                </pt>
                <pt idx="1142">
                  <v>15467</v>
                </pt>
                <pt idx="1143">
                  <v>9448</v>
                </pt>
                <pt idx="1144">
                  <v>26727</v>
                </pt>
                <pt idx="1145">
                  <v>-6581</v>
                </pt>
                <pt idx="1146">
                  <v>-1050</v>
                </pt>
                <pt idx="1147">
                  <v>3589</v>
                </pt>
                <pt idx="1148">
                  <v>-1075</v>
                </pt>
                <pt idx="1149">
                  <v>-2837</v>
                </pt>
                <pt idx="1150">
                  <v>-4485</v>
                </pt>
                <pt idx="1151">
                  <v>-6247</v>
                </pt>
                <pt idx="1152">
                  <v>-7462</v>
                </pt>
                <pt idx="1153">
                  <v>-12891</v>
                </pt>
                <pt idx="1154">
                  <v>-22829</v>
                </pt>
                <pt idx="1155">
                  <v>-30666</v>
                </pt>
                <pt idx="1156">
                  <v>-31014</v>
                </pt>
                <pt idx="1157">
                  <v>-23602</v>
                </pt>
                <pt idx="1158">
                  <v>-14552</v>
                </pt>
                <pt idx="1159">
                  <v>-15233</v>
                </pt>
                <pt idx="1160">
                  <v>-19302</v>
                </pt>
                <pt idx="1161">
                  <v>-25570</v>
                </pt>
                <pt idx="1162">
                  <v>-37140</v>
                </pt>
                <pt idx="1163">
                  <v>-45708</v>
                </pt>
                <pt idx="1164">
                  <v>-45340</v>
                </pt>
                <pt idx="1165">
                  <v>-42398</v>
                </pt>
                <pt idx="1166">
                  <v>-38603</v>
                </pt>
                <pt idx="1167">
                  <v>-28798</v>
                </pt>
                <pt idx="1168">
                  <v>-21870</v>
                </pt>
                <pt idx="1169">
                  <v>-26908</v>
                </pt>
                <pt idx="1170">
                  <v>-32591</v>
                </pt>
                <pt idx="1171">
                  <v>-37851</v>
                </pt>
                <pt idx="1172">
                  <v>-38557</v>
                </pt>
                <pt idx="1173">
                  <v>-36630</v>
                </pt>
                <pt idx="1174">
                  <v>-34301</v>
                </pt>
                <pt idx="1175">
                  <v>-36045</v>
                </pt>
                <pt idx="1176">
                  <v>-29281</v>
                </pt>
                <pt idx="1177">
                  <v>-34128</v>
                </pt>
                <pt idx="1178">
                  <v>-24758</v>
                </pt>
                <pt idx="1179">
                  <v>-30769</v>
                </pt>
                <pt idx="1180">
                  <v>-23362</v>
                </pt>
                <pt idx="1181">
                  <v>-25539</v>
                </pt>
                <pt idx="1182">
                  <v>-25658</v>
                </pt>
                <pt idx="1183">
                  <v>-28277</v>
                </pt>
                <pt idx="1184">
                  <v>-25434</v>
                </pt>
                <pt idx="1185">
                  <v>-22194</v>
                </pt>
                <pt idx="1186">
                  <v>-12759</v>
                </pt>
                <pt idx="1187">
                  <v>-22973</v>
                </pt>
                <pt idx="1188">
                  <v>-24199</v>
                </pt>
                <pt idx="1189">
                  <v>-21468</v>
                </pt>
                <pt idx="1190">
                  <v>-9788</v>
                </pt>
                <pt idx="1191">
                  <v>-6557</v>
                </pt>
                <pt idx="1192">
                  <v>-10371</v>
                </pt>
                <pt idx="1193">
                  <v>-3971</v>
                </pt>
                <pt idx="1194">
                  <v>3299</v>
                </pt>
                <pt idx="1195">
                  <v>-11239</v>
                </pt>
                <pt idx="1196">
                  <v>-17638</v>
                </pt>
                <pt idx="1197">
                  <v>-3619</v>
                </pt>
                <pt idx="1198">
                  <v>1267</v>
                </pt>
                <pt idx="1199">
                  <v>-2047</v>
                </pt>
                <pt idx="1200">
                  <v>-4533</v>
                </pt>
                <pt idx="1201">
                  <v>-7527</v>
                </pt>
                <pt idx="1202">
                  <v>7537</v>
                </pt>
                <pt idx="1203">
                  <v>4134</v>
                </pt>
                <pt idx="1204">
                  <v>188</v>
                </pt>
                <pt idx="1205">
                  <v>-15770</v>
                </pt>
                <pt idx="1206">
                  <v>-25260</v>
                </pt>
                <pt idx="1207">
                  <v>-32256</v>
                </pt>
                <pt idx="1208">
                  <v>-28258</v>
                </pt>
                <pt idx="1209">
                  <v>-23902</v>
                </pt>
                <pt idx="1210">
                  <v>-16920</v>
                </pt>
                <pt idx="1211">
                  <v>-26661</v>
                </pt>
                <pt idx="1212">
                  <v>-31022</v>
                </pt>
                <pt idx="1213">
                  <v>-30496</v>
                </pt>
                <pt idx="1214">
                  <v>-30521</v>
                </pt>
                <pt idx="1215">
                  <v>-38579</v>
                </pt>
                <pt idx="1216">
                  <v>-47537</v>
                </pt>
                <pt idx="1217">
                  <v>-45018</v>
                </pt>
                <pt idx="1218">
                  <v>-36300</v>
                </pt>
                <pt idx="1219">
                  <v>-36255</v>
                </pt>
                <pt idx="1220">
                  <v>-33068</v>
                </pt>
                <pt idx="1221">
                  <v>-39378</v>
                </pt>
                <pt idx="1222">
                  <v>-49005</v>
                </pt>
                <pt idx="1223">
                  <v>-13619</v>
                </pt>
                <pt idx="1224">
                  <v>-37723</v>
                </pt>
                <pt idx="1225">
                  <v>-40028</v>
                </pt>
                <pt idx="1226">
                  <v>-46506</v>
                </pt>
                <pt idx="1227">
                  <v>-51310</v>
                </pt>
                <pt idx="1228">
                  <v>-55152</v>
                </pt>
                <pt idx="1229">
                  <v>-48669</v>
                </pt>
                <pt idx="1230">
                  <v>-40408</v>
                </pt>
                <pt idx="1231">
                  <v>-34935</v>
                </pt>
                <pt idx="1232">
                  <v>-38422</v>
                </pt>
                <pt idx="1233">
                  <v>-32835</v>
                </pt>
                <pt idx="1234">
                  <v>-32851</v>
                </pt>
                <pt idx="1235">
                  <v>-66299</v>
                </pt>
                <pt idx="1236">
                  <v>-36661</v>
                </pt>
                <pt idx="1237">
                  <v>-51947</v>
                </pt>
                <pt idx="1238">
                  <v>-42711</v>
                </pt>
                <pt idx="1239">
                  <v>-49031</v>
                </pt>
                <pt idx="1240">
                  <v>-60067</v>
                </pt>
                <pt idx="1241">
                  <v>-74386</v>
                </pt>
                <pt idx="1242">
                  <v>-80572</v>
                </pt>
                <pt idx="1243">
                  <v>-82515</v>
                </pt>
                <pt idx="1244">
                  <v>-90082</v>
                </pt>
                <pt idx="1245">
                  <v>-94238</v>
                </pt>
                <pt idx="1246">
                  <v>-94978</v>
                </pt>
                <pt idx="1247">
                  <v>-92485</v>
                </pt>
                <pt idx="1248">
                  <v>-89969</v>
                </pt>
                <pt idx="1249">
                  <v>-82821</v>
                </pt>
                <pt idx="1250">
                  <v>-58686</v>
                </pt>
                <pt idx="1251">
                  <v>-87714</v>
                </pt>
                <pt idx="1252">
                  <v>-97572</v>
                </pt>
                <pt idx="1253">
                  <v>-95470</v>
                </pt>
                <pt idx="1254">
                  <v>-91558</v>
                </pt>
                <pt idx="1255">
                  <v>-83962</v>
                </pt>
                <pt idx="1256">
                  <v>-82961</v>
                </pt>
                <pt idx="1257">
                  <v>-89845</v>
                </pt>
                <pt idx="1258">
                  <v>-80313</v>
                </pt>
                <pt idx="1259">
                  <v>-74318</v>
                </pt>
                <pt idx="1260">
                  <v>-78135</v>
                </pt>
                <pt idx="1261">
                  <v>-77238</v>
                </pt>
                <pt idx="1262">
                  <v>-72343</v>
                </pt>
                <pt idx="1263">
                  <v>-59350</v>
                </pt>
                <pt idx="1264">
                  <v>-57099</v>
                </pt>
                <pt idx="1265">
                  <v>-64742</v>
                </pt>
                <pt idx="1266">
                  <v>-65831</v>
                </pt>
                <pt idx="1267">
                  <v>-66242</v>
                </pt>
                <pt idx="1268">
                  <v>-63172</v>
                </pt>
                <pt idx="1269">
                  <v>-61772</v>
                </pt>
                <pt idx="1270">
                  <v>-64539</v>
                </pt>
                <pt idx="1271">
                  <v>-65528</v>
                </pt>
                <pt idx="1272">
                  <v>-66352</v>
                </pt>
                <pt idx="1273">
                  <v>-70671</v>
                </pt>
                <pt idx="1274">
                  <v>-81437</v>
                </pt>
                <pt idx="1275">
                  <v>-107117</v>
                </pt>
                <pt idx="1276">
                  <v>-107844</v>
                </pt>
                <pt idx="1277">
                  <v>-104075</v>
                </pt>
                <pt idx="1278">
                  <v>-99673</v>
                </pt>
                <pt idx="1279">
                  <v>-105901</v>
                </pt>
                <pt idx="1280">
                  <v>-99490</v>
                </pt>
                <pt idx="1281">
                  <v>-91182</v>
                </pt>
                <pt idx="1282">
                  <v>-81364</v>
                </pt>
                <pt idx="1283">
                  <v>-46798</v>
                </pt>
                <pt idx="1284">
                  <v>-32995</v>
                </pt>
                <pt idx="1285">
                  <v>-23867</v>
                </pt>
                <pt idx="1286">
                  <v>-29651</v>
                </pt>
                <pt idx="1287">
                  <v>-36716</v>
                </pt>
                <pt idx="1288">
                  <v>-39441</v>
                </pt>
                <pt idx="1289">
                  <v>-37604</v>
                </pt>
                <pt idx="1290">
                  <v>-39133</v>
                </pt>
                <pt idx="1291">
                  <v>-27767</v>
                </pt>
                <pt idx="1292">
                  <v>-24138</v>
                </pt>
                <pt idx="1293">
                  <v>-16473</v>
                </pt>
                <pt idx="1294">
                  <v>-26197</v>
                </pt>
                <pt idx="1295">
                  <v>-29452</v>
                </pt>
                <pt idx="1296">
                  <v>-25160</v>
                </pt>
                <pt idx="1297">
                  <v>-31860</v>
                </pt>
                <pt idx="1298">
                  <v>-45900</v>
                </pt>
                <pt idx="1299">
                  <v>-51555</v>
                </pt>
                <pt idx="1300">
                  <v>-52927</v>
                </pt>
                <pt idx="1301">
                  <v>-46085</v>
                </pt>
                <pt idx="1302">
                  <v>-10161</v>
                </pt>
                <pt idx="1303">
                  <v>5054</v>
                </pt>
                <pt idx="1304">
                  <v>19949</v>
                </pt>
                <pt idx="1305">
                  <v>15508</v>
                </pt>
                <pt idx="1306">
                  <v>5047</v>
                </pt>
                <pt idx="1307">
                  <v>-1485</v>
                </pt>
                <pt idx="1308">
                  <v>1245</v>
                </pt>
                <pt idx="1309">
                  <v>-9198</v>
                </pt>
                <pt idx="1310">
                  <v>-4533</v>
                </pt>
                <pt idx="1311">
                  <v>-300</v>
                </pt>
                <pt idx="1312">
                  <v>4573</v>
                </pt>
                <pt idx="1313">
                  <v>6406</v>
                </pt>
                <pt idx="1314">
                  <v>11388</v>
                </pt>
                <pt idx="1315">
                  <v>20388</v>
                </pt>
                <pt idx="1316">
                  <v>12676</v>
                </pt>
                <pt idx="1317">
                  <v>16235</v>
                </pt>
                <pt idx="1318">
                  <v>25492</v>
                </pt>
                <pt idx="1319">
                  <v>26204</v>
                </pt>
                <pt idx="1320">
                  <v>33045</v>
                </pt>
                <pt idx="1321">
                  <v>31741</v>
                </pt>
                <pt idx="1322">
                  <v>27867</v>
                </pt>
                <pt idx="1323">
                  <v>14940</v>
                </pt>
                <pt idx="1324">
                  <v>7803</v>
                </pt>
                <pt idx="1325">
                  <v>12687</v>
                </pt>
                <pt idx="1326">
                  <v>5264</v>
                </pt>
                <pt idx="1327">
                  <v>8027</v>
                </pt>
                <pt idx="1328">
                  <v>23807</v>
                </pt>
                <pt idx="1329">
                  <v>34176</v>
                </pt>
                <pt idx="1330">
                  <v>40338</v>
                </pt>
                <pt idx="1331">
                  <v>43016</v>
                </pt>
                <pt idx="1332">
                  <v>47702</v>
                </pt>
                <pt idx="1333">
                  <v>37365</v>
                </pt>
                <pt idx="1334">
                  <v>26372</v>
                </pt>
                <pt idx="1335">
                  <v>8988</v>
                </pt>
                <pt idx="1336">
                  <v>5621</v>
                </pt>
                <pt idx="1337">
                  <v>5701</v>
                </pt>
                <pt idx="1338">
                  <v>9477</v>
                </pt>
                <pt idx="1339">
                  <v>7345</v>
                </pt>
                <pt idx="1340">
                  <v>10969</v>
                </pt>
                <pt idx="1341">
                  <v>-19206</v>
                </pt>
                <pt idx="1342">
                  <v>-21581</v>
                </pt>
                <pt idx="1343">
                  <v>-28781</v>
                </pt>
                <pt idx="1344">
                  <v>-40403</v>
                </pt>
                <pt idx="1345">
                  <v>-38752</v>
                </pt>
                <pt idx="1346">
                  <v>-46743</v>
                </pt>
                <pt idx="1347">
                  <v>-47386</v>
                </pt>
                <pt idx="1348">
                  <v>-58852</v>
                </pt>
                <pt idx="1349">
                  <v>-60741</v>
                </pt>
                <pt idx="1350">
                  <v>-72338</v>
                </pt>
                <pt idx="1351">
                  <v>-76928</v>
                </pt>
                <pt idx="1352">
                  <v>-69613</v>
                </pt>
                <pt idx="1353">
                  <v>-61179</v>
                </pt>
                <pt idx="1354">
                  <v>-79258</v>
                </pt>
                <pt idx="1355">
                  <v>-67078</v>
                </pt>
                <pt idx="1356">
                  <v>-59340</v>
                </pt>
                <pt idx="1357">
                  <v>-60507</v>
                </pt>
                <pt idx="1358">
                  <v>-50353</v>
                </pt>
                <pt idx="1359">
                  <v>-46997</v>
                </pt>
                <pt idx="1360">
                  <v>-52482</v>
                </pt>
                <pt idx="1361">
                  <v>-56799</v>
                </pt>
                <pt idx="1362">
                  <v>-47107</v>
                </pt>
                <pt idx="1363">
                  <v>-43478</v>
                </pt>
                <pt idx="1364">
                  <v>-39150</v>
                </pt>
                <pt idx="1365">
                  <v>-39750</v>
                </pt>
                <pt idx="1366">
                  <v>-42419</v>
                </pt>
                <pt idx="1367">
                  <v>-60723</v>
                </pt>
                <pt idx="1368">
                  <v>-56479</v>
                </pt>
                <pt idx="1369">
                  <v>-56914</v>
                </pt>
                <pt idx="1370">
                  <v>-60092</v>
                </pt>
                <pt idx="1371">
                  <v>-60476</v>
                </pt>
                <pt idx="1372">
                  <v>-52111</v>
                </pt>
                <pt idx="1373">
                  <v>-35196</v>
                </pt>
                <pt idx="1374">
                  <v>-33744</v>
                </pt>
                <pt idx="1375">
                  <v>-42944</v>
                </pt>
                <pt idx="1376">
                  <v>-47528</v>
                </pt>
                <pt idx="1377">
                  <v>-39263</v>
                </pt>
                <pt idx="1378">
                  <v>-34929</v>
                </pt>
                <pt idx="1379">
                  <v>-36696</v>
                </pt>
                <pt idx="1380">
                  <v>-13774</v>
                </pt>
                <pt idx="1381">
                  <v>-8582</v>
                </pt>
                <pt idx="1382">
                  <v>-9931</v>
                </pt>
                <pt idx="1383">
                  <v>-6516</v>
                </pt>
                <pt idx="1384">
                  <v>922</v>
                </pt>
                <pt idx="1385">
                  <v>-1835</v>
                </pt>
                <pt idx="1386">
                  <v>-4668</v>
                </pt>
                <pt idx="1387">
                  <v>-6879</v>
                </pt>
                <pt idx="1388">
                  <v>-3318</v>
                </pt>
                <pt idx="1389">
                  <v>-26152</v>
                </pt>
                <pt idx="1390">
                  <v>-31996</v>
                </pt>
                <pt idx="1391">
                  <v>-47762</v>
                </pt>
                <pt idx="1392">
                  <v>-44801</v>
                </pt>
                <pt idx="1393">
                  <v>-52564</v>
                </pt>
                <pt idx="1394">
                  <v>-58937</v>
                </pt>
                <pt idx="1395">
                  <v>-64244</v>
                </pt>
                <pt idx="1396">
                  <v>-72982</v>
                </pt>
                <pt idx="1397">
                  <v>-76357</v>
                </pt>
                <pt idx="1398">
                  <v>-78583</v>
                </pt>
                <pt idx="1399">
                  <v>-90150</v>
                </pt>
                <pt idx="1400">
                  <v>-102702</v>
                </pt>
                <pt idx="1401">
                  <v>-95820</v>
                </pt>
                <pt idx="1402">
                  <v>-92418</v>
                </pt>
                <pt idx="1403">
                  <v>-89028</v>
                </pt>
                <pt idx="1404">
                  <v>-84959</v>
                </pt>
                <pt idx="1405">
                  <v>-92233</v>
                </pt>
                <pt idx="1406">
                  <v>-86124</v>
                </pt>
                <pt idx="1407">
                  <v>-80795</v>
                </pt>
                <pt idx="1408">
                  <v>-77092</v>
                </pt>
                <pt idx="1409">
                  <v>-73219</v>
                </pt>
                <pt idx="1410">
                  <v>-72952</v>
                </pt>
                <pt idx="1411">
                  <v>-52440</v>
                </pt>
                <pt idx="1412">
                  <v>-32415</v>
                </pt>
                <pt idx="1413">
                  <v>-29035</v>
                </pt>
                <pt idx="1414">
                  <v>-28133</v>
                </pt>
                <pt idx="1415">
                  <v>-31903</v>
                </pt>
                <pt idx="1416">
                  <v>-36576</v>
                </pt>
                <pt idx="1417">
                  <v>-30050</v>
                </pt>
                <pt idx="1418">
                  <v>-22639</v>
                </pt>
                <pt idx="1419">
                  <v>-5780</v>
                </pt>
                <pt idx="1420">
                  <v>8697</v>
                </pt>
                <pt idx="1421">
                  <v>12393</v>
                </pt>
                <pt idx="1422">
                  <v>16510</v>
                </pt>
                <pt idx="1423">
                  <v>31532</v>
                </pt>
                <pt idx="1424">
                  <v>24922</v>
                </pt>
                <pt idx="1425">
                  <v>17689</v>
                </pt>
                <pt idx="1426">
                  <v>12987</v>
                </pt>
                <pt idx="1427">
                  <v>21084</v>
                </pt>
                <pt idx="1428">
                  <v>29258</v>
                </pt>
                <pt idx="1429">
                  <v>29598</v>
                </pt>
                <pt idx="1430">
                  <v>35162</v>
                </pt>
                <pt idx="1431">
                  <v>26328</v>
                </pt>
                <pt idx="1432">
                  <v>18640</v>
                </pt>
                <pt idx="1433">
                  <v>10884</v>
                </pt>
                <pt idx="1434">
                  <v>4993</v>
                </pt>
                <pt idx="1435">
                  <v>3693</v>
                </pt>
                <pt idx="1436">
                  <v>3232</v>
                </pt>
                <pt idx="1437">
                  <v>-1380</v>
                </pt>
                <pt idx="1438">
                  <v>-6681</v>
                </pt>
                <pt idx="1439">
                  <v>-12005</v>
                </pt>
                <pt idx="1440">
                  <v>-13688</v>
                </pt>
                <pt idx="1441">
                  <v>-18989</v>
                </pt>
                <pt idx="1442">
                  <v>-22257</v>
                </pt>
                <pt idx="1443">
                  <v>-36044</v>
                </pt>
                <pt idx="1444">
                  <v>-24048</v>
                </pt>
                <pt idx="1445">
                  <v>-15998</v>
                </pt>
                <pt idx="1446">
                  <v>-18516</v>
                </pt>
                <pt idx="1447">
                  <v>-20990</v>
                </pt>
                <pt idx="1448">
                  <v>-16408</v>
                </pt>
                <pt idx="1449">
                  <v>-13586</v>
                </pt>
                <pt idx="1450">
                  <v>-15080</v>
                </pt>
                <pt idx="1451">
                  <v>-25409</v>
                </pt>
                <pt idx="1452">
                  <v>-14727</v>
                </pt>
                <pt idx="1453">
                  <v>-2821</v>
                </pt>
                <pt idx="1454">
                  <v>6504</v>
                </pt>
                <pt idx="1455">
                  <v>5600</v>
                </pt>
                <pt idx="1456">
                  <v>6312</v>
                </pt>
                <pt idx="1457">
                  <v>12730</v>
                </pt>
                <pt idx="1458">
                  <v>2293</v>
                </pt>
                <pt idx="1459">
                  <v>2964</v>
                </pt>
                <pt idx="1460">
                  <v>-12745</v>
                </pt>
                <pt idx="1461">
                  <v>-11298</v>
                </pt>
                <pt idx="1462">
                  <v>-9802</v>
                </pt>
                <pt idx="1463">
                  <v>-2000</v>
                </pt>
                <pt idx="1464">
                  <v>-6660</v>
                </pt>
                <pt idx="1465">
                  <v>-11227</v>
                </pt>
                <pt idx="1466">
                  <v>-17695</v>
                </pt>
                <pt idx="1467">
                  <v>-19746</v>
                </pt>
                <pt idx="1468">
                  <v>-17130</v>
                </pt>
                <pt idx="1469">
                  <v>-7899</v>
                </pt>
                <pt idx="1470">
                  <v>5710</v>
                </pt>
                <pt idx="1471">
                  <v>4068</v>
                </pt>
                <pt idx="1472">
                  <v>6032</v>
                </pt>
                <pt idx="1473">
                  <v>4832</v>
                </pt>
                <pt idx="1474">
                  <v>3665</v>
                </pt>
                <pt idx="1475">
                  <v>12942</v>
                </pt>
                <pt idx="1476">
                  <v>13705</v>
                </pt>
                <pt idx="1477">
                  <v>7965</v>
                </pt>
                <pt idx="1478">
                  <v>9616</v>
                </pt>
                <pt idx="1479">
                  <v>21118</v>
                </pt>
                <pt idx="1480">
                  <v>22167</v>
                </pt>
                <pt idx="1481">
                  <v>30978</v>
                </pt>
                <pt idx="1482">
                  <v>36082</v>
                </pt>
                <pt idx="1483">
                  <v>33911</v>
                </pt>
                <pt idx="1484">
                  <v>28600</v>
                </pt>
                <pt idx="1485">
                  <v>21819</v>
                </pt>
                <pt idx="1486">
                  <v>24959</v>
                </pt>
                <pt idx="1487">
                  <v>19951</v>
                </pt>
                <pt idx="1488">
                  <v>25590</v>
                </pt>
                <pt idx="1489">
                  <v>25178</v>
                </pt>
                <pt idx="1490">
                  <v>29218</v>
                </pt>
                <pt idx="1491">
                  <v>19848</v>
                </pt>
                <pt idx="1492">
                  <v>28176</v>
                </pt>
                <pt idx="1493">
                  <v>24900</v>
                </pt>
                <pt idx="1494">
                  <v>30659</v>
                </pt>
                <pt idx="1495">
                  <v>24125</v>
                </pt>
                <pt idx="1496">
                  <v>27714</v>
                </pt>
                <pt idx="1497">
                  <v>32170</v>
                </pt>
                <pt idx="1498">
                  <v>17927</v>
                </pt>
                <pt idx="1499">
                  <v>17723</v>
                </pt>
                <pt idx="1500">
                  <v>21903</v>
                </pt>
                <pt idx="1501">
                  <v>7969</v>
                </pt>
                <pt idx="1502">
                  <v>-3497</v>
                </pt>
                <pt idx="1503">
                  <v>-5684</v>
                </pt>
                <pt idx="1504">
                  <v>-86</v>
                </pt>
                <pt idx="1505">
                  <v>7070</v>
                </pt>
                <pt idx="1506">
                  <v>4651</v>
                </pt>
                <pt idx="1507">
                  <v>-16745</v>
                </pt>
                <pt idx="1508">
                  <v>-14900</v>
                </pt>
                <pt idx="1509">
                  <v>-24524</v>
                </pt>
                <pt idx="1510">
                  <v>4790</v>
                </pt>
                <pt idx="1511">
                  <v>-218</v>
                </pt>
                <pt idx="1512">
                  <v>1964</v>
                </pt>
                <pt idx="1513">
                  <v>-20018</v>
                </pt>
                <pt idx="1514">
                  <v>-11979</v>
                </pt>
                <pt idx="1515">
                  <v>1615</v>
                </pt>
                <pt idx="1516">
                  <v>14953</v>
                </pt>
                <pt idx="1517">
                  <v>15047</v>
                </pt>
                <pt idx="1518">
                  <v>-12093</v>
                </pt>
                <pt idx="1519">
                  <v>-31599</v>
                </pt>
                <pt idx="1520">
                  <v>-34579</v>
                </pt>
                <pt idx="1521">
                  <v>-38899</v>
                </pt>
                <pt idx="1522">
                  <v>-38277</v>
                </pt>
                <pt idx="1523">
                  <v>-50748</v>
                </pt>
                <pt idx="1524">
                  <v>-57686</v>
                </pt>
                <pt idx="1525">
                  <v>-50719</v>
                </pt>
                <pt idx="1526">
                  <v>-39171</v>
                </pt>
                <pt idx="1527">
                  <v>-29166</v>
                </pt>
                <pt idx="1528">
                  <v>-247</v>
                </pt>
                <pt idx="1529">
                  <v>-7763</v>
                </pt>
                <pt idx="1530">
                  <v>-23605</v>
                </pt>
                <pt idx="1531">
                  <v>-8545</v>
                </pt>
                <pt idx="1532">
                  <v>2237</v>
                </pt>
                <pt idx="1533">
                  <v>-5809</v>
                </pt>
                <pt idx="1534">
                  <v>-337</v>
                </pt>
                <pt idx="1535">
                  <v>-12526</v>
                </pt>
                <pt idx="1536">
                  <v>-29061</v>
                </pt>
                <pt idx="1537">
                  <v>-37244</v>
                </pt>
                <pt idx="1538">
                  <v>-40070</v>
                </pt>
                <pt idx="1539">
                  <v>-41758</v>
                </pt>
                <pt idx="1540">
                  <v>-53054</v>
                </pt>
                <pt idx="1541">
                  <v>-58914</v>
                </pt>
                <pt idx="1542">
                  <v>-69621</v>
                </pt>
                <pt idx="1543">
                  <v>-73813</v>
                </pt>
                <pt idx="1544">
                  <v>-79598</v>
                </pt>
                <pt idx="1545">
                  <v>-79241</v>
                </pt>
                <pt idx="1546">
                  <v>-80372</v>
                </pt>
                <pt idx="1547">
                  <v>-74105</v>
                </pt>
                <pt idx="1548">
                  <v>-70810</v>
                </pt>
                <pt idx="1549">
                  <v>-65596</v>
                </pt>
                <pt idx="1550">
                  <v>-63247</v>
                </pt>
                <pt idx="1551">
                  <v>-53118</v>
                </pt>
                <pt idx="1552">
                  <v>-56208</v>
                </pt>
                <pt idx="1553">
                  <v>-59089</v>
                </pt>
                <pt idx="1554">
                  <v>-57250</v>
                </pt>
                <pt idx="1555">
                  <v>-53990</v>
                </pt>
                <pt idx="1556">
                  <v>-56409</v>
                </pt>
                <pt idx="1557">
                  <v>-34468</v>
                </pt>
                <pt idx="1558">
                  <v>-33109</v>
                </pt>
                <pt idx="1559">
                  <v>-27966</v>
                </pt>
                <pt idx="1560">
                  <v>-29170</v>
                </pt>
                <pt idx="1561">
                  <v>-50432</v>
                </pt>
                <pt idx="1562">
                  <v>-68086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areaChart>
        <grouping val="stacked"/>
        <varyColors val="0"/>
        <ser>
          <idx val="17"/>
          <order val="0"/>
          <tx>
            <strRef>
              <f>Database!$H$1</f>
              <strCache>
                <ptCount val="1"/>
                <pt idx="0">
                  <v>JPY</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Database!$H$2:$H$1564</f>
              <numCache>
                <formatCode>General</formatCode>
                <ptCount val="1563"/>
                <pt idx="0">
                  <v>6900</v>
                </pt>
                <pt idx="1">
                  <v>3655</v>
                </pt>
                <pt idx="2">
                  <v>5811</v>
                </pt>
                <pt idx="3">
                  <v>4608</v>
                </pt>
                <pt idx="4">
                  <v>1625</v>
                </pt>
                <pt idx="5">
                  <v>-1800</v>
                </pt>
                <pt idx="6">
                  <v>-4807</v>
                </pt>
                <pt idx="7">
                  <v>-4451</v>
                </pt>
                <pt idx="8">
                  <v>-3976</v>
                </pt>
                <pt idx="9">
                  <v>-5789</v>
                </pt>
                <pt idx="10">
                  <v>-2827</v>
                </pt>
                <pt idx="11">
                  <v>41</v>
                </pt>
                <pt idx="12">
                  <v>-9125</v>
                </pt>
                <pt idx="13">
                  <v>-11350</v>
                </pt>
                <pt idx="14">
                  <v>-12893</v>
                </pt>
                <pt idx="15">
                  <v>-17700</v>
                </pt>
                <pt idx="16">
                  <v>-6056</v>
                </pt>
                <pt idx="17">
                  <v>-4169</v>
                </pt>
                <pt idx="18">
                  <v>8417</v>
                </pt>
                <pt idx="19">
                  <v>16697</v>
                </pt>
                <pt idx="20">
                  <v>20356</v>
                </pt>
                <pt idx="21">
                  <v>18963</v>
                </pt>
                <pt idx="22">
                  <v>17362</v>
                </pt>
                <pt idx="23">
                  <v>12526</v>
                </pt>
                <pt idx="24">
                  <v>17056</v>
                </pt>
                <pt idx="25">
                  <v>9928</v>
                </pt>
                <pt idx="26">
                  <v>13184</v>
                </pt>
                <pt idx="27">
                  <v>22368</v>
                </pt>
                <pt idx="28">
                  <v>22530</v>
                </pt>
                <pt idx="29">
                  <v>18877</v>
                </pt>
                <pt idx="30">
                  <v>19533</v>
                </pt>
                <pt idx="31">
                  <v>17386</v>
                </pt>
                <pt idx="32">
                  <v>21047</v>
                </pt>
                <pt idx="33">
                  <v>26486</v>
                </pt>
                <pt idx="34">
                  <v>25759</v>
                </pt>
                <pt idx="35">
                  <v>26461</v>
                </pt>
                <pt idx="36">
                  <v>29193</v>
                </pt>
                <pt idx="37">
                  <v>13911</v>
                </pt>
                <pt idx="38">
                  <v>16504</v>
                </pt>
                <pt idx="39">
                  <v>13785</v>
                </pt>
                <pt idx="40">
                  <v>12080</v>
                </pt>
                <pt idx="41">
                  <v>10736</v>
                </pt>
                <pt idx="42">
                  <v>20910</v>
                </pt>
                <pt idx="43">
                  <v>25585</v>
                </pt>
                <pt idx="44">
                  <v>20211</v>
                </pt>
                <pt idx="45">
                  <v>24637</v>
                </pt>
                <pt idx="46">
                  <v>17802</v>
                </pt>
                <pt idx="47">
                  <v>15127</v>
                </pt>
                <pt idx="48">
                  <v>5292</v>
                </pt>
                <pt idx="49">
                  <v>-7820</v>
                </pt>
                <pt idx="50">
                  <v>-13672</v>
                </pt>
                <pt idx="51">
                  <v>-9553</v>
                </pt>
                <pt idx="52">
                  <v>-12979</v>
                </pt>
                <pt idx="53">
                  <v>-13249</v>
                </pt>
                <pt idx="54">
                  <v>-33048</v>
                </pt>
                <pt idx="55">
                  <v>-40094</v>
                </pt>
                <pt idx="56">
                  <v>-32794</v>
                </pt>
                <pt idx="57">
                  <v>-30580</v>
                </pt>
                <pt idx="58">
                  <v>-10055</v>
                </pt>
                <pt idx="59">
                  <v>-14803</v>
                </pt>
                <pt idx="60">
                  <v>-22632</v>
                </pt>
                <pt idx="61">
                  <v>-19772</v>
                </pt>
                <pt idx="62">
                  <v>-25864</v>
                </pt>
                <pt idx="63">
                  <v>-42727</v>
                </pt>
                <pt idx="64">
                  <v>-43099</v>
                </pt>
                <pt idx="65">
                  <v>-22270</v>
                </pt>
                <pt idx="66">
                  <v>-20591</v>
                </pt>
                <pt idx="67">
                  <v>-18610</v>
                </pt>
                <pt idx="68">
                  <v>-32963</v>
                </pt>
                <pt idx="69">
                  <v>-9519</v>
                </pt>
                <pt idx="70">
                  <v>-6366</v>
                </pt>
                <pt idx="71">
                  <v>11167</v>
                </pt>
                <pt idx="72">
                  <v>13200</v>
                </pt>
                <pt idx="73">
                  <v>8528</v>
                </pt>
                <pt idx="74">
                  <v>3134</v>
                </pt>
                <pt idx="75">
                  <v>-1969</v>
                </pt>
                <pt idx="76">
                  <v>-8979</v>
                </pt>
                <pt idx="77">
                  <v>-6055</v>
                </pt>
                <pt idx="78">
                  <v>-407</v>
                </pt>
                <pt idx="79">
                  <v>-3126</v>
                </pt>
                <pt idx="80">
                  <v>-2468</v>
                </pt>
                <pt idx="81">
                  <v>-311</v>
                </pt>
                <pt idx="82">
                  <v>1352</v>
                </pt>
                <pt idx="83">
                  <v>-8747</v>
                </pt>
                <pt idx="84">
                  <v>-10603</v>
                </pt>
                <pt idx="85">
                  <v>-14274</v>
                </pt>
                <pt idx="86">
                  <v>-14113</v>
                </pt>
                <pt idx="87">
                  <v>-18003</v>
                </pt>
                <pt idx="88">
                  <v>-9464</v>
                </pt>
                <pt idx="89">
                  <v>-3330</v>
                </pt>
                <pt idx="90">
                  <v>-3797</v>
                </pt>
                <pt idx="91">
                  <v>2183</v>
                </pt>
                <pt idx="92">
                  <v>716</v>
                </pt>
                <pt idx="93">
                  <v>-4079</v>
                </pt>
                <pt idx="94">
                  <v>-3506</v>
                </pt>
                <pt idx="95">
                  <v>-8981</v>
                </pt>
                <pt idx="96">
                  <v>-13317</v>
                </pt>
                <pt idx="97">
                  <v>-11654</v>
                </pt>
                <pt idx="98">
                  <v>-8683</v>
                </pt>
                <pt idx="99">
                  <v>-11226</v>
                </pt>
                <pt idx="100">
                  <v>-10599</v>
                </pt>
                <pt idx="101">
                  <v>-10096</v>
                </pt>
                <pt idx="102">
                  <v>-1452</v>
                </pt>
                <pt idx="103">
                  <v>-2596</v>
                </pt>
                <pt idx="104">
                  <v>-7539</v>
                </pt>
                <pt idx="105">
                  <v>-13419</v>
                </pt>
                <pt idx="106">
                  <v>-7555</v>
                </pt>
                <pt idx="107">
                  <v>-3429</v>
                </pt>
                <pt idx="108">
                  <v>-5109</v>
                </pt>
                <pt idx="109">
                  <v>-10265</v>
                </pt>
                <pt idx="110">
                  <v>-17414</v>
                </pt>
                <pt idx="111">
                  <v>-23805</v>
                </pt>
                <pt idx="112">
                  <v>-25277</v>
                </pt>
                <pt idx="113">
                  <v>-35724</v>
                </pt>
                <pt idx="114">
                  <v>-37538</v>
                </pt>
                <pt idx="115">
                  <v>-30500</v>
                </pt>
                <pt idx="116">
                  <v>-30649</v>
                </pt>
                <pt idx="117">
                  <v>-33724</v>
                </pt>
                <pt idx="118">
                  <v>-40300</v>
                </pt>
                <pt idx="119">
                  <v>-24181</v>
                </pt>
                <pt idx="120">
                  <v>-24894</v>
                </pt>
                <pt idx="121">
                  <v>-26239</v>
                </pt>
                <pt idx="122">
                  <v>-27510</v>
                </pt>
                <pt idx="123">
                  <v>-23663</v>
                </pt>
                <pt idx="124">
                  <v>-3808</v>
                </pt>
                <pt idx="125">
                  <v>-870</v>
                </pt>
                <pt idx="126">
                  <v>2196</v>
                </pt>
                <pt idx="127">
                  <v>5165</v>
                </pt>
                <pt idx="128">
                  <v>7276</v>
                </pt>
                <pt idx="129">
                  <v>4997</v>
                </pt>
                <pt idx="130">
                  <v>5627</v>
                </pt>
                <pt idx="131">
                  <v>4767</v>
                </pt>
                <pt idx="132">
                  <v>5150</v>
                </pt>
                <pt idx="133">
                  <v>4805</v>
                </pt>
                <pt idx="134">
                  <v>3673</v>
                </pt>
                <pt idx="135">
                  <v>768</v>
                </pt>
                <pt idx="136">
                  <v>-3939</v>
                </pt>
                <pt idx="137">
                  <v>-7684</v>
                </pt>
                <pt idx="138">
                  <v>-2379</v>
                </pt>
                <pt idx="139">
                  <v>-3774</v>
                </pt>
                <pt idx="140">
                  <v>-4820</v>
                </pt>
                <pt idx="141">
                  <v>-5517</v>
                </pt>
                <pt idx="142">
                  <v>-3876</v>
                </pt>
                <pt idx="143">
                  <v>-9046</v>
                </pt>
                <pt idx="144">
                  <v>-10926</v>
                </pt>
                <pt idx="145">
                  <v>-12258</v>
                </pt>
                <pt idx="146">
                  <v>-13666</v>
                </pt>
                <pt idx="147">
                  <v>-12959</v>
                </pt>
                <pt idx="148">
                  <v>-14584</v>
                </pt>
                <pt idx="149">
                  <v>-16718</v>
                </pt>
                <pt idx="150">
                  <v>-15549</v>
                </pt>
                <pt idx="151">
                  <v>-14134</v>
                </pt>
                <pt idx="152">
                  <v>-15342</v>
                </pt>
                <pt idx="153">
                  <v>-18439</v>
                </pt>
                <pt idx="154">
                  <v>-18410</v>
                </pt>
                <pt idx="155">
                  <v>-20211</v>
                </pt>
                <pt idx="156">
                  <v>-20961</v>
                </pt>
                <pt idx="157">
                  <v>-20783</v>
                </pt>
                <pt idx="158">
                  <v>-21164</v>
                </pt>
                <pt idx="159">
                  <v>-20047</v>
                </pt>
                <pt idx="160">
                  <v>-22212</v>
                </pt>
                <pt idx="161">
                  <v>-25063</v>
                </pt>
                <pt idx="162">
                  <v>-23049</v>
                </pt>
                <pt idx="163">
                  <v>-20664</v>
                </pt>
                <pt idx="164">
                  <v>-19132</v>
                </pt>
                <pt idx="165">
                  <v>-18764</v>
                </pt>
                <pt idx="166">
                  <v>-19274</v>
                </pt>
                <pt idx="167">
                  <v>-23044</v>
                </pt>
                <pt idx="168">
                  <v>-28074</v>
                </pt>
                <pt idx="169">
                  <v>-32299</v>
                </pt>
                <pt idx="170">
                  <v>-33256</v>
                </pt>
                <pt idx="171">
                  <v>-36988</v>
                </pt>
                <pt idx="172">
                  <v>-35798</v>
                </pt>
                <pt idx="173">
                  <v>-37035</v>
                </pt>
                <pt idx="174">
                  <v>-30935</v>
                </pt>
                <pt idx="175">
                  <v>-30578</v>
                </pt>
                <pt idx="176">
                  <v>-28625</v>
                </pt>
                <pt idx="177">
                  <v>-20669</v>
                </pt>
                <pt idx="178">
                  <v>-19845</v>
                </pt>
                <pt idx="179">
                  <v>-19712</v>
                </pt>
                <pt idx="180">
                  <v>-24358</v>
                </pt>
                <pt idx="181">
                  <v>-29664</v>
                </pt>
                <pt idx="182">
                  <v>-33900</v>
                </pt>
                <pt idx="183">
                  <v>-35695</v>
                </pt>
                <pt idx="184">
                  <v>-32574</v>
                </pt>
                <pt idx="185">
                  <v>-21926</v>
                </pt>
                <pt idx="186">
                  <v>-9187</v>
                </pt>
                <pt idx="187">
                  <v>-8511</v>
                </pt>
                <pt idx="188">
                  <v>-10024</v>
                </pt>
                <pt idx="189">
                  <v>-15506</v>
                </pt>
                <pt idx="190">
                  <v>-23871</v>
                </pt>
                <pt idx="191">
                  <v>-30082</v>
                </pt>
                <pt idx="192">
                  <v>-30748</v>
                </pt>
                <pt idx="193">
                  <v>-29185</v>
                </pt>
                <pt idx="194">
                  <v>-28056</v>
                </pt>
                <pt idx="195">
                  <v>-34188</v>
                </pt>
                <pt idx="196">
                  <v>-34251</v>
                </pt>
                <pt idx="197">
                  <v>-30346</v>
                </pt>
                <pt idx="198">
                  <v>-23681</v>
                </pt>
                <pt idx="199">
                  <v>-24368</v>
                </pt>
                <pt idx="200">
                  <v>-9298</v>
                </pt>
                <pt idx="201">
                  <v>-12136</v>
                </pt>
                <pt idx="202">
                  <v>-12895</v>
                </pt>
                <pt idx="203">
                  <v>-17125</v>
                </pt>
                <pt idx="204">
                  <v>-18494</v>
                </pt>
                <pt idx="205">
                  <v>-31523</v>
                </pt>
                <pt idx="206">
                  <v>-37684</v>
                </pt>
                <pt idx="207">
                  <v>-30333</v>
                </pt>
                <pt idx="208">
                  <v>-32598</v>
                </pt>
                <pt idx="209">
                  <v>-31300</v>
                </pt>
                <pt idx="210">
                  <v>-30802</v>
                </pt>
                <pt idx="211">
                  <v>-30035</v>
                </pt>
                <pt idx="212">
                  <v>-31551</v>
                </pt>
                <pt idx="213">
                  <v>-29522</v>
                </pt>
                <pt idx="214">
                  <v>-21177</v>
                </pt>
                <pt idx="215">
                  <v>-18693</v>
                </pt>
                <pt idx="216">
                  <v>-19003</v>
                </pt>
                <pt idx="217">
                  <v>-24590</v>
                </pt>
                <pt idx="218">
                  <v>-22744</v>
                </pt>
                <pt idx="219">
                  <v>-23708</v>
                </pt>
                <pt idx="220">
                  <v>-25100</v>
                </pt>
                <pt idx="221">
                  <v>-26475</v>
                </pt>
                <pt idx="222">
                  <v>-31304</v>
                </pt>
                <pt idx="223">
                  <v>-32607</v>
                </pt>
                <pt idx="224">
                  <v>-32385</v>
                </pt>
                <pt idx="225">
                  <v>-33226</v>
                </pt>
                <pt idx="226">
                  <v>-32803</v>
                </pt>
                <pt idx="227">
                  <v>-34709</v>
                </pt>
                <pt idx="228">
                  <v>-33148</v>
                </pt>
                <pt idx="229">
                  <v>-27251</v>
                </pt>
                <pt idx="230">
                  <v>-25085</v>
                </pt>
                <pt idx="231">
                  <v>-24227</v>
                </pt>
                <pt idx="232">
                  <v>-25670</v>
                </pt>
                <pt idx="233">
                  <v>-27027</v>
                </pt>
                <pt idx="234">
                  <v>-23733</v>
                </pt>
                <pt idx="235">
                  <v>-30640</v>
                </pt>
                <pt idx="236">
                  <v>-33614</v>
                </pt>
                <pt idx="237">
                  <v>-33594</v>
                </pt>
                <pt idx="238">
                  <v>-35863</v>
                </pt>
                <pt idx="239">
                  <v>-29805</v>
                </pt>
                <pt idx="240">
                  <v>6971</v>
                </pt>
                <pt idx="241">
                  <v>13580</v>
                </pt>
                <pt idx="242">
                  <v>9947</v>
                </pt>
                <pt idx="243">
                  <v>10839</v>
                </pt>
                <pt idx="244">
                  <v>10305</v>
                </pt>
                <pt idx="245">
                  <v>4461</v>
                </pt>
                <pt idx="246">
                  <v>1138</v>
                </pt>
                <pt idx="247">
                  <v>2468</v>
                </pt>
                <pt idx="248">
                  <v>8191</v>
                </pt>
                <pt idx="249">
                  <v>-1594</v>
                </pt>
                <pt idx="250">
                  <v>-2617</v>
                </pt>
                <pt idx="251">
                  <v>-22087</v>
                </pt>
                <pt idx="252">
                  <v>-29326</v>
                </pt>
                <pt idx="253">
                  <v>-24325</v>
                </pt>
                <pt idx="254">
                  <v>-26730</v>
                </pt>
                <pt idx="255">
                  <v>-22748</v>
                </pt>
                <pt idx="256">
                  <v>-29314</v>
                </pt>
                <pt idx="257">
                  <v>-20403</v>
                </pt>
                <pt idx="258">
                  <v>-23221</v>
                </pt>
                <pt idx="259">
                  <v>-25155</v>
                </pt>
                <pt idx="260">
                  <v>-26133</v>
                </pt>
                <pt idx="261">
                  <v>-33002</v>
                </pt>
                <pt idx="262">
                  <v>-18769</v>
                </pt>
                <pt idx="263">
                  <v>-10907</v>
                </pt>
                <pt idx="264">
                  <v>-16255</v>
                </pt>
                <pt idx="265">
                  <v>-20842</v>
                </pt>
                <pt idx="266">
                  <v>-34135</v>
                </pt>
                <pt idx="267">
                  <v>-37522</v>
                </pt>
                <pt idx="268">
                  <v>-40207</v>
                </pt>
                <pt idx="269">
                  <v>-43148</v>
                </pt>
                <pt idx="270">
                  <v>-43600</v>
                </pt>
                <pt idx="271">
                  <v>-43086</v>
                </pt>
                <pt idx="272">
                  <v>-35407</v>
                </pt>
                <pt idx="273">
                  <v>-33958</v>
                </pt>
                <pt idx="274">
                  <v>-42053</v>
                </pt>
                <pt idx="275">
                  <v>-37612</v>
                </pt>
                <pt idx="276">
                  <v>-30261</v>
                </pt>
                <pt idx="277">
                  <v>-22630</v>
                </pt>
                <pt idx="278">
                  <v>-24272</v>
                </pt>
                <pt idx="279">
                  <v>-877</v>
                </pt>
                <pt idx="280">
                  <v>-6623</v>
                </pt>
                <pt idx="281">
                  <v>-9248</v>
                </pt>
                <pt idx="282">
                  <v>-8939</v>
                </pt>
                <pt idx="283">
                  <v>-14117</v>
                </pt>
                <pt idx="284">
                  <v>-21116</v>
                </pt>
                <pt idx="285">
                  <v>-32105</v>
                </pt>
                <pt idx="286">
                  <v>-42798</v>
                </pt>
                <pt idx="287">
                  <v>-55925</v>
                </pt>
                <pt idx="288">
                  <v>-37264</v>
                </pt>
                <pt idx="289">
                  <v>-39323</v>
                </pt>
                <pt idx="290">
                  <v>-30425</v>
                </pt>
                <pt idx="291">
                  <v>-26741</v>
                </pt>
                <pt idx="292">
                  <v>-31922</v>
                </pt>
                <pt idx="293">
                  <v>-53426</v>
                </pt>
                <pt idx="294">
                  <v>-63478</v>
                </pt>
                <pt idx="295">
                  <v>-58207</v>
                </pt>
                <pt idx="296">
                  <v>-60795</v>
                </pt>
                <pt idx="297">
                  <v>-46747</v>
                </pt>
                <pt idx="298">
                  <v>-28871</v>
                </pt>
                <pt idx="299">
                  <v>-28973</v>
                </pt>
                <pt idx="300">
                  <v>-30045</v>
                </pt>
                <pt idx="301">
                  <v>-33107</v>
                </pt>
                <pt idx="302">
                  <v>-32202</v>
                </pt>
                <pt idx="303">
                  <v>-37924</v>
                </pt>
                <pt idx="304">
                  <v>-45708</v>
                </pt>
                <pt idx="305">
                  <v>-54698</v>
                </pt>
                <pt idx="306">
                  <v>-43425</v>
                </pt>
                <pt idx="307">
                  <v>-41682</v>
                </pt>
                <pt idx="308">
                  <v>-15317</v>
                </pt>
                <pt idx="309">
                  <v>8430</v>
                </pt>
                <pt idx="310">
                  <v>5823</v>
                </pt>
                <pt idx="311">
                  <v>2063</v>
                </pt>
                <pt idx="312">
                  <v>862</v>
                </pt>
                <pt idx="313">
                  <v>7826</v>
                </pt>
                <pt idx="314">
                  <v>6249</v>
                </pt>
                <pt idx="315">
                  <v>8220</v>
                </pt>
                <pt idx="316">
                  <v>4490</v>
                </pt>
                <pt idx="317">
                  <v>8705</v>
                </pt>
                <pt idx="318">
                  <v>1073</v>
                </pt>
                <pt idx="319">
                  <v>2560</v>
                </pt>
                <pt idx="320">
                  <v>929</v>
                </pt>
                <pt idx="321">
                  <v>-2236</v>
                </pt>
                <pt idx="322">
                  <v>2295</v>
                </pt>
                <pt idx="323">
                  <v>8166</v>
                </pt>
                <pt idx="324">
                  <v>7910</v>
                </pt>
                <pt idx="325">
                  <v>9877</v>
                </pt>
                <pt idx="326">
                  <v>22020</v>
                </pt>
                <pt idx="327">
                  <v>16926</v>
                </pt>
                <pt idx="328">
                  <v>4991</v>
                </pt>
                <pt idx="329">
                  <v>8568</v>
                </pt>
                <pt idx="330">
                  <v>6104</v>
                </pt>
                <pt idx="331">
                  <v>6189</v>
                </pt>
                <pt idx="332">
                  <v>-11116</v>
                </pt>
                <pt idx="333">
                  <v>-34290</v>
                </pt>
                <pt idx="334">
                  <v>-36211</v>
                </pt>
                <pt idx="335">
                  <v>-44258</v>
                </pt>
                <pt idx="336">
                  <v>-31792</v>
                </pt>
                <pt idx="337">
                  <v>-31730</v>
                </pt>
                <pt idx="338">
                  <v>-38463</v>
                </pt>
                <pt idx="339">
                  <v>-35697</v>
                </pt>
                <pt idx="340">
                  <v>-36379</v>
                </pt>
                <pt idx="341">
                  <v>-25677</v>
                </pt>
                <pt idx="342">
                  <v>-35310</v>
                </pt>
                <pt idx="343">
                  <v>-38438</v>
                </pt>
                <pt idx="344">
                  <v>-44065</v>
                </pt>
                <pt idx="345">
                  <v>-66697</v>
                </pt>
                <pt idx="346">
                  <v>-62184</v>
                </pt>
                <pt idx="347">
                  <v>-45923</v>
                </pt>
                <pt idx="348">
                  <v>-49002</v>
                </pt>
                <pt idx="349">
                  <v>-40061</v>
                </pt>
                <pt idx="350">
                  <v>-50843</v>
                </pt>
                <pt idx="351">
                  <v>-49067</v>
                </pt>
                <pt idx="352">
                  <v>-49976</v>
                </pt>
                <pt idx="353">
                  <v>-53198</v>
                </pt>
                <pt idx="354">
                  <v>-2710</v>
                </pt>
                <pt idx="355">
                  <v>24761</v>
                </pt>
                <pt idx="356">
                  <v>41869</v>
                </pt>
                <pt idx="357">
                  <v>40077</v>
                </pt>
                <pt idx="358">
                  <v>41312</v>
                </pt>
                <pt idx="359">
                  <v>44431</v>
                </pt>
                <pt idx="360">
                  <v>53902</v>
                </pt>
                <pt idx="361">
                  <v>44633</v>
                </pt>
                <pt idx="362">
                  <v>41124</v>
                </pt>
                <pt idx="363">
                  <v>36899</v>
                </pt>
                <pt idx="364">
                  <v>31285</v>
                </pt>
                <pt idx="365">
                  <v>26594</v>
                </pt>
                <pt idx="366">
                  <v>27170</v>
                </pt>
                <pt idx="367">
                  <v>23378</v>
                </pt>
                <pt idx="368">
                  <v>27713</v>
                </pt>
                <pt idx="369">
                  <v>27807</v>
                </pt>
                <pt idx="370">
                  <v>19152</v>
                </pt>
                <pt idx="371">
                  <v>14998</v>
                </pt>
                <pt idx="372">
                  <v>26711</v>
                </pt>
                <pt idx="373">
                  <v>37980</v>
                </pt>
                <pt idx="374">
                  <v>30325</v>
                </pt>
                <pt idx="375">
                  <v>9666</v>
                </pt>
                <pt idx="376">
                  <v>17384</v>
                </pt>
                <pt idx="377">
                  <v>20392</v>
                </pt>
                <pt idx="378">
                  <v>15475</v>
                </pt>
                <pt idx="379">
                  <v>-22753</v>
                </pt>
                <pt idx="380">
                  <v>-24831</v>
                </pt>
                <pt idx="381">
                  <v>-23778</v>
                </pt>
                <pt idx="382">
                  <v>-37117</v>
                </pt>
                <pt idx="383">
                  <v>-43278</v>
                </pt>
                <pt idx="384">
                  <v>-47825</v>
                </pt>
                <pt idx="385">
                  <v>-50356</v>
                </pt>
                <pt idx="386">
                  <v>-45394</v>
                </pt>
                <pt idx="387">
                  <v>-13688</v>
                </pt>
                <pt idx="388">
                  <v>-18400</v>
                </pt>
                <pt idx="389">
                  <v>-23971</v>
                </pt>
                <pt idx="390">
                  <v>-22089</v>
                </pt>
                <pt idx="391">
                  <v>7315</v>
                </pt>
                <pt idx="392">
                  <v>3926</v>
                </pt>
                <pt idx="393">
                  <v>5614</v>
                </pt>
                <pt idx="394">
                  <v>3573</v>
                </pt>
                <pt idx="395">
                  <v>-12850</v>
                </pt>
                <pt idx="396">
                  <v>-19676</v>
                </pt>
                <pt idx="397">
                  <v>-17382</v>
                </pt>
                <pt idx="398">
                  <v>-13179</v>
                </pt>
                <pt idx="399">
                  <v>-12465</v>
                </pt>
                <pt idx="400">
                  <v>-14810</v>
                </pt>
                <pt idx="401">
                  <v>-9938</v>
                </pt>
                <pt idx="402">
                  <v>-7772</v>
                </pt>
                <pt idx="403">
                  <v>1641</v>
                </pt>
                <pt idx="404">
                  <v>-6070</v>
                </pt>
                <pt idx="405">
                  <v>-7789</v>
                </pt>
                <pt idx="406">
                  <v>-14486</v>
                </pt>
                <pt idx="407">
                  <v>-22229</v>
                </pt>
                <pt idx="408">
                  <v>-24999</v>
                </pt>
                <pt idx="409">
                  <v>-26752</v>
                </pt>
                <pt idx="410">
                  <v>-28804</v>
                </pt>
                <pt idx="411">
                  <v>-28479</v>
                </pt>
                <pt idx="412">
                  <v>-12975</v>
                </pt>
                <pt idx="413">
                  <v>-7102</v>
                </pt>
                <pt idx="414">
                  <v>6334</v>
                </pt>
                <pt idx="415">
                  <v>-4083</v>
                </pt>
                <pt idx="416">
                  <v>-4226</v>
                </pt>
                <pt idx="417">
                  <v>-13767</v>
                </pt>
                <pt idx="418">
                  <v>-30088</v>
                </pt>
                <pt idx="419">
                  <v>-29327</v>
                </pt>
                <pt idx="420">
                  <v>-27811</v>
                </pt>
                <pt idx="421">
                  <v>-27079</v>
                </pt>
                <pt idx="422">
                  <v>-23877</v>
                </pt>
                <pt idx="423">
                  <v>-22570</v>
                </pt>
                <pt idx="424">
                  <v>-35072</v>
                </pt>
                <pt idx="425">
                  <v>-33330</v>
                </pt>
                <pt idx="426">
                  <v>-32449</v>
                </pt>
                <pt idx="427">
                  <v>-41696</v>
                </pt>
                <pt idx="428">
                  <v>-38233</v>
                </pt>
                <pt idx="429">
                  <v>-42620</v>
                </pt>
                <pt idx="430">
                  <v>-41419</v>
                </pt>
                <pt idx="431">
                  <v>-40138</v>
                </pt>
                <pt idx="432">
                  <v>-33870</v>
                </pt>
                <pt idx="433">
                  <v>-29212</v>
                </pt>
                <pt idx="434">
                  <v>-25200</v>
                </pt>
                <pt idx="435">
                  <v>-26036</v>
                </pt>
                <pt idx="436">
                  <v>-27474</v>
                </pt>
                <pt idx="437">
                  <v>-27060</v>
                </pt>
                <pt idx="438">
                  <v>-27537</v>
                </pt>
                <pt idx="439">
                  <v>-31507</v>
                </pt>
                <pt idx="440">
                  <v>-18307</v>
                </pt>
                <pt idx="441">
                  <v>-581</v>
                </pt>
                <pt idx="442">
                  <v>3487</v>
                </pt>
                <pt idx="443">
                  <v>1751</v>
                </pt>
                <pt idx="444">
                  <v>1921</v>
                </pt>
                <pt idx="445">
                  <v>-25586</v>
                </pt>
                <pt idx="446">
                  <v>-23460</v>
                </pt>
                <pt idx="447">
                  <v>-5713</v>
                </pt>
                <pt idx="448">
                  <v>-2919</v>
                </pt>
                <pt idx="449">
                  <v>-2315</v>
                </pt>
                <pt idx="450">
                  <v>-27048</v>
                </pt>
                <pt idx="451">
                  <v>-10164</v>
                </pt>
                <pt idx="452">
                  <v>5263</v>
                </pt>
                <pt idx="453">
                  <v>2715</v>
                </pt>
                <pt idx="454">
                  <v>-15866</v>
                </pt>
                <pt idx="455">
                  <v>-24586</v>
                </pt>
                <pt idx="456">
                  <v>-32380</v>
                </pt>
                <pt idx="457">
                  <v>-24090</v>
                </pt>
                <pt idx="458">
                  <v>-9954</v>
                </pt>
                <pt idx="459">
                  <v>-1229</v>
                </pt>
                <pt idx="460">
                  <v>-4435</v>
                </pt>
                <pt idx="461">
                  <v>1428</v>
                </pt>
                <pt idx="462">
                  <v>11558</v>
                </pt>
                <pt idx="463">
                  <v>30611</v>
                </pt>
                <pt idx="464">
                  <v>30180</v>
                </pt>
                <pt idx="465">
                  <v>32511</v>
                </pt>
                <pt idx="466">
                  <v>23493</v>
                </pt>
                <pt idx="467">
                  <v>28439</v>
                </pt>
                <pt idx="468">
                  <v>30365</v>
                </pt>
                <pt idx="469">
                  <v>13509</v>
                </pt>
                <pt idx="470">
                  <v>10268</v>
                </pt>
                <pt idx="471">
                  <v>-1114</v>
                </pt>
                <pt idx="472">
                  <v>-21784</v>
                </pt>
                <pt idx="473">
                  <v>-27345</v>
                </pt>
                <pt idx="474">
                  <v>-13914</v>
                </pt>
                <pt idx="475">
                  <v>-4231</v>
                </pt>
                <pt idx="476">
                  <v>-18886</v>
                </pt>
                <pt idx="477">
                  <v>-21630</v>
                </pt>
                <pt idx="478">
                  <v>-8418</v>
                </pt>
                <pt idx="479">
                  <v>-4258</v>
                </pt>
                <pt idx="480">
                  <v>-1935</v>
                </pt>
                <pt idx="481">
                  <v>-4321</v>
                </pt>
                <pt idx="482">
                  <v>866</v>
                </pt>
                <pt idx="483">
                  <v>-3530</v>
                </pt>
                <pt idx="484">
                  <v>-2603</v>
                </pt>
                <pt idx="485">
                  <v>-14401</v>
                </pt>
                <pt idx="486">
                  <v>-6343</v>
                </pt>
                <pt idx="487">
                  <v>-4016</v>
                </pt>
                <pt idx="488">
                  <v>-7781</v>
                </pt>
                <pt idx="489">
                  <v>-12332</v>
                </pt>
                <pt idx="490">
                  <v>-19812</v>
                </pt>
                <pt idx="491">
                  <v>-13646</v>
                </pt>
                <pt idx="492">
                  <v>6898</v>
                </pt>
                <pt idx="493">
                  <v>-1127</v>
                </pt>
                <pt idx="494">
                  <v>-4360</v>
                </pt>
                <pt idx="495">
                  <v>-9257</v>
                </pt>
                <pt idx="496">
                  <v>-10841</v>
                </pt>
                <pt idx="497">
                  <v>-8751</v>
                </pt>
                <pt idx="498">
                  <v>-726</v>
                </pt>
                <pt idx="499">
                  <v>5654</v>
                </pt>
                <pt idx="500">
                  <v>6514</v>
                </pt>
                <pt idx="501">
                  <v>2814</v>
                </pt>
                <pt idx="502">
                  <v>13862</v>
                </pt>
                <pt idx="503">
                  <v>12174</v>
                </pt>
                <pt idx="504">
                  <v>8375</v>
                </pt>
                <pt idx="505">
                  <v>6075</v>
                </pt>
                <pt idx="506">
                  <v>9469</v>
                </pt>
                <pt idx="507">
                  <v>10609</v>
                </pt>
                <pt idx="508">
                  <v>9046</v>
                </pt>
                <pt idx="509">
                  <v>10200</v>
                </pt>
                <pt idx="510">
                  <v>11221</v>
                </pt>
                <pt idx="511">
                  <v>9863</v>
                </pt>
                <pt idx="512">
                  <v>3852</v>
                </pt>
                <pt idx="513">
                  <v>706</v>
                </pt>
                <pt idx="514">
                  <v>3664</v>
                </pt>
                <pt idx="515">
                  <v>3412</v>
                </pt>
                <pt idx="516">
                  <v>4351</v>
                </pt>
                <pt idx="517">
                  <v>6641</v>
                </pt>
                <pt idx="518">
                  <v>3220</v>
                </pt>
                <pt idx="519">
                  <v>-16374</v>
                </pt>
                <pt idx="520">
                  <v>-18080</v>
                </pt>
                <pt idx="521">
                  <v>-15313</v>
                </pt>
                <pt idx="522">
                  <v>-13241</v>
                </pt>
                <pt idx="523">
                  <v>-12830</v>
                </pt>
                <pt idx="524">
                  <v>-14934</v>
                </pt>
                <pt idx="525">
                  <v>-8264</v>
                </pt>
                <pt idx="526">
                  <v>-4696</v>
                </pt>
                <pt idx="527">
                  <v>-427</v>
                </pt>
                <pt idx="528">
                  <v>-2891</v>
                </pt>
                <pt idx="529">
                  <v>-4464</v>
                </pt>
                <pt idx="530">
                  <v>-9903</v>
                </pt>
                <pt idx="531">
                  <v>-12210</v>
                </pt>
                <pt idx="532">
                  <v>-706</v>
                </pt>
                <pt idx="533">
                  <v>3807</v>
                </pt>
                <pt idx="534">
                  <v>28134</v>
                </pt>
                <pt idx="535">
                  <v>27227</v>
                </pt>
                <pt idx="536">
                  <v>32944</v>
                </pt>
                <pt idx="537">
                  <v>33293</v>
                </pt>
                <pt idx="538">
                  <v>25610</v>
                </pt>
                <pt idx="539">
                  <v>5594</v>
                </pt>
                <pt idx="540">
                  <v>10709</v>
                </pt>
                <pt idx="541">
                  <v>18433</v>
                </pt>
                <pt idx="542">
                  <v>35754</v>
                </pt>
                <pt idx="543">
                  <v>32032</v>
                </pt>
                <pt idx="544">
                  <v>36219</v>
                </pt>
                <pt idx="545">
                  <v>23318</v>
                </pt>
                <pt idx="546">
                  <v>-12983</v>
                </pt>
                <pt idx="547">
                  <v>-3903</v>
                </pt>
                <pt idx="548">
                  <v>-5634</v>
                </pt>
                <pt idx="549">
                  <v>-9417</v>
                </pt>
                <pt idx="550">
                  <v>-4183</v>
                </pt>
                <pt idx="551">
                  <v>-10180</v>
                </pt>
                <pt idx="552">
                  <v>2668</v>
                </pt>
                <pt idx="553">
                  <v>29462</v>
                </pt>
                <pt idx="554">
                  <v>29770</v>
                </pt>
                <pt idx="555">
                  <v>29443</v>
                </pt>
                <pt idx="556">
                  <v>7560</v>
                </pt>
                <pt idx="557">
                  <v>11756</v>
                </pt>
                <pt idx="558">
                  <v>10862</v>
                </pt>
                <pt idx="559">
                  <v>17136</v>
                </pt>
                <pt idx="560">
                  <v>-13397</v>
                </pt>
                <pt idx="561">
                  <v>108</v>
                </pt>
                <pt idx="562">
                  <v>15825</v>
                </pt>
                <pt idx="563">
                  <v>6792</v>
                </pt>
                <pt idx="564">
                  <v>6308</v>
                </pt>
                <pt idx="565">
                  <v>-36299</v>
                </pt>
                <pt idx="566">
                  <v>-9940</v>
                </pt>
                <pt idx="567">
                  <v>-9352</v>
                </pt>
                <pt idx="568">
                  <v>13232</v>
                </pt>
                <pt idx="569">
                  <v>46955</v>
                </pt>
                <pt idx="570">
                  <v>52845</v>
                </pt>
                <pt idx="571">
                  <v>54647</v>
                </pt>
                <pt idx="572">
                  <v>53548</v>
                </pt>
                <pt idx="573">
                  <v>40865</v>
                </pt>
                <pt idx="574">
                  <v>49725</v>
                </pt>
                <pt idx="575">
                  <v>39209</v>
                </pt>
                <pt idx="576">
                  <v>48304</v>
                </pt>
                <pt idx="577">
                  <v>54910</v>
                </pt>
                <pt idx="578">
                  <v>50344</v>
                </pt>
                <pt idx="579">
                  <v>57797</v>
                </pt>
                <pt idx="580">
                  <v>53762</v>
                </pt>
                <pt idx="581">
                  <v>42540</v>
                </pt>
                <pt idx="582">
                  <v>46186</v>
                </pt>
                <pt idx="583">
                  <v>56736</v>
                </pt>
                <pt idx="584">
                  <v>58236</v>
                </pt>
                <pt idx="585">
                  <v>48135</v>
                </pt>
                <pt idx="586">
                  <v>47664</v>
                </pt>
                <pt idx="587">
                  <v>56834</v>
                </pt>
                <pt idx="588">
                  <v>60602</v>
                </pt>
                <pt idx="589">
                  <v>51708</v>
                </pt>
                <pt idx="590">
                  <v>57992</v>
                </pt>
                <pt idx="591">
                  <v>64499</v>
                </pt>
                <pt idx="592">
                  <v>58630</v>
                </pt>
                <pt idx="593">
                  <v>55198</v>
                </pt>
                <pt idx="594">
                  <v>-12181</v>
                </pt>
                <pt idx="595">
                  <v>-22312</v>
                </pt>
                <pt idx="596">
                  <v>-34516</v>
                </pt>
                <pt idx="597">
                  <v>-31439</v>
                </pt>
                <pt idx="598">
                  <v>-14601</v>
                </pt>
                <pt idx="599">
                  <v>4309</v>
                </pt>
                <pt idx="600">
                  <v>20388</v>
                </pt>
                <pt idx="601">
                  <v>24760</v>
                </pt>
                <pt idx="602">
                  <v>-6044</v>
                </pt>
                <pt idx="603">
                  <v>204</v>
                </pt>
                <pt idx="604">
                  <v>2973</v>
                </pt>
                <pt idx="605">
                  <v>-10093</v>
                </pt>
                <pt idx="606">
                  <v>-12682</v>
                </pt>
                <pt idx="607">
                  <v>-12107</v>
                </pt>
                <pt idx="608">
                  <v>-4839</v>
                </pt>
                <pt idx="609">
                  <v>598</v>
                </pt>
                <pt idx="610">
                  <v>2493</v>
                </pt>
                <pt idx="611">
                  <v>5495</v>
                </pt>
                <pt idx="612">
                  <v>8416</v>
                </pt>
                <pt idx="613">
                  <v>2417</v>
                </pt>
                <pt idx="614">
                  <v>2166</v>
                </pt>
                <pt idx="615">
                  <v>1837</v>
                </pt>
                <pt idx="616">
                  <v>-2401</v>
                </pt>
                <pt idx="617">
                  <v>-3268</v>
                </pt>
                <pt idx="618">
                  <v>-8282</v>
                </pt>
                <pt idx="619">
                  <v>-5205</v>
                </pt>
                <pt idx="620">
                  <v>-969</v>
                </pt>
                <pt idx="621">
                  <v>525</v>
                </pt>
                <pt idx="622">
                  <v>-832</v>
                </pt>
                <pt idx="623">
                  <v>-4057</v>
                </pt>
                <pt idx="624">
                  <v>-9357</v>
                </pt>
                <pt idx="625">
                  <v>-22203</v>
                </pt>
                <pt idx="626">
                  <v>-14496</v>
                </pt>
                <pt idx="627">
                  <v>-6387</v>
                </pt>
                <pt idx="628">
                  <v>8565</v>
                </pt>
                <pt idx="629">
                  <v>27636</v>
                </pt>
                <pt idx="630">
                  <v>36814</v>
                </pt>
                <pt idx="631">
                  <v>39093</v>
                </pt>
                <pt idx="632">
                  <v>44596</v>
                </pt>
                <pt idx="633">
                  <v>33198</v>
                </pt>
                <pt idx="634">
                  <v>39360</v>
                </pt>
                <pt idx="635">
                  <v>37323</v>
                </pt>
                <pt idx="636">
                  <v>21401</v>
                </pt>
                <pt idx="637">
                  <v>20576</v>
                </pt>
                <pt idx="638">
                  <v>27753</v>
                </pt>
                <pt idx="639">
                  <v>22720</v>
                </pt>
                <pt idx="640">
                  <v>23745</v>
                </pt>
                <pt idx="641">
                  <v>7879</v>
                </pt>
                <pt idx="642">
                  <v>924</v>
                </pt>
                <pt idx="643">
                  <v>399</v>
                </pt>
                <pt idx="644">
                  <v>-14290</v>
                </pt>
                <pt idx="645">
                  <v>-23693</v>
                </pt>
                <pt idx="646">
                  <v>-25935</v>
                </pt>
                <pt idx="647">
                  <v>-7123</v>
                </pt>
                <pt idx="648">
                  <v>-9786</v>
                </pt>
                <pt idx="649">
                  <v>-5346</v>
                </pt>
                <pt idx="650">
                  <v>-11903</v>
                </pt>
                <pt idx="651">
                  <v>-30189</v>
                </pt>
                <pt idx="652">
                  <v>-36442</v>
                </pt>
                <pt idx="653">
                  <v>-44196</v>
                </pt>
                <pt idx="654">
                  <v>-54697</v>
                </pt>
                <pt idx="655">
                  <v>-32502</v>
                </pt>
                <pt idx="656">
                  <v>-14131</v>
                </pt>
                <pt idx="657">
                  <v>-9563</v>
                </pt>
                <pt idx="658">
                  <v>-47883</v>
                </pt>
                <pt idx="659">
                  <v>-38831</v>
                </pt>
                <pt idx="660">
                  <v>-48435</v>
                </pt>
                <pt idx="661">
                  <v>-37111</v>
                </pt>
                <pt idx="662">
                  <v>-53164</v>
                </pt>
                <pt idx="663">
                  <v>-37974</v>
                </pt>
                <pt idx="664">
                  <v>-51845</v>
                </pt>
                <pt idx="665">
                  <v>-52186</v>
                </pt>
                <pt idx="666">
                  <v>-63076</v>
                </pt>
                <pt idx="667">
                  <v>-59056</v>
                </pt>
                <pt idx="668">
                  <v>-47768</v>
                </pt>
                <pt idx="669">
                  <v>-43151</v>
                </pt>
                <pt idx="670">
                  <v>-48660</v>
                </pt>
                <pt idx="671">
                  <v>-26385</v>
                </pt>
                <pt idx="672">
                  <v>-31366</v>
                </pt>
                <pt idx="673">
                  <v>-47665</v>
                </pt>
                <pt idx="674">
                  <v>-34372</v>
                </pt>
                <pt idx="675">
                  <v>-34934</v>
                </pt>
                <pt idx="676">
                  <v>-47629</v>
                </pt>
                <pt idx="677">
                  <v>-59066</v>
                </pt>
                <pt idx="678">
                  <v>-63299</v>
                </pt>
                <pt idx="679">
                  <v>-66035</v>
                </pt>
                <pt idx="680">
                  <v>-66641</v>
                </pt>
                <pt idx="681">
                  <v>-66682</v>
                </pt>
                <pt idx="682">
                  <v>-66302</v>
                </pt>
                <pt idx="683">
                  <v>-64628</v>
                </pt>
                <pt idx="684">
                  <v>-67231</v>
                </pt>
                <pt idx="685">
                  <v>-65884</v>
                </pt>
                <pt idx="686">
                  <v>-64000</v>
                </pt>
                <pt idx="687">
                  <v>-71643</v>
                </pt>
                <pt idx="688">
                  <v>-72063</v>
                </pt>
                <pt idx="689">
                  <v>-26105</v>
                </pt>
                <pt idx="690">
                  <v>-22129</v>
                </pt>
                <pt idx="691">
                  <v>-24737</v>
                </pt>
                <pt idx="692">
                  <v>-19529</v>
                </pt>
                <pt idx="693">
                  <v>-18259</v>
                </pt>
                <pt idx="694">
                  <v>-19278</v>
                </pt>
                <pt idx="695">
                  <v>-41745</v>
                </pt>
                <pt idx="696">
                  <v>-56347</v>
                </pt>
                <pt idx="697">
                  <v>-55057</v>
                </pt>
                <pt idx="698">
                  <v>-71184</v>
                </pt>
                <pt idx="699">
                  <v>-22821</v>
                </pt>
                <pt idx="700">
                  <v>-41831</v>
                </pt>
                <pt idx="701">
                  <v>-45289</v>
                </pt>
                <pt idx="702">
                  <v>-29356</v>
                </pt>
                <pt idx="703">
                  <v>-30412</v>
                </pt>
                <pt idx="704">
                  <v>-32716</v>
                </pt>
                <pt idx="705">
                  <v>-54471</v>
                </pt>
                <pt idx="706">
                  <v>-41141</v>
                </pt>
                <pt idx="707">
                  <v>-6490</v>
                </pt>
                <pt idx="708">
                  <v>2689</v>
                </pt>
                <pt idx="709">
                  <v>18844</v>
                </pt>
                <pt idx="710">
                  <v>19121</v>
                </pt>
                <pt idx="711">
                  <v>18329</v>
                </pt>
                <pt idx="712">
                  <v>25741</v>
                </pt>
                <pt idx="713">
                  <v>21003</v>
                </pt>
                <pt idx="714">
                  <v>-9597</v>
                </pt>
                <pt idx="715">
                  <v>-23007</v>
                </pt>
                <pt idx="716">
                  <v>-35572</v>
                </pt>
                <pt idx="717">
                  <v>-23909</v>
                </pt>
                <pt idx="718">
                  <v>-20704</v>
                </pt>
                <pt idx="719">
                  <v>-69049</v>
                </pt>
                <pt idx="720">
                  <v>-76886</v>
                </pt>
                <pt idx="721">
                  <v>-42984</v>
                </pt>
                <pt idx="722">
                  <v>-51791</v>
                </pt>
                <pt idx="723">
                  <v>-62274</v>
                </pt>
                <pt idx="724">
                  <v>-75077</v>
                </pt>
                <pt idx="725">
                  <v>-88329</v>
                </pt>
                <pt idx="726">
                  <v>-69498</v>
                </pt>
                <pt idx="727">
                  <v>-99452</v>
                </pt>
                <pt idx="728">
                  <v>-90804</v>
                </pt>
                <pt idx="729">
                  <v>-87358</v>
                </pt>
                <pt idx="730">
                  <v>-104151</v>
                </pt>
                <pt idx="731">
                  <v>-123598</v>
                </pt>
                <pt idx="732">
                  <v>-112578</v>
                </pt>
                <pt idx="733">
                  <v>-137290</v>
                </pt>
                <pt idx="734">
                  <v>-59600</v>
                </pt>
                <pt idx="735">
                  <v>-63512</v>
                </pt>
                <pt idx="736">
                  <v>-55012</v>
                </pt>
                <pt idx="737">
                  <v>-80421</v>
                </pt>
                <pt idx="738">
                  <v>-41958</v>
                </pt>
                <pt idx="739">
                  <v>-23537</v>
                </pt>
                <pt idx="740">
                  <v>-55560</v>
                </pt>
                <pt idx="741">
                  <v>-92519</v>
                </pt>
                <pt idx="742">
                  <v>-104914</v>
                </pt>
                <pt idx="743">
                  <v>-118592</v>
                </pt>
                <pt idx="744">
                  <v>-123343</v>
                </pt>
                <pt idx="745">
                  <v>-138146</v>
                </pt>
                <pt idx="746">
                  <v>-164860</v>
                </pt>
                <pt idx="747">
                  <v>-173005</v>
                </pt>
                <pt idx="748">
                  <v>-128526</v>
                </pt>
                <pt idx="749">
                  <v>-167505</v>
                </pt>
                <pt idx="750">
                  <v>-116195</v>
                </pt>
                <pt idx="751">
                  <v>-114626</v>
                </pt>
                <pt idx="752">
                  <v>-62886</v>
                </pt>
                <pt idx="753">
                  <v>-52853</v>
                </pt>
                <pt idx="754">
                  <v>-49953</v>
                </pt>
                <pt idx="755">
                  <v>-47480</v>
                </pt>
                <pt idx="756">
                  <v>-63858</v>
                </pt>
                <pt idx="757">
                  <v>-64841</v>
                </pt>
                <pt idx="758">
                  <v>-70519</v>
                </pt>
                <pt idx="759">
                  <v>-81772</v>
                </pt>
                <pt idx="760">
                  <v>-118782</v>
                </pt>
                <pt idx="761">
                  <v>-112259</v>
                </pt>
                <pt idx="762">
                  <v>-127896</v>
                </pt>
                <pt idx="763">
                  <v>-151746</v>
                </pt>
                <pt idx="764">
                  <v>-146243</v>
                </pt>
                <pt idx="765">
                  <v>-124006</v>
                </pt>
                <pt idx="766">
                  <v>-127562</v>
                </pt>
                <pt idx="767">
                  <v>-161361</v>
                </pt>
                <pt idx="768">
                  <v>-188077</v>
                </pt>
                <pt idx="769">
                  <v>-155138</v>
                </pt>
                <pt idx="770">
                  <v>-125890</v>
                </pt>
                <pt idx="771">
                  <v>-126773</v>
                </pt>
                <pt idx="772">
                  <v>-92415</v>
                </pt>
                <pt idx="773">
                  <v>-51162</v>
                </pt>
                <pt idx="774">
                  <v>-34493</v>
                </pt>
                <pt idx="775">
                  <v>-21889</v>
                </pt>
                <pt idx="776">
                  <v>1516</v>
                </pt>
                <pt idx="777">
                  <v>9846</v>
                </pt>
                <pt idx="778">
                  <v>-7053</v>
                </pt>
                <pt idx="779">
                  <v>5585</v>
                </pt>
                <pt idx="780">
                  <v>-21067</v>
                </pt>
                <pt idx="781">
                  <v>-2449</v>
                </pt>
                <pt idx="782">
                  <v>-28069</v>
                </pt>
                <pt idx="783">
                  <v>-45757</v>
                </pt>
                <pt idx="784">
                  <v>-38613</v>
                </pt>
                <pt idx="785">
                  <v>-21354</v>
                </pt>
                <pt idx="786">
                  <v>-9949</v>
                </pt>
                <pt idx="787">
                  <v>-8897</v>
                </pt>
                <pt idx="788">
                  <v>20796</v>
                </pt>
                <pt idx="789">
                  <v>30401</v>
                </pt>
                <pt idx="790">
                  <v>31332</v>
                </pt>
                <pt idx="791">
                  <v>34085</v>
                </pt>
                <pt idx="792">
                  <v>30903</v>
                </pt>
                <pt idx="793">
                  <v>13357</v>
                </pt>
                <pt idx="794">
                  <v>4013</v>
                </pt>
                <pt idx="795">
                  <v>920</v>
                </pt>
                <pt idx="796">
                  <v>37473</v>
                </pt>
                <pt idx="797">
                  <v>37199</v>
                </pt>
                <pt idx="798">
                  <v>41842</v>
                </pt>
                <pt idx="799">
                  <v>52928</v>
                </pt>
                <pt idx="800">
                  <v>54690</v>
                </pt>
                <pt idx="801">
                  <v>43471</v>
                </pt>
                <pt idx="802">
                  <v>50444</v>
                </pt>
                <pt idx="803">
                  <v>34289</v>
                </pt>
                <pt idx="804">
                  <v>56285</v>
                </pt>
                <pt idx="805">
                  <v>50153</v>
                </pt>
                <pt idx="806">
                  <v>55759</v>
                </pt>
                <pt idx="807">
                  <v>65920</v>
                </pt>
                <pt idx="808">
                  <v>52298</v>
                </pt>
                <pt idx="809">
                  <v>43067</v>
                </pt>
                <pt idx="810">
                  <v>47972</v>
                </pt>
                <pt idx="811">
                  <v>35087</v>
                </pt>
                <pt idx="812">
                  <v>55450</v>
                </pt>
                <pt idx="813">
                  <v>48735</v>
                </pt>
                <pt idx="814">
                  <v>33816</v>
                </pt>
                <pt idx="815">
                  <v>40048</v>
                </pt>
                <pt idx="816">
                  <v>33304</v>
                </pt>
                <pt idx="817">
                  <v>23365</v>
                </pt>
                <pt idx="818">
                  <v>7716</v>
                </pt>
                <pt idx="819">
                  <v>5857</v>
                </pt>
                <pt idx="820">
                  <v>-12747</v>
                </pt>
                <pt idx="821">
                  <v>16005</v>
                </pt>
                <pt idx="822">
                  <v>5325</v>
                </pt>
                <pt idx="823">
                  <v>50105</v>
                </pt>
                <pt idx="824">
                  <v>10524</v>
                </pt>
                <pt idx="825">
                  <v>-6280</v>
                </pt>
                <pt idx="826">
                  <v>-12081</v>
                </pt>
                <pt idx="827">
                  <v>-13249</v>
                </pt>
                <pt idx="828">
                  <v>-23138</v>
                </pt>
                <pt idx="829">
                  <v>-19970</v>
                </pt>
                <pt idx="830">
                  <v>-5020</v>
                </pt>
                <pt idx="831">
                  <v>14821</v>
                </pt>
                <pt idx="832">
                  <v>26600</v>
                </pt>
                <pt idx="833">
                  <v>31939</v>
                </pt>
                <pt idx="834">
                  <v>43022</v>
                </pt>
                <pt idx="835">
                  <v>39813</v>
                </pt>
                <pt idx="836">
                  <v>29904</v>
                </pt>
                <pt idx="837">
                  <v>30121</v>
                </pt>
                <pt idx="838">
                  <v>31826</v>
                </pt>
                <pt idx="839">
                  <v>26494</v>
                </pt>
                <pt idx="840">
                  <v>24511</v>
                </pt>
                <pt idx="841">
                  <v>24134</v>
                </pt>
                <pt idx="842">
                  <v>37166</v>
                </pt>
                <pt idx="843">
                  <v>42903</v>
                </pt>
                <pt idx="844">
                  <v>43259</v>
                </pt>
                <pt idx="845">
                  <v>41381</v>
                </pt>
                <pt idx="846">
                  <v>40098</v>
                </pt>
                <pt idx="847">
                  <v>43876</v>
                </pt>
                <pt idx="848">
                  <v>46394</v>
                </pt>
                <pt idx="849">
                  <v>44895</v>
                </pt>
                <pt idx="850">
                  <v>47090</v>
                </pt>
                <pt idx="851">
                  <v>49007</v>
                </pt>
                <pt idx="852">
                  <v>50518</v>
                </pt>
                <pt idx="853">
                  <v>43597</v>
                </pt>
                <pt idx="854">
                  <v>36188</v>
                </pt>
                <pt idx="855">
                  <v>28635</v>
                </pt>
                <pt idx="856">
                  <v>20070</v>
                </pt>
                <pt idx="857">
                  <v>18906</v>
                </pt>
                <pt idx="858">
                  <v>-4696</v>
                </pt>
                <pt idx="859">
                  <v>-7662</v>
                </pt>
                <pt idx="860">
                  <v>-9463</v>
                </pt>
                <pt idx="861">
                  <v>-6998</v>
                </pt>
                <pt idx="862">
                  <v>-6095</v>
                </pt>
                <pt idx="863">
                  <v>-13695</v>
                </pt>
                <pt idx="864">
                  <v>-4579</v>
                </pt>
                <pt idx="865">
                  <v>-6518</v>
                </pt>
                <pt idx="866">
                  <v>2388</v>
                </pt>
                <pt idx="867">
                  <v>6000</v>
                </pt>
                <pt idx="868">
                  <v>8009</v>
                </pt>
                <pt idx="869">
                  <v>9621</v>
                </pt>
                <pt idx="870">
                  <v>-2299</v>
                </pt>
                <pt idx="871">
                  <v>-8563</v>
                </pt>
                <pt idx="872">
                  <v>-4007</v>
                </pt>
                <pt idx="873">
                  <v>-1047</v>
                </pt>
                <pt idx="874">
                  <v>17117</v>
                </pt>
                <pt idx="875">
                  <v>33567</v>
                </pt>
                <pt idx="876">
                  <v>36188</v>
                </pt>
                <pt idx="877">
                  <v>24302</v>
                </pt>
                <pt idx="878">
                  <v>10615</v>
                </pt>
                <pt idx="879">
                  <v>824</v>
                </pt>
                <pt idx="880">
                  <v>2353</v>
                </pt>
                <pt idx="881">
                  <v>11647</v>
                </pt>
                <pt idx="882">
                  <v>32365</v>
                </pt>
                <pt idx="883">
                  <v>40799</v>
                </pt>
                <pt idx="884">
                  <v>37107</v>
                </pt>
                <pt idx="885">
                  <v>45615</v>
                </pt>
                <pt idx="886">
                  <v>44856</v>
                </pt>
                <pt idx="887">
                  <v>44643</v>
                </pt>
                <pt idx="888">
                  <v>33339</v>
                </pt>
                <pt idx="889">
                  <v>31185</v>
                </pt>
                <pt idx="890">
                  <v>17530</v>
                </pt>
                <pt idx="891">
                  <v>19832</v>
                </pt>
                <pt idx="892">
                  <v>21878</v>
                </pt>
                <pt idx="893">
                  <v>35552</v>
                </pt>
                <pt idx="894">
                  <v>51710</v>
                </pt>
                <pt idx="895">
                  <v>56907</v>
                </pt>
                <pt idx="896">
                  <v>35182</v>
                </pt>
                <pt idx="897">
                  <v>8372</v>
                </pt>
                <pt idx="898">
                  <v>-1011</v>
                </pt>
                <pt idx="899">
                  <v>-14903</v>
                </pt>
                <pt idx="900">
                  <v>-16811</v>
                </pt>
                <pt idx="901">
                  <v>-16744</v>
                </pt>
                <pt idx="902">
                  <v>-17096</v>
                </pt>
                <pt idx="903">
                  <v>-4347</v>
                </pt>
                <pt idx="904">
                  <v>7135</v>
                </pt>
                <pt idx="905">
                  <v>22396</v>
                </pt>
                <pt idx="906">
                  <v>13912</v>
                </pt>
                <pt idx="907">
                  <v>1717</v>
                </pt>
                <pt idx="908">
                  <v>32552</v>
                </pt>
                <pt idx="909">
                  <v>26288</v>
                </pt>
                <pt idx="910">
                  <v>15197</v>
                </pt>
                <pt idx="911">
                  <v>10161</v>
                </pt>
                <pt idx="912">
                  <v>-30866</v>
                </pt>
                <pt idx="913">
                  <v>-42305</v>
                </pt>
                <pt idx="914">
                  <v>-55746</v>
                </pt>
                <pt idx="915">
                  <v>-50338</v>
                </pt>
                <pt idx="916">
                  <v>-49777</v>
                </pt>
                <pt idx="917">
                  <v>-65612</v>
                </pt>
                <pt idx="918">
                  <v>-34669</v>
                </pt>
                <pt idx="919">
                  <v>-34289</v>
                </pt>
                <pt idx="920">
                  <v>-10238</v>
                </pt>
                <pt idx="921">
                  <v>-6484</v>
                </pt>
                <pt idx="922">
                  <v>-12547</v>
                </pt>
                <pt idx="923">
                  <v>-3680</v>
                </pt>
                <pt idx="924">
                  <v>3630</v>
                </pt>
                <pt idx="925">
                  <v>27427</v>
                </pt>
                <pt idx="926">
                  <v>37926</v>
                </pt>
                <pt idx="927">
                  <v>47359</v>
                </pt>
                <pt idx="928">
                  <v>40911</v>
                </pt>
                <pt idx="929">
                  <v>29921</v>
                </pt>
                <pt idx="930">
                  <v>47998</v>
                </pt>
                <pt idx="931">
                  <v>52478</v>
                </pt>
                <pt idx="932">
                  <v>49969</v>
                </pt>
                <pt idx="933">
                  <v>51069</v>
                </pt>
                <pt idx="934">
                  <v>49904</v>
                </pt>
                <pt idx="935">
                  <v>52183</v>
                </pt>
                <pt idx="936">
                  <v>47642</v>
                </pt>
                <pt idx="937">
                  <v>23100</v>
                </pt>
                <pt idx="938">
                  <v>28666</v>
                </pt>
                <pt idx="939">
                  <v>49206</v>
                </pt>
                <pt idx="940">
                  <v>48285</v>
                </pt>
                <pt idx="941">
                  <v>45856</v>
                </pt>
                <pt idx="942">
                  <v>43129</v>
                </pt>
                <pt idx="943">
                  <v>46455</v>
                </pt>
                <pt idx="944">
                  <v>36654</v>
                </pt>
                <pt idx="945">
                  <v>22858</v>
                </pt>
                <pt idx="946">
                  <v>27192</v>
                </pt>
                <pt idx="947">
                  <v>30006</v>
                </pt>
                <pt idx="948">
                  <v>23288</v>
                </pt>
                <pt idx="949">
                  <v>12735</v>
                </pt>
                <pt idx="950">
                  <v>12529</v>
                </pt>
                <pt idx="951">
                  <v>29641</v>
                </pt>
                <pt idx="952">
                  <v>39065</v>
                </pt>
                <pt idx="953">
                  <v>24736</v>
                </pt>
                <pt idx="954">
                  <v>20529</v>
                </pt>
                <pt idx="955">
                  <v>32218</v>
                </pt>
                <pt idx="956">
                  <v>31481</v>
                </pt>
                <pt idx="957">
                  <v>36731</v>
                </pt>
                <pt idx="958">
                  <v>-18548</v>
                </pt>
                <pt idx="959">
                  <v>-27746</v>
                </pt>
                <pt idx="960">
                  <v>41274</v>
                </pt>
                <pt idx="961">
                  <v>16656</v>
                </pt>
                <pt idx="962">
                  <v>30230</v>
                </pt>
                <pt idx="963">
                  <v>34525</v>
                </pt>
                <pt idx="964">
                  <v>7052</v>
                </pt>
                <pt idx="965">
                  <v>-43231</v>
                </pt>
                <pt idx="966">
                  <v>-52877</v>
                </pt>
                <pt idx="967">
                  <v>-52983</v>
                </pt>
                <pt idx="968">
                  <v>-36997</v>
                </pt>
                <pt idx="969">
                  <v>-18819</v>
                </pt>
                <pt idx="970">
                  <v>13054</v>
                </pt>
                <pt idx="971">
                  <v>15373</v>
                </pt>
                <pt idx="972">
                  <v>8006</v>
                </pt>
                <pt idx="973">
                  <v>-1648</v>
                </pt>
                <pt idx="974">
                  <v>17631</v>
                </pt>
                <pt idx="975">
                  <v>24768</v>
                </pt>
                <pt idx="976">
                  <v>32594</v>
                </pt>
                <pt idx="977">
                  <v>13623</v>
                </pt>
                <pt idx="978">
                  <v>14327</v>
                </pt>
                <pt idx="979">
                  <v>28288</v>
                </pt>
                <pt idx="980">
                  <v>42155</v>
                </pt>
                <pt idx="981">
                  <v>51302</v>
                </pt>
                <pt idx="982">
                  <v>58833</v>
                </pt>
                <pt idx="983">
                  <v>42149</v>
                </pt>
                <pt idx="984">
                  <v>47348</v>
                </pt>
                <pt idx="985">
                  <v>47139</v>
                </pt>
                <pt idx="986">
                  <v>41185</v>
                </pt>
                <pt idx="987">
                  <v>32787</v>
                </pt>
                <pt idx="988">
                  <v>34955</v>
                </pt>
                <pt idx="989">
                  <v>45617</v>
                </pt>
                <pt idx="990">
                  <v>42322</v>
                </pt>
                <pt idx="991">
                  <v>43462</v>
                </pt>
                <pt idx="992">
                  <v>35119</v>
                </pt>
                <pt idx="993">
                  <v>26907</v>
                </pt>
                <pt idx="994">
                  <v>54279</v>
                </pt>
                <pt idx="995">
                  <v>25904</v>
                </pt>
                <pt idx="996">
                  <v>28077</v>
                </pt>
                <pt idx="997">
                  <v>33680</v>
                </pt>
                <pt idx="998">
                  <v>43180</v>
                </pt>
                <pt idx="999">
                  <v>40547</v>
                </pt>
                <pt idx="1000">
                  <v>38271</v>
                </pt>
                <pt idx="1001">
                  <v>35600</v>
                </pt>
                <pt idx="1002">
                  <v>24476</v>
                </pt>
                <pt idx="1003">
                  <v>22585</v>
                </pt>
                <pt idx="1004">
                  <v>56481</v>
                </pt>
                <pt idx="1005">
                  <v>59657</v>
                </pt>
                <pt idx="1006">
                  <v>58862</v>
                </pt>
                <pt idx="1007">
                  <v>44367</v>
                </pt>
                <pt idx="1008">
                  <v>56669</v>
                </pt>
                <pt idx="1009">
                  <v>55171</v>
                </pt>
                <pt idx="1010">
                  <v>29459</v>
                </pt>
                <pt idx="1011">
                  <v>17257</v>
                </pt>
                <pt idx="1012">
                  <v>-1203</v>
                </pt>
                <pt idx="1013">
                  <v>-19358</v>
                </pt>
                <pt idx="1014">
                  <v>-42380</v>
                </pt>
                <pt idx="1015">
                  <v>-25821</v>
                </pt>
                <pt idx="1016">
                  <v>-67622</v>
                </pt>
                <pt idx="1017">
                  <v>-65108</v>
                </pt>
                <pt idx="1018">
                  <v>-66084</v>
                </pt>
                <pt idx="1019">
                  <v>-57803</v>
                </pt>
                <pt idx="1020">
                  <v>-55903</v>
                </pt>
                <pt idx="1021">
                  <v>-50173</v>
                </pt>
                <pt idx="1022">
                  <v>-41093</v>
                </pt>
                <pt idx="1023">
                  <v>-34315</v>
                </pt>
                <pt idx="1024">
                  <v>-18015</v>
                </pt>
                <pt idx="1025">
                  <v>-11330</v>
                </pt>
                <pt idx="1026">
                  <v>12073</v>
                </pt>
                <pt idx="1027">
                  <v>12307</v>
                </pt>
                <pt idx="1028">
                  <v>15137</v>
                </pt>
                <pt idx="1029">
                  <v>4542</v>
                </pt>
                <pt idx="1030">
                  <v>4175</v>
                </pt>
                <pt idx="1031">
                  <v>8952</v>
                </pt>
                <pt idx="1032">
                  <v>11121</v>
                </pt>
                <pt idx="1033">
                  <v>25061</v>
                </pt>
                <pt idx="1034">
                  <v>32254</v>
                </pt>
                <pt idx="1035">
                  <v>27539</v>
                </pt>
                <pt idx="1036">
                  <v>30704</v>
                </pt>
                <pt idx="1037">
                  <v>11171</v>
                </pt>
                <pt idx="1038">
                  <v>21556</v>
                </pt>
                <pt idx="1039">
                  <v>24007</v>
                </pt>
                <pt idx="1040">
                  <v>32773</v>
                </pt>
                <pt idx="1041">
                  <v>15476</v>
                </pt>
                <pt idx="1042">
                  <v>21111</v>
                </pt>
                <pt idx="1043">
                  <v>29335</v>
                </pt>
                <pt idx="1044">
                  <v>12914</v>
                </pt>
                <pt idx="1045">
                  <v>10086</v>
                </pt>
                <pt idx="1046">
                  <v>-18196</v>
                </pt>
                <pt idx="1047">
                  <v>-37020</v>
                </pt>
                <pt idx="1048">
                  <v>-40104</v>
                </pt>
                <pt idx="1049">
                  <v>-30447</v>
                </pt>
                <pt idx="1050">
                  <v>-51389</v>
                </pt>
                <pt idx="1051">
                  <v>-79466</v>
                </pt>
                <pt idx="1052">
                  <v>-90326</v>
                </pt>
                <pt idx="1053">
                  <v>-94401</v>
                </pt>
                <pt idx="1054">
                  <v>-89163</v>
                </pt>
                <pt idx="1055">
                  <v>-85608</v>
                </pt>
                <pt idx="1056">
                  <v>-80517</v>
                </pt>
                <pt idx="1057">
                  <v>-74096</v>
                </pt>
                <pt idx="1058">
                  <v>-65727</v>
                </pt>
                <pt idx="1059">
                  <v>-64068</v>
                </pt>
                <pt idx="1060">
                  <v>-71246</v>
                </pt>
                <pt idx="1061">
                  <v>-68413</v>
                </pt>
                <pt idx="1062">
                  <v>-61306</v>
                </pt>
                <pt idx="1063">
                  <v>-65891</v>
                </pt>
                <pt idx="1064">
                  <v>-65344</v>
                </pt>
                <pt idx="1065">
                  <v>-73351</v>
                </pt>
                <pt idx="1066">
                  <v>-93763</v>
                </pt>
                <pt idx="1067">
                  <v>-79993</v>
                </pt>
                <pt idx="1068">
                  <v>-89149</v>
                </pt>
                <pt idx="1069">
                  <v>-78171</v>
                </pt>
                <pt idx="1070">
                  <v>-77697</v>
                </pt>
                <pt idx="1071">
                  <v>-93411</v>
                </pt>
                <pt idx="1072">
                  <v>-79730</v>
                </pt>
                <pt idx="1073">
                  <v>-71127</v>
                </pt>
                <pt idx="1074">
                  <v>-78560</v>
                </pt>
                <pt idx="1075">
                  <v>-88407</v>
                </pt>
                <pt idx="1076">
                  <v>-95186</v>
                </pt>
                <pt idx="1077">
                  <v>-99769</v>
                </pt>
                <pt idx="1078">
                  <v>-82744</v>
                </pt>
                <pt idx="1079">
                  <v>-72906</v>
                </pt>
                <pt idx="1080">
                  <v>-61890</v>
                </pt>
                <pt idx="1081">
                  <v>-61462</v>
                </pt>
                <pt idx="1082">
                  <v>-70736</v>
                </pt>
                <pt idx="1083">
                  <v>-80305</v>
                </pt>
                <pt idx="1084">
                  <v>-85762</v>
                </pt>
                <pt idx="1085">
                  <v>-87496</v>
                </pt>
                <pt idx="1086">
                  <v>-82135</v>
                </pt>
                <pt idx="1087">
                  <v>-80213</v>
                </pt>
                <pt idx="1088">
                  <v>-74462</v>
                </pt>
                <pt idx="1089">
                  <v>-71721</v>
                </pt>
                <pt idx="1090">
                  <v>-78353</v>
                </pt>
                <pt idx="1091">
                  <v>-79761</v>
                </pt>
                <pt idx="1092">
                  <v>-95066</v>
                </pt>
                <pt idx="1093">
                  <v>-88794</v>
                </pt>
                <pt idx="1094">
                  <v>-92818</v>
                </pt>
                <pt idx="1095">
                  <v>-82324</v>
                </pt>
                <pt idx="1096">
                  <v>-57097</v>
                </pt>
                <pt idx="1097">
                  <v>-59266</v>
                </pt>
                <pt idx="1098">
                  <v>-71802</v>
                </pt>
                <pt idx="1099">
                  <v>-62395</v>
                </pt>
                <pt idx="1100">
                  <v>-73792</v>
                </pt>
                <pt idx="1101">
                  <v>-95107</v>
                </pt>
                <pt idx="1102">
                  <v>-112216</v>
                </pt>
                <pt idx="1103">
                  <v>-123202</v>
                </pt>
                <pt idx="1104">
                  <v>-133383</v>
                </pt>
                <pt idx="1105">
                  <v>-129711</v>
                </pt>
                <pt idx="1106">
                  <v>-130223</v>
                </pt>
                <pt idx="1107">
                  <v>-143822</v>
                </pt>
                <pt idx="1108">
                  <v>-135228</v>
                </pt>
                <pt idx="1109">
                  <v>-128868</v>
                </pt>
                <pt idx="1110">
                  <v>-118066</v>
                </pt>
                <pt idx="1111">
                  <v>-114961</v>
                </pt>
                <pt idx="1112">
                  <v>-86192</v>
                </pt>
                <pt idx="1113">
                  <v>-76829</v>
                </pt>
                <pt idx="1114">
                  <v>-78786</v>
                </pt>
                <pt idx="1115">
                  <v>-79784</v>
                </pt>
                <pt idx="1116">
                  <v>-85090</v>
                </pt>
                <pt idx="1117">
                  <v>-79709</v>
                </pt>
                <pt idx="1118">
                  <v>-99356</v>
                </pt>
                <pt idx="1119">
                  <v>-61099</v>
                </pt>
                <pt idx="1120">
                  <v>-68887</v>
                </pt>
                <pt idx="1121">
                  <v>-88638</v>
                </pt>
                <pt idx="1122">
                  <v>-87462</v>
                </pt>
                <pt idx="1123">
                  <v>-68716</v>
                </pt>
                <pt idx="1124">
                  <v>-67243</v>
                </pt>
                <pt idx="1125">
                  <v>-70352</v>
                </pt>
                <pt idx="1126">
                  <v>-60728</v>
                </pt>
                <pt idx="1127">
                  <v>-64707</v>
                </pt>
                <pt idx="1128">
                  <v>-53787</v>
                </pt>
                <pt idx="1129">
                  <v>-59036</v>
                </pt>
                <pt idx="1130">
                  <v>-74218</v>
                </pt>
                <pt idx="1131">
                  <v>-82162</v>
                </pt>
                <pt idx="1132">
                  <v>-68038</v>
                </pt>
                <pt idx="1133">
                  <v>-71223</v>
                </pt>
                <pt idx="1134">
                  <v>-58686</v>
                </pt>
                <pt idx="1135">
                  <v>-66375</v>
                </pt>
                <pt idx="1136">
                  <v>-62948</v>
                </pt>
                <pt idx="1137">
                  <v>-53916</v>
                </pt>
                <pt idx="1138">
                  <v>-73069</v>
                </pt>
                <pt idx="1139">
                  <v>-95399</v>
                </pt>
                <pt idx="1140">
                  <v>-81097</v>
                </pt>
                <pt idx="1141">
                  <v>-87271</v>
                </pt>
                <pt idx="1142">
                  <v>-102891</v>
                </pt>
                <pt idx="1143">
                  <v>-117308</v>
                </pt>
                <pt idx="1144">
                  <v>-100673</v>
                </pt>
                <pt idx="1145">
                  <v>-83182</v>
                </pt>
                <pt idx="1146">
                  <v>-105422</v>
                </pt>
                <pt idx="1147">
                  <v>-120878</v>
                </pt>
                <pt idx="1148">
                  <v>-112551</v>
                </pt>
                <pt idx="1149">
                  <v>-101147</v>
                </pt>
                <pt idx="1150">
                  <v>-71738</v>
                </pt>
                <pt idx="1151">
                  <v>-67399</v>
                </pt>
                <pt idx="1152">
                  <v>-71651</v>
                </pt>
                <pt idx="1153">
                  <v>-82563</v>
                </pt>
                <pt idx="1154">
                  <v>-92454</v>
                </pt>
                <pt idx="1155">
                  <v>-104380</v>
                </pt>
                <pt idx="1156">
                  <v>-111160</v>
                </pt>
                <pt idx="1157">
                  <v>-104136</v>
                </pt>
                <pt idx="1158">
                  <v>-86927</v>
                </pt>
                <pt idx="1159">
                  <v>-93742</v>
                </pt>
                <pt idx="1160">
                  <v>-96319</v>
                </pt>
                <pt idx="1161">
                  <v>-90083</v>
                </pt>
                <pt idx="1162">
                  <v>-94625</v>
                </pt>
                <pt idx="1163">
                  <v>-77886</v>
                </pt>
                <pt idx="1164">
                  <v>-64658</v>
                </pt>
                <pt idx="1165">
                  <v>-59571</v>
                </pt>
                <pt idx="1166">
                  <v>-55124</v>
                </pt>
                <pt idx="1167">
                  <v>-49091</v>
                </pt>
                <pt idx="1168">
                  <v>-47512</v>
                </pt>
                <pt idx="1169">
                  <v>-52521</v>
                </pt>
                <pt idx="1170">
                  <v>-59387</v>
                </pt>
                <pt idx="1171">
                  <v>-48054</v>
                </pt>
                <pt idx="1172">
                  <v>-45905</v>
                </pt>
                <pt idx="1173">
                  <v>-23924</v>
                </pt>
                <pt idx="1174">
                  <v>-24449</v>
                </pt>
                <pt idx="1175">
                  <v>-23070</v>
                </pt>
                <pt idx="1176">
                  <v>-14448</v>
                </pt>
                <pt idx="1177">
                  <v>-5493</v>
                </pt>
                <pt idx="1178">
                  <v>-31183</v>
                </pt>
                <pt idx="1179">
                  <v>-23593</v>
                </pt>
                <pt idx="1180">
                  <v>-22005</v>
                </pt>
                <pt idx="1181">
                  <v>-62224</v>
                </pt>
                <pt idx="1182">
                  <v>-85693</v>
                </pt>
                <pt idx="1183">
                  <v>-116286</v>
                </pt>
                <pt idx="1184">
                  <v>-80664</v>
                </pt>
                <pt idx="1185">
                  <v>-87717</v>
                </pt>
                <pt idx="1186">
                  <v>-78822</v>
                </pt>
                <pt idx="1187">
                  <v>-63629</v>
                </pt>
                <pt idx="1188">
                  <v>-47371</v>
                </pt>
                <pt idx="1189">
                  <v>-62314</v>
                </pt>
                <pt idx="1190">
                  <v>-63538</v>
                </pt>
                <pt idx="1191">
                  <v>-79716</v>
                </pt>
                <pt idx="1192">
                  <v>-105226</v>
                </pt>
                <pt idx="1193">
                  <v>-90130</v>
                </pt>
                <pt idx="1194">
                  <v>-39059</v>
                </pt>
                <pt idx="1195">
                  <v>-15555</v>
                </pt>
                <pt idx="1196">
                  <v>-6662</v>
                </pt>
                <pt idx="1197">
                  <v>-26814</v>
                </pt>
                <pt idx="1198">
                  <v>-23678</v>
                </pt>
                <pt idx="1199">
                  <v>-22052</v>
                </pt>
                <pt idx="1200">
                  <v>-17599</v>
                </pt>
                <pt idx="1201">
                  <v>-13832</v>
                </pt>
                <pt idx="1202">
                  <v>-3639</v>
                </pt>
                <pt idx="1203">
                  <v>-33911</v>
                </pt>
                <pt idx="1204">
                  <v>-43787</v>
                </pt>
                <pt idx="1205">
                  <v>-66888</v>
                </pt>
                <pt idx="1206">
                  <v>-78611</v>
                </pt>
                <pt idx="1207">
                  <v>-77336</v>
                </pt>
                <pt idx="1208">
                  <v>-74901</v>
                </pt>
                <pt idx="1209">
                  <v>-68050</v>
                </pt>
                <pt idx="1210">
                  <v>-26580</v>
                </pt>
                <pt idx="1211">
                  <v>-30367</v>
                </pt>
                <pt idx="1212">
                  <v>-17226</v>
                </pt>
                <pt idx="1213">
                  <v>4103</v>
                </pt>
                <pt idx="1214">
                  <v>25266</v>
                </pt>
                <pt idx="1215">
                  <v>37653</v>
                </pt>
                <pt idx="1216">
                  <v>50026</v>
                </pt>
                <pt idx="1217">
                  <v>37245</v>
                </pt>
                <pt idx="1218">
                  <v>43232</v>
                </pt>
                <pt idx="1219">
                  <v>47901</v>
                </pt>
                <pt idx="1220">
                  <v>52734</v>
                </pt>
                <pt idx="1221">
                  <v>59625</v>
                </pt>
                <pt idx="1222">
                  <v>64333</v>
                </pt>
                <pt idx="1223">
                  <v>45489</v>
                </pt>
                <pt idx="1224">
                  <v>53346</v>
                </pt>
                <pt idx="1225">
                  <v>54387</v>
                </pt>
                <pt idx="1226">
                  <v>60073</v>
                </pt>
                <pt idx="1227">
                  <v>66190</v>
                </pt>
                <pt idx="1228">
                  <v>71870</v>
                </pt>
                <pt idx="1229">
                  <v>66498</v>
                </pt>
                <pt idx="1230">
                  <v>61521</v>
                </pt>
                <pt idx="1231">
                  <v>59047</v>
                </pt>
                <pt idx="1232">
                  <v>58919</v>
                </pt>
                <pt idx="1233">
                  <v>22059</v>
                </pt>
                <pt idx="1234">
                  <v>14837</v>
                </pt>
                <pt idx="1235">
                  <v>42853</v>
                </pt>
                <pt idx="1236">
                  <v>55690</v>
                </pt>
                <pt idx="1237">
                  <v>52296</v>
                </pt>
                <pt idx="1238">
                  <v>59750</v>
                </pt>
                <pt idx="1239">
                  <v>63568</v>
                </pt>
                <pt idx="1240">
                  <v>47545</v>
                </pt>
                <pt idx="1241">
                  <v>39353</v>
                </pt>
                <pt idx="1242">
                  <v>34958</v>
                </pt>
                <pt idx="1243">
                  <v>41700</v>
                </pt>
                <pt idx="1244">
                  <v>48831</v>
                </pt>
                <pt idx="1245">
                  <v>56006</v>
                </pt>
                <pt idx="1246">
                  <v>60316</v>
                </pt>
                <pt idx="1247">
                  <v>63661</v>
                </pt>
                <pt idx="1248">
                  <v>54489</v>
                </pt>
                <pt idx="1249">
                  <v>56846</v>
                </pt>
                <pt idx="1250">
                  <v>58785</v>
                </pt>
                <pt idx="1251">
                  <v>68892</v>
                </pt>
                <pt idx="1252">
                  <v>68695</v>
                </pt>
                <pt idx="1253">
                  <v>45909</v>
                </pt>
                <pt idx="1254">
                  <v>36991</v>
                </pt>
                <pt idx="1255">
                  <v>44595</v>
                </pt>
                <pt idx="1256">
                  <v>43160</v>
                </pt>
                <pt idx="1257">
                  <v>31956</v>
                </pt>
                <pt idx="1258">
                  <v>20676</v>
                </pt>
                <pt idx="1259">
                  <v>10900</v>
                </pt>
                <pt idx="1260">
                  <v>-269</v>
                </pt>
                <pt idx="1261">
                  <v>-33937</v>
                </pt>
                <pt idx="1262">
                  <v>-63429</v>
                </pt>
                <pt idx="1263">
                  <v>-75449</v>
                </pt>
                <pt idx="1264">
                  <v>-87009</v>
                </pt>
                <pt idx="1265">
                  <v>-86764</v>
                </pt>
                <pt idx="1266">
                  <v>-79839</v>
                </pt>
                <pt idx="1267">
                  <v>-77830</v>
                </pt>
                <pt idx="1268">
                  <v>-66840</v>
                </pt>
                <pt idx="1269">
                  <v>-58331</v>
                </pt>
                <pt idx="1270">
                  <v>-55060</v>
                </pt>
                <pt idx="1271">
                  <v>-51284</v>
                </pt>
                <pt idx="1272">
                  <v>-50162</v>
                </pt>
                <pt idx="1273">
                  <v>-50017</v>
                </pt>
                <pt idx="1274">
                  <v>-54700</v>
                </pt>
                <pt idx="1275">
                  <v>-71297</v>
                </pt>
                <pt idx="1276">
                  <v>-66987</v>
                </pt>
                <pt idx="1277">
                  <v>-53181</v>
                </pt>
                <pt idx="1278">
                  <v>-45800</v>
                </pt>
                <pt idx="1279">
                  <v>-34764</v>
                </pt>
                <pt idx="1280">
                  <v>-30463</v>
                </pt>
                <pt idx="1281">
                  <v>-26869</v>
                </pt>
                <pt idx="1282">
                  <v>-30483</v>
                </pt>
                <pt idx="1283">
                  <v>-36307</v>
                </pt>
                <pt idx="1284">
                  <v>-60008</v>
                </pt>
                <pt idx="1285">
                  <v>-51656</v>
                </pt>
                <pt idx="1286">
                  <v>-52275</v>
                </pt>
                <pt idx="1287">
                  <v>-55027</v>
                </pt>
                <pt idx="1288">
                  <v>-50553</v>
                </pt>
                <pt idx="1289">
                  <v>-49959</v>
                </pt>
                <pt idx="1290">
                  <v>-61350</v>
                </pt>
                <pt idx="1291">
                  <v>-75036</v>
                </pt>
                <pt idx="1292">
                  <v>-112125</v>
                </pt>
                <pt idx="1293">
                  <v>-126919</v>
                </pt>
                <pt idx="1294">
                  <v>-121489</v>
                </pt>
                <pt idx="1295">
                  <v>-112196</v>
                </pt>
                <pt idx="1296">
                  <v>-95813</v>
                </pt>
                <pt idx="1297">
                  <v>-77492</v>
                </pt>
                <pt idx="1298">
                  <v>-74086</v>
                </pt>
                <pt idx="1299">
                  <v>-68524</v>
                </pt>
                <pt idx="1300">
                  <v>-72945</v>
                </pt>
                <pt idx="1301">
                  <v>-57297</v>
                </pt>
                <pt idx="1302">
                  <v>-51322</v>
                </pt>
                <pt idx="1303">
                  <v>-71347</v>
                </pt>
                <pt idx="1304">
                  <v>-84643</v>
                </pt>
                <pt idx="1305">
                  <v>-101419</v>
                </pt>
                <pt idx="1306">
                  <v>-101286</v>
                </pt>
                <pt idx="1307">
                  <v>-116857</v>
                </pt>
                <pt idx="1308">
                  <v>-118869</v>
                </pt>
                <pt idx="1309">
                  <v>-127848</v>
                </pt>
                <pt idx="1310">
                  <v>-135999</v>
                </pt>
                <pt idx="1311">
                  <v>-122602</v>
                </pt>
                <pt idx="1312">
                  <v>-110640</v>
                </pt>
                <pt idx="1313">
                  <v>-114267</v>
                </pt>
                <pt idx="1314">
                  <v>-114123</v>
                </pt>
                <pt idx="1315">
                  <v>-114373</v>
                </pt>
                <pt idx="1316">
                  <v>-116086</v>
                </pt>
                <pt idx="1317">
                  <v>-121766</v>
                </pt>
                <pt idx="1318">
                  <v>-125536</v>
                </pt>
                <pt idx="1319">
                  <v>-119350</v>
                </pt>
                <pt idx="1320">
                  <v>-122870</v>
                </pt>
                <pt idx="1321">
                  <v>-114696</v>
                </pt>
                <pt idx="1322">
                  <v>-112876</v>
                </pt>
                <pt idx="1323">
                  <v>-115509</v>
                </pt>
                <pt idx="1324">
                  <v>-108338</v>
                </pt>
                <pt idx="1325">
                  <v>-96651</v>
                </pt>
                <pt idx="1326">
                  <v>-86845</v>
                </pt>
                <pt idx="1327">
                  <v>-79539</v>
                </pt>
                <pt idx="1328">
                  <v>-21999</v>
                </pt>
                <pt idx="1329">
                  <v>-3668</v>
                </pt>
                <pt idx="1330">
                  <v>3572</v>
                </pt>
                <pt idx="1331">
                  <v>2761</v>
                </pt>
                <pt idx="1332">
                  <v>2591</v>
                </pt>
                <pt idx="1333">
                  <v>583</v>
                </pt>
                <pt idx="1334">
                  <v>-1405</v>
                </pt>
                <pt idx="1335">
                  <v>-5462</v>
                </pt>
                <pt idx="1336">
                  <v>3680</v>
                </pt>
                <pt idx="1337">
                  <v>-2767</v>
                </pt>
                <pt idx="1338">
                  <v>-8036</v>
                </pt>
                <pt idx="1339">
                  <v>-3437</v>
                </pt>
                <pt idx="1340">
                  <v>5052</v>
                </pt>
                <pt idx="1341">
                  <v>-35562</v>
                </pt>
                <pt idx="1342">
                  <v>-34221</v>
                </pt>
                <pt idx="1343">
                  <v>-38730</v>
                </pt>
                <pt idx="1344">
                  <v>-39832</v>
                </pt>
                <pt idx="1345">
                  <v>-58650</v>
                </pt>
                <pt idx="1346">
                  <v>-73769</v>
                </pt>
                <pt idx="1347">
                  <v>-68457</v>
                </pt>
                <pt idx="1348">
                  <v>-62807</v>
                </pt>
                <pt idx="1349">
                  <v>-58368</v>
                </pt>
                <pt idx="1350">
                  <v>-47406</v>
                </pt>
                <pt idx="1351">
                  <v>-46041</v>
                </pt>
                <pt idx="1352">
                  <v>-51932</v>
                </pt>
                <pt idx="1353">
                  <v>-53886</v>
                </pt>
                <pt idx="1354">
                  <v>-63755</v>
                </pt>
                <pt idx="1355">
                  <v>-84719</v>
                </pt>
                <pt idx="1356">
                  <v>-114046</v>
                </pt>
                <pt idx="1357">
                  <v>-115201</v>
                </pt>
                <pt idx="1358">
                  <v>-100621</v>
                </pt>
                <pt idx="1359">
                  <v>-92804</v>
                </pt>
                <pt idx="1360">
                  <v>-91620</v>
                </pt>
                <pt idx="1361">
                  <v>-89122</v>
                </pt>
                <pt idx="1362">
                  <v>-102294</v>
                </pt>
                <pt idx="1363">
                  <v>-100065</v>
                </pt>
                <pt idx="1364">
                  <v>-104324</v>
                </pt>
                <pt idx="1365">
                  <v>-109766</v>
                </pt>
                <pt idx="1366">
                  <v>-97606</v>
                </pt>
                <pt idx="1367">
                  <v>-102771</v>
                </pt>
                <pt idx="1368">
                  <v>-99089</v>
                </pt>
                <pt idx="1369">
                  <v>-88623</v>
                </pt>
                <pt idx="1370">
                  <v>-61314</v>
                </pt>
                <pt idx="1371">
                  <v>-46421</v>
                </pt>
                <pt idx="1372">
                  <v>-39667</v>
                </pt>
                <pt idx="1373">
                  <v>-33345</v>
                </pt>
                <pt idx="1374">
                  <v>-31410</v>
                </pt>
                <pt idx="1375">
                  <v>-30742</v>
                </pt>
                <pt idx="1376">
                  <v>-37461</v>
                </pt>
                <pt idx="1377">
                  <v>-39654</v>
                </pt>
                <pt idx="1378">
                  <v>-51306</v>
                </pt>
                <pt idx="1379">
                  <v>-58781</v>
                </pt>
                <pt idx="1380">
                  <v>-59221</v>
                </pt>
                <pt idx="1381">
                  <v>-62121</v>
                </pt>
                <pt idx="1382">
                  <v>-62741</v>
                </pt>
                <pt idx="1383">
                  <v>-71520</v>
                </pt>
                <pt idx="1384">
                  <v>-87106</v>
                </pt>
                <pt idx="1385">
                  <v>-94414</v>
                </pt>
                <pt idx="1386">
                  <v>-99599</v>
                </pt>
                <pt idx="1387">
                  <v>-91717</v>
                </pt>
                <pt idx="1388">
                  <v>-61580</v>
                </pt>
                <pt idx="1389">
                  <v>-55192</v>
                </pt>
                <pt idx="1390">
                  <v>-55577</v>
                </pt>
                <pt idx="1391">
                  <v>-44389</v>
                </pt>
                <pt idx="1392">
                  <v>-45165</v>
                </pt>
                <pt idx="1393">
                  <v>-16565</v>
                </pt>
                <pt idx="1394">
                  <v>-10147</v>
                </pt>
                <pt idx="1395">
                  <v>-1227</v>
                </pt>
                <pt idx="1396">
                  <v>-3651</v>
                </pt>
                <pt idx="1397">
                  <v>-11380</v>
                </pt>
                <pt idx="1398">
                  <v>-9377</v>
                </pt>
                <pt idx="1399">
                  <v>-4218</v>
                </pt>
                <pt idx="1400">
                  <v>10561</v>
                </pt>
                <pt idx="1401">
                  <v>24742</v>
                </pt>
                <pt idx="1402">
                  <v>31154</v>
                </pt>
                <pt idx="1403">
                  <v>33607</v>
                </pt>
                <pt idx="1404">
                  <v>27682</v>
                </pt>
                <pt idx="1405">
                  <v>32591</v>
                </pt>
                <pt idx="1406">
                  <v>23862</v>
                </pt>
                <pt idx="1407">
                  <v>12783</v>
                </pt>
                <pt idx="1408">
                  <v>13917</v>
                </pt>
                <pt idx="1409">
                  <v>11012</v>
                </pt>
                <pt idx="1410">
                  <v>-6641</v>
                </pt>
                <pt idx="1411">
                  <v>-18165</v>
                </pt>
                <pt idx="1412">
                  <v>-19698</v>
                </pt>
                <pt idx="1413">
                  <v>-26605</v>
                </pt>
                <pt idx="1414">
                  <v>-34997</v>
                </pt>
                <pt idx="1415">
                  <v>-35031</v>
                </pt>
                <pt idx="1416">
                  <v>-39591</v>
                </pt>
                <pt idx="1417">
                  <v>-47823</v>
                </pt>
                <pt idx="1418">
                  <v>-43682</v>
                </pt>
                <pt idx="1419">
                  <v>-42062</v>
                </pt>
                <pt idx="1420">
                  <v>-33542</v>
                </pt>
                <pt idx="1421">
                  <v>-25302</v>
                </pt>
                <pt idx="1422">
                  <v>-12248</v>
                </pt>
                <pt idx="1423">
                  <v>-31430</v>
                </pt>
                <pt idx="1424">
                  <v>-44701</v>
                </pt>
                <pt idx="1425">
                  <v>-36025</v>
                </pt>
                <pt idx="1426">
                  <v>-21898</v>
                </pt>
                <pt idx="1427">
                  <v>-26188</v>
                </pt>
                <pt idx="1428">
                  <v>-27221</v>
                </pt>
                <pt idx="1429">
                  <v>-56389</v>
                </pt>
                <pt idx="1430">
                  <v>-42324</v>
                </pt>
                <pt idx="1431">
                  <v>8157</v>
                </pt>
                <pt idx="1432">
                  <v>32935</v>
                </pt>
                <pt idx="1433">
                  <v>23863</v>
                </pt>
                <pt idx="1434">
                  <v>18282</v>
                </pt>
                <pt idx="1435">
                  <v>22410</v>
                </pt>
                <pt idx="1436">
                  <v>22643</v>
                </pt>
                <pt idx="1437">
                  <v>26026</v>
                </pt>
                <pt idx="1438">
                  <v>32326</v>
                </pt>
                <pt idx="1439">
                  <v>27214</v>
                </pt>
                <pt idx="1440">
                  <v>27937</v>
                </pt>
                <pt idx="1441">
                  <v>27470</v>
                </pt>
                <pt idx="1442">
                  <v>34607</v>
                </pt>
                <pt idx="1443">
                  <v>32579</v>
                </pt>
                <pt idx="1444">
                  <v>17462</v>
                </pt>
                <pt idx="1445">
                  <v>22110</v>
                </pt>
                <pt idx="1446">
                  <v>27458</v>
                </pt>
                <pt idx="1447">
                  <v>23861</v>
                </pt>
                <pt idx="1448">
                  <v>16812</v>
                </pt>
                <pt idx="1449">
                  <v>18326</v>
                </pt>
                <pt idx="1450">
                  <v>19307</v>
                </pt>
                <pt idx="1451">
                  <v>28507</v>
                </pt>
                <pt idx="1452">
                  <v>31429</v>
                </pt>
                <pt idx="1453">
                  <v>27016</v>
                </pt>
                <pt idx="1454">
                  <v>20584</v>
                </pt>
                <pt idx="1455">
                  <v>23616</v>
                </pt>
                <pt idx="1456">
                  <v>29604</v>
                </pt>
                <pt idx="1457">
                  <v>21742</v>
                </pt>
                <pt idx="1458">
                  <v>22889</v>
                </pt>
                <pt idx="1459">
                  <v>29581</v>
                </pt>
                <pt idx="1460">
                  <v>24789</v>
                </pt>
                <pt idx="1461">
                  <v>21102</v>
                </pt>
                <pt idx="1462">
                  <v>19976</v>
                </pt>
                <pt idx="1463">
                  <v>14183</v>
                </pt>
                <pt idx="1464">
                  <v>17893</v>
                </pt>
                <pt idx="1465">
                  <v>28098</v>
                </pt>
                <pt idx="1466">
                  <v>41894</v>
                </pt>
                <pt idx="1467">
                  <v>29667</v>
                </pt>
                <pt idx="1468">
                  <v>40242</v>
                </pt>
                <pt idx="1469">
                  <v>47503</v>
                </pt>
                <pt idx="1470">
                  <v>48166</v>
                </pt>
                <pt idx="1471">
                  <v>43963</v>
                </pt>
                <pt idx="1472">
                  <v>46093</v>
                </pt>
                <pt idx="1473">
                  <v>47350</v>
                </pt>
                <pt idx="1474">
                  <v>50190</v>
                </pt>
                <pt idx="1475">
                  <v>50520</v>
                </pt>
                <pt idx="1476">
                  <v>50014</v>
                </pt>
                <pt idx="1477">
                  <v>44992</v>
                </pt>
                <pt idx="1478">
                  <v>44629</v>
                </pt>
                <pt idx="1479">
                  <v>34618</v>
                </pt>
                <pt idx="1480">
                  <v>37182</v>
                </pt>
                <pt idx="1481">
                  <v>28622</v>
                </pt>
                <pt idx="1482">
                  <v>19270</v>
                </pt>
                <pt idx="1483">
                  <v>6514</v>
                </pt>
                <pt idx="1484">
                  <v>-39368</v>
                </pt>
                <pt idx="1485">
                  <v>-53525</v>
                </pt>
                <pt idx="1486">
                  <v>-59481</v>
                </pt>
                <pt idx="1487">
                  <v>-57989</v>
                </pt>
                <pt idx="1488">
                  <v>-58312</v>
                </pt>
                <pt idx="1489">
                  <v>-59819</v>
                </pt>
                <pt idx="1490">
                  <v>-48509</v>
                </pt>
                <pt idx="1491">
                  <v>-41492</v>
                </pt>
                <pt idx="1492">
                  <v>-41728</v>
                </pt>
                <pt idx="1493">
                  <v>-50948</v>
                </pt>
                <pt idx="1494">
                  <v>-50156</v>
                </pt>
                <pt idx="1495">
                  <v>-47115</v>
                </pt>
                <pt idx="1496">
                  <v>-37314</v>
                </pt>
                <pt idx="1497">
                  <v>-46850</v>
                </pt>
                <pt idx="1498">
                  <v>-53862</v>
                </pt>
                <pt idx="1499">
                  <v>-69895</v>
                </pt>
                <pt idx="1500">
                  <v>-69136</v>
                </pt>
                <pt idx="1501">
                  <v>-56250</v>
                </pt>
                <pt idx="1502">
                  <v>-55731</v>
                </pt>
                <pt idx="1503">
                  <v>-59934</v>
                </pt>
                <pt idx="1504">
                  <v>-55190</v>
                </pt>
                <pt idx="1505">
                  <v>-60657</v>
                </pt>
                <pt idx="1506">
                  <v>-63208</v>
                </pt>
                <pt idx="1507">
                  <v>-66671</v>
                </pt>
                <pt idx="1508">
                  <v>-63130</v>
                </pt>
                <pt idx="1509">
                  <v>-62325</v>
                </pt>
                <pt idx="1510">
                  <v>-60295</v>
                </pt>
                <pt idx="1511">
                  <v>-56071</v>
                </pt>
                <pt idx="1512">
                  <v>-64760</v>
                </pt>
                <pt idx="1513">
                  <v>-63694</v>
                </pt>
                <pt idx="1514">
                  <v>-76634</v>
                </pt>
                <pt idx="1515">
                  <v>-102734</v>
                </pt>
                <pt idx="1516">
                  <v>-107036</v>
                </pt>
                <pt idx="1517">
                  <v>-107624</v>
                </pt>
                <pt idx="1518">
                  <v>-105351</v>
                </pt>
                <pt idx="1519">
                  <v>-93126</v>
                </pt>
                <pt idx="1520">
                  <v>-97253</v>
                </pt>
                <pt idx="1521">
                  <v>-78866</v>
                </pt>
                <pt idx="1522">
                  <v>-63081</v>
                </pt>
                <pt idx="1523">
                  <v>-53523</v>
                </pt>
                <pt idx="1524">
                  <v>-52286</v>
                </pt>
                <pt idx="1525">
                  <v>-53102</v>
                </pt>
                <pt idx="1526">
                  <v>-62262</v>
                </pt>
                <pt idx="1527">
                  <v>-87525</v>
                </pt>
                <pt idx="1528">
                  <v>-80879</v>
                </pt>
                <pt idx="1529">
                  <v>-68273</v>
                </pt>
                <pt idx="1530">
                  <v>-60640</v>
                </pt>
                <pt idx="1531">
                  <v>-59148</v>
                </pt>
                <pt idx="1532">
                  <v>-66162</v>
                </pt>
                <pt idx="1533">
                  <v>-63187</v>
                </pt>
                <pt idx="1534">
                  <v>-68732</v>
                </pt>
                <pt idx="1535">
                  <v>-55856</v>
                </pt>
                <pt idx="1536">
                  <v>-62340</v>
                </pt>
                <pt idx="1537">
                  <v>-78482</v>
                </pt>
                <pt idx="1538">
                  <v>-102131</v>
                </pt>
                <pt idx="1539">
                  <v>-103829</v>
                </pt>
                <pt idx="1540">
                  <v>-111827</v>
                </pt>
                <pt idx="1541">
                  <v>-107187</v>
                </pt>
                <pt idx="1542">
                  <v>-95535</v>
                </pt>
                <pt idx="1543">
                  <v>-100794</v>
                </pt>
                <pt idx="1544">
                  <v>-110454</v>
                </pt>
                <pt idx="1545">
                  <v>-102309</v>
                </pt>
                <pt idx="1546">
                  <v>-99444</v>
                </pt>
                <pt idx="1547">
                  <v>-94439</v>
                </pt>
                <pt idx="1548">
                  <v>-91646</v>
                </pt>
                <pt idx="1549">
                  <v>-69755</v>
                </pt>
                <pt idx="1550">
                  <v>-58454</v>
                </pt>
                <pt idx="1551">
                  <v>-52570</v>
                </pt>
                <pt idx="1552">
                  <v>-54445</v>
                </pt>
                <pt idx="1553">
                  <v>-59998</v>
                </pt>
                <pt idx="1554">
                  <v>-59225</v>
                </pt>
                <pt idx="1555">
                  <v>-61481</v>
                </pt>
                <pt idx="1556">
                  <v>-42753</v>
                </pt>
                <pt idx="1557">
                  <v>-25032</v>
                </pt>
                <pt idx="1558">
                  <v>-28891</v>
                </pt>
                <pt idx="1559">
                  <v>-38807</v>
                </pt>
                <pt idx="1560">
                  <v>-41531</v>
                </pt>
                <pt idx="1561">
                  <v>-58189</v>
                </pt>
                <pt idx="1562">
                  <v>-80692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areaChart>
        <grouping val="stacked"/>
        <varyColors val="0"/>
        <ser>
          <idx val="18"/>
          <order val="0"/>
          <tx>
            <strRef>
              <f>Database!$I$1</f>
              <strCache>
                <ptCount val="1"/>
                <pt idx="0">
                  <v>MEX</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Database!$I$2:$I$1564</f>
              <numCache>
                <formatCode>General</formatCode>
                <ptCount val="1563"/>
                <pt idx="137">
                  <v>679</v>
                </pt>
                <pt idx="138">
                  <v>1162</v>
                </pt>
                <pt idx="139">
                  <v>579</v>
                </pt>
                <pt idx="140">
                  <v>1287</v>
                </pt>
                <pt idx="141">
                  <v>1754</v>
                </pt>
                <pt idx="142">
                  <v>2683</v>
                </pt>
                <pt idx="143">
                  <v>2628</v>
                </pt>
                <pt idx="144">
                  <v>2944</v>
                </pt>
                <pt idx="145">
                  <v>2471</v>
                </pt>
                <pt idx="146">
                  <v>2338</v>
                </pt>
                <pt idx="147">
                  <v>2685</v>
                </pt>
                <pt idx="148">
                  <v>2328</v>
                </pt>
                <pt idx="149">
                  <v>53</v>
                </pt>
                <pt idx="150">
                  <v>288</v>
                </pt>
                <pt idx="151">
                  <v>497</v>
                </pt>
                <pt idx="152">
                  <v>225</v>
                </pt>
                <pt idx="153">
                  <v>225</v>
                </pt>
                <pt idx="154">
                  <v>225</v>
                </pt>
                <pt idx="155">
                  <v>448</v>
                </pt>
                <pt idx="156">
                  <v>1029</v>
                </pt>
                <pt idx="157">
                  <v>948</v>
                </pt>
                <pt idx="158">
                  <v>963</v>
                </pt>
                <pt idx="159">
                  <v>917</v>
                </pt>
                <pt idx="160">
                  <v>1076</v>
                </pt>
                <pt idx="161">
                  <v>1214</v>
                </pt>
                <pt idx="162">
                  <v>1132</v>
                </pt>
                <pt idx="163">
                  <v>752</v>
                </pt>
                <pt idx="164">
                  <v>612</v>
                </pt>
                <pt idx="165">
                  <v>751</v>
                </pt>
                <pt idx="166">
                  <v>277</v>
                </pt>
                <pt idx="167">
                  <v>-1844</v>
                </pt>
                <pt idx="168">
                  <v>-1859</v>
                </pt>
                <pt idx="169">
                  <v>-1859</v>
                </pt>
                <pt idx="170">
                  <v>-2096</v>
                </pt>
                <pt idx="171">
                  <v>-2139</v>
                </pt>
                <pt idx="172">
                  <v>-2367</v>
                </pt>
                <pt idx="173">
                  <v>-3481</v>
                </pt>
                <pt idx="174">
                  <v>-2962</v>
                </pt>
                <pt idx="175">
                  <v>-2420</v>
                </pt>
                <pt idx="176">
                  <v>-1676</v>
                </pt>
                <pt idx="177">
                  <v>-2218</v>
                </pt>
                <pt idx="178">
                  <v>-2642</v>
                </pt>
                <pt idx="179">
                  <v>-1429</v>
                </pt>
                <pt idx="180">
                  <v>18</v>
                </pt>
                <pt idx="181">
                  <v>-87</v>
                </pt>
                <pt idx="182">
                  <v>173</v>
                </pt>
                <pt idx="183">
                  <v>-228</v>
                </pt>
                <pt idx="184">
                  <v>-348</v>
                </pt>
                <pt idx="185">
                  <v>-1293</v>
                </pt>
                <pt idx="186">
                  <v>-1144</v>
                </pt>
                <pt idx="187">
                  <v>-1012</v>
                </pt>
                <pt idx="188">
                  <v>-852</v>
                </pt>
                <pt idx="189">
                  <v>-667</v>
                </pt>
                <pt idx="190">
                  <v>-955</v>
                </pt>
                <pt idx="191">
                  <v>-1196</v>
                </pt>
                <pt idx="192">
                  <v>-669</v>
                </pt>
                <pt idx="193">
                  <v>171</v>
                </pt>
                <pt idx="194">
                  <v>208</v>
                </pt>
                <pt idx="195">
                  <v>477</v>
                </pt>
                <pt idx="196">
                  <v>263</v>
                </pt>
                <pt idx="197">
                  <v>2613</v>
                </pt>
                <pt idx="198">
                  <v>561</v>
                </pt>
                <pt idx="199">
                  <v>1030</v>
                </pt>
                <pt idx="200">
                  <v>381</v>
                </pt>
                <pt idx="201">
                  <v>118</v>
                </pt>
                <pt idx="202">
                  <v>241</v>
                </pt>
                <pt idx="203">
                  <v>684</v>
                </pt>
                <pt idx="204">
                  <v>187</v>
                </pt>
                <pt idx="205">
                  <v>1171</v>
                </pt>
                <pt idx="206">
                  <v>900</v>
                </pt>
                <pt idx="207">
                  <v>1064</v>
                </pt>
                <pt idx="208">
                  <v>1065</v>
                </pt>
                <pt idx="209">
                  <v>962</v>
                </pt>
                <pt idx="210">
                  <v>1199</v>
                </pt>
                <pt idx="211">
                  <v>1444</v>
                </pt>
                <pt idx="212">
                  <v>1002</v>
                </pt>
                <pt idx="213">
                  <v>53</v>
                </pt>
                <pt idx="214">
                  <v>746</v>
                </pt>
                <pt idx="215">
                  <v>1104</v>
                </pt>
                <pt idx="216">
                  <v>21</v>
                </pt>
                <pt idx="217">
                  <v>1285</v>
                </pt>
                <pt idx="218">
                  <v>1496</v>
                </pt>
                <pt idx="219">
                  <v>1814</v>
                </pt>
                <pt idx="220">
                  <v>2094</v>
                </pt>
                <pt idx="221">
                  <v>2091</v>
                </pt>
                <pt idx="222">
                  <v>3335</v>
                </pt>
                <pt idx="223">
                  <v>3963</v>
                </pt>
                <pt idx="224">
                  <v>4152</v>
                </pt>
                <pt idx="225">
                  <v>3979</v>
                </pt>
                <pt idx="226">
                  <v>4142</v>
                </pt>
                <pt idx="227">
                  <v>3986</v>
                </pt>
                <pt idx="228">
                  <v>3807</v>
                </pt>
                <pt idx="229">
                  <v>5328</v>
                </pt>
                <pt idx="230">
                  <v>1215</v>
                </pt>
                <pt idx="231">
                  <v>704</v>
                </pt>
                <pt idx="232">
                  <v>0</v>
                </pt>
                <pt idx="233">
                  <v>200</v>
                </pt>
                <pt idx="234">
                  <v>1266</v>
                </pt>
                <pt idx="235">
                  <v>415</v>
                </pt>
                <pt idx="236">
                  <v>1764</v>
                </pt>
                <pt idx="237">
                  <v>2438</v>
                </pt>
                <pt idx="238">
                  <v>1121</v>
                </pt>
                <pt idx="239">
                  <v>1372</v>
                </pt>
                <pt idx="240">
                  <v>42</v>
                </pt>
                <pt idx="241">
                  <v>655</v>
                </pt>
                <pt idx="242">
                  <v>504</v>
                </pt>
                <pt idx="243">
                  <v>820</v>
                </pt>
                <pt idx="244">
                  <v>634</v>
                </pt>
                <pt idx="245">
                  <v>272</v>
                </pt>
                <pt idx="246">
                  <v>-1896</v>
                </pt>
                <pt idx="247">
                  <v>-1185</v>
                </pt>
                <pt idx="248">
                  <v>259</v>
                </pt>
                <pt idx="249">
                  <v>663</v>
                </pt>
                <pt idx="250">
                  <v>1286</v>
                </pt>
                <pt idx="251">
                  <v>453</v>
                </pt>
                <pt idx="252">
                  <v>2772</v>
                </pt>
                <pt idx="253">
                  <v>3304</v>
                </pt>
                <pt idx="254">
                  <v>3850</v>
                </pt>
                <pt idx="255">
                  <v>5237</v>
                </pt>
                <pt idx="256">
                  <v>5131</v>
                </pt>
                <pt idx="257">
                  <v>5497</v>
                </pt>
                <pt idx="258">
                  <v>7475</v>
                </pt>
                <pt idx="259">
                  <v>7071</v>
                </pt>
                <pt idx="260">
                  <v>6263</v>
                </pt>
                <pt idx="261">
                  <v>5383</v>
                </pt>
                <pt idx="262">
                  <v>7344</v>
                </pt>
                <pt idx="263">
                  <v>7260</v>
                </pt>
                <pt idx="264">
                  <v>4063</v>
                </pt>
                <pt idx="265">
                  <v>1550</v>
                </pt>
                <pt idx="266">
                  <v>638</v>
                </pt>
                <pt idx="267">
                  <v>204</v>
                </pt>
                <pt idx="268">
                  <v>-798</v>
                </pt>
                <pt idx="269">
                  <v>-683</v>
                </pt>
                <pt idx="270">
                  <v>2728</v>
                </pt>
                <pt idx="271">
                  <v>1521</v>
                </pt>
                <pt idx="272">
                  <v>-412</v>
                </pt>
                <pt idx="273">
                  <v>-490</v>
                </pt>
                <pt idx="274">
                  <v>-252</v>
                </pt>
                <pt idx="275">
                  <v>764</v>
                </pt>
                <pt idx="276">
                  <v>58</v>
                </pt>
                <pt idx="277">
                  <v>2513</v>
                </pt>
                <pt idx="278">
                  <v>3039</v>
                </pt>
                <pt idx="279">
                  <v>3188</v>
                </pt>
                <pt idx="280">
                  <v>3332</v>
                </pt>
                <pt idx="281">
                  <v>254</v>
                </pt>
                <pt idx="282">
                  <v>2464</v>
                </pt>
                <pt idx="283">
                  <v>3397</v>
                </pt>
                <pt idx="284">
                  <v>3230</v>
                </pt>
                <pt idx="285">
                  <v>4865</v>
                </pt>
                <pt idx="286">
                  <v>1943</v>
                </pt>
                <pt idx="287">
                  <v>813</v>
                </pt>
                <pt idx="288">
                  <v>2454</v>
                </pt>
                <pt idx="289">
                  <v>3981</v>
                </pt>
                <pt idx="290">
                  <v>2542</v>
                </pt>
                <pt idx="291">
                  <v>5208</v>
                </pt>
                <pt idx="292">
                  <v>4297</v>
                </pt>
                <pt idx="293">
                  <v>2440</v>
                </pt>
                <pt idx="294">
                  <v>-672</v>
                </pt>
                <pt idx="295">
                  <v>-2020</v>
                </pt>
                <pt idx="296">
                  <v>-1069</v>
                </pt>
                <pt idx="297">
                  <v>-1611</v>
                </pt>
                <pt idx="298">
                  <v>-78</v>
                </pt>
                <pt idx="299">
                  <v>-47</v>
                </pt>
                <pt idx="300">
                  <v>1073</v>
                </pt>
                <pt idx="301">
                  <v>2730</v>
                </pt>
                <pt idx="302">
                  <v>4453</v>
                </pt>
                <pt idx="303">
                  <v>3696</v>
                </pt>
                <pt idx="304">
                  <v>3265</v>
                </pt>
                <pt idx="305">
                  <v>787</v>
                </pt>
                <pt idx="306">
                  <v>-819</v>
                </pt>
                <pt idx="307">
                  <v>-2178</v>
                </pt>
                <pt idx="308">
                  <v>-2247</v>
                </pt>
                <pt idx="309">
                  <v>-2283</v>
                </pt>
                <pt idx="310">
                  <v>-1062</v>
                </pt>
                <pt idx="311">
                  <v>-299</v>
                </pt>
                <pt idx="312">
                  <v>219</v>
                </pt>
                <pt idx="313">
                  <v>-331</v>
                </pt>
                <pt idx="314">
                  <v>-557</v>
                </pt>
                <pt idx="315">
                  <v>827</v>
                </pt>
                <pt idx="316">
                  <v>877</v>
                </pt>
                <pt idx="317">
                  <v>877</v>
                </pt>
                <pt idx="318">
                  <v>1092</v>
                </pt>
                <pt idx="319">
                  <v>1342</v>
                </pt>
                <pt idx="320">
                  <v>1842</v>
                </pt>
                <pt idx="321">
                  <v>1814</v>
                </pt>
                <pt idx="322">
                  <v>3133</v>
                </pt>
                <pt idx="323">
                  <v>3661</v>
                </pt>
                <pt idx="324">
                  <v>4306</v>
                </pt>
                <pt idx="325">
                  <v>4249</v>
                </pt>
                <pt idx="326">
                  <v>4520</v>
                </pt>
                <pt idx="327">
                  <v>1007</v>
                </pt>
                <pt idx="328">
                  <v>0</v>
                </pt>
                <pt idx="329">
                  <v>-200</v>
                </pt>
                <pt idx="330">
                  <v>412</v>
                </pt>
                <pt idx="331">
                  <v>821</v>
                </pt>
                <pt idx="332">
                  <v>4352</v>
                </pt>
                <pt idx="333">
                  <v>4472</v>
                </pt>
                <pt idx="334">
                  <v>5984</v>
                </pt>
                <pt idx="335">
                  <v>7670</v>
                </pt>
                <pt idx="336">
                  <v>7784</v>
                </pt>
                <pt idx="337">
                  <v>5809</v>
                </pt>
                <pt idx="338">
                  <v>6419</v>
                </pt>
                <pt idx="339">
                  <v>6116</v>
                </pt>
                <pt idx="340">
                  <v>6178</v>
                </pt>
                <pt idx="341">
                  <v>7342</v>
                </pt>
                <pt idx="342">
                  <v>6530</v>
                </pt>
                <pt idx="343">
                  <v>6593</v>
                </pt>
                <pt idx="344">
                  <v>6429</v>
                </pt>
                <pt idx="345">
                  <v>6546</v>
                </pt>
                <pt idx="346">
                  <v>1703</v>
                </pt>
                <pt idx="347">
                  <v>250</v>
                </pt>
                <pt idx="348">
                  <v>1013</v>
                </pt>
                <pt idx="349">
                  <v>1348</v>
                </pt>
                <pt idx="350">
                  <v>4284</v>
                </pt>
                <pt idx="351">
                  <v>4328</v>
                </pt>
                <pt idx="352">
                  <v>3722</v>
                </pt>
                <pt idx="353">
                  <v>3931</v>
                </pt>
                <pt idx="354">
                  <v>3407</v>
                </pt>
                <pt idx="355">
                  <v>3427</v>
                </pt>
                <pt idx="356">
                  <v>2953</v>
                </pt>
                <pt idx="357">
                  <v>1521</v>
                </pt>
                <pt idx="358">
                  <v>4769</v>
                </pt>
                <pt idx="359">
                  <v>5041</v>
                </pt>
                <pt idx="360">
                  <v>5042</v>
                </pt>
                <pt idx="361">
                  <v>6691</v>
                </pt>
                <pt idx="362">
                  <v>8634</v>
                </pt>
                <pt idx="363">
                  <v>7061</v>
                </pt>
                <pt idx="364">
                  <v>6585</v>
                </pt>
                <pt idx="365">
                  <v>3221</v>
                </pt>
                <pt idx="366">
                  <v>3054</v>
                </pt>
                <pt idx="367">
                  <v>1976</v>
                </pt>
                <pt idx="368">
                  <v>1475</v>
                </pt>
                <pt idx="369">
                  <v>1929</v>
                </pt>
                <pt idx="370">
                  <v>8603</v>
                </pt>
                <pt idx="371">
                  <v>9444</v>
                </pt>
                <pt idx="372">
                  <v>10170</v>
                </pt>
                <pt idx="373">
                  <v>9776</v>
                </pt>
                <pt idx="374">
                  <v>5524</v>
                </pt>
                <pt idx="375">
                  <v>5019</v>
                </pt>
                <pt idx="376">
                  <v>5454</v>
                </pt>
                <pt idx="377">
                  <v>4874</v>
                </pt>
                <pt idx="378">
                  <v>4950</v>
                </pt>
                <pt idx="379">
                  <v>5863</v>
                </pt>
                <pt idx="380">
                  <v>6167</v>
                </pt>
                <pt idx="381">
                  <v>5746</v>
                </pt>
                <pt idx="382">
                  <v>3073</v>
                </pt>
                <pt idx="383">
                  <v>7979</v>
                </pt>
                <pt idx="384">
                  <v>9003</v>
                </pt>
                <pt idx="385">
                  <v>9151</v>
                </pt>
                <pt idx="386">
                  <v>9609</v>
                </pt>
                <pt idx="387">
                  <v>10442</v>
                </pt>
                <pt idx="388">
                  <v>9786</v>
                </pt>
                <pt idx="389">
                  <v>9436</v>
                </pt>
                <pt idx="390">
                  <v>10256</v>
                </pt>
                <pt idx="391">
                  <v>6601</v>
                </pt>
                <pt idx="392">
                  <v>4431</v>
                </pt>
                <pt idx="393">
                  <v>1516</v>
                </pt>
                <pt idx="394">
                  <v>1791</v>
                </pt>
                <pt idx="395">
                  <v>5542</v>
                </pt>
                <pt idx="396">
                  <v>1604</v>
                </pt>
                <pt idx="397">
                  <v>-68</v>
                </pt>
                <pt idx="398">
                  <v>517</v>
                </pt>
                <pt idx="399">
                  <v>1945</v>
                </pt>
                <pt idx="400">
                  <v>-1212</v>
                </pt>
                <pt idx="401">
                  <v>-1684</v>
                </pt>
                <pt idx="402">
                  <v>-2172</v>
                </pt>
                <pt idx="403">
                  <v>-2613</v>
                </pt>
                <pt idx="404">
                  <v>2400</v>
                </pt>
                <pt idx="405">
                  <v>3104</v>
                </pt>
                <pt idx="406">
                  <v>3910</v>
                </pt>
                <pt idx="407">
                  <v>4167</v>
                </pt>
                <pt idx="408">
                  <v>4133</v>
                </pt>
                <pt idx="409">
                  <v>4082</v>
                </pt>
                <pt idx="410">
                  <v>6019</v>
                </pt>
                <pt idx="411">
                  <v>5009</v>
                </pt>
                <pt idx="412">
                  <v>5274</v>
                </pt>
                <pt idx="413">
                  <v>5420</v>
                </pt>
                <pt idx="414">
                  <v>3462</v>
                </pt>
                <pt idx="415">
                  <v>1037</v>
                </pt>
                <pt idx="416">
                  <v>611</v>
                </pt>
                <pt idx="417">
                  <v>2719</v>
                </pt>
                <pt idx="418">
                  <v>1417</v>
                </pt>
                <pt idx="419">
                  <v>259</v>
                </pt>
                <pt idx="420">
                  <v>-929</v>
                </pt>
                <pt idx="421">
                  <v>-923</v>
                </pt>
                <pt idx="422">
                  <v>-1583</v>
                </pt>
                <pt idx="423">
                  <v>3988</v>
                </pt>
                <pt idx="424">
                  <v>5421</v>
                </pt>
                <pt idx="425">
                  <v>7705</v>
                </pt>
                <pt idx="426">
                  <v>8428</v>
                </pt>
                <pt idx="427">
                  <v>7671</v>
                </pt>
                <pt idx="428">
                  <v>9576</v>
                </pt>
                <pt idx="429">
                  <v>4254</v>
                </pt>
                <pt idx="430">
                  <v>3043</v>
                </pt>
                <pt idx="431">
                  <v>-453</v>
                </pt>
                <pt idx="432">
                  <v>-2493</v>
                </pt>
                <pt idx="433">
                  <v>-2483</v>
                </pt>
                <pt idx="434">
                  <v>168</v>
                </pt>
                <pt idx="435">
                  <v>1863</v>
                </pt>
                <pt idx="436">
                  <v>2787</v>
                </pt>
                <pt idx="437">
                  <v>3226</v>
                </pt>
                <pt idx="438">
                  <v>4843</v>
                </pt>
                <pt idx="439">
                  <v>5902</v>
                </pt>
                <pt idx="440">
                  <v>10224</v>
                </pt>
                <pt idx="441">
                  <v>11009</v>
                </pt>
                <pt idx="442">
                  <v>9924</v>
                </pt>
                <pt idx="443">
                  <v>10037</v>
                </pt>
                <pt idx="444">
                  <v>10162</v>
                </pt>
                <pt idx="445">
                  <v>9744</v>
                </pt>
                <pt idx="446">
                  <v>9627</v>
                </pt>
                <pt idx="447">
                  <v>10238</v>
                </pt>
                <pt idx="448">
                  <v>10270</v>
                </pt>
                <pt idx="449">
                  <v>11216</v>
                </pt>
                <pt idx="450">
                  <v>9257</v>
                </pt>
                <pt idx="451">
                  <v>9232</v>
                </pt>
                <pt idx="452">
                  <v>7249</v>
                </pt>
                <pt idx="453">
                  <v>7584</v>
                </pt>
                <pt idx="454">
                  <v>8296</v>
                </pt>
                <pt idx="455">
                  <v>8465</v>
                </pt>
                <pt idx="456">
                  <v>8022</v>
                </pt>
                <pt idx="457">
                  <v>3206</v>
                </pt>
                <pt idx="458">
                  <v>2399</v>
                </pt>
                <pt idx="459">
                  <v>4264</v>
                </pt>
                <pt idx="460">
                  <v>3554</v>
                </pt>
                <pt idx="461">
                  <v>8148</v>
                </pt>
                <pt idx="462">
                  <v>10531</v>
                </pt>
                <pt idx="463">
                  <v>9432</v>
                </pt>
                <pt idx="464">
                  <v>9722</v>
                </pt>
                <pt idx="465">
                  <v>6429</v>
                </pt>
                <pt idx="466">
                  <v>2661</v>
                </pt>
                <pt idx="467">
                  <v>489</v>
                </pt>
                <pt idx="468">
                  <v>206</v>
                </pt>
                <pt idx="469">
                  <v>270</v>
                </pt>
                <pt idx="470">
                  <v>2355</v>
                </pt>
                <pt idx="471">
                  <v>5384</v>
                </pt>
                <pt idx="472">
                  <v>7680</v>
                </pt>
                <pt idx="473">
                  <v>8616</v>
                </pt>
                <pt idx="474">
                  <v>13219</v>
                </pt>
                <pt idx="475">
                  <v>14322</v>
                </pt>
                <pt idx="476">
                  <v>15329</v>
                </pt>
                <pt idx="477">
                  <v>13959</v>
                </pt>
                <pt idx="478">
                  <v>11024</v>
                </pt>
                <pt idx="479">
                  <v>13874</v>
                </pt>
                <pt idx="480">
                  <v>14104</v>
                </pt>
                <pt idx="481">
                  <v>15090</v>
                </pt>
                <pt idx="482">
                  <v>12974</v>
                </pt>
                <pt idx="483">
                  <v>14716</v>
                </pt>
                <pt idx="484">
                  <v>11738</v>
                </pt>
                <pt idx="485">
                  <v>14993</v>
                </pt>
                <pt idx="486">
                  <v>14388</v>
                </pt>
                <pt idx="487">
                  <v>16146</v>
                </pt>
                <pt idx="488">
                  <v>18053</v>
                </pt>
                <pt idx="489">
                  <v>18060</v>
                </pt>
                <pt idx="490">
                  <v>17568</v>
                </pt>
                <pt idx="491">
                  <v>19348</v>
                </pt>
                <pt idx="492">
                  <v>19444</v>
                </pt>
                <pt idx="493">
                  <v>20868</v>
                </pt>
                <pt idx="494">
                  <v>22937</v>
                </pt>
                <pt idx="495">
                  <v>22685</v>
                </pt>
                <pt idx="496">
                  <v>21793</v>
                </pt>
                <pt idx="497">
                  <v>11255</v>
                </pt>
                <pt idx="498">
                  <v>4041</v>
                </pt>
                <pt idx="499">
                  <v>-145</v>
                </pt>
                <pt idx="500">
                  <v>-1152</v>
                </pt>
                <pt idx="501">
                  <v>-3751</v>
                </pt>
                <pt idx="502">
                  <v>-5900</v>
                </pt>
                <pt idx="503">
                  <v>-6222</v>
                </pt>
                <pt idx="504">
                  <v>-8363</v>
                </pt>
                <pt idx="505">
                  <v>-9198</v>
                </pt>
                <pt idx="506">
                  <v>-7142</v>
                </pt>
                <pt idx="507">
                  <v>-9134</v>
                </pt>
                <pt idx="508">
                  <v>-9360</v>
                </pt>
                <pt idx="509">
                  <v>-7798</v>
                </pt>
                <pt idx="510">
                  <v>-3214</v>
                </pt>
                <pt idx="511">
                  <v>408</v>
                </pt>
                <pt idx="512">
                  <v>1760</v>
                </pt>
                <pt idx="513">
                  <v>158</v>
                </pt>
                <pt idx="514">
                  <v>-1796</v>
                </pt>
                <pt idx="515">
                  <v>-716</v>
                </pt>
                <pt idx="516">
                  <v>-1443</v>
                </pt>
                <pt idx="517">
                  <v>-2674</v>
                </pt>
                <pt idx="518">
                  <v>-4982</v>
                </pt>
                <pt idx="519">
                  <v>-4818</v>
                </pt>
                <pt idx="520">
                  <v>-10407</v>
                </pt>
                <pt idx="521">
                  <v>-10687</v>
                </pt>
                <pt idx="522">
                  <v>-10236</v>
                </pt>
                <pt idx="523">
                  <v>-7147</v>
                </pt>
                <pt idx="524">
                  <v>-2594</v>
                </pt>
                <pt idx="525">
                  <v>-2391</v>
                </pt>
                <pt idx="526">
                  <v>-5201</v>
                </pt>
                <pt idx="527">
                  <v>-7347</v>
                </pt>
                <pt idx="528">
                  <v>-2698</v>
                </pt>
                <pt idx="529">
                  <v>-2203</v>
                </pt>
                <pt idx="530">
                  <v>-307</v>
                </pt>
                <pt idx="531">
                  <v>-2398</v>
                </pt>
                <pt idx="532">
                  <v>-1380</v>
                </pt>
                <pt idx="533">
                  <v>2115</v>
                </pt>
                <pt idx="534">
                  <v>-7810</v>
                </pt>
                <pt idx="535">
                  <v>-10868</v>
                </pt>
                <pt idx="536">
                  <v>-14662</v>
                </pt>
                <pt idx="537">
                  <v>-19891</v>
                </pt>
                <pt idx="538">
                  <v>-20302</v>
                </pt>
                <pt idx="539">
                  <v>-22048</v>
                </pt>
                <pt idx="540">
                  <v>-21817</v>
                </pt>
                <pt idx="541">
                  <v>-15577</v>
                </pt>
                <pt idx="542">
                  <v>-20532</v>
                </pt>
                <pt idx="543">
                  <v>-21869</v>
                </pt>
                <pt idx="544">
                  <v>-16249</v>
                </pt>
                <pt idx="545">
                  <v>-8302</v>
                </pt>
                <pt idx="546">
                  <v>-4628</v>
                </pt>
                <pt idx="547">
                  <v>-2173</v>
                </pt>
                <pt idx="548">
                  <v>-4849</v>
                </pt>
                <pt idx="549">
                  <v>574</v>
                </pt>
                <pt idx="550">
                  <v>5506</v>
                </pt>
                <pt idx="551">
                  <v>14415</v>
                </pt>
                <pt idx="552">
                  <v>19689</v>
                </pt>
                <pt idx="553">
                  <v>23942</v>
                </pt>
                <pt idx="554">
                  <v>20283</v>
                </pt>
                <pt idx="555">
                  <v>17545</v>
                </pt>
                <pt idx="556">
                  <v>21642</v>
                </pt>
                <pt idx="557">
                  <v>2867</v>
                </pt>
                <pt idx="558">
                  <v>4772</v>
                </pt>
                <pt idx="559">
                  <v>5471</v>
                </pt>
                <pt idx="560">
                  <v>7683</v>
                </pt>
                <pt idx="561">
                  <v>5226</v>
                </pt>
                <pt idx="562">
                  <v>7711</v>
                </pt>
                <pt idx="563">
                  <v>9946</v>
                </pt>
                <pt idx="564">
                  <v>3345</v>
                </pt>
                <pt idx="565">
                  <v>431</v>
                </pt>
                <pt idx="566">
                  <v>-2087</v>
                </pt>
                <pt idx="567">
                  <v>-7950</v>
                </pt>
                <pt idx="568">
                  <v>-10727</v>
                </pt>
                <pt idx="569">
                  <v>-14510</v>
                </pt>
                <pt idx="570">
                  <v>-14958</v>
                </pt>
                <pt idx="571">
                  <v>-15657</v>
                </pt>
                <pt idx="572">
                  <v>-8943</v>
                </pt>
                <pt idx="573">
                  <v>-10122</v>
                </pt>
                <pt idx="574">
                  <v>-20041</v>
                </pt>
                <pt idx="575">
                  <v>-23434</v>
                </pt>
                <pt idx="576">
                  <v>-22573</v>
                </pt>
                <pt idx="577">
                  <v>-19729</v>
                </pt>
                <pt idx="578">
                  <v>-14825</v>
                </pt>
                <pt idx="579">
                  <v>-11122</v>
                </pt>
                <pt idx="580">
                  <v>-15402</v>
                </pt>
                <pt idx="581">
                  <v>-16509</v>
                </pt>
                <pt idx="582">
                  <v>-18819</v>
                </pt>
                <pt idx="583">
                  <v>-17645</v>
                </pt>
                <pt idx="584">
                  <v>-15506</v>
                </pt>
                <pt idx="585">
                  <v>-17740</v>
                </pt>
                <pt idx="586">
                  <v>-10469</v>
                </pt>
                <pt idx="587">
                  <v>9454</v>
                </pt>
                <pt idx="588">
                  <v>24664</v>
                </pt>
                <pt idx="589">
                  <v>28798</v>
                </pt>
                <pt idx="590">
                  <v>21611</v>
                </pt>
                <pt idx="591">
                  <v>16950</v>
                </pt>
                <pt idx="592">
                  <v>8333</v>
                </pt>
                <pt idx="593">
                  <v>14145</v>
                </pt>
                <pt idx="594">
                  <v>13615</v>
                </pt>
                <pt idx="595">
                  <v>17177</v>
                </pt>
                <pt idx="596">
                  <v>19646</v>
                </pt>
                <pt idx="597">
                  <v>14457</v>
                </pt>
                <pt idx="598">
                  <v>18401</v>
                </pt>
                <pt idx="599">
                  <v>3700</v>
                </pt>
                <pt idx="600">
                  <v>-1837</v>
                </pt>
                <pt idx="601">
                  <v>-6269</v>
                </pt>
                <pt idx="602">
                  <v>-15337</v>
                </pt>
                <pt idx="603">
                  <v>-13294</v>
                </pt>
                <pt idx="604">
                  <v>-29427</v>
                </pt>
                <pt idx="605">
                  <v>-37871</v>
                </pt>
                <pt idx="606">
                  <v>-40503</v>
                </pt>
                <pt idx="607">
                  <v>-41893</v>
                </pt>
                <pt idx="608">
                  <v>-38202</v>
                </pt>
                <pt idx="609">
                  <v>-23774</v>
                </pt>
                <pt idx="610">
                  <v>-23046</v>
                </pt>
                <pt idx="611">
                  <v>202</v>
                </pt>
                <pt idx="612">
                  <v>-12752</v>
                </pt>
                <pt idx="613">
                  <v>-21130</v>
                </pt>
                <pt idx="614">
                  <v>-22115</v>
                </pt>
                <pt idx="615">
                  <v>-8007</v>
                </pt>
                <pt idx="616">
                  <v>-6271</v>
                </pt>
                <pt idx="617">
                  <v>4880</v>
                </pt>
                <pt idx="618">
                  <v>15954</v>
                </pt>
                <pt idx="619">
                  <v>34690</v>
                </pt>
                <pt idx="620">
                  <v>43097</v>
                </pt>
                <pt idx="621">
                  <v>38820</v>
                </pt>
                <pt idx="622">
                  <v>9321</v>
                </pt>
                <pt idx="623">
                  <v>-14791</v>
                </pt>
                <pt idx="624">
                  <v>10332</v>
                </pt>
                <pt idx="625">
                  <v>24253</v>
                </pt>
                <pt idx="626">
                  <v>45313</v>
                </pt>
                <pt idx="627">
                  <v>54931</v>
                </pt>
                <pt idx="628">
                  <v>34703</v>
                </pt>
                <pt idx="629">
                  <v>22631</v>
                </pt>
                <pt idx="630">
                  <v>21464</v>
                </pt>
                <pt idx="631">
                  <v>28539</v>
                </pt>
                <pt idx="632">
                  <v>36338</v>
                </pt>
                <pt idx="633">
                  <v>42984</v>
                </pt>
                <pt idx="634">
                  <v>52715</v>
                </pt>
                <pt idx="635">
                  <v>55991</v>
                </pt>
                <pt idx="636">
                  <v>50110</v>
                </pt>
                <pt idx="637">
                  <v>51019</v>
                </pt>
                <pt idx="638">
                  <v>48067</v>
                </pt>
                <pt idx="639">
                  <v>32911</v>
                </pt>
                <pt idx="640">
                  <v>32136</v>
                </pt>
                <pt idx="641">
                  <v>42780</v>
                </pt>
                <pt idx="642">
                  <v>34880</v>
                </pt>
                <pt idx="643">
                  <v>47234</v>
                </pt>
                <pt idx="644">
                  <v>51948</v>
                </pt>
                <pt idx="645">
                  <v>56164</v>
                </pt>
                <pt idx="646">
                  <v>63018</v>
                </pt>
                <pt idx="647">
                  <v>62313</v>
                </pt>
                <pt idx="648">
                  <v>64999</v>
                </pt>
                <pt idx="649">
                  <v>44595</v>
                </pt>
                <pt idx="650">
                  <v>33011</v>
                </pt>
                <pt idx="651">
                  <v>23832</v>
                </pt>
                <pt idx="652">
                  <v>21830</v>
                </pt>
                <pt idx="653">
                  <v>47912</v>
                </pt>
                <pt idx="654">
                  <v>60934</v>
                </pt>
                <pt idx="655">
                  <v>66342</v>
                </pt>
                <pt idx="656">
                  <v>76322</v>
                </pt>
                <pt idx="657">
                  <v>75436</v>
                </pt>
                <pt idx="658">
                  <v>75561</v>
                </pt>
                <pt idx="659">
                  <v>73445</v>
                </pt>
                <pt idx="660">
                  <v>80430</v>
                </pt>
                <pt idx="661">
                  <v>77258</v>
                </pt>
                <pt idx="662">
                  <v>77948</v>
                </pt>
                <pt idx="663">
                  <v>79090</v>
                </pt>
                <pt idx="664">
                  <v>73676</v>
                </pt>
                <pt idx="665">
                  <v>78152</v>
                </pt>
                <pt idx="666">
                  <v>74296</v>
                </pt>
                <pt idx="667">
                  <v>70224</v>
                </pt>
                <pt idx="668">
                  <v>73609</v>
                </pt>
                <pt idx="669">
                  <v>73170</v>
                </pt>
                <pt idx="670">
                  <v>74209</v>
                </pt>
                <pt idx="671">
                  <v>74052</v>
                </pt>
                <pt idx="672">
                  <v>45300</v>
                </pt>
                <pt idx="673">
                  <v>34764</v>
                </pt>
                <pt idx="674">
                  <v>43078</v>
                </pt>
                <pt idx="675">
                  <v>39606</v>
                </pt>
                <pt idx="676">
                  <v>35303</v>
                </pt>
                <pt idx="677">
                  <v>32662</v>
                </pt>
                <pt idx="678">
                  <v>56274</v>
                </pt>
                <pt idx="679">
                  <v>47934</v>
                </pt>
                <pt idx="680">
                  <v>20310</v>
                </pt>
                <pt idx="681">
                  <v>14671</v>
                </pt>
                <pt idx="682">
                  <v>43921</v>
                </pt>
                <pt idx="683">
                  <v>62154</v>
                </pt>
                <pt idx="684">
                  <v>79837</v>
                </pt>
                <pt idx="685">
                  <v>86294</v>
                </pt>
                <pt idx="686">
                  <v>85720</v>
                </pt>
                <pt idx="687">
                  <v>82590</v>
                </pt>
                <pt idx="688">
                  <v>67590</v>
                </pt>
                <pt idx="689">
                  <v>36289</v>
                </pt>
                <pt idx="690">
                  <v>30635</v>
                </pt>
                <pt idx="691">
                  <v>35814</v>
                </pt>
                <pt idx="692">
                  <v>40139</v>
                </pt>
                <pt idx="693">
                  <v>44070</v>
                </pt>
                <pt idx="694">
                  <v>44557</v>
                </pt>
                <pt idx="695">
                  <v>66098</v>
                </pt>
                <pt idx="696">
                  <v>60973</v>
                </pt>
                <pt idx="697">
                  <v>66476</v>
                </pt>
                <pt idx="698">
                  <v>64703</v>
                </pt>
                <pt idx="699">
                  <v>62905</v>
                </pt>
                <pt idx="700">
                  <v>34560</v>
                </pt>
                <pt idx="701">
                  <v>29930</v>
                </pt>
                <pt idx="702">
                  <v>21010</v>
                </pt>
                <pt idx="703">
                  <v>11222</v>
                </pt>
                <pt idx="704">
                  <v>-3206</v>
                </pt>
                <pt idx="705">
                  <v>-4624</v>
                </pt>
                <pt idx="706">
                  <v>-6967</v>
                </pt>
                <pt idx="707">
                  <v>-13050</v>
                </pt>
                <pt idx="708">
                  <v>-6657</v>
                </pt>
                <pt idx="709">
                  <v>-3305</v>
                </pt>
                <pt idx="710">
                  <v>-11072</v>
                </pt>
                <pt idx="711">
                  <v>-18521</v>
                </pt>
                <pt idx="712">
                  <v>-28860</v>
                </pt>
                <pt idx="713">
                  <v>-27896</v>
                </pt>
                <pt idx="714">
                  <v>-26231</v>
                </pt>
                <pt idx="715">
                  <v>-29043</v>
                </pt>
                <pt idx="716">
                  <v>-27818</v>
                </pt>
                <pt idx="717">
                  <v>-11636</v>
                </pt>
                <pt idx="718">
                  <v>-4357</v>
                </pt>
                <pt idx="719">
                  <v>6426</v>
                </pt>
                <pt idx="720">
                  <v>8071</v>
                </pt>
                <pt idx="721">
                  <v>17675</v>
                </pt>
                <pt idx="722">
                  <v>21909</v>
                </pt>
                <pt idx="723">
                  <v>35634</v>
                </pt>
                <pt idx="724">
                  <v>24841</v>
                </pt>
                <pt idx="725">
                  <v>22805</v>
                </pt>
                <pt idx="726">
                  <v>27671</v>
                </pt>
                <pt idx="727">
                  <v>8074</v>
                </pt>
                <pt idx="728">
                  <v>2462</v>
                </pt>
                <pt idx="729">
                  <v>-4267</v>
                </pt>
                <pt idx="730">
                  <v>5664</v>
                </pt>
                <pt idx="731">
                  <v>9772</v>
                </pt>
                <pt idx="732">
                  <v>52477</v>
                </pt>
                <pt idx="733">
                  <v>67083</v>
                </pt>
                <pt idx="734">
                  <v>82181</v>
                </pt>
                <pt idx="735">
                  <v>58060</v>
                </pt>
                <pt idx="736">
                  <v>34160</v>
                </pt>
                <pt idx="737">
                  <v>12139</v>
                </pt>
                <pt idx="738">
                  <v>3289</v>
                </pt>
                <pt idx="739">
                  <v>25349</v>
                </pt>
                <pt idx="740">
                  <v>47636</v>
                </pt>
                <pt idx="741">
                  <v>60003</v>
                </pt>
                <pt idx="742">
                  <v>54781</v>
                </pt>
                <pt idx="743">
                  <v>67873</v>
                </pt>
                <pt idx="744">
                  <v>27866</v>
                </pt>
                <pt idx="745">
                  <v>26500</v>
                </pt>
                <pt idx="746">
                  <v>18105</v>
                </pt>
                <pt idx="747">
                  <v>10515</v>
                </pt>
                <pt idx="748">
                  <v>16714</v>
                </pt>
                <pt idx="749">
                  <v>21407</v>
                </pt>
                <pt idx="750">
                  <v>17618</v>
                </pt>
                <pt idx="751">
                  <v>182</v>
                </pt>
                <pt idx="752">
                  <v>-15595</v>
                </pt>
                <pt idx="753">
                  <v>-14528</v>
                </pt>
                <pt idx="754">
                  <v>-19016</v>
                </pt>
                <pt idx="755">
                  <v>3544</v>
                </pt>
                <pt idx="756">
                  <v>1783</v>
                </pt>
                <pt idx="757">
                  <v>13744</v>
                </pt>
                <pt idx="758">
                  <v>9759</v>
                </pt>
                <pt idx="759">
                  <v>5729</v>
                </pt>
                <pt idx="760">
                  <v>26567</v>
                </pt>
                <pt idx="761">
                  <v>48327</v>
                </pt>
                <pt idx="762">
                  <v>63062</v>
                </pt>
                <pt idx="763">
                  <v>69238</v>
                </pt>
                <pt idx="764">
                  <v>86137</v>
                </pt>
                <pt idx="765">
                  <v>91056</v>
                </pt>
                <pt idx="766">
                  <v>56330</v>
                </pt>
                <pt idx="767">
                  <v>64573</v>
                </pt>
                <pt idx="768">
                  <v>41980</v>
                </pt>
                <pt idx="769">
                  <v>48780</v>
                </pt>
                <pt idx="770">
                  <v>52212</v>
                </pt>
                <pt idx="771">
                  <v>58167</v>
                </pt>
                <pt idx="772">
                  <v>47728</v>
                </pt>
                <pt idx="773">
                  <v>22606</v>
                </pt>
                <pt idx="774">
                  <v>16370</v>
                </pt>
                <pt idx="775">
                  <v>11715</v>
                </pt>
                <pt idx="776">
                  <v>-24134</v>
                </pt>
                <pt idx="777">
                  <v>-20202</v>
                </pt>
                <pt idx="778">
                  <v>-15920</v>
                </pt>
                <pt idx="779">
                  <v>-13133</v>
                </pt>
                <pt idx="780">
                  <v>-28072</v>
                </pt>
                <pt idx="781">
                  <v>-12921</v>
                </pt>
                <pt idx="782">
                  <v>-2143</v>
                </pt>
                <pt idx="783">
                  <v>10720</v>
                </pt>
                <pt idx="784">
                  <v>30194</v>
                </pt>
                <pt idx="785">
                  <v>45259</v>
                </pt>
                <pt idx="786">
                  <v>69765</v>
                </pt>
                <pt idx="787">
                  <v>53575</v>
                </pt>
                <pt idx="788">
                  <v>34239</v>
                </pt>
                <pt idx="789">
                  <v>16907</v>
                </pt>
                <pt idx="790">
                  <v>11769</v>
                </pt>
                <pt idx="791">
                  <v>10036</v>
                </pt>
                <pt idx="792">
                  <v>38903</v>
                </pt>
                <pt idx="793">
                  <v>66889</v>
                </pt>
                <pt idx="794">
                  <v>71808</v>
                </pt>
                <pt idx="795">
                  <v>56290</v>
                </pt>
                <pt idx="796">
                  <v>55866</v>
                </pt>
                <pt idx="797">
                  <v>29952</v>
                </pt>
                <pt idx="798">
                  <v>23963</v>
                </pt>
                <pt idx="799">
                  <v>41786</v>
                </pt>
                <pt idx="800">
                  <v>72055</v>
                </pt>
                <pt idx="801">
                  <v>106022</v>
                </pt>
                <pt idx="802">
                  <v>116507</v>
                </pt>
                <pt idx="803">
                  <v>125334</v>
                </pt>
                <pt idx="804">
                  <v>112883</v>
                </pt>
                <pt idx="805">
                  <v>73734</v>
                </pt>
                <pt idx="806">
                  <v>89304</v>
                </pt>
                <pt idx="807">
                  <v>103851</v>
                </pt>
                <pt idx="808">
                  <v>120903</v>
                </pt>
                <pt idx="809">
                  <v>115403</v>
                </pt>
                <pt idx="810">
                  <v>114894</v>
                </pt>
                <pt idx="811">
                  <v>120857</v>
                </pt>
                <pt idx="812">
                  <v>90796</v>
                </pt>
                <pt idx="813">
                  <v>101511</v>
                </pt>
                <pt idx="814">
                  <v>99028</v>
                </pt>
                <pt idx="815">
                  <v>90599</v>
                </pt>
                <pt idx="816">
                  <v>94756</v>
                </pt>
                <pt idx="817">
                  <v>98835</v>
                </pt>
                <pt idx="818">
                  <v>84162</v>
                </pt>
                <pt idx="819">
                  <v>95847</v>
                </pt>
                <pt idx="820">
                  <v>98170</v>
                </pt>
                <pt idx="821">
                  <v>73935</v>
                </pt>
                <pt idx="822">
                  <v>72190</v>
                </pt>
                <pt idx="823">
                  <v>72341</v>
                </pt>
                <pt idx="824">
                  <v>90137</v>
                </pt>
                <pt idx="825">
                  <v>78768</v>
                </pt>
                <pt idx="826">
                  <v>72293</v>
                </pt>
                <pt idx="827">
                  <v>50524</v>
                </pt>
                <pt idx="828">
                  <v>50315</v>
                </pt>
                <pt idx="829">
                  <v>53868</v>
                </pt>
                <pt idx="830">
                  <v>43577</v>
                </pt>
                <pt idx="831">
                  <v>25479</v>
                </pt>
                <pt idx="832">
                  <v>17308</v>
                </pt>
                <pt idx="833">
                  <v>6429</v>
                </pt>
                <pt idx="834">
                  <v>12016</v>
                </pt>
                <pt idx="835">
                  <v>9935</v>
                </pt>
                <pt idx="836">
                  <v>3101</v>
                </pt>
                <pt idx="837">
                  <v>429</v>
                </pt>
                <pt idx="838">
                  <v>-2965</v>
                </pt>
                <pt idx="839">
                  <v>-4559</v>
                </pt>
                <pt idx="840">
                  <v>-2335</v>
                </pt>
                <pt idx="841">
                  <v>-935</v>
                </pt>
                <pt idx="842">
                  <v>-2015</v>
                </pt>
                <pt idx="843">
                  <v>-1898</v>
                </pt>
                <pt idx="844">
                  <v>625</v>
                </pt>
                <pt idx="845">
                  <v>2286</v>
                </pt>
                <pt idx="846">
                  <v>1801</v>
                </pt>
                <pt idx="847">
                  <v>-640</v>
                </pt>
                <pt idx="848">
                  <v>-414</v>
                </pt>
                <pt idx="849">
                  <v>-4258</v>
                </pt>
                <pt idx="850">
                  <v>-8853</v>
                </pt>
                <pt idx="851">
                  <v>-10902</v>
                </pt>
                <pt idx="852">
                  <v>-9710</v>
                </pt>
                <pt idx="853">
                  <v>-11647</v>
                </pt>
                <pt idx="854">
                  <v>-11632</v>
                </pt>
                <pt idx="855">
                  <v>-14280</v>
                </pt>
                <pt idx="856">
                  <v>-17261</v>
                </pt>
                <pt idx="857">
                  <v>-16155</v>
                </pt>
                <pt idx="858">
                  <v>-7470</v>
                </pt>
                <pt idx="859">
                  <v>-1130</v>
                </pt>
                <pt idx="860">
                  <v>-2966</v>
                </pt>
                <pt idx="861">
                  <v>5572</v>
                </pt>
                <pt idx="862">
                  <v>12698</v>
                </pt>
                <pt idx="863">
                  <v>30107</v>
                </pt>
                <pt idx="864">
                  <v>29131</v>
                </pt>
                <pt idx="865">
                  <v>18905</v>
                </pt>
                <pt idx="866">
                  <v>21468</v>
                </pt>
                <pt idx="867">
                  <v>21129</v>
                </pt>
                <pt idx="868">
                  <v>23804</v>
                </pt>
                <pt idx="869">
                  <v>25388</v>
                </pt>
                <pt idx="870">
                  <v>13808</v>
                </pt>
                <pt idx="871">
                  <v>12741</v>
                </pt>
                <pt idx="872">
                  <v>15247</v>
                </pt>
                <pt idx="873">
                  <v>28951</v>
                </pt>
                <pt idx="874">
                  <v>39020</v>
                </pt>
                <pt idx="875">
                  <v>13614</v>
                </pt>
                <pt idx="876">
                  <v>11215</v>
                </pt>
                <pt idx="877">
                  <v>30207</v>
                </pt>
                <pt idx="878">
                  <v>35931</v>
                </pt>
                <pt idx="879">
                  <v>48462</v>
                </pt>
                <pt idx="880">
                  <v>64413</v>
                </pt>
                <pt idx="881">
                  <v>70843</v>
                </pt>
                <pt idx="882">
                  <v>30047</v>
                </pt>
                <pt idx="883">
                  <v>4064</v>
                </pt>
                <pt idx="884">
                  <v>-1292</v>
                </pt>
                <pt idx="885">
                  <v>4301</v>
                </pt>
                <pt idx="886">
                  <v>-10859</v>
                </pt>
                <pt idx="887">
                  <v>-20553</v>
                </pt>
                <pt idx="888">
                  <v>7949</v>
                </pt>
                <pt idx="889">
                  <v>55184</v>
                </pt>
                <pt idx="890">
                  <v>66795</v>
                </pt>
                <pt idx="891">
                  <v>59927</v>
                </pt>
                <pt idx="892">
                  <v>40450</v>
                </pt>
                <pt idx="893">
                  <v>55308</v>
                </pt>
                <pt idx="894">
                  <v>89266</v>
                </pt>
                <pt idx="895">
                  <v>100385</v>
                </pt>
                <pt idx="896">
                  <v>106183</v>
                </pt>
                <pt idx="897">
                  <v>91562</v>
                </pt>
                <pt idx="898">
                  <v>72998</v>
                </pt>
                <pt idx="899">
                  <v>64633</v>
                </pt>
                <pt idx="900">
                  <v>61987</v>
                </pt>
                <pt idx="901">
                  <v>75897</v>
                </pt>
                <pt idx="902">
                  <v>79247</v>
                </pt>
                <pt idx="903">
                  <v>58139</v>
                </pt>
                <pt idx="904">
                  <v>42653</v>
                </pt>
                <pt idx="905">
                  <v>32274</v>
                </pt>
                <pt idx="906">
                  <v>34464</v>
                </pt>
                <pt idx="907">
                  <v>57345</v>
                </pt>
                <pt idx="908">
                  <v>79779</v>
                </pt>
                <pt idx="909">
                  <v>93474</v>
                </pt>
                <pt idx="910">
                  <v>103254</v>
                </pt>
                <pt idx="911">
                  <v>109862</v>
                </pt>
                <pt idx="912">
                  <v>109598</v>
                </pt>
                <pt idx="913">
                  <v>111210</v>
                </pt>
                <pt idx="914">
                  <v>112226</v>
                </pt>
                <pt idx="915">
                  <v>110152</v>
                </pt>
                <pt idx="916">
                  <v>98041</v>
                </pt>
                <pt idx="917">
                  <v>83043</v>
                </pt>
                <pt idx="918">
                  <v>41958</v>
                </pt>
                <pt idx="919">
                  <v>35702</v>
                </pt>
                <pt idx="920">
                  <v>28857</v>
                </pt>
                <pt idx="921">
                  <v>19773</v>
                </pt>
                <pt idx="922">
                  <v>17426</v>
                </pt>
                <pt idx="923">
                  <v>28297</v>
                </pt>
                <pt idx="924">
                  <v>35639</v>
                </pt>
                <pt idx="925">
                  <v>42496</v>
                </pt>
                <pt idx="926">
                  <v>22725</v>
                </pt>
                <pt idx="927">
                  <v>28135</v>
                </pt>
                <pt idx="928">
                  <v>35886</v>
                </pt>
                <pt idx="929">
                  <v>45318</v>
                </pt>
                <pt idx="930">
                  <v>55141</v>
                </pt>
                <pt idx="931">
                  <v>72369</v>
                </pt>
                <pt idx="932">
                  <v>70553</v>
                </pt>
                <pt idx="933">
                  <v>59370</v>
                </pt>
                <pt idx="934">
                  <v>21004</v>
                </pt>
                <pt idx="935">
                  <v>14064</v>
                </pt>
                <pt idx="936">
                  <v>14957</v>
                </pt>
                <pt idx="937">
                  <v>26376</v>
                </pt>
                <pt idx="938">
                  <v>66591</v>
                </pt>
                <pt idx="939">
                  <v>85764</v>
                </pt>
                <pt idx="940">
                  <v>86218</v>
                </pt>
                <pt idx="941">
                  <v>82125</v>
                </pt>
                <pt idx="942">
                  <v>80143</v>
                </pt>
                <pt idx="943">
                  <v>82272</v>
                </pt>
                <pt idx="944">
                  <v>88746</v>
                </pt>
                <pt idx="945">
                  <v>93217</v>
                </pt>
                <pt idx="946">
                  <v>87246</v>
                </pt>
                <pt idx="947">
                  <v>78906</v>
                </pt>
                <pt idx="948">
                  <v>59482</v>
                </pt>
                <pt idx="949">
                  <v>77168</v>
                </pt>
                <pt idx="950">
                  <v>78002</v>
                </pt>
                <pt idx="951">
                  <v>82246</v>
                </pt>
                <pt idx="952">
                  <v>74310</v>
                </pt>
                <pt idx="953">
                  <v>83572</v>
                </pt>
                <pt idx="954">
                  <v>90202</v>
                </pt>
                <pt idx="955">
                  <v>95245</v>
                </pt>
                <pt idx="956">
                  <v>103117</v>
                </pt>
                <pt idx="957">
                  <v>103812</v>
                </pt>
                <pt idx="958">
                  <v>109096</v>
                </pt>
                <pt idx="959">
                  <v>114276</v>
                </pt>
                <pt idx="960">
                  <v>97202</v>
                </pt>
                <pt idx="961">
                  <v>113165</v>
                </pt>
                <pt idx="962">
                  <v>121575</v>
                </pt>
                <pt idx="963">
                  <v>87548</v>
                </pt>
                <pt idx="964">
                  <v>88075</v>
                </pt>
                <pt idx="965">
                  <v>119062</v>
                </pt>
                <pt idx="966">
                  <v>124846</v>
                </pt>
                <pt idx="967">
                  <v>134129</v>
                </pt>
                <pt idx="968">
                  <v>131806</v>
                </pt>
                <pt idx="969">
                  <v>124260</v>
                </pt>
                <pt idx="970">
                  <v>118065</v>
                </pt>
                <pt idx="971">
                  <v>104912</v>
                </pt>
                <pt idx="972">
                  <v>108681</v>
                </pt>
                <pt idx="973">
                  <v>108268</v>
                </pt>
                <pt idx="974">
                  <v>90198</v>
                </pt>
                <pt idx="975">
                  <v>48163</v>
                </pt>
                <pt idx="976">
                  <v>41423</v>
                </pt>
                <pt idx="977">
                  <v>46077</v>
                </pt>
                <pt idx="978">
                  <v>82944</v>
                </pt>
                <pt idx="979">
                  <v>98447</v>
                </pt>
                <pt idx="980">
                  <v>89266</v>
                </pt>
                <pt idx="981">
                  <v>91913</v>
                </pt>
                <pt idx="982">
                  <v>88484</v>
                </pt>
                <pt idx="983">
                  <v>41293</v>
                </pt>
                <pt idx="984">
                  <v>22634</v>
                </pt>
                <pt idx="985">
                  <v>21835</v>
                </pt>
                <pt idx="986">
                  <v>20880</v>
                </pt>
                <pt idx="987">
                  <v>13246</v>
                </pt>
                <pt idx="988">
                  <v>-1209</v>
                </pt>
                <pt idx="989">
                  <v>-16890</v>
                </pt>
                <pt idx="990">
                  <v>-20626</v>
                </pt>
                <pt idx="991">
                  <v>-25431</v>
                </pt>
                <pt idx="992">
                  <v>-24878</v>
                </pt>
                <pt idx="993">
                  <v>-24129</v>
                </pt>
                <pt idx="994">
                  <v>-27055</v>
                </pt>
                <pt idx="995">
                  <v>-26588</v>
                </pt>
                <pt idx="996">
                  <v>-18067</v>
                </pt>
                <pt idx="997">
                  <v>-15021</v>
                </pt>
                <pt idx="998">
                  <v>-31582</v>
                </pt>
                <pt idx="999">
                  <v>-36240</v>
                </pt>
                <pt idx="1000">
                  <v>-20862</v>
                </pt>
                <pt idx="1001">
                  <v>-22894</v>
                </pt>
                <pt idx="1002">
                  <v>-18802</v>
                </pt>
                <pt idx="1003">
                  <v>-25685</v>
                </pt>
                <pt idx="1004">
                  <v>-25829</v>
                </pt>
                <pt idx="1005">
                  <v>-22332</v>
                </pt>
                <pt idx="1006">
                  <v>-17328</v>
                </pt>
                <pt idx="1007">
                  <v>7418</v>
                </pt>
                <pt idx="1008">
                  <v>21481</v>
                </pt>
                <pt idx="1009">
                  <v>34107</v>
                </pt>
                <pt idx="1010">
                  <v>41239</v>
                </pt>
                <pt idx="1011">
                  <v>49425</v>
                </pt>
                <pt idx="1012">
                  <v>60750</v>
                </pt>
                <pt idx="1013">
                  <v>66347</v>
                </pt>
                <pt idx="1014">
                  <v>78892</v>
                </pt>
                <pt idx="1015">
                  <v>24329</v>
                </pt>
                <pt idx="1016">
                  <v>82833</v>
                </pt>
                <pt idx="1017">
                  <v>84503</v>
                </pt>
                <pt idx="1018">
                  <v>68600</v>
                </pt>
                <pt idx="1019">
                  <v>46101</v>
                </pt>
                <pt idx="1020">
                  <v>40208</v>
                </pt>
                <pt idx="1021">
                  <v>42045</v>
                </pt>
                <pt idx="1022">
                  <v>36928</v>
                </pt>
                <pt idx="1023">
                  <v>14445</v>
                </pt>
                <pt idx="1024">
                  <v>-16116</v>
                </pt>
                <pt idx="1025">
                  <v>-12995</v>
                </pt>
                <pt idx="1026">
                  <v>-30396</v>
                </pt>
                <pt idx="1027">
                  <v>-22004</v>
                </pt>
                <pt idx="1028">
                  <v>-14674</v>
                </pt>
                <pt idx="1029">
                  <v>-7647</v>
                </pt>
                <pt idx="1030">
                  <v>17475</v>
                </pt>
                <pt idx="1031">
                  <v>25222</v>
                </pt>
                <pt idx="1032">
                  <v>34989</v>
                </pt>
                <pt idx="1033">
                  <v>49662</v>
                </pt>
                <pt idx="1034">
                  <v>47556</v>
                </pt>
                <pt idx="1035">
                  <v>69378</v>
                </pt>
                <pt idx="1036">
                  <v>83511</v>
                </pt>
                <pt idx="1037">
                  <v>97981</v>
                </pt>
                <pt idx="1038">
                  <v>94626</v>
                </pt>
                <pt idx="1039">
                  <v>90881</v>
                </pt>
                <pt idx="1040">
                  <v>122243</v>
                </pt>
                <pt idx="1041">
                  <v>118147</v>
                </pt>
                <pt idx="1042">
                  <v>141256</v>
                </pt>
                <pt idx="1043">
                  <v>135865</v>
                </pt>
                <pt idx="1044">
                  <v>136392</v>
                </pt>
                <pt idx="1045">
                  <v>135456</v>
                </pt>
                <pt idx="1046">
                  <v>132402</v>
                </pt>
                <pt idx="1047">
                  <v>126009</v>
                </pt>
                <pt idx="1048">
                  <v>114422</v>
                </pt>
                <pt idx="1049">
                  <v>96994</v>
                </pt>
                <pt idx="1050">
                  <v>86787</v>
                </pt>
                <pt idx="1051">
                  <v>93858</v>
                </pt>
                <pt idx="1052">
                  <v>118962</v>
                </pt>
                <pt idx="1053">
                  <v>149271</v>
                </pt>
                <pt idx="1054">
                  <v>147749</v>
                </pt>
                <pt idx="1055">
                  <v>149355</v>
                </pt>
                <pt idx="1056">
                  <v>141752</v>
                </pt>
                <pt idx="1057">
                  <v>139523</v>
                </pt>
                <pt idx="1058">
                  <v>151665</v>
                </pt>
                <pt idx="1059">
                  <v>150037</v>
                </pt>
                <pt idx="1060">
                  <v>148871</v>
                </pt>
                <pt idx="1061">
                  <v>141502</v>
                </pt>
                <pt idx="1062">
                  <v>124579</v>
                </pt>
                <pt idx="1063">
                  <v>116165</v>
                </pt>
                <pt idx="1064">
                  <v>104804</v>
                </pt>
                <pt idx="1065">
                  <v>93521</v>
                </pt>
                <pt idx="1066">
                  <v>113770</v>
                </pt>
                <pt idx="1067">
                  <v>109376</v>
                </pt>
                <pt idx="1068">
                  <v>128162</v>
                </pt>
                <pt idx="1069">
                  <v>142755</v>
                </pt>
                <pt idx="1070">
                  <v>142542</v>
                </pt>
                <pt idx="1071">
                  <v>151288</v>
                </pt>
                <pt idx="1072">
                  <v>146911</v>
                </pt>
                <pt idx="1073">
                  <v>138551</v>
                </pt>
                <pt idx="1074">
                  <v>138444</v>
                </pt>
                <pt idx="1075">
                  <v>140319</v>
                </pt>
                <pt idx="1076">
                  <v>136863</v>
                </pt>
                <pt idx="1077">
                  <v>120864</v>
                </pt>
                <pt idx="1078">
                  <v>82871</v>
                </pt>
                <pt idx="1079">
                  <v>63774</v>
                </pt>
                <pt idx="1080">
                  <v>20949</v>
                </pt>
                <pt idx="1081">
                  <v>4981</v>
                </pt>
                <pt idx="1082">
                  <v>2847</v>
                </pt>
                <pt idx="1083">
                  <v>8035</v>
                </pt>
                <pt idx="1084">
                  <v>11366</v>
                </pt>
                <pt idx="1085">
                  <v>19799</v>
                </pt>
                <pt idx="1086">
                  <v>24888</v>
                </pt>
                <pt idx="1087">
                  <v>32125</v>
                </pt>
                <pt idx="1088">
                  <v>36320</v>
                </pt>
                <pt idx="1089">
                  <v>36131</v>
                </pt>
                <pt idx="1090">
                  <v>7198</v>
                </pt>
                <pt idx="1091">
                  <v>688</v>
                </pt>
                <pt idx="1092">
                  <v>8279</v>
                </pt>
                <pt idx="1093">
                  <v>-10201</v>
                </pt>
                <pt idx="1094">
                  <v>14023</v>
                </pt>
                <pt idx="1095">
                  <v>14601</v>
                </pt>
                <pt idx="1096">
                  <v>10933</v>
                </pt>
                <pt idx="1097">
                  <v>7761</v>
                </pt>
                <pt idx="1098">
                  <v>7214</v>
                </pt>
                <pt idx="1099">
                  <v>4896</v>
                </pt>
                <pt idx="1100">
                  <v>5180</v>
                </pt>
                <pt idx="1101">
                  <v>7017</v>
                </pt>
                <pt idx="1102">
                  <v>9539</v>
                </pt>
                <pt idx="1103">
                  <v>12463</v>
                </pt>
                <pt idx="1104">
                  <v>8933</v>
                </pt>
                <pt idx="1105">
                  <v>22530</v>
                </pt>
                <pt idx="1106">
                  <v>15650</v>
                </pt>
                <pt idx="1107">
                  <v>20178</v>
                </pt>
                <pt idx="1108">
                  <v>15605</v>
                </pt>
                <pt idx="1109">
                  <v>17607</v>
                </pt>
                <pt idx="1110">
                  <v>13717</v>
                </pt>
                <pt idx="1111">
                  <v>-3628</v>
                </pt>
                <pt idx="1112">
                  <v>-35316</v>
                </pt>
                <pt idx="1113">
                  <v>-34515</v>
                </pt>
                <pt idx="1114">
                  <v>-33940</v>
                </pt>
                <pt idx="1115">
                  <v>-23312</v>
                </pt>
                <pt idx="1116">
                  <v>-21569</v>
                </pt>
                <pt idx="1117">
                  <v>-20750</v>
                </pt>
                <pt idx="1118">
                  <v>-8247</v>
                </pt>
                <pt idx="1119">
                  <v>-1270</v>
                </pt>
                <pt idx="1120">
                  <v>-1654</v>
                </pt>
                <pt idx="1121">
                  <v>21784</v>
                </pt>
                <pt idx="1122">
                  <v>56501</v>
                </pt>
                <pt idx="1123">
                  <v>54237</v>
                </pt>
                <pt idx="1124">
                  <v>53511</v>
                </pt>
                <pt idx="1125">
                  <v>49618</v>
                </pt>
                <pt idx="1126">
                  <v>47884</v>
                </pt>
                <pt idx="1127">
                  <v>68622</v>
                </pt>
                <pt idx="1128">
                  <v>77266</v>
                </pt>
                <pt idx="1129">
                  <v>83301</v>
                </pt>
                <pt idx="1130">
                  <v>86016</v>
                </pt>
                <pt idx="1131">
                  <v>90203</v>
                </pt>
                <pt idx="1132">
                  <v>69075</v>
                </pt>
                <pt idx="1133">
                  <v>68969</v>
                </pt>
                <pt idx="1134">
                  <v>69562</v>
                </pt>
                <pt idx="1135">
                  <v>68811</v>
                </pt>
                <pt idx="1136">
                  <v>69637</v>
                </pt>
                <pt idx="1137">
                  <v>79134</v>
                </pt>
                <pt idx="1138">
                  <v>77115</v>
                </pt>
                <pt idx="1139">
                  <v>32433</v>
                </pt>
                <pt idx="1140">
                  <v>-41</v>
                </pt>
                <pt idx="1141">
                  <v>12407</v>
                </pt>
                <pt idx="1142">
                  <v>36670</v>
                </pt>
                <pt idx="1143">
                  <v>39164</v>
                </pt>
                <pt idx="1144">
                  <v>38518</v>
                </pt>
                <pt idx="1145">
                  <v>22046</v>
                </pt>
                <pt idx="1146">
                  <v>10504</v>
                </pt>
                <pt idx="1147">
                  <v>-7314</v>
                </pt>
                <pt idx="1148">
                  <v>-7583</v>
                </pt>
                <pt idx="1149">
                  <v>-5763</v>
                </pt>
                <pt idx="1150">
                  <v>-21124</v>
                </pt>
                <pt idx="1151">
                  <v>-26843</v>
                </pt>
                <pt idx="1152">
                  <v>-26590</v>
                </pt>
                <pt idx="1153">
                  <v>-29674</v>
                </pt>
                <pt idx="1154">
                  <v>-29034</v>
                </pt>
                <pt idx="1155">
                  <v>-32552</v>
                </pt>
                <pt idx="1156">
                  <v>-43004</v>
                </pt>
                <pt idx="1157">
                  <v>-48594</v>
                </pt>
                <pt idx="1158">
                  <v>-52756</v>
                </pt>
                <pt idx="1159">
                  <v>-63370</v>
                </pt>
                <pt idx="1160">
                  <v>-63805</v>
                </pt>
                <pt idx="1161">
                  <v>-64451</v>
                </pt>
                <pt idx="1162">
                  <v>-54295</v>
                </pt>
                <pt idx="1163">
                  <v>-46263</v>
                </pt>
                <pt idx="1164">
                  <v>-44573</v>
                </pt>
                <pt idx="1165">
                  <v>-48237</v>
                </pt>
                <pt idx="1166">
                  <v>-49235</v>
                </pt>
                <pt idx="1167">
                  <v>-45445</v>
                </pt>
                <pt idx="1168">
                  <v>-48344</v>
                </pt>
                <pt idx="1169">
                  <v>-43407</v>
                </pt>
                <pt idx="1170">
                  <v>-35647</v>
                </pt>
                <pt idx="1171">
                  <v>-55939</v>
                </pt>
                <pt idx="1172">
                  <v>-41100</v>
                </pt>
                <pt idx="1173">
                  <v>-30289</v>
                </pt>
                <pt idx="1174">
                  <v>-22925</v>
                </pt>
                <pt idx="1175">
                  <v>8361</v>
                </pt>
                <pt idx="1176">
                  <v>-13675</v>
                </pt>
                <pt idx="1177">
                  <v>-23391</v>
                </pt>
                <pt idx="1178">
                  <v>-50116</v>
                </pt>
                <pt idx="1179">
                  <v>-27039</v>
                </pt>
                <pt idx="1180">
                  <v>-31331</v>
                </pt>
                <pt idx="1181">
                  <v>-32516</v>
                </pt>
                <pt idx="1182">
                  <v>-45127</v>
                </pt>
                <pt idx="1183">
                  <v>-51132</v>
                </pt>
                <pt idx="1184">
                  <v>-52490</v>
                </pt>
                <pt idx="1185">
                  <v>-27867</v>
                </pt>
                <pt idx="1186">
                  <v>-38759</v>
                </pt>
                <pt idx="1187">
                  <v>-72415</v>
                </pt>
                <pt idx="1188">
                  <v>-72718</v>
                </pt>
                <pt idx="1189">
                  <v>-81424</v>
                </pt>
                <pt idx="1190">
                  <v>-88843</v>
                </pt>
                <pt idx="1191">
                  <v>-82048</v>
                </pt>
                <pt idx="1192">
                  <v>-70569</v>
                </pt>
                <pt idx="1193">
                  <v>-60427</v>
                </pt>
                <pt idx="1194">
                  <v>-83053</v>
                </pt>
                <pt idx="1195">
                  <v>-76937</v>
                </pt>
                <pt idx="1196">
                  <v>-70951</v>
                </pt>
                <pt idx="1197">
                  <v>-55285</v>
                </pt>
                <pt idx="1198">
                  <v>-12356</v>
                </pt>
                <pt idx="1199">
                  <v>-44451</v>
                </pt>
                <pt idx="1200">
                  <v>-5243</v>
                </pt>
                <pt idx="1201">
                  <v>-4143</v>
                </pt>
                <pt idx="1202">
                  <v>-616</v>
                </pt>
                <pt idx="1203">
                  <v>-83</v>
                </pt>
                <pt idx="1204">
                  <v>-735</v>
                </pt>
                <pt idx="1205">
                  <v>-18835</v>
                </pt>
                <pt idx="1206">
                  <v>-38263</v>
                </pt>
                <pt idx="1207">
                  <v>-29261</v>
                </pt>
                <pt idx="1208">
                  <v>-25465</v>
                </pt>
                <pt idx="1209">
                  <v>-24381</v>
                </pt>
                <pt idx="1210">
                  <v>-60372</v>
                </pt>
                <pt idx="1211">
                  <v>-56719</v>
                </pt>
                <pt idx="1212">
                  <v>-57387</v>
                </pt>
                <pt idx="1213">
                  <v>-61988</v>
                </pt>
                <pt idx="1214">
                  <v>-74015</v>
                </pt>
                <pt idx="1215">
                  <v>-76003</v>
                </pt>
                <pt idx="1216">
                  <v>-76607</v>
                </pt>
                <pt idx="1217">
                  <v>-78594</v>
                </pt>
                <pt idx="1218">
                  <v>-46522</v>
                </pt>
                <pt idx="1219">
                  <v>-77385</v>
                </pt>
                <pt idx="1220">
                  <v>-52859</v>
                </pt>
                <pt idx="1221">
                  <v>-56473</v>
                </pt>
                <pt idx="1222">
                  <v>-57554</v>
                </pt>
                <pt idx="1223">
                  <v>-45037</v>
                </pt>
                <pt idx="1224">
                  <v>-45696</v>
                </pt>
                <pt idx="1225">
                  <v>-40796</v>
                </pt>
                <pt idx="1226">
                  <v>-31878</v>
                </pt>
                <pt idx="1227">
                  <v>-46591</v>
                </pt>
                <pt idx="1228">
                  <v>-14409</v>
                </pt>
                <pt idx="1229">
                  <v>-19315</v>
                </pt>
                <pt idx="1230">
                  <v>-12420</v>
                </pt>
                <pt idx="1231">
                  <v>-45220</v>
                </pt>
                <pt idx="1232">
                  <v>-45691</v>
                </pt>
                <pt idx="1233">
                  <v>-47460</v>
                </pt>
                <pt idx="1234">
                  <v>-55615</v>
                </pt>
                <pt idx="1235">
                  <v>-59309</v>
                </pt>
                <pt idx="1236">
                  <v>-65619</v>
                </pt>
                <pt idx="1237">
                  <v>-68880</v>
                </pt>
                <pt idx="1238">
                  <v>-65327</v>
                </pt>
                <pt idx="1239">
                  <v>-44857</v>
                </pt>
                <pt idx="1240">
                  <v>-37172</v>
                </pt>
                <pt idx="1241">
                  <v>-39366</v>
                </pt>
                <pt idx="1242">
                  <v>-46562</v>
                </pt>
                <pt idx="1243">
                  <v>-52123</v>
                </pt>
                <pt idx="1244">
                  <v>-54362</v>
                </pt>
                <pt idx="1245">
                  <v>-45723</v>
                </pt>
                <pt idx="1246">
                  <v>-28541</v>
                </pt>
                <pt idx="1247">
                  <v>-33234</v>
                </pt>
                <pt idx="1248">
                  <v>-58399</v>
                </pt>
                <pt idx="1249">
                  <v>-65747</v>
                </pt>
                <pt idx="1250">
                  <v>-89342</v>
                </pt>
                <pt idx="1251">
                  <v>-85873</v>
                </pt>
                <pt idx="1252">
                  <v>-85892</v>
                </pt>
                <pt idx="1253">
                  <v>-51792</v>
                </pt>
                <pt idx="1254">
                  <v>-30719</v>
                </pt>
                <pt idx="1255">
                  <v>-25343</v>
                </pt>
                <pt idx="1256">
                  <v>-36472</v>
                </pt>
                <pt idx="1257">
                  <v>-32996</v>
                </pt>
                <pt idx="1258">
                  <v>-45153</v>
                </pt>
                <pt idx="1259">
                  <v>-48314</v>
                </pt>
                <pt idx="1260">
                  <v>-54500</v>
                </pt>
                <pt idx="1261">
                  <v>-54066</v>
                </pt>
                <pt idx="1262">
                  <v>-57659</v>
                </pt>
                <pt idx="1263">
                  <v>-66681</v>
                </pt>
                <pt idx="1264">
                  <v>-61657</v>
                </pt>
                <pt idx="1265">
                  <v>-65636</v>
                </pt>
                <pt idx="1266">
                  <v>-71776</v>
                </pt>
                <pt idx="1267">
                  <v>-73321</v>
                </pt>
                <pt idx="1268">
                  <v>-64654</v>
                </pt>
                <pt idx="1269">
                  <v>-63208</v>
                </pt>
                <pt idx="1270">
                  <v>-58488</v>
                </pt>
                <pt idx="1271">
                  <v>-60213</v>
                </pt>
                <pt idx="1272">
                  <v>-56481</v>
                </pt>
                <pt idx="1273">
                  <v>-45783</v>
                </pt>
                <pt idx="1274">
                  <v>-42758</v>
                </pt>
                <pt idx="1275">
                  <v>-5467</v>
                </pt>
                <pt idx="1276">
                  <v>-3281</v>
                </pt>
                <pt idx="1277">
                  <v>-4737</v>
                </pt>
                <pt idx="1278">
                  <v>-9688</v>
                </pt>
                <pt idx="1279">
                  <v>-12675</v>
                </pt>
                <pt idx="1280">
                  <v>14244</v>
                </pt>
                <pt idx="1281">
                  <v>16038</v>
                </pt>
                <pt idx="1282">
                  <v>15115</v>
                </pt>
                <pt idx="1283">
                  <v>69903</v>
                </pt>
                <pt idx="1284">
                  <v>70054</v>
                </pt>
                <pt idx="1285">
                  <v>54298</v>
                </pt>
                <pt idx="1286">
                  <v>75002</v>
                </pt>
                <pt idx="1287">
                  <v>84821</v>
                </pt>
                <pt idx="1288">
                  <v>95814</v>
                </pt>
                <pt idx="1289">
                  <v>48985</v>
                </pt>
                <pt idx="1290">
                  <v>81007</v>
                </pt>
                <pt idx="1291">
                  <v>84859</v>
                </pt>
                <pt idx="1292">
                  <v>97859</v>
                </pt>
                <pt idx="1293">
                  <v>112539</v>
                </pt>
                <pt idx="1294">
                  <v>112890</v>
                </pt>
                <pt idx="1295">
                  <v>113549</v>
                </pt>
                <pt idx="1296">
                  <v>106437</v>
                </pt>
                <pt idx="1297">
                  <v>94849</v>
                </pt>
                <pt idx="1298">
                  <v>97618</v>
                </pt>
                <pt idx="1299">
                  <v>97010</v>
                </pt>
                <pt idx="1300">
                  <v>113612</v>
                </pt>
                <pt idx="1301">
                  <v>116998</v>
                </pt>
                <pt idx="1302">
                  <v>76952</v>
                </pt>
                <pt idx="1303">
                  <v>83727</v>
                </pt>
                <pt idx="1304">
                  <v>89116</v>
                </pt>
                <pt idx="1305">
                  <v>82749</v>
                </pt>
                <pt idx="1306">
                  <v>71067</v>
                </pt>
                <pt idx="1307">
                  <v>55701</v>
                </pt>
                <pt idx="1308">
                  <v>55246</v>
                </pt>
                <pt idx="1309">
                  <v>56975</v>
                </pt>
                <pt idx="1310">
                  <v>62533</v>
                </pt>
                <pt idx="1311">
                  <v>80386</v>
                </pt>
                <pt idx="1312">
                  <v>89566</v>
                </pt>
                <pt idx="1313">
                  <v>96523</v>
                </pt>
                <pt idx="1314">
                  <v>86176</v>
                </pt>
                <pt idx="1315">
                  <v>53894</v>
                </pt>
                <pt idx="1316">
                  <v>36384</v>
                </pt>
                <pt idx="1317">
                  <v>35058</v>
                </pt>
                <pt idx="1318">
                  <v>29797</v>
                </pt>
                <pt idx="1319">
                  <v>46795</v>
                </pt>
                <pt idx="1320">
                  <v>61155</v>
                </pt>
                <pt idx="1321">
                  <v>80045</v>
                </pt>
                <pt idx="1322">
                  <v>92855</v>
                </pt>
                <pt idx="1323">
                  <v>96778</v>
                </pt>
                <pt idx="1324">
                  <v>94821</v>
                </pt>
                <pt idx="1325">
                  <v>92507</v>
                </pt>
                <pt idx="1326">
                  <v>83295</v>
                </pt>
                <pt idx="1327">
                  <v>86940</v>
                </pt>
                <pt idx="1328">
                  <v>66845</v>
                </pt>
                <pt idx="1329">
                  <v>89787</v>
                </pt>
                <pt idx="1330">
                  <v>99080</v>
                </pt>
                <pt idx="1331">
                  <v>102218</v>
                </pt>
                <pt idx="1332">
                  <v>101841</v>
                </pt>
                <pt idx="1333">
                  <v>88783</v>
                </pt>
                <pt idx="1334">
                  <v>86041</v>
                </pt>
                <pt idx="1335">
                  <v>76188</v>
                </pt>
                <pt idx="1336">
                  <v>52778</v>
                </pt>
                <pt idx="1337">
                  <v>31540</v>
                </pt>
                <pt idx="1338">
                  <v>18336</v>
                </pt>
                <pt idx="1339">
                  <v>-11110</v>
                </pt>
                <pt idx="1340">
                  <v>-21700</v>
                </pt>
                <pt idx="1341">
                  <v>-11265</v>
                </pt>
                <pt idx="1342">
                  <v>-12510</v>
                </pt>
                <pt idx="1343">
                  <v>5915</v>
                </pt>
                <pt idx="1344">
                  <v>28132</v>
                </pt>
                <pt idx="1345">
                  <v>29078</v>
                </pt>
                <pt idx="1346">
                  <v>19584</v>
                </pt>
                <pt idx="1347">
                  <v>26515</v>
                </pt>
                <pt idx="1348">
                  <v>33260</v>
                </pt>
                <pt idx="1349">
                  <v>31074</v>
                </pt>
                <pt idx="1350">
                  <v>25670</v>
                </pt>
                <pt idx="1351">
                  <v>19337</v>
                </pt>
                <pt idx="1352">
                  <v>12519</v>
                </pt>
                <pt idx="1353">
                  <v>14536</v>
                </pt>
                <pt idx="1354">
                  <v>40513</v>
                </pt>
                <pt idx="1355">
                  <v>51398</v>
                </pt>
                <pt idx="1356">
                  <v>73829</v>
                </pt>
                <pt idx="1357">
                  <v>74449</v>
                </pt>
                <pt idx="1358">
                  <v>68575</v>
                </pt>
                <pt idx="1359">
                  <v>58027</v>
                </pt>
                <pt idx="1360">
                  <v>33809</v>
                </pt>
                <pt idx="1361">
                  <v>7036</v>
                </pt>
                <pt idx="1362">
                  <v>7287</v>
                </pt>
                <pt idx="1363">
                  <v>14083</v>
                </pt>
                <pt idx="1364">
                  <v>15327</v>
                </pt>
                <pt idx="1365">
                  <v>4523</v>
                </pt>
                <pt idx="1366">
                  <v>11442</v>
                </pt>
                <pt idx="1367">
                  <v>-769</v>
                </pt>
                <pt idx="1368">
                  <v>3429</v>
                </pt>
                <pt idx="1369">
                  <v>9772</v>
                </pt>
                <pt idx="1370">
                  <v>30982</v>
                </pt>
                <pt idx="1371">
                  <v>57265</v>
                </pt>
                <pt idx="1372">
                  <v>63519</v>
                </pt>
                <pt idx="1373">
                  <v>69443</v>
                </pt>
                <pt idx="1374">
                  <v>71467</v>
                </pt>
                <pt idx="1375">
                  <v>76411</v>
                </pt>
                <pt idx="1376">
                  <v>95095</v>
                </pt>
                <pt idx="1377">
                  <v>91947</v>
                </pt>
                <pt idx="1378">
                  <v>88418</v>
                </pt>
                <pt idx="1379">
                  <v>75096</v>
                </pt>
                <pt idx="1380">
                  <v>122887</v>
                </pt>
                <pt idx="1381">
                  <v>146334</v>
                </pt>
                <pt idx="1382">
                  <v>142723</v>
                </pt>
                <pt idx="1383">
                  <v>155437</v>
                </pt>
                <pt idx="1384">
                  <v>156030</v>
                </pt>
                <pt idx="1385">
                  <v>150705</v>
                </pt>
                <pt idx="1386">
                  <v>144739</v>
                </pt>
                <pt idx="1387">
                  <v>144689</v>
                </pt>
                <pt idx="1388">
                  <v>148207</v>
                </pt>
                <pt idx="1389">
                  <v>146485</v>
                </pt>
                <pt idx="1390">
                  <v>142467</v>
                </pt>
                <pt idx="1391">
                  <v>124229</v>
                </pt>
                <pt idx="1392">
                  <v>101315</v>
                </pt>
                <pt idx="1393">
                  <v>116806</v>
                </pt>
                <pt idx="1394">
                  <v>115035</v>
                </pt>
                <pt idx="1395">
                  <v>108267</v>
                </pt>
                <pt idx="1396">
                  <v>126382</v>
                </pt>
                <pt idx="1397">
                  <v>128121</v>
                </pt>
                <pt idx="1398">
                  <v>124755</v>
                </pt>
                <pt idx="1399">
                  <v>128268</v>
                </pt>
                <pt idx="1400">
                  <v>122069</v>
                </pt>
                <pt idx="1401">
                  <v>117562</v>
                </pt>
                <pt idx="1402">
                  <v>110359</v>
                </pt>
                <pt idx="1403">
                  <v>93314</v>
                </pt>
                <pt idx="1404">
                  <v>91791</v>
                </pt>
                <pt idx="1405">
                  <v>95637</v>
                </pt>
                <pt idx="1406">
                  <v>81626</v>
                </pt>
                <pt idx="1407">
                  <v>92414</v>
                </pt>
                <pt idx="1408">
                  <v>115812</v>
                </pt>
                <pt idx="1409">
                  <v>115396</v>
                </pt>
                <pt idx="1410">
                  <v>113042</v>
                </pt>
                <pt idx="1411">
                  <v>112950</v>
                </pt>
                <pt idx="1412">
                  <v>128907</v>
                </pt>
                <pt idx="1413">
                  <v>140402</v>
                </pt>
                <pt idx="1414">
                  <v>142037</v>
                </pt>
                <pt idx="1415">
                  <v>139821</v>
                </pt>
                <pt idx="1416">
                  <v>135649</v>
                </pt>
                <pt idx="1417">
                  <v>130127</v>
                </pt>
                <pt idx="1418">
                  <v>130641</v>
                </pt>
                <pt idx="1419">
                  <v>152260</v>
                </pt>
                <pt idx="1420">
                  <v>158216</v>
                </pt>
                <pt idx="1421">
                  <v>150266</v>
                </pt>
                <pt idx="1422">
                  <v>157318</v>
                </pt>
                <pt idx="1423">
                  <v>165640</v>
                </pt>
                <pt idx="1424">
                  <v>169971</v>
                </pt>
                <pt idx="1425">
                  <v>170366</v>
                </pt>
                <pt idx="1426">
                  <v>165172</v>
                </pt>
                <pt idx="1427">
                  <v>156326</v>
                </pt>
                <pt idx="1428">
                  <v>153282</v>
                </pt>
                <pt idx="1429">
                  <v>150601</v>
                </pt>
                <pt idx="1430">
                  <v>131181</v>
                </pt>
                <pt idx="1431">
                  <v>112547</v>
                </pt>
                <pt idx="1432">
                  <v>33845</v>
                </pt>
                <pt idx="1433">
                  <v>21979</v>
                </pt>
                <pt idx="1434">
                  <v>7665</v>
                </pt>
                <pt idx="1435">
                  <v>5756</v>
                </pt>
                <pt idx="1436">
                  <v>3333</v>
                </pt>
                <pt idx="1437">
                  <v>1240</v>
                </pt>
                <pt idx="1438">
                  <v>8481</v>
                </pt>
                <pt idx="1439">
                  <v>7109</v>
                </pt>
                <pt idx="1440">
                  <v>-5120</v>
                </pt>
                <pt idx="1441">
                  <v>-5984</v>
                </pt>
                <pt idx="1442">
                  <v>4691</v>
                </pt>
                <pt idx="1443">
                  <v>8317</v>
                </pt>
                <pt idx="1444">
                  <v>-846</v>
                </pt>
                <pt idx="1445">
                  <v>22106</v>
                </pt>
                <pt idx="1446">
                  <v>23178</v>
                </pt>
                <pt idx="1447">
                  <v>20956</v>
                </pt>
                <pt idx="1448">
                  <v>14980</v>
                </pt>
                <pt idx="1449">
                  <v>11871</v>
                </pt>
                <pt idx="1450">
                  <v>9848</v>
                </pt>
                <pt idx="1451">
                  <v>10864</v>
                </pt>
                <pt idx="1452">
                  <v>2999</v>
                </pt>
                <pt idx="1453">
                  <v>6507</v>
                </pt>
                <pt idx="1454">
                  <v>4338</v>
                </pt>
                <pt idx="1455">
                  <v>3862</v>
                </pt>
                <pt idx="1456">
                  <v>5969</v>
                </pt>
                <pt idx="1457">
                  <v>8373</v>
                </pt>
                <pt idx="1458">
                  <v>26471</v>
                </pt>
                <pt idx="1459">
                  <v>26650</v>
                </pt>
                <pt idx="1460">
                  <v>12636</v>
                </pt>
                <pt idx="1461">
                  <v>21342</v>
                </pt>
                <pt idx="1462">
                  <v>22478</v>
                </pt>
                <pt idx="1463">
                  <v>19842</v>
                </pt>
                <pt idx="1464">
                  <v>27946</v>
                </pt>
                <pt idx="1465">
                  <v>24097</v>
                </pt>
                <pt idx="1466">
                  <v>18322</v>
                </pt>
                <pt idx="1467">
                  <v>20409</v>
                </pt>
                <pt idx="1468">
                  <v>23795</v>
                </pt>
                <pt idx="1469">
                  <v>29041</v>
                </pt>
                <pt idx="1470">
                  <v>26522</v>
                </pt>
                <pt idx="1471">
                  <v>-3227</v>
                </pt>
                <pt idx="1472">
                  <v>-8249</v>
                </pt>
                <pt idx="1473">
                  <v>-5258</v>
                </pt>
                <pt idx="1474">
                  <v>-7723</v>
                </pt>
                <pt idx="1475">
                  <v>-5452</v>
                </pt>
                <pt idx="1476">
                  <v>-7687</v>
                </pt>
                <pt idx="1477">
                  <v>-950</v>
                </pt>
                <pt idx="1478">
                  <v>2868</v>
                </pt>
                <pt idx="1479">
                  <v>1483</v>
                </pt>
                <pt idx="1480">
                  <v>1412</v>
                </pt>
                <pt idx="1481">
                  <v>3025</v>
                </pt>
                <pt idx="1482">
                  <v>4431</v>
                </pt>
                <pt idx="1483">
                  <v>1852</v>
                </pt>
                <pt idx="1484">
                  <v>-29457</v>
                </pt>
                <pt idx="1485">
                  <v>-20894</v>
                </pt>
                <pt idx="1486">
                  <v>-15113</v>
                </pt>
                <pt idx="1487">
                  <v>-13142</v>
                </pt>
                <pt idx="1488">
                  <v>-11978</v>
                </pt>
                <pt idx="1489">
                  <v>-3554</v>
                </pt>
                <pt idx="1490">
                  <v>960</v>
                </pt>
                <pt idx="1491">
                  <v>-4446</v>
                </pt>
                <pt idx="1492">
                  <v>-8480</v>
                </pt>
                <pt idx="1493">
                  <v>-10118</v>
                </pt>
                <pt idx="1494">
                  <v>-8498</v>
                </pt>
                <pt idx="1495">
                  <v>-3646</v>
                </pt>
                <pt idx="1496">
                  <v>-6561</v>
                </pt>
                <pt idx="1497">
                  <v>-23930</v>
                </pt>
                <pt idx="1498">
                  <v>-28591</v>
                </pt>
                <pt idx="1499">
                  <v>-19454</v>
                </pt>
                <pt idx="1500">
                  <v>-22333</v>
                </pt>
                <pt idx="1501">
                  <v>-27432</v>
                </pt>
                <pt idx="1502">
                  <v>-28421</v>
                </pt>
                <pt idx="1503">
                  <v>-26407</v>
                </pt>
                <pt idx="1504">
                  <v>-21297</v>
                </pt>
                <pt idx="1505">
                  <v>-23887</v>
                </pt>
                <pt idx="1506">
                  <v>-19117</v>
                </pt>
                <pt idx="1507">
                  <v>-23830</v>
                </pt>
                <pt idx="1508">
                  <v>-21043</v>
                </pt>
                <pt idx="1509">
                  <v>-17517</v>
                </pt>
                <pt idx="1510">
                  <v>-15852</v>
                </pt>
                <pt idx="1511">
                  <v>-19015</v>
                </pt>
                <pt idx="1512">
                  <v>-19595</v>
                </pt>
                <pt idx="1513">
                  <v>-35579</v>
                </pt>
                <pt idx="1514">
                  <v>-39634</v>
                </pt>
                <pt idx="1515">
                  <v>-38571</v>
                </pt>
                <pt idx="1516">
                  <v>-43289</v>
                </pt>
                <pt idx="1517">
                  <v>-51018</v>
                </pt>
                <pt idx="1518">
                  <v>-48407</v>
                </pt>
                <pt idx="1519">
                  <v>-47655</v>
                </pt>
                <pt idx="1520">
                  <v>-49461</v>
                </pt>
                <pt idx="1521">
                  <v>-59747</v>
                </pt>
                <pt idx="1522">
                  <v>-64126</v>
                </pt>
                <pt idx="1523">
                  <v>-10673</v>
                </pt>
                <pt idx="1524">
                  <v>-4792</v>
                </pt>
                <pt idx="1525">
                  <v>-9008</v>
                </pt>
                <pt idx="1526">
                  <v>-9490</v>
                </pt>
                <pt idx="1527">
                  <v>-4451</v>
                </pt>
                <pt idx="1528">
                  <v>4920</v>
                </pt>
                <pt idx="1529">
                  <v>-790</v>
                </pt>
                <pt idx="1530">
                  <v>730</v>
                </pt>
                <pt idx="1531">
                  <v>1244</v>
                </pt>
                <pt idx="1532">
                  <v>8974</v>
                </pt>
                <pt idx="1533">
                  <v>16825</v>
                </pt>
                <pt idx="1534">
                  <v>42378</v>
                </pt>
                <pt idx="1535">
                  <v>53017</v>
                </pt>
                <pt idx="1536">
                  <v>-10576</v>
                </pt>
                <pt idx="1537">
                  <v>-18051</v>
                </pt>
                <pt idx="1538">
                  <v>-8247</v>
                </pt>
                <pt idx="1539">
                  <v>910</v>
                </pt>
                <pt idx="1540">
                  <v>14960</v>
                </pt>
                <pt idx="1541">
                  <v>21664</v>
                </pt>
                <pt idx="1542">
                  <v>20126</v>
                </pt>
                <pt idx="1543">
                  <v>14623</v>
                </pt>
                <pt idx="1544">
                  <v>16725</v>
                </pt>
                <pt idx="1545">
                  <v>28215</v>
                </pt>
                <pt idx="1546">
                  <v>29792</v>
                </pt>
                <pt idx="1547">
                  <v>35449</v>
                </pt>
                <pt idx="1548">
                  <v>32726</v>
                </pt>
                <pt idx="1549">
                  <v>-26381</v>
                </pt>
                <pt idx="1550">
                  <v>-26870</v>
                </pt>
                <pt idx="1551">
                  <v>-13980</v>
                </pt>
                <pt idx="1552">
                  <v>-14418</v>
                </pt>
                <pt idx="1553">
                  <v>-23238</v>
                </pt>
                <pt idx="1554">
                  <v>-30760</v>
                </pt>
                <pt idx="1555">
                  <v>-29898</v>
                </pt>
                <pt idx="1556">
                  <v>-23053</v>
                </pt>
                <pt idx="1557">
                  <v>-27621</v>
                </pt>
                <pt idx="1558">
                  <v>-21371</v>
                </pt>
                <pt idx="1559">
                  <v>-31316</v>
                </pt>
                <pt idx="1560">
                  <v>-29030</v>
                </pt>
                <pt idx="1561">
                  <v>-29460</v>
                </pt>
                <pt idx="1562">
                  <v>-25381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areaChart>
        <grouping val="stacked"/>
        <varyColors val="0"/>
        <ser>
          <idx val="19"/>
          <order val="0"/>
          <tx>
            <strRef>
              <f>Database!$J$1</f>
              <strCache>
                <ptCount val="1"/>
                <pt idx="0">
                  <v>NZD</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Database!$J$2:$J$1564</f>
              <numCache>
                <formatCode>General</formatCode>
                <ptCount val="1563"/>
                <pt idx="581">
                  <v>3693</v>
                </pt>
                <pt idx="619">
                  <v>2890</v>
                </pt>
                <pt idx="628">
                  <v>5649</v>
                </pt>
                <pt idx="629">
                  <v>7518</v>
                </pt>
                <pt idx="630">
                  <v>6978</v>
                </pt>
                <pt idx="631">
                  <v>7027</v>
                </pt>
                <pt idx="632">
                  <v>7785</v>
                </pt>
                <pt idx="633">
                  <v>7776</v>
                </pt>
                <pt idx="634">
                  <v>7198</v>
                </pt>
                <pt idx="635">
                  <v>3181</v>
                </pt>
                <pt idx="648">
                  <v>5933</v>
                </pt>
                <pt idx="651">
                  <v>5392</v>
                </pt>
                <pt idx="652">
                  <v>5352</v>
                </pt>
                <pt idx="671">
                  <v>4581</v>
                </pt>
                <pt idx="673">
                  <v>4877</v>
                </pt>
                <pt idx="674">
                  <v>5251</v>
                </pt>
                <pt idx="675">
                  <v>5465</v>
                </pt>
                <pt idx="679">
                  <v>5084</v>
                </pt>
                <pt idx="680">
                  <v>5700</v>
                </pt>
                <pt idx="687">
                  <v>6711</v>
                </pt>
                <pt idx="688">
                  <v>6007</v>
                </pt>
                <pt idx="690">
                  <v>4441</v>
                </pt>
                <pt idx="691">
                  <v>4837</v>
                </pt>
                <pt idx="692">
                  <v>3744</v>
                </pt>
                <pt idx="693">
                  <v>4827</v>
                </pt>
                <pt idx="694">
                  <v>3849</v>
                </pt>
                <pt idx="695">
                  <v>3774</v>
                </pt>
                <pt idx="696">
                  <v>4101</v>
                </pt>
                <pt idx="697">
                  <v>4011</v>
                </pt>
                <pt idx="698">
                  <v>3623</v>
                </pt>
                <pt idx="699">
                  <v>2900</v>
                </pt>
                <pt idx="700">
                  <v>2846</v>
                </pt>
                <pt idx="701">
                  <v>2603</v>
                </pt>
                <pt idx="702">
                  <v>1737</v>
                </pt>
                <pt idx="703">
                  <v>899</v>
                </pt>
                <pt idx="704">
                  <v>388</v>
                </pt>
                <pt idx="705">
                  <v>2336</v>
                </pt>
                <pt idx="706">
                  <v>4472</v>
                </pt>
                <pt idx="707">
                  <v>4808</v>
                </pt>
                <pt idx="708">
                  <v>6203</v>
                </pt>
                <pt idx="709">
                  <v>6886</v>
                </pt>
                <pt idx="710">
                  <v>7366</v>
                </pt>
                <pt idx="711">
                  <v>7267</v>
                </pt>
                <pt idx="712">
                  <v>2828</v>
                </pt>
                <pt idx="713">
                  <v>2158</v>
                </pt>
                <pt idx="714">
                  <v>2313</v>
                </pt>
                <pt idx="718">
                  <v>-943</v>
                </pt>
                <pt idx="719">
                  <v>3568</v>
                </pt>
                <pt idx="720">
                  <v>5445</v>
                </pt>
                <pt idx="721">
                  <v>8203</v>
                </pt>
                <pt idx="722">
                  <v>6945</v>
                </pt>
                <pt idx="723">
                  <v>13262</v>
                </pt>
                <pt idx="724">
                  <v>11491</v>
                </pt>
                <pt idx="725">
                  <v>10516</v>
                </pt>
                <pt idx="726">
                  <v>11043</v>
                </pt>
                <pt idx="727">
                  <v>9511</v>
                </pt>
                <pt idx="728">
                  <v>12882</v>
                </pt>
                <pt idx="729">
                  <v>12673</v>
                </pt>
                <pt idx="730">
                  <v>7775</v>
                </pt>
                <pt idx="731">
                  <v>10109</v>
                </pt>
                <pt idx="732">
                  <v>13802</v>
                </pt>
                <pt idx="733">
                  <v>15235</v>
                </pt>
                <pt idx="734">
                  <v>12257</v>
                </pt>
                <pt idx="735">
                  <v>13919</v>
                </pt>
                <pt idx="736">
                  <v>10295</v>
                </pt>
                <pt idx="737">
                  <v>12846</v>
                </pt>
                <pt idx="738">
                  <v>12923</v>
                </pt>
                <pt idx="739">
                  <v>14470</v>
                </pt>
                <pt idx="740">
                  <v>16567</v>
                </pt>
                <pt idx="741">
                  <v>17889</v>
                </pt>
                <pt idx="742">
                  <v>17589</v>
                </pt>
                <pt idx="743">
                  <v>18352</v>
                </pt>
                <pt idx="744">
                  <v>14618</v>
                </pt>
                <pt idx="745">
                  <v>13401</v>
                </pt>
                <pt idx="746">
                  <v>10195</v>
                </pt>
                <pt idx="747">
                  <v>8121</v>
                </pt>
                <pt idx="748">
                  <v>10121</v>
                </pt>
                <pt idx="749">
                  <v>12473</v>
                </pt>
                <pt idx="750">
                  <v>15868</v>
                </pt>
                <pt idx="751">
                  <v>16506</v>
                </pt>
                <pt idx="752">
                  <v>14289</v>
                </pt>
                <pt idx="753">
                  <v>14762</v>
                </pt>
                <pt idx="754">
                  <v>18856</v>
                </pt>
                <pt idx="755">
                  <v>22788</v>
                </pt>
                <pt idx="756">
                  <v>22525</v>
                </pt>
                <pt idx="757">
                  <v>20067</v>
                </pt>
                <pt idx="758">
                  <v>23097</v>
                </pt>
                <pt idx="759">
                  <v>21103</v>
                </pt>
                <pt idx="760">
                  <v>17523</v>
                </pt>
                <pt idx="761">
                  <v>15255</v>
                </pt>
                <pt idx="762">
                  <v>19239</v>
                </pt>
                <pt idx="763">
                  <v>15807</v>
                </pt>
                <pt idx="764">
                  <v>14911</v>
                </pt>
                <pt idx="765">
                  <v>19918</v>
                </pt>
                <pt idx="766">
                  <v>26396</v>
                </pt>
                <pt idx="767">
                  <v>24316</v>
                </pt>
                <pt idx="768">
                  <v>23874</v>
                </pt>
                <pt idx="769">
                  <v>22894</v>
                </pt>
                <pt idx="770">
                  <v>23250</v>
                </pt>
                <pt idx="771">
                  <v>24386</v>
                </pt>
                <pt idx="772">
                  <v>27844</v>
                </pt>
                <pt idx="773">
                  <v>14264</v>
                </pt>
                <pt idx="774">
                  <v>16660</v>
                </pt>
                <pt idx="775">
                  <v>14037</v>
                </pt>
                <pt idx="776">
                  <v>8885</v>
                </pt>
                <pt idx="777">
                  <v>3825</v>
                </pt>
                <pt idx="778">
                  <v>6343</v>
                </pt>
                <pt idx="779">
                  <v>9674</v>
                </pt>
                <pt idx="780">
                  <v>11172</v>
                </pt>
                <pt idx="781">
                  <v>12722</v>
                </pt>
                <pt idx="782">
                  <v>18494</v>
                </pt>
                <pt idx="783">
                  <v>21085</v>
                </pt>
                <pt idx="784">
                  <v>22385</v>
                </pt>
                <pt idx="785">
                  <v>19451</v>
                </pt>
                <pt idx="786">
                  <v>14668</v>
                </pt>
                <pt idx="787">
                  <v>13381</v>
                </pt>
                <pt idx="788">
                  <v>10423</v>
                </pt>
                <pt idx="789">
                  <v>7054</v>
                </pt>
                <pt idx="790">
                  <v>6859</v>
                </pt>
                <pt idx="791">
                  <v>10999</v>
                </pt>
                <pt idx="792">
                  <v>11341</v>
                </pt>
                <pt idx="793">
                  <v>9626</v>
                </pt>
                <pt idx="794">
                  <v>12247</v>
                </pt>
                <pt idx="795">
                  <v>13965</v>
                </pt>
                <pt idx="796">
                  <v>13503</v>
                </pt>
                <pt idx="797">
                  <v>15749</v>
                </pt>
                <pt idx="798">
                  <v>11455</v>
                </pt>
                <pt idx="799">
                  <v>10722</v>
                </pt>
                <pt idx="800">
                  <v>14789</v>
                </pt>
                <pt idx="801">
                  <v>15979</v>
                </pt>
                <pt idx="802">
                  <v>15127</v>
                </pt>
                <pt idx="803">
                  <v>15533</v>
                </pt>
                <pt idx="804">
                  <v>13631</v>
                </pt>
                <pt idx="805">
                  <v>12396</v>
                </pt>
                <pt idx="806">
                  <v>10378</v>
                </pt>
                <pt idx="807">
                  <v>9451</v>
                </pt>
                <pt idx="808">
                  <v>7454</v>
                </pt>
                <pt idx="809">
                  <v>8372</v>
                </pt>
                <pt idx="810">
                  <v>6594</v>
                </pt>
                <pt idx="811">
                  <v>7894</v>
                </pt>
                <pt idx="812">
                  <v>5489</v>
                </pt>
                <pt idx="813">
                  <v>6337</v>
                </pt>
                <pt idx="814">
                  <v>3444</v>
                </pt>
                <pt idx="815">
                  <v>4541</v>
                </pt>
                <pt idx="816">
                  <v>4964</v>
                </pt>
                <pt idx="817">
                  <v>6328</v>
                </pt>
                <pt idx="818">
                  <v>3200</v>
                </pt>
                <pt idx="819">
                  <v>1566</v>
                </pt>
                <pt idx="820">
                  <v>2650</v>
                </pt>
                <pt idx="821">
                  <v>3166</v>
                </pt>
                <pt idx="822">
                  <v>2141</v>
                </pt>
                <pt idx="823">
                  <v>5327</v>
                </pt>
                <pt idx="824">
                  <v>4984</v>
                </pt>
                <pt idx="825">
                  <v>1584</v>
                </pt>
                <pt idx="826">
                  <v>-1381</v>
                </pt>
                <pt idx="827">
                  <v>-1451</v>
                </pt>
                <pt idx="828">
                  <v>-597</v>
                </pt>
                <pt idx="829">
                  <v>-463</v>
                </pt>
                <pt idx="830">
                  <v>-1814</v>
                </pt>
                <pt idx="831">
                  <v>-2950</v>
                </pt>
                <pt idx="832">
                  <v>-3900</v>
                </pt>
                <pt idx="833">
                  <v>-4586</v>
                </pt>
                <pt idx="834">
                  <v>-4781</v>
                </pt>
                <pt idx="835">
                  <v>-4478</v>
                </pt>
                <pt idx="836">
                  <v>-4560</v>
                </pt>
                <pt idx="837">
                  <v>-4171</v>
                </pt>
                <pt idx="838">
                  <v>-2447</v>
                </pt>
                <pt idx="839">
                  <v>-932</v>
                </pt>
                <pt idx="840">
                  <v>-1366</v>
                </pt>
                <pt idx="841">
                  <v>-1641</v>
                </pt>
                <pt idx="842">
                  <v>-2378</v>
                </pt>
                <pt idx="843">
                  <v>-2562</v>
                </pt>
                <pt idx="844">
                  <v>-2293</v>
                </pt>
                <pt idx="845">
                  <v>-1535</v>
                </pt>
                <pt idx="846">
                  <v>-1200</v>
                </pt>
                <pt idx="847">
                  <v>-1009</v>
                </pt>
                <pt idx="848">
                  <v>248</v>
                </pt>
                <pt idx="849">
                  <v>-193</v>
                </pt>
                <pt idx="850">
                  <v>-1937</v>
                </pt>
                <pt idx="851">
                  <v>-4297</v>
                </pt>
                <pt idx="852">
                  <v>-5978</v>
                </pt>
                <pt idx="853">
                  <v>-4339</v>
                </pt>
                <pt idx="854">
                  <v>-4582</v>
                </pt>
                <pt idx="855">
                  <v>-5930</v>
                </pt>
                <pt idx="856">
                  <v>-6768</v>
                </pt>
                <pt idx="857">
                  <v>-7979</v>
                </pt>
                <pt idx="858">
                  <v>-6080</v>
                </pt>
                <pt idx="859">
                  <v>-2885</v>
                </pt>
                <pt idx="860">
                  <v>-939</v>
                </pt>
                <pt idx="861">
                  <v>2968</v>
                </pt>
                <pt idx="862">
                  <v>4360</v>
                </pt>
                <pt idx="863">
                  <v>3505</v>
                </pt>
                <pt idx="864">
                  <v>3648</v>
                </pt>
                <pt idx="865">
                  <v>3809</v>
                </pt>
                <pt idx="866">
                  <v>6258</v>
                </pt>
                <pt idx="867">
                  <v>6819</v>
                </pt>
                <pt idx="868">
                  <v>12532</v>
                </pt>
                <pt idx="869">
                  <v>14132</v>
                </pt>
                <pt idx="870">
                  <v>14773</v>
                </pt>
                <pt idx="871">
                  <v>15460</v>
                </pt>
                <pt idx="872">
                  <v>16956</v>
                </pt>
                <pt idx="873">
                  <v>17683</v>
                </pt>
                <pt idx="874">
                  <v>15357</v>
                </pt>
                <pt idx="875">
                  <v>14969</v>
                </pt>
                <pt idx="876">
                  <v>16183</v>
                </pt>
                <pt idx="877">
                  <v>17567</v>
                </pt>
                <pt idx="878">
                  <v>18200</v>
                </pt>
                <pt idx="879">
                  <v>18811</v>
                </pt>
                <pt idx="880">
                  <v>17436</v>
                </pt>
                <pt idx="881">
                  <v>18649</v>
                </pt>
                <pt idx="882">
                  <v>17664</v>
                </pt>
                <pt idx="883">
                  <v>18123</v>
                </pt>
                <pt idx="884">
                  <v>18995</v>
                </pt>
                <pt idx="885">
                  <v>18645</v>
                </pt>
                <pt idx="886">
                  <v>17503</v>
                </pt>
                <pt idx="887">
                  <v>18093</v>
                </pt>
                <pt idx="888">
                  <v>17630</v>
                </pt>
                <pt idx="889">
                  <v>17158</v>
                </pt>
                <pt idx="890">
                  <v>15028</v>
                </pt>
                <pt idx="891">
                  <v>13316</v>
                </pt>
                <pt idx="892">
                  <v>11255</v>
                </pt>
                <pt idx="893">
                  <v>12674</v>
                </pt>
                <pt idx="894">
                  <v>11584</v>
                </pt>
                <pt idx="895">
                  <v>8103</v>
                </pt>
                <pt idx="896">
                  <v>7795</v>
                </pt>
                <pt idx="897">
                  <v>9452</v>
                </pt>
                <pt idx="898">
                  <v>9746</v>
                </pt>
                <pt idx="899">
                  <v>8805</v>
                </pt>
                <pt idx="900">
                  <v>12973</v>
                </pt>
                <pt idx="901">
                  <v>15683</v>
                </pt>
                <pt idx="902">
                  <v>16356</v>
                </pt>
                <pt idx="903">
                  <v>8471</v>
                </pt>
                <pt idx="904">
                  <v>5383</v>
                </pt>
                <pt idx="905">
                  <v>4723</v>
                </pt>
                <pt idx="906">
                  <v>7435</v>
                </pt>
                <pt idx="907">
                  <v>6392</v>
                </pt>
                <pt idx="908">
                  <v>5112</v>
                </pt>
                <pt idx="909">
                  <v>3247</v>
                </pt>
                <pt idx="910">
                  <v>2809</v>
                </pt>
                <pt idx="911">
                  <v>5489</v>
                </pt>
                <pt idx="912">
                  <v>5806</v>
                </pt>
                <pt idx="913">
                  <v>5503</v>
                </pt>
                <pt idx="914">
                  <v>7151</v>
                </pt>
                <pt idx="915">
                  <v>8752</v>
                </pt>
                <pt idx="916">
                  <v>12909</v>
                </pt>
                <pt idx="917">
                  <v>14976</v>
                </pt>
                <pt idx="918">
                  <v>16892</v>
                </pt>
                <pt idx="919">
                  <v>12553</v>
                </pt>
                <pt idx="920">
                  <v>7662</v>
                </pt>
                <pt idx="921">
                  <v>2204</v>
                </pt>
                <pt idx="922">
                  <v>-869</v>
                </pt>
                <pt idx="923">
                  <v>-2129</v>
                </pt>
                <pt idx="924">
                  <v>822</v>
                </pt>
                <pt idx="925">
                  <v>2486</v>
                </pt>
                <pt idx="926">
                  <v>2577</v>
                </pt>
                <pt idx="927">
                  <v>5452</v>
                </pt>
                <pt idx="928">
                  <v>8973</v>
                </pt>
                <pt idx="929">
                  <v>13674</v>
                </pt>
                <pt idx="930">
                  <v>15059</v>
                </pt>
                <pt idx="931">
                  <v>12544</v>
                </pt>
                <pt idx="932">
                  <v>12139</v>
                </pt>
                <pt idx="933">
                  <v>10683</v>
                </pt>
                <pt idx="934">
                  <v>6957</v>
                </pt>
                <pt idx="935">
                  <v>9377</v>
                </pt>
                <pt idx="936">
                  <v>16839</v>
                </pt>
                <pt idx="937">
                  <v>18408</v>
                </pt>
                <pt idx="938">
                  <v>17270</v>
                </pt>
                <pt idx="939">
                  <v>16334</v>
                </pt>
                <pt idx="940">
                  <v>16573</v>
                </pt>
                <pt idx="941">
                  <v>15331</v>
                </pt>
                <pt idx="942">
                  <v>15871</v>
                </pt>
                <pt idx="943">
                  <v>19148</v>
                </pt>
                <pt idx="944">
                  <v>22250</v>
                </pt>
                <pt idx="945">
                  <v>23445</v>
                </pt>
                <pt idx="946">
                  <v>21069</v>
                </pt>
                <pt idx="947">
                  <v>18445</v>
                </pt>
                <pt idx="948">
                  <v>18261</v>
                </pt>
                <pt idx="949">
                  <v>12521</v>
                </pt>
                <pt idx="950">
                  <v>7366</v>
                </pt>
                <pt idx="951">
                  <v>8115</v>
                </pt>
                <pt idx="952">
                  <v>10731</v>
                </pt>
                <pt idx="953">
                  <v>9620</v>
                </pt>
                <pt idx="954">
                  <v>11247</v>
                </pt>
                <pt idx="955">
                  <v>8627</v>
                </pt>
                <pt idx="956">
                  <v>10270</v>
                </pt>
                <pt idx="957">
                  <v>10857</v>
                </pt>
                <pt idx="958">
                  <v>9810</v>
                </pt>
                <pt idx="959">
                  <v>8101</v>
                </pt>
                <pt idx="960">
                  <v>7411</v>
                </pt>
                <pt idx="961">
                  <v>4346</v>
                </pt>
                <pt idx="962">
                  <v>-2809</v>
                </pt>
                <pt idx="963">
                  <v>-1482</v>
                </pt>
                <pt idx="964">
                  <v>239</v>
                </pt>
                <pt idx="965">
                  <v>2695</v>
                </pt>
                <pt idx="966">
                  <v>6336</v>
                </pt>
                <pt idx="967">
                  <v>9339</v>
                </pt>
                <pt idx="968">
                  <v>11457</v>
                </pt>
                <pt idx="969">
                  <v>12800</v>
                </pt>
                <pt idx="970">
                  <v>13714</v>
                </pt>
                <pt idx="971">
                  <v>12624</v>
                </pt>
                <pt idx="972">
                  <v>13876</v>
                </pt>
                <pt idx="973">
                  <v>15724</v>
                </pt>
                <pt idx="974">
                  <v>16004</v>
                </pt>
                <pt idx="975">
                  <v>19218</v>
                </pt>
                <pt idx="976">
                  <v>18849</v>
                </pt>
                <pt idx="977">
                  <v>18364</v>
                </pt>
                <pt idx="978">
                  <v>18986</v>
                </pt>
                <pt idx="979">
                  <v>19584</v>
                </pt>
                <pt idx="980">
                  <v>21438</v>
                </pt>
                <pt idx="981">
                  <v>23291</v>
                </pt>
                <pt idx="982">
                  <v>24126</v>
                </pt>
                <pt idx="983">
                  <v>20427</v>
                </pt>
                <pt idx="984">
                  <v>18417</v>
                </pt>
                <pt idx="985">
                  <v>16876</v>
                </pt>
                <pt idx="986">
                  <v>16565</v>
                </pt>
                <pt idx="987">
                  <v>17670</v>
                </pt>
                <pt idx="988">
                  <v>17664</v>
                </pt>
                <pt idx="989">
                  <v>13565</v>
                </pt>
                <pt idx="990">
                  <v>9591</v>
                </pt>
                <pt idx="991">
                  <v>5566</v>
                </pt>
                <pt idx="992">
                  <v>6838</v>
                </pt>
                <pt idx="993">
                  <v>8225</v>
                </pt>
                <pt idx="994">
                  <v>9219</v>
                </pt>
                <pt idx="995">
                  <v>10655</v>
                </pt>
                <pt idx="996">
                  <v>11550</v>
                </pt>
                <pt idx="997">
                  <v>10614</v>
                </pt>
                <pt idx="998">
                  <v>7916</v>
                </pt>
                <pt idx="999">
                  <v>3718</v>
                </pt>
                <pt idx="1000">
                  <v>3857</v>
                </pt>
                <pt idx="1001">
                  <v>5383</v>
                </pt>
                <pt idx="1002">
                  <v>612</v>
                </pt>
                <pt idx="1003">
                  <v>1405</v>
                </pt>
                <pt idx="1004">
                  <v>2436</v>
                </pt>
                <pt idx="1005">
                  <v>5029</v>
                </pt>
                <pt idx="1006">
                  <v>9455</v>
                </pt>
                <pt idx="1007">
                  <v>12932</v>
                </pt>
                <pt idx="1008">
                  <v>14797</v>
                </pt>
                <pt idx="1009">
                  <v>23335</v>
                </pt>
                <pt idx="1010">
                  <v>23870</v>
                </pt>
                <pt idx="1011">
                  <v>24211</v>
                </pt>
                <pt idx="1012">
                  <v>22114</v>
                </pt>
                <pt idx="1013">
                  <v>16788</v>
                </pt>
                <pt idx="1014">
                  <v>13223</v>
                </pt>
                <pt idx="1015">
                  <v>4210</v>
                </pt>
                <pt idx="1016">
                  <v>3984</v>
                </pt>
                <pt idx="1017">
                  <v>5846</v>
                </pt>
                <pt idx="1018">
                  <v>7170</v>
                </pt>
                <pt idx="1019">
                  <v>11939</v>
                </pt>
                <pt idx="1020">
                  <v>9486</v>
                </pt>
                <pt idx="1021">
                  <v>8025</v>
                </pt>
                <pt idx="1022">
                  <v>6224</v>
                </pt>
                <pt idx="1023">
                  <v>2597</v>
                </pt>
                <pt idx="1024">
                  <v>-1509</v>
                </pt>
                <pt idx="1025">
                  <v>-5208</v>
                </pt>
                <pt idx="1026">
                  <v>-5530</v>
                </pt>
                <pt idx="1027">
                  <v>-3885</v>
                </pt>
                <pt idx="1028">
                  <v>-2213</v>
                </pt>
                <pt idx="1029">
                  <v>576</v>
                </pt>
                <pt idx="1030">
                  <v>4320</v>
                </pt>
                <pt idx="1031">
                  <v>5591</v>
                </pt>
                <pt idx="1032">
                  <v>6939</v>
                </pt>
                <pt idx="1033">
                  <v>7779</v>
                </pt>
                <pt idx="1034">
                  <v>10347</v>
                </pt>
                <pt idx="1035">
                  <v>14588</v>
                </pt>
                <pt idx="1036">
                  <v>15247</v>
                </pt>
                <pt idx="1037">
                  <v>16372</v>
                </pt>
                <pt idx="1038">
                  <v>14229</v>
                </pt>
                <pt idx="1039">
                  <v>11401</v>
                </pt>
                <pt idx="1040">
                  <v>10032</v>
                </pt>
                <pt idx="1041">
                  <v>16605</v>
                </pt>
                <pt idx="1042">
                  <v>19965</v>
                </pt>
                <pt idx="1043">
                  <v>21381</v>
                </pt>
                <pt idx="1044">
                  <v>16710</v>
                </pt>
                <pt idx="1045">
                  <v>16284</v>
                </pt>
                <pt idx="1046">
                  <v>16349</v>
                </pt>
                <pt idx="1047">
                  <v>16745</v>
                </pt>
                <pt idx="1048">
                  <v>19388</v>
                </pt>
                <pt idx="1049">
                  <v>19194</v>
                </pt>
                <pt idx="1050">
                  <v>17858</v>
                </pt>
                <pt idx="1051">
                  <v>18710</v>
                </pt>
                <pt idx="1052">
                  <v>21088</v>
                </pt>
                <pt idx="1053">
                  <v>24600</v>
                </pt>
                <pt idx="1054">
                  <v>14230</v>
                </pt>
                <pt idx="1055">
                  <v>14739</v>
                </pt>
                <pt idx="1056">
                  <v>17082</v>
                </pt>
                <pt idx="1057">
                  <v>19220</v>
                </pt>
                <pt idx="1058">
                  <v>22262</v>
                </pt>
                <pt idx="1059">
                  <v>23532</v>
                </pt>
                <pt idx="1060">
                  <v>21816</v>
                </pt>
                <pt idx="1061">
                  <v>22700</v>
                </pt>
                <pt idx="1062">
                  <v>21338</v>
                </pt>
                <pt idx="1063">
                  <v>24693</v>
                </pt>
                <pt idx="1064">
                  <v>20297</v>
                </pt>
                <pt idx="1065">
                  <v>19044</v>
                </pt>
                <pt idx="1066">
                  <v>19350</v>
                </pt>
                <pt idx="1067">
                  <v>12477</v>
                </pt>
                <pt idx="1068">
                  <v>16916</v>
                </pt>
                <pt idx="1069">
                  <v>18387</v>
                </pt>
                <pt idx="1070">
                  <v>25150</v>
                </pt>
                <pt idx="1071">
                  <v>30808</v>
                </pt>
                <pt idx="1072">
                  <v>27705</v>
                </pt>
                <pt idx="1073">
                  <v>29050</v>
                </pt>
                <pt idx="1074">
                  <v>28536</v>
                </pt>
                <pt idx="1075">
                  <v>23216</v>
                </pt>
                <pt idx="1076">
                  <v>17782</v>
                </pt>
                <pt idx="1077">
                  <v>14011</v>
                </pt>
                <pt idx="1078">
                  <v>6013</v>
                </pt>
                <pt idx="1079">
                  <v>2653</v>
                </pt>
                <pt idx="1080">
                  <v>2126</v>
                </pt>
                <pt idx="1081">
                  <v>-711</v>
                </pt>
                <pt idx="1082">
                  <v>-1174</v>
                </pt>
                <pt idx="1083">
                  <v>-1008</v>
                </pt>
                <pt idx="1084">
                  <v>-2744</v>
                </pt>
                <pt idx="1085">
                  <v>-1846</v>
                </pt>
                <pt idx="1086">
                  <v>-520</v>
                </pt>
                <pt idx="1087">
                  <v>-1539</v>
                </pt>
                <pt idx="1088">
                  <v>197</v>
                </pt>
                <pt idx="1089">
                  <v>2390</v>
                </pt>
                <pt idx="1090">
                  <v>252</v>
                </pt>
                <pt idx="1091">
                  <v>-797</v>
                </pt>
                <pt idx="1092">
                  <v>-601</v>
                </pt>
                <pt idx="1093">
                  <v>5657</v>
                </pt>
                <pt idx="1094">
                  <v>8055</v>
                </pt>
                <pt idx="1095">
                  <v>10891</v>
                </pt>
                <pt idx="1096">
                  <v>10766</v>
                </pt>
                <pt idx="1097">
                  <v>12668</v>
                </pt>
                <pt idx="1098">
                  <v>13114</v>
                </pt>
                <pt idx="1099">
                  <v>10625</v>
                </pt>
                <pt idx="1100">
                  <v>9708</v>
                </pt>
                <pt idx="1101">
                  <v>10366</v>
                </pt>
                <pt idx="1102">
                  <v>12476</v>
                </pt>
                <pt idx="1103">
                  <v>10249</v>
                </pt>
                <pt idx="1104">
                  <v>7639</v>
                </pt>
                <pt idx="1105">
                  <v>8553</v>
                </pt>
                <pt idx="1106">
                  <v>5673</v>
                </pt>
                <pt idx="1107">
                  <v>6456</v>
                </pt>
                <pt idx="1108">
                  <v>6707</v>
                </pt>
                <pt idx="1109">
                  <v>7866</v>
                </pt>
                <pt idx="1110">
                  <v>9614</v>
                </pt>
                <pt idx="1111">
                  <v>8556</v>
                </pt>
                <pt idx="1112">
                  <v>9685</v>
                </pt>
                <pt idx="1113">
                  <v>8032</v>
                </pt>
                <pt idx="1114">
                  <v>7641</v>
                </pt>
                <pt idx="1115">
                  <v>8906</v>
                </pt>
                <pt idx="1116">
                  <v>10982</v>
                </pt>
                <pt idx="1117">
                  <v>13432</v>
                </pt>
                <pt idx="1118">
                  <v>14449</v>
                </pt>
                <pt idx="1119">
                  <v>15751</v>
                </pt>
                <pt idx="1120">
                  <v>18213</v>
                </pt>
                <pt idx="1121">
                  <v>18480</v>
                </pt>
                <pt idx="1122">
                  <v>19766</v>
                </pt>
                <pt idx="1123">
                  <v>19847</v>
                </pt>
                <pt idx="1124">
                  <v>20175</v>
                </pt>
                <pt idx="1125">
                  <v>18480</v>
                </pt>
                <pt idx="1126">
                  <v>20693</v>
                </pt>
                <pt idx="1127">
                  <v>19340</v>
                </pt>
                <pt idx="1128">
                  <v>17594</v>
                </pt>
                <pt idx="1129">
                  <v>17944</v>
                </pt>
                <pt idx="1130">
                  <v>17531</v>
                </pt>
                <pt idx="1131">
                  <v>16855</v>
                </pt>
                <pt idx="1132">
                  <v>3733</v>
                </pt>
                <pt idx="1133">
                  <v>6152</v>
                </pt>
                <pt idx="1134">
                  <v>8985</v>
                </pt>
                <pt idx="1135">
                  <v>14416</v>
                </pt>
                <pt idx="1136">
                  <v>15453</v>
                </pt>
                <pt idx="1137">
                  <v>15132</v>
                </pt>
                <pt idx="1138">
                  <v>15289</v>
                </pt>
                <pt idx="1139">
                  <v>14500</v>
                </pt>
                <pt idx="1140">
                  <v>13429</v>
                </pt>
                <pt idx="1141">
                  <v>12032</v>
                </pt>
                <pt idx="1142">
                  <v>11841</v>
                </pt>
                <pt idx="1143">
                  <v>10172</v>
                </pt>
                <pt idx="1144">
                  <v>9522</v>
                </pt>
                <pt idx="1145">
                  <v>1120</v>
                </pt>
                <pt idx="1146">
                  <v>1841</v>
                </pt>
                <pt idx="1147">
                  <v>64</v>
                </pt>
                <pt idx="1148">
                  <v>-100</v>
                </pt>
                <pt idx="1149">
                  <v>-2384</v>
                </pt>
                <pt idx="1150">
                  <v>-2332</v>
                </pt>
                <pt idx="1151">
                  <v>-3898</v>
                </pt>
                <pt idx="1152">
                  <v>-4109</v>
                </pt>
                <pt idx="1153">
                  <v>-989</v>
                </pt>
                <pt idx="1154">
                  <v>-1247</v>
                </pt>
                <pt idx="1155">
                  <v>-2294</v>
                </pt>
                <pt idx="1156">
                  <v>-1680</v>
                </pt>
                <pt idx="1157">
                  <v>-2295</v>
                </pt>
                <pt idx="1158">
                  <v>-639</v>
                </pt>
                <pt idx="1159">
                  <v>-1408</v>
                </pt>
                <pt idx="1160">
                  <v>-1846</v>
                </pt>
                <pt idx="1161">
                  <v>-907</v>
                </pt>
                <pt idx="1162">
                  <v>-1776</v>
                </pt>
                <pt idx="1163">
                  <v>-1817</v>
                </pt>
                <pt idx="1164">
                  <v>-3659</v>
                </pt>
                <pt idx="1165">
                  <v>-4497</v>
                </pt>
                <pt idx="1166">
                  <v>-6200</v>
                </pt>
                <pt idx="1167">
                  <v>-5753</v>
                </pt>
                <pt idx="1168">
                  <v>-4330</v>
                </pt>
                <pt idx="1169">
                  <v>-1367</v>
                </pt>
                <pt idx="1170">
                  <v>-2480</v>
                </pt>
                <pt idx="1171">
                  <v>-1141</v>
                </pt>
                <pt idx="1172">
                  <v>-866</v>
                </pt>
                <pt idx="1173">
                  <v>4031</v>
                </pt>
                <pt idx="1174">
                  <v>5778</v>
                </pt>
                <pt idx="1175">
                  <v>6003</v>
                </pt>
                <pt idx="1176">
                  <v>8488</v>
                </pt>
                <pt idx="1177">
                  <v>10180</v>
                </pt>
                <pt idx="1178">
                  <v>9064</v>
                </pt>
                <pt idx="1179">
                  <v>1770</v>
                </pt>
                <pt idx="1180">
                  <v>-2231</v>
                </pt>
                <pt idx="1181">
                  <v>-5087</v>
                </pt>
                <pt idx="1182">
                  <v>-10539</v>
                </pt>
                <pt idx="1183">
                  <v>-11795</v>
                </pt>
                <pt idx="1184">
                  <v>-9168</v>
                </pt>
                <pt idx="1185">
                  <v>-13563</v>
                </pt>
                <pt idx="1186">
                  <v>-16066</v>
                </pt>
                <pt idx="1187">
                  <v>-18348</v>
                </pt>
                <pt idx="1188">
                  <v>-19654</v>
                </pt>
                <pt idx="1189">
                  <v>-15954</v>
                </pt>
                <pt idx="1190">
                  <v>-12765</v>
                </pt>
                <pt idx="1191">
                  <v>-11899</v>
                </pt>
                <pt idx="1192">
                  <v>-10572</v>
                </pt>
                <pt idx="1193">
                  <v>-9957</v>
                </pt>
                <pt idx="1194">
                  <v>-6063</v>
                </pt>
                <pt idx="1195">
                  <v>-8279</v>
                </pt>
                <pt idx="1196">
                  <v>-11820</v>
                </pt>
                <pt idx="1197">
                  <v>-2094</v>
                </pt>
                <pt idx="1198">
                  <v>-3529</v>
                </pt>
                <pt idx="1199">
                  <v>-3062</v>
                </pt>
                <pt idx="1200">
                  <v>-971</v>
                </pt>
                <pt idx="1201">
                  <v>692</v>
                </pt>
                <pt idx="1202">
                  <v>3759</v>
                </pt>
                <pt idx="1203">
                  <v>5589</v>
                </pt>
                <pt idx="1204">
                  <v>6618</v>
                </pt>
                <pt idx="1205">
                  <v>5564</v>
                </pt>
                <pt idx="1206">
                  <v>5248</v>
                </pt>
                <pt idx="1207">
                  <v>4010</v>
                </pt>
                <pt idx="1208">
                  <v>4757</v>
                </pt>
                <pt idx="1209">
                  <v>8881</v>
                </pt>
                <pt idx="1210">
                  <v>1119</v>
                </pt>
                <pt idx="1211">
                  <v>-221</v>
                </pt>
                <pt idx="1212">
                  <v>-146</v>
                </pt>
                <pt idx="1213">
                  <v>1579</v>
                </pt>
                <pt idx="1214">
                  <v>1541</v>
                </pt>
                <pt idx="1215">
                  <v>-2954</v>
                </pt>
                <pt idx="1216">
                  <v>-5400</v>
                </pt>
                <pt idx="1217">
                  <v>-8436</v>
                </pt>
                <pt idx="1218">
                  <v>-9139</v>
                </pt>
                <pt idx="1219">
                  <v>-8317</v>
                </pt>
                <pt idx="1220">
                  <v>-6615</v>
                </pt>
                <pt idx="1221">
                  <v>-4157</v>
                </pt>
                <pt idx="1222">
                  <v>-2000</v>
                </pt>
                <pt idx="1223">
                  <v>1290</v>
                </pt>
                <pt idx="1224">
                  <v>1017</v>
                </pt>
                <pt idx="1225">
                  <v>1874</v>
                </pt>
                <pt idx="1226">
                  <v>2903</v>
                </pt>
                <pt idx="1227">
                  <v>4292</v>
                </pt>
                <pt idx="1228">
                  <v>5351</v>
                </pt>
                <pt idx="1229">
                  <v>7384</v>
                </pt>
                <pt idx="1230">
                  <v>9200</v>
                </pt>
                <pt idx="1231">
                  <v>9352</v>
                </pt>
                <pt idx="1232">
                  <v>6688</v>
                </pt>
                <pt idx="1233">
                  <v>4576</v>
                </pt>
                <pt idx="1234">
                  <v>5504</v>
                </pt>
                <pt idx="1235">
                  <v>8536</v>
                </pt>
                <pt idx="1236">
                  <v>-3818</v>
                </pt>
                <pt idx="1237">
                  <v>-3045</v>
                </pt>
                <pt idx="1238">
                  <v>-2826</v>
                </pt>
                <pt idx="1239">
                  <v>-1403</v>
                </pt>
                <pt idx="1240">
                  <v>1011</v>
                </pt>
                <pt idx="1241">
                  <v>2173</v>
                </pt>
                <pt idx="1242">
                  <v>215</v>
                </pt>
                <pt idx="1243">
                  <v>217</v>
                </pt>
                <pt idx="1244">
                  <v>-613</v>
                </pt>
                <pt idx="1245">
                  <v>-695</v>
                </pt>
                <pt idx="1246">
                  <v>-878</v>
                </pt>
                <pt idx="1247">
                  <v>1893</v>
                </pt>
                <pt idx="1248">
                  <v>6128</v>
                </pt>
                <pt idx="1249">
                  <v>5129</v>
                </pt>
                <pt idx="1250">
                  <v>-7916</v>
                </pt>
                <pt idx="1251">
                  <v>-6793</v>
                </pt>
                <pt idx="1252">
                  <v>-7830</v>
                </pt>
                <pt idx="1253">
                  <v>-7736</v>
                </pt>
                <pt idx="1254">
                  <v>-153</v>
                </pt>
                <pt idx="1255">
                  <v>-420</v>
                </pt>
                <pt idx="1256">
                  <v>-965</v>
                </pt>
                <pt idx="1257">
                  <v>2505</v>
                </pt>
                <pt idx="1258">
                  <v>2043</v>
                </pt>
                <pt idx="1259">
                  <v>-533</v>
                </pt>
                <pt idx="1260">
                  <v>-1872</v>
                </pt>
                <pt idx="1261">
                  <v>-3952</v>
                </pt>
                <pt idx="1262">
                  <v>-3702</v>
                </pt>
                <pt idx="1263">
                  <v>-6953</v>
                </pt>
                <pt idx="1264">
                  <v>-11001</v>
                </pt>
                <pt idx="1265">
                  <v>-11413</v>
                </pt>
                <pt idx="1266">
                  <v>-13960</v>
                </pt>
                <pt idx="1267">
                  <v>-12288</v>
                </pt>
                <pt idx="1268">
                  <v>-9883</v>
                </pt>
                <pt idx="1269">
                  <v>-1022</v>
                </pt>
                <pt idx="1270">
                  <v>1845</v>
                </pt>
                <pt idx="1271">
                  <v>2876</v>
                </pt>
                <pt idx="1272">
                  <v>3158</v>
                </pt>
                <pt idx="1273">
                  <v>2937</v>
                </pt>
                <pt idx="1274">
                  <v>-4425</v>
                </pt>
                <pt idx="1275">
                  <v>-5605</v>
                </pt>
                <pt idx="1276">
                  <v>-12610</v>
                </pt>
                <pt idx="1277">
                  <v>-12629</v>
                </pt>
                <pt idx="1278">
                  <v>-14724</v>
                </pt>
                <pt idx="1279">
                  <v>-15153</v>
                </pt>
                <pt idx="1280">
                  <v>-15006</v>
                </pt>
                <pt idx="1281">
                  <v>-15404</v>
                </pt>
                <pt idx="1282">
                  <v>-11970</v>
                </pt>
                <pt idx="1283">
                  <v>-10786</v>
                </pt>
                <pt idx="1284">
                  <v>-11954</v>
                </pt>
                <pt idx="1285">
                  <v>-9217</v>
                </pt>
                <pt idx="1286">
                  <v>-5539</v>
                </pt>
                <pt idx="1287">
                  <v>-1785</v>
                </pt>
                <pt idx="1288">
                  <v>1595</v>
                </pt>
                <pt idx="1289">
                  <v>21455</v>
                </pt>
                <pt idx="1290">
                  <v>25233</v>
                </pt>
                <pt idx="1291">
                  <v>29133</v>
                </pt>
                <pt idx="1292">
                  <v>31905</v>
                </pt>
                <pt idx="1293">
                  <v>35981</v>
                </pt>
                <pt idx="1294">
                  <v>34805</v>
                </pt>
                <pt idx="1295">
                  <v>34938</v>
                </pt>
                <pt idx="1296">
                  <v>33485</v>
                </pt>
                <pt idx="1297">
                  <v>24839</v>
                </pt>
                <pt idx="1298">
                  <v>21882</v>
                </pt>
                <pt idx="1299">
                  <v>18804</v>
                </pt>
                <pt idx="1300">
                  <v>14723</v>
                </pt>
                <pt idx="1301">
                  <v>12350</v>
                </pt>
                <pt idx="1302">
                  <v>6670</v>
                </pt>
                <pt idx="1303">
                  <v>8053</v>
                </pt>
                <pt idx="1304">
                  <v>8118</v>
                </pt>
                <pt idx="1305">
                  <v>5729</v>
                </pt>
                <pt idx="1306">
                  <v>6977</v>
                </pt>
                <pt idx="1307">
                  <v>611</v>
                </pt>
                <pt idx="1308">
                  <v>-5707</v>
                </pt>
                <pt idx="1309">
                  <v>-11187</v>
                </pt>
                <pt idx="1310">
                  <v>-11891</v>
                </pt>
                <pt idx="1311">
                  <v>-13394</v>
                </pt>
                <pt idx="1312">
                  <v>-14022</v>
                </pt>
                <pt idx="1313">
                  <v>-12893</v>
                </pt>
                <pt idx="1314">
                  <v>-13428</v>
                </pt>
                <pt idx="1315">
                  <v>-16619</v>
                </pt>
                <pt idx="1316">
                  <v>-17586</v>
                </pt>
                <pt idx="1317">
                  <v>-16985</v>
                </pt>
                <pt idx="1318">
                  <v>-11017</v>
                </pt>
                <pt idx="1319">
                  <v>-7991</v>
                </pt>
                <pt idx="1320">
                  <v>-1466</v>
                </pt>
                <pt idx="1321">
                  <v>3470</v>
                </pt>
                <pt idx="1322">
                  <v>3332</v>
                </pt>
                <pt idx="1323">
                  <v>2220</v>
                </pt>
                <pt idx="1324">
                  <v>944</v>
                </pt>
                <pt idx="1325">
                  <v>-991</v>
                </pt>
                <pt idx="1326">
                  <v>30</v>
                </pt>
                <pt idx="1327">
                  <v>-2816</v>
                </pt>
                <pt idx="1328">
                  <v>19626</v>
                </pt>
                <pt idx="1329">
                  <v>18239</v>
                </pt>
                <pt idx="1330">
                  <v>18377</v>
                </pt>
                <pt idx="1331">
                  <v>22827</v>
                </pt>
                <pt idx="1332">
                  <v>27603</v>
                </pt>
                <pt idx="1333">
                  <v>24434</v>
                </pt>
                <pt idx="1334">
                  <v>16573</v>
                </pt>
                <pt idx="1335">
                  <v>12546</v>
                </pt>
                <pt idx="1336">
                  <v>1953</v>
                </pt>
                <pt idx="1337">
                  <v>-1363</v>
                </pt>
                <pt idx="1338">
                  <v>1401</v>
                </pt>
                <pt idx="1339">
                  <v>4383</v>
                </pt>
                <pt idx="1340">
                  <v>7006</v>
                </pt>
                <pt idx="1341">
                  <v>-15940</v>
                </pt>
                <pt idx="1342">
                  <v>-17562</v>
                </pt>
                <pt idx="1343">
                  <v>-26404</v>
                </pt>
                <pt idx="1344">
                  <v>-26574</v>
                </pt>
                <pt idx="1345">
                  <v>-25067</v>
                </pt>
                <pt idx="1346">
                  <v>-24370</v>
                </pt>
                <pt idx="1347">
                  <v>-23680</v>
                </pt>
                <pt idx="1348">
                  <v>-24527</v>
                </pt>
                <pt idx="1349">
                  <v>-26693</v>
                </pt>
                <pt idx="1350">
                  <v>-25143</v>
                </pt>
                <pt idx="1351">
                  <v>-23927</v>
                </pt>
                <pt idx="1352">
                  <v>-24894</v>
                </pt>
                <pt idx="1353">
                  <v>-22647</v>
                </pt>
                <pt idx="1354">
                  <v>-31989</v>
                </pt>
                <pt idx="1355">
                  <v>-31835</v>
                </pt>
                <pt idx="1356">
                  <v>-30596</v>
                </pt>
                <pt idx="1357">
                  <v>-33820</v>
                </pt>
                <pt idx="1358">
                  <v>-35412</v>
                </pt>
                <pt idx="1359">
                  <v>-33048</v>
                </pt>
                <pt idx="1360">
                  <v>-35031</v>
                </pt>
                <pt idx="1361">
                  <v>-25726</v>
                </pt>
                <pt idx="1362">
                  <v>-20868</v>
                </pt>
                <pt idx="1363">
                  <v>-19347</v>
                </pt>
                <pt idx="1364">
                  <v>-20540</v>
                </pt>
                <pt idx="1365">
                  <v>-21297</v>
                </pt>
                <pt idx="1366">
                  <v>-15241</v>
                </pt>
                <pt idx="1367">
                  <v>3411</v>
                </pt>
                <pt idx="1368">
                  <v>1940</v>
                </pt>
                <pt idx="1369">
                  <v>1962</v>
                </pt>
                <pt idx="1370">
                  <v>-1538</v>
                </pt>
                <pt idx="1371">
                  <v>-2940</v>
                </pt>
                <pt idx="1372">
                  <v>-4589</v>
                </pt>
                <pt idx="1373">
                  <v>-2816</v>
                </pt>
                <pt idx="1374">
                  <v>547</v>
                </pt>
                <pt idx="1375">
                  <v>-1123</v>
                </pt>
                <pt idx="1376">
                  <v>-740</v>
                </pt>
                <pt idx="1377">
                  <v>914</v>
                </pt>
                <pt idx="1378">
                  <v>1421</v>
                </pt>
                <pt idx="1379">
                  <v>4597</v>
                </pt>
                <pt idx="1380">
                  <v>-1124</v>
                </pt>
                <pt idx="1381">
                  <v>-202</v>
                </pt>
                <pt idx="1382">
                  <v>-405</v>
                </pt>
                <pt idx="1383">
                  <v>-1483</v>
                </pt>
                <pt idx="1384">
                  <v>-3221</v>
                </pt>
                <pt idx="1385">
                  <v>-5450</v>
                </pt>
                <pt idx="1386">
                  <v>-11460</v>
                </pt>
                <pt idx="1387">
                  <v>-12742</v>
                </pt>
                <pt idx="1388">
                  <v>-11438</v>
                </pt>
                <pt idx="1389">
                  <v>-10864</v>
                </pt>
                <pt idx="1390">
                  <v>-16148</v>
                </pt>
                <pt idx="1391">
                  <v>-20396</v>
                </pt>
                <pt idx="1392">
                  <v>-16122</v>
                </pt>
                <pt idx="1393">
                  <v>-24468</v>
                </pt>
                <pt idx="1394">
                  <v>-24053</v>
                </pt>
                <pt idx="1395">
                  <v>-24032</v>
                </pt>
                <pt idx="1396">
                  <v>-22205</v>
                </pt>
                <pt idx="1397">
                  <v>-17319</v>
                </pt>
                <pt idx="1398">
                  <v>-12225</v>
                </pt>
                <pt idx="1399">
                  <v>-12319</v>
                </pt>
                <pt idx="1400">
                  <v>-11564</v>
                </pt>
                <pt idx="1401">
                  <v>-13447</v>
                </pt>
                <pt idx="1402">
                  <v>-18260</v>
                </pt>
                <pt idx="1403">
                  <v>-26047</v>
                </pt>
                <pt idx="1404">
                  <v>-30676</v>
                </pt>
                <pt idx="1405">
                  <v>-29790</v>
                </pt>
                <pt idx="1406">
                  <v>-36043</v>
                </pt>
                <pt idx="1407">
                  <v>-39598</v>
                </pt>
                <pt idx="1408">
                  <v>-42474</v>
                </pt>
                <pt idx="1409">
                  <v>-38217</v>
                </pt>
                <pt idx="1410">
                  <v>-40016</v>
                </pt>
                <pt idx="1411">
                  <v>-40142</v>
                </pt>
                <pt idx="1412">
                  <v>-40403</v>
                </pt>
                <pt idx="1413">
                  <v>-38965</v>
                </pt>
                <pt idx="1414">
                  <v>-36235</v>
                </pt>
                <pt idx="1415">
                  <v>-35099</v>
                </pt>
                <pt idx="1416">
                  <v>-35826</v>
                </pt>
                <pt idx="1417">
                  <v>-26992</v>
                </pt>
                <pt idx="1418">
                  <v>-25340</v>
                </pt>
                <pt idx="1419">
                  <v>-8217</v>
                </pt>
                <pt idx="1420">
                  <v>-7796</v>
                </pt>
                <pt idx="1421">
                  <v>-5058</v>
                </pt>
                <pt idx="1422">
                  <v>-1488</v>
                </pt>
                <pt idx="1423">
                  <v>-361</v>
                </pt>
                <pt idx="1424">
                  <v>1833</v>
                </pt>
                <pt idx="1425">
                  <v>2060</v>
                </pt>
                <pt idx="1426">
                  <v>-2192</v>
                </pt>
                <pt idx="1427">
                  <v>-4076</v>
                </pt>
                <pt idx="1428">
                  <v>-12187</v>
                </pt>
                <pt idx="1429">
                  <v>-15311</v>
                </pt>
                <pt idx="1430">
                  <v>-16957</v>
                </pt>
                <pt idx="1431">
                  <v>-15376</v>
                </pt>
                <pt idx="1432">
                  <v>-20275</v>
                </pt>
                <pt idx="1433">
                  <v>-16016</v>
                </pt>
                <pt idx="1434">
                  <v>-16106</v>
                </pt>
                <pt idx="1435">
                  <v>-14653</v>
                </pt>
                <pt idx="1436">
                  <v>-14578</v>
                </pt>
                <pt idx="1437">
                  <v>-14259</v>
                </pt>
                <pt idx="1438">
                  <v>-13779</v>
                </pt>
                <pt idx="1439">
                  <v>-14953</v>
                </pt>
                <pt idx="1440">
                  <v>-15878</v>
                </pt>
                <pt idx="1441">
                  <v>-15867</v>
                </pt>
                <pt idx="1442">
                  <v>-15043</v>
                </pt>
                <pt idx="1443">
                  <v>-12923</v>
                </pt>
                <pt idx="1444">
                  <v>-11241</v>
                </pt>
                <pt idx="1445">
                  <v>-1932</v>
                </pt>
                <pt idx="1446">
                  <v>-15</v>
                </pt>
                <pt idx="1447">
                  <v>356</v>
                </pt>
                <pt idx="1448">
                  <v>-317</v>
                </pt>
                <pt idx="1449">
                  <v>1117</v>
                </pt>
                <pt idx="1450">
                  <v>2475</v>
                </pt>
                <pt idx="1451">
                  <v>-845</v>
                </pt>
                <pt idx="1452">
                  <v>-1448</v>
                </pt>
                <pt idx="1453">
                  <v>-179</v>
                </pt>
                <pt idx="1454">
                  <v>3762</v>
                </pt>
                <pt idx="1455">
                  <v>4188</v>
                </pt>
                <pt idx="1456">
                  <v>6966</v>
                </pt>
                <pt idx="1457">
                  <v>4900</v>
                </pt>
                <pt idx="1458">
                  <v>3242</v>
                </pt>
                <pt idx="1459">
                  <v>4860</v>
                </pt>
                <pt idx="1460">
                  <v>3329</v>
                </pt>
                <pt idx="1461">
                  <v>5090</v>
                </pt>
                <pt idx="1462">
                  <v>6490</v>
                </pt>
                <pt idx="1463">
                  <v>6602</v>
                </pt>
                <pt idx="1464">
                  <v>6995</v>
                </pt>
                <pt idx="1465">
                  <v>7051</v>
                </pt>
                <pt idx="1466">
                  <v>7717</v>
                </pt>
                <pt idx="1467">
                  <v>8868</v>
                </pt>
                <pt idx="1468">
                  <v>8312</v>
                </pt>
                <pt idx="1469">
                  <v>9058</v>
                </pt>
                <pt idx="1470">
                  <v>10550</v>
                </pt>
                <pt idx="1471">
                  <v>14193</v>
                </pt>
                <pt idx="1472">
                  <v>13654</v>
                </pt>
                <pt idx="1473">
                  <v>12534</v>
                </pt>
                <pt idx="1474">
                  <v>11996</v>
                </pt>
                <pt idx="1475">
                  <v>14707</v>
                </pt>
                <pt idx="1476">
                  <v>15983</v>
                </pt>
                <pt idx="1477">
                  <v>14758</v>
                </pt>
                <pt idx="1478">
                  <v>11647</v>
                </pt>
                <pt idx="1479">
                  <v>11544</v>
                </pt>
                <pt idx="1480">
                  <v>13711</v>
                </pt>
                <pt idx="1481">
                  <v>14649</v>
                </pt>
                <pt idx="1482">
                  <v>16408</v>
                </pt>
                <pt idx="1483">
                  <v>17126</v>
                </pt>
                <pt idx="1484">
                  <v>6029</v>
                </pt>
                <pt idx="1485">
                  <v>4724</v>
                </pt>
                <pt idx="1486">
                  <v>4046</v>
                </pt>
                <pt idx="1487">
                  <v>3138</v>
                </pt>
                <pt idx="1488">
                  <v>2520</v>
                </pt>
                <pt idx="1489">
                  <v>4322</v>
                </pt>
                <pt idx="1490">
                  <v>6979</v>
                </pt>
                <pt idx="1491">
                  <v>8588</v>
                </pt>
                <pt idx="1492">
                  <v>9344</v>
                </pt>
                <pt idx="1493">
                  <v>8450</v>
                </pt>
                <pt idx="1494">
                  <v>8585</v>
                </pt>
                <pt idx="1495">
                  <v>5927</v>
                </pt>
                <pt idx="1496">
                  <v>5506</v>
                </pt>
                <pt idx="1497">
                  <v>3265</v>
                </pt>
                <pt idx="1498">
                  <v>3286</v>
                </pt>
                <pt idx="1499">
                  <v>3124</v>
                </pt>
                <pt idx="1500">
                  <v>1761</v>
                </pt>
                <pt idx="1501">
                  <v>3230</v>
                </pt>
                <pt idx="1502">
                  <v>3046</v>
                </pt>
                <pt idx="1503">
                  <v>1421</v>
                </pt>
                <pt idx="1504">
                  <v>-325</v>
                </pt>
                <pt idx="1505">
                  <v>-1032</v>
                </pt>
                <pt idx="1506">
                  <v>-235</v>
                </pt>
                <pt idx="1507">
                  <v>-362</v>
                </pt>
                <pt idx="1508">
                  <v>-2141</v>
                </pt>
                <pt idx="1509">
                  <v>3863</v>
                </pt>
                <pt idx="1510">
                  <v>6206</v>
                </pt>
                <pt idx="1511">
                  <v>8102</v>
                </pt>
                <pt idx="1512">
                  <v>10246</v>
                </pt>
                <pt idx="1513">
                  <v>8056</v>
                </pt>
                <pt idx="1514">
                  <v>8748</v>
                </pt>
                <pt idx="1515">
                  <v>6440</v>
                </pt>
                <pt idx="1516">
                  <v>8906</v>
                </pt>
                <pt idx="1517">
                  <v>13861</v>
                </pt>
                <pt idx="1518">
                  <v>12882</v>
                </pt>
                <pt idx="1519">
                  <v>13965</v>
                </pt>
                <pt idx="1520">
                  <v>13939</v>
                </pt>
                <pt idx="1521">
                  <v>10630</v>
                </pt>
                <pt idx="1522">
                  <v>10708</v>
                </pt>
                <pt idx="1523">
                  <v>-5861</v>
                </pt>
                <pt idx="1524">
                  <v>-6136</v>
                </pt>
                <pt idx="1525">
                  <v>-8421</v>
                </pt>
                <pt idx="1526">
                  <v>-8845</v>
                </pt>
                <pt idx="1527">
                  <v>-8604</v>
                </pt>
                <pt idx="1528">
                  <v>-8331</v>
                </pt>
                <pt idx="1529">
                  <v>-10773</v>
                </pt>
                <pt idx="1530">
                  <v>-11698</v>
                </pt>
                <pt idx="1531">
                  <v>-10366</v>
                </pt>
                <pt idx="1532">
                  <v>-9333</v>
                </pt>
                <pt idx="1533">
                  <v>-11551</v>
                </pt>
                <pt idx="1534">
                  <v>-14172</v>
                </pt>
                <pt idx="1535">
                  <v>-12379</v>
                </pt>
                <pt idx="1536">
                  <v>3653</v>
                </pt>
                <pt idx="1537">
                  <v>2520</v>
                </pt>
                <pt idx="1538">
                  <v>-867</v>
                </pt>
                <pt idx="1539">
                  <v>-1569</v>
                </pt>
                <pt idx="1540">
                  <v>-289</v>
                </pt>
                <pt idx="1541">
                  <v>365</v>
                </pt>
                <pt idx="1542">
                  <v>66</v>
                </pt>
                <pt idx="1543">
                  <v>-6610</v>
                </pt>
                <pt idx="1544">
                  <v>-12996</v>
                </pt>
                <pt idx="1545">
                  <v>-17767</v>
                </pt>
                <pt idx="1546">
                  <v>-19321</v>
                </pt>
                <pt idx="1547">
                  <v>-18724</v>
                </pt>
                <pt idx="1548">
                  <v>-19771</v>
                </pt>
                <pt idx="1549">
                  <v>-6838</v>
                </pt>
                <pt idx="1550">
                  <v>-5423</v>
                </pt>
                <pt idx="1551">
                  <v>-5311</v>
                </pt>
                <pt idx="1552">
                  <v>-7056</v>
                </pt>
                <pt idx="1553">
                  <v>-5283</v>
                </pt>
                <pt idx="1554">
                  <v>-3671</v>
                </pt>
                <pt idx="1555">
                  <v>-4186</v>
                </pt>
                <pt idx="1556">
                  <v>-1573</v>
                </pt>
                <pt idx="1557">
                  <v>-276</v>
                </pt>
                <pt idx="1558">
                  <v>1769</v>
                </pt>
                <pt idx="1559">
                  <v>-1474</v>
                </pt>
                <pt idx="1560">
                  <v>-3124</v>
                </pt>
                <pt idx="1561">
                  <v>-2746</v>
                </pt>
                <pt idx="1562">
                  <v>-5301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areaChart>
        <grouping val="stacked"/>
        <varyColors val="0"/>
        <ser>
          <idx val="9"/>
          <order val="0"/>
          <tx>
            <strRef>
              <f>Database!$K$1</f>
              <strCache>
                <ptCount val="1"/>
                <pt idx="0">
                  <v>RUB</v>
                </pt>
              </strCache>
            </strRef>
          </tx>
          <spPr>
            <a:solidFill xmlns:a="http://schemas.openxmlformats.org/drawingml/2006/main">
              <a:schemeClr val="accent4">
                <a:lumMod val="60000"/>
              </a:schemeClr>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Database!$K$2:$K$1564</f>
              <numCache>
                <formatCode>General</formatCode>
                <ptCount val="1563"/>
                <pt idx="1317">
                  <v>0</v>
                </pt>
                <pt idx="1318">
                  <v>0</v>
                </pt>
                <pt idx="1319">
                  <v>0</v>
                </pt>
                <pt idx="1320">
                  <v>0</v>
                </pt>
                <pt idx="1321">
                  <v>0</v>
                </pt>
                <pt idx="1322">
                  <v>0</v>
                </pt>
                <pt idx="1323">
                  <v>0</v>
                </pt>
                <pt idx="1324">
                  <v>0</v>
                </pt>
                <pt idx="1325">
                  <v>17080</v>
                </pt>
                <pt idx="1326">
                  <v>17913</v>
                </pt>
                <pt idx="1327">
                  <v>22037</v>
                </pt>
                <pt idx="1328">
                  <v>18567</v>
                </pt>
                <pt idx="1329">
                  <v>18176</v>
                </pt>
                <pt idx="1330">
                  <v>18666</v>
                </pt>
                <pt idx="1331">
                  <v>15383</v>
                </pt>
                <pt idx="1332">
                  <v>14062</v>
                </pt>
                <pt idx="1333">
                  <v>13798</v>
                </pt>
                <pt idx="1334">
                  <v>9480</v>
                </pt>
                <pt idx="1335">
                  <v>9378</v>
                </pt>
                <pt idx="1336">
                  <v>10863</v>
                </pt>
                <pt idx="1337">
                  <v>11356</v>
                </pt>
                <pt idx="1338">
                  <v>11637</v>
                </pt>
                <pt idx="1339">
                  <v>11646</v>
                </pt>
                <pt idx="1340">
                  <v>12100</v>
                </pt>
                <pt idx="1341">
                  <v>9849</v>
                </pt>
                <pt idx="1342">
                  <v>6706</v>
                </pt>
                <pt idx="1343">
                  <v>5572</v>
                </pt>
                <pt idx="1344">
                  <v>6366</v>
                </pt>
                <pt idx="1345">
                  <v>7604</v>
                </pt>
                <pt idx="1346">
                  <v>8157</v>
                </pt>
                <pt idx="1347">
                  <v>7739</v>
                </pt>
                <pt idx="1348">
                  <v>7661</v>
                </pt>
                <pt idx="1349">
                  <v>5255</v>
                </pt>
                <pt idx="1350">
                  <v>4979</v>
                </pt>
                <pt idx="1351">
                  <v>5049</v>
                </pt>
                <pt idx="1352">
                  <v>4727</v>
                </pt>
                <pt idx="1353">
                  <v>2894</v>
                </pt>
                <pt idx="1354">
                  <v>-3830</v>
                </pt>
                <pt idx="1355">
                  <v>-4215</v>
                </pt>
                <pt idx="1356">
                  <v>-118</v>
                </pt>
                <pt idx="1357">
                  <v>2645</v>
                </pt>
                <pt idx="1358">
                  <v>2831</v>
                </pt>
                <pt idx="1359">
                  <v>2563</v>
                </pt>
                <pt idx="1360">
                  <v>2572</v>
                </pt>
                <pt idx="1361">
                  <v>4558</v>
                </pt>
                <pt idx="1362">
                  <v>9996</v>
                </pt>
                <pt idx="1363">
                  <v>9716</v>
                </pt>
                <pt idx="1364">
                  <v>10212</v>
                </pt>
                <pt idx="1365">
                  <v>10358</v>
                </pt>
                <pt idx="1366">
                  <v>10763</v>
                </pt>
                <pt idx="1367">
                  <v>19686</v>
                </pt>
                <pt idx="1368">
                  <v>15569</v>
                </pt>
                <pt idx="1369">
                  <v>12949</v>
                </pt>
                <pt idx="1370">
                  <v>2467</v>
                </pt>
                <pt idx="1371">
                  <v>1415</v>
                </pt>
                <pt idx="1372">
                  <v>5909</v>
                </pt>
                <pt idx="1373">
                  <v>11311</v>
                </pt>
                <pt idx="1374">
                  <v>15633</v>
                </pt>
                <pt idx="1375">
                  <v>18338</v>
                </pt>
                <pt idx="1376">
                  <v>19047</v>
                </pt>
                <pt idx="1377">
                  <v>19563</v>
                </pt>
                <pt idx="1378">
                  <v>19536</v>
                </pt>
                <pt idx="1379">
                  <v>22577</v>
                </pt>
                <pt idx="1380">
                  <v>30134</v>
                </pt>
                <pt idx="1381">
                  <v>33340</v>
                </pt>
                <pt idx="1382">
                  <v>34012</v>
                </pt>
                <pt idx="1383">
                  <v>33198</v>
                </pt>
                <pt idx="1384">
                  <v>34298</v>
                </pt>
                <pt idx="1385">
                  <v>36073</v>
                </pt>
                <pt idx="1386">
                  <v>33594</v>
                </pt>
                <pt idx="1387">
                  <v>36589</v>
                </pt>
                <pt idx="1388">
                  <v>35799</v>
                </pt>
                <pt idx="1389">
                  <v>36163</v>
                </pt>
                <pt idx="1390">
                  <v>33501</v>
                </pt>
                <pt idx="1391">
                  <v>34414</v>
                </pt>
                <pt idx="1392">
                  <v>33174</v>
                </pt>
                <pt idx="1393">
                  <v>27750</v>
                </pt>
                <pt idx="1394">
                  <v>28733</v>
                </pt>
                <pt idx="1395">
                  <v>32046</v>
                </pt>
                <pt idx="1396">
                  <v>32455</v>
                </pt>
                <pt idx="1397">
                  <v>32133</v>
                </pt>
                <pt idx="1398">
                  <v>32920</v>
                </pt>
                <pt idx="1399">
                  <v>33412</v>
                </pt>
                <pt idx="1400">
                  <v>33276</v>
                </pt>
                <pt idx="1401">
                  <v>31259</v>
                </pt>
                <pt idx="1402">
                  <v>27108</v>
                </pt>
                <pt idx="1403">
                  <v>27249</v>
                </pt>
                <pt idx="1404">
                  <v>27465</v>
                </pt>
                <pt idx="1405">
                  <v>27903</v>
                </pt>
                <pt idx="1406">
                  <v>23551</v>
                </pt>
                <pt idx="1407">
                  <v>24612</v>
                </pt>
                <pt idx="1408">
                  <v>26262</v>
                </pt>
                <pt idx="1409">
                  <v>28378</v>
                </pt>
                <pt idx="1410">
                  <v>25086</v>
                </pt>
                <pt idx="1411">
                  <v>24981</v>
                </pt>
                <pt idx="1412">
                  <v>25776</v>
                </pt>
                <pt idx="1413">
                  <v>25705</v>
                </pt>
                <pt idx="1414">
                  <v>26327</v>
                </pt>
                <pt idx="1415">
                  <v>25753</v>
                </pt>
                <pt idx="1416">
                  <v>27334</v>
                </pt>
                <pt idx="1417">
                  <v>27957</v>
                </pt>
                <pt idx="1418">
                  <v>27190</v>
                </pt>
                <pt idx="1419">
                  <v>30341</v>
                </pt>
                <pt idx="1420">
                  <v>29211</v>
                </pt>
                <pt idx="1421">
                  <v>29007</v>
                </pt>
                <pt idx="1422">
                  <v>28790</v>
                </pt>
                <pt idx="1423">
                  <v>28882</v>
                </pt>
                <pt idx="1424">
                  <v>29690</v>
                </pt>
                <pt idx="1425">
                  <v>29147</v>
                </pt>
                <pt idx="1426">
                  <v>26415</v>
                </pt>
                <pt idx="1427">
                  <v>26936</v>
                </pt>
                <pt idx="1428">
                  <v>27022</v>
                </pt>
                <pt idx="1429">
                  <v>25959</v>
                </pt>
                <pt idx="1430">
                  <v>27699</v>
                </pt>
                <pt idx="1431">
                  <v>26473</v>
                </pt>
                <pt idx="1432">
                  <v>4126</v>
                </pt>
                <pt idx="1433">
                  <v>4966</v>
                </pt>
                <pt idx="1434">
                  <v>4154</v>
                </pt>
                <pt idx="1435">
                  <v>5287</v>
                </pt>
                <pt idx="1436">
                  <v>3812</v>
                </pt>
                <pt idx="1437">
                  <v>4220</v>
                </pt>
                <pt idx="1438">
                  <v>5567</v>
                </pt>
                <pt idx="1439">
                  <v>4061</v>
                </pt>
                <pt idx="1440">
                  <v>6458</v>
                </pt>
                <pt idx="1441">
                  <v>5510</v>
                </pt>
                <pt idx="1442">
                  <v>7201</v>
                </pt>
                <pt idx="1443">
                  <v>11262</v>
                </pt>
                <pt idx="1444">
                  <v>10782</v>
                </pt>
                <pt idx="1445">
                  <v>12510</v>
                </pt>
                <pt idx="1446">
                  <v>12068</v>
                </pt>
                <pt idx="1447">
                  <v>11935</v>
                </pt>
                <pt idx="1448">
                  <v>11106</v>
                </pt>
                <pt idx="1449">
                  <v>11101</v>
                </pt>
                <pt idx="1450">
                  <v>10946</v>
                </pt>
                <pt idx="1451">
                  <v>8216</v>
                </pt>
                <pt idx="1452">
                  <v>5860</v>
                </pt>
                <pt idx="1453">
                  <v>6532</v>
                </pt>
                <pt idx="1454">
                  <v>6446</v>
                </pt>
                <pt idx="1455">
                  <v>7630</v>
                </pt>
                <pt idx="1456">
                  <v>8686</v>
                </pt>
                <pt idx="1457">
                  <v>8282</v>
                </pt>
                <pt idx="1458">
                  <v>7652</v>
                </pt>
                <pt idx="1459">
                  <v>-3382</v>
                </pt>
                <pt idx="1460">
                  <v>-4923</v>
                </pt>
                <pt idx="1461">
                  <v>-4547</v>
                </pt>
                <pt idx="1462">
                  <v>-4567</v>
                </pt>
                <pt idx="1463">
                  <v>-4176</v>
                </pt>
                <pt idx="1464">
                  <v>-4124</v>
                </pt>
                <pt idx="1465">
                  <v>-5655</v>
                </pt>
                <pt idx="1466">
                  <v>-5190</v>
                </pt>
                <pt idx="1467">
                  <v>-5227</v>
                </pt>
                <pt idx="1468">
                  <v>-3884</v>
                </pt>
                <pt idx="1469">
                  <v>-3182</v>
                </pt>
                <pt idx="1470">
                  <v>-4668</v>
                </pt>
                <pt idx="1471">
                  <v>-2627</v>
                </pt>
                <pt idx="1472">
                  <v>1835</v>
                </pt>
                <pt idx="1473">
                  <v>2051</v>
                </pt>
                <pt idx="1474">
                  <v>825</v>
                </pt>
                <pt idx="1475">
                  <v>1636</v>
                </pt>
                <pt idx="1476">
                  <v>885</v>
                </pt>
                <pt idx="1477">
                  <v>-484</v>
                </pt>
                <pt idx="1478">
                  <v>-618</v>
                </pt>
                <pt idx="1479">
                  <v>-190</v>
                </pt>
                <pt idx="1480">
                  <v>-531</v>
                </pt>
                <pt idx="1481">
                  <v>-259</v>
                </pt>
                <pt idx="1482">
                  <v>-928</v>
                </pt>
                <pt idx="1483">
                  <v>-1609</v>
                </pt>
                <pt idx="1484">
                  <v>3973</v>
                </pt>
                <pt idx="1485">
                  <v>5625</v>
                </pt>
                <pt idx="1486">
                  <v>6784</v>
                </pt>
                <pt idx="1487">
                  <v>6875</v>
                </pt>
                <pt idx="1488">
                  <v>6313</v>
                </pt>
                <pt idx="1489">
                  <v>6852</v>
                </pt>
                <pt idx="1490">
                  <v>6378</v>
                </pt>
                <pt idx="1491">
                  <v>5509</v>
                </pt>
                <pt idx="1492">
                  <v>5483</v>
                </pt>
                <pt idx="1493">
                  <v>4680</v>
                </pt>
                <pt idx="1494">
                  <v>5372</v>
                </pt>
                <pt idx="1495">
                  <v>4586</v>
                </pt>
                <pt idx="1496">
                  <v>1740</v>
                </pt>
                <pt idx="1497">
                  <v>1904</v>
                </pt>
                <pt idx="1498">
                  <v>10096</v>
                </pt>
                <pt idx="1499">
                  <v>10338</v>
                </pt>
                <pt idx="1500">
                  <v>8897</v>
                </pt>
                <pt idx="1501">
                  <v>5791</v>
                </pt>
                <pt idx="1502">
                  <v>7801</v>
                </pt>
                <pt idx="1503">
                  <v>7593</v>
                </pt>
                <pt idx="1504">
                  <v>8923</v>
                </pt>
                <pt idx="1505">
                  <v>10702</v>
                </pt>
                <pt idx="1506">
                  <v>11701</v>
                </pt>
                <pt idx="1507">
                  <v>12965</v>
                </pt>
                <pt idx="1508">
                  <v>21471</v>
                </pt>
                <pt idx="1509">
                  <v>20945</v>
                </pt>
                <pt idx="1510">
                  <v>20223</v>
                </pt>
                <pt idx="1511">
                  <v>18233</v>
                </pt>
                <pt idx="1512">
                  <v>20828</v>
                </pt>
                <pt idx="1513">
                  <v>20409</v>
                </pt>
                <pt idx="1514">
                  <v>19308</v>
                </pt>
                <pt idx="1515">
                  <v>22171</v>
                </pt>
                <pt idx="1516">
                  <v>21462</v>
                </pt>
                <pt idx="1517">
                  <v>19982</v>
                </pt>
                <pt idx="1518">
                  <v>20703</v>
                </pt>
                <pt idx="1519">
                  <v>22625</v>
                </pt>
                <pt idx="1520">
                  <v>18064</v>
                </pt>
                <pt idx="1521">
                  <v>13637</v>
                </pt>
                <pt idx="1522">
                  <v>13799</v>
                </pt>
                <pt idx="1523">
                  <v>16524</v>
                </pt>
                <pt idx="1524">
                  <v>8621</v>
                </pt>
                <pt idx="1525">
                  <v>8464</v>
                </pt>
                <pt idx="1526">
                  <v>7329</v>
                </pt>
                <pt idx="1527">
                  <v>9617</v>
                </pt>
                <pt idx="1528">
                  <v>6422</v>
                </pt>
                <pt idx="1529">
                  <v>3944</v>
                </pt>
                <pt idx="1530">
                  <v>14151</v>
                </pt>
                <pt idx="1531">
                  <v>15443</v>
                </pt>
                <pt idx="1532">
                  <v>16164</v>
                </pt>
                <pt idx="1533">
                  <v>19517</v>
                </pt>
                <pt idx="1534">
                  <v>9674</v>
                </pt>
                <pt idx="1535">
                  <v>7806</v>
                </pt>
                <pt idx="1536">
                  <v>7543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s>
</file>

<file path=xl/drawings/drawing1.xml><?xml version="1.0" encoding="utf-8"?>
<wsDr xmlns="http://schemas.openxmlformats.org/drawingml/2006/spreadsheetDrawing">
  <twoCellAnchor>
    <from>
      <col>3</col>
      <colOff>350872</colOff>
      <row>1211</row>
      <rowOff>106328</rowOff>
    </from>
    <to>
      <col>16</col>
      <colOff>376272</colOff>
      <row>1239</row>
      <rowOff>49178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357222</colOff>
      <row>1239</row>
      <rowOff>111090</rowOff>
    </from>
    <to>
      <col>16</col>
      <colOff>376272</colOff>
      <row>1266</row>
      <rowOff>61878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1</col>
      <colOff>0</colOff>
      <row>1</row>
      <rowOff>0</rowOff>
    </from>
    <to>
      <col>16</col>
      <colOff>304800</colOff>
      <row>32</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571500</colOff>
      <row>0</row>
      <rowOff>127000</rowOff>
    </from>
    <to>
      <col>32</col>
      <colOff>241300</colOff>
      <row>33</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38100</colOff>
      <row>33</row>
      <rowOff>88900</rowOff>
    </from>
    <to>
      <col>16</col>
      <colOff>355600</colOff>
      <row>66</row>
      <rowOff>114300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520700</colOff>
      <row>33</row>
      <rowOff>152400</rowOff>
    </from>
    <to>
      <col>32</col>
      <colOff>254000</colOff>
      <row>67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col>
      <colOff>12700</colOff>
      <row>67</row>
      <rowOff>76200</rowOff>
    </from>
    <to>
      <col>16</col>
      <colOff>381000</colOff>
      <row>102</row>
      <rowOff>139700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495300</colOff>
      <row>68</row>
      <rowOff>25400</rowOff>
    </from>
    <to>
      <col>32</col>
      <colOff>254000</colOff>
      <row>102</row>
      <rowOff>114300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635000</colOff>
      <row>103</row>
      <rowOff>88900</rowOff>
    </from>
    <to>
      <col>16</col>
      <colOff>393700</colOff>
      <row>137</row>
      <rowOff>177800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16</col>
      <colOff>508000</colOff>
      <row>103</row>
      <rowOff>63500</rowOff>
    </from>
    <to>
      <col>32</col>
      <colOff>266700</colOff>
      <row>137</row>
      <rowOff>152400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1</col>
      <colOff>0</colOff>
      <row>139</row>
      <rowOff>25400</rowOff>
    </from>
    <to>
      <col>16</col>
      <colOff>457200</colOff>
      <row>173</row>
      <rowOff>114300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16</col>
      <colOff>571500</colOff>
      <row>139</row>
      <rowOff>0</rowOff>
    </from>
    <to>
      <col>32</col>
      <colOff>330200</colOff>
      <row>173</row>
      <rowOff>88900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col>
      <colOff>0</colOff>
      <row>175</row>
      <rowOff>25400</rowOff>
    </from>
    <to>
      <col>16</col>
      <colOff>457200</colOff>
      <row>209</row>
      <rowOff>114300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wsDr>
</file>

<file path=xl/tables/table1.xml><?xml version="1.0" encoding="utf-8"?>
<table xmlns="http://schemas.openxmlformats.org/spreadsheetml/2006/main" id="1" name="Table2" displayName="Table2" ref="A6:B1260" headerRowCount="1" totalsRowShown="0" headerRowDxfId="4" dataDxfId="2" headerRowBorderDxfId="3">
  <autoFilter ref="A6:B1260"/>
  <tableColumns count="2">
    <tableColumn id="1" name="Date" dataDxfId="1">
      <calculatedColumnFormula>Database!A328</calculatedColumnFormula>
    </tableColumn>
    <tableColumn id="2"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ftc.gov/MarketReports/CommitmentsofTraders/HistoricalCompressed/index.htm" TargetMode="External" Id="rId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tabColor rgb="FFFFFF00"/>
    <outlinePr summaryBelow="1" summaryRight="1"/>
    <pageSetUpPr/>
  </sheetPr>
  <dimension ref="B1:T28"/>
  <sheetViews>
    <sheetView zoomScale="140" zoomScaleNormal="140" workbookViewId="0">
      <selection activeCell="O1535" sqref="O1535"/>
    </sheetView>
  </sheetViews>
  <sheetFormatPr baseColWidth="8" defaultColWidth="9.1796875" defaultRowHeight="14.5"/>
  <cols>
    <col width="4" customWidth="1" style="52" min="1" max="1"/>
    <col width="12.81640625" customWidth="1" style="52" min="2" max="5"/>
    <col width="13.6328125" customWidth="1" style="52" min="6" max="6"/>
    <col width="12.81640625" customWidth="1" style="52" min="7" max="10"/>
    <col width="2" customWidth="1" style="52" min="11" max="13"/>
    <col width="11.1796875" customWidth="1" style="52" min="14" max="14"/>
    <col width="13.6328125" customWidth="1" style="52" min="15" max="20"/>
    <col width="9.1796875" customWidth="1" style="52" min="21" max="33"/>
    <col width="9.1796875" customWidth="1" style="52" min="34" max="16384"/>
  </cols>
  <sheetData>
    <row r="1">
      <c r="B1" s="58" t="n"/>
    </row>
    <row r="2" ht="16" customHeight="1" thickBot="1">
      <c r="B2" s="59" t="n"/>
      <c r="C2" s="59" t="n"/>
      <c r="D2" s="59" t="n"/>
      <c r="E2" s="59" t="n"/>
      <c r="F2" s="59" t="n"/>
      <c r="G2" s="59" t="n"/>
      <c r="H2" s="59" t="n"/>
      <c r="I2" s="59" t="n"/>
      <c r="J2" s="59" t="n"/>
    </row>
    <row r="3" ht="16" customHeight="1" thickBot="1">
      <c r="B3" s="60" t="inlineStr">
        <is>
          <t>Commitment of Traders</t>
        </is>
      </c>
      <c r="C3" s="61" t="n"/>
      <c r="D3" s="61" t="n"/>
      <c r="E3" s="61" t="n"/>
      <c r="F3" s="61" t="n"/>
      <c r="G3" s="61" t="n"/>
      <c r="H3" s="61" t="n"/>
      <c r="I3" s="61" t="n"/>
      <c r="J3" s="62" t="n"/>
    </row>
    <row r="5">
      <c r="B5" s="54" t="inlineStr">
        <is>
          <t>Definition</t>
        </is>
      </c>
      <c r="C5" s="55" t="n"/>
      <c r="D5" s="55" t="n"/>
      <c r="E5" s="55" t="n"/>
      <c r="F5" s="55" t="n"/>
      <c r="G5" s="55" t="n"/>
      <c r="H5" s="55" t="n"/>
      <c r="I5" s="55" t="n"/>
      <c r="J5" s="56" t="n"/>
    </row>
    <row r="7" ht="171.75" customHeight="1">
      <c r="B7" s="63" t="inlineStr">
        <is>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is>
      </c>
    </row>
    <row r="8" ht="24" customHeight="1">
      <c r="B8" s="25" t="n"/>
      <c r="C8" s="53" t="n"/>
      <c r="D8" s="53" t="n"/>
      <c r="E8" s="53" t="n"/>
      <c r="F8" s="53" t="n"/>
      <c r="G8" s="53" t="n"/>
      <c r="H8" s="53" t="n"/>
      <c r="I8" s="53" t="n"/>
      <c r="J8" s="53" t="n"/>
    </row>
    <row r="9">
      <c r="B9" s="26" t="n"/>
      <c r="C9" s="27" t="n"/>
      <c r="D9" s="27" t="n"/>
      <c r="E9" s="27" t="n"/>
    </row>
    <row r="10">
      <c r="B10" s="54" t="inlineStr">
        <is>
          <t>Process / TO DO LIST</t>
        </is>
      </c>
      <c r="C10" s="55" t="n"/>
      <c r="D10" s="55" t="n"/>
      <c r="E10" s="55" t="n"/>
      <c r="F10" s="55" t="n"/>
      <c r="G10" s="55" t="n"/>
      <c r="H10" s="55" t="n"/>
      <c r="I10" s="55" t="n"/>
      <c r="J10" s="56" t="n"/>
      <c r="N10" s="54" t="inlineStr">
        <is>
          <t>Summary</t>
        </is>
      </c>
      <c r="O10" s="55" t="n"/>
      <c r="P10" s="55" t="n"/>
      <c r="Q10" s="55" t="n"/>
      <c r="R10" s="55" t="n"/>
      <c r="S10" s="55" t="n"/>
      <c r="T10" s="56" t="n"/>
    </row>
    <row r="11">
      <c r="N11" s="22" t="n"/>
      <c r="T11" s="22" t="n"/>
    </row>
    <row r="12" ht="16" customHeight="1" thickBot="1">
      <c r="B12" s="54" t="inlineStr">
        <is>
          <t>TO DO LIST</t>
        </is>
      </c>
      <c r="C12" s="55" t="n"/>
      <c r="D12" s="55" t="n"/>
      <c r="E12" s="55" t="n"/>
      <c r="F12" s="56" t="n"/>
      <c r="G12" s="54" t="inlineStr">
        <is>
          <t>Comments</t>
        </is>
      </c>
      <c r="H12" s="55" t="n"/>
      <c r="I12" s="55" t="n"/>
      <c r="J12" s="56" t="n"/>
    </row>
    <row r="13" ht="30" customHeight="1" thickBot="1">
      <c r="N13" s="7" t="n"/>
      <c r="O13" s="29" t="inlineStr">
        <is>
          <t>Last</t>
        </is>
      </c>
      <c r="P13" s="30" t="inlineStr">
        <is>
          <t>Last -1</t>
        </is>
      </c>
      <c r="Q13" s="31" t="inlineStr">
        <is>
          <t>Weekly Change</t>
        </is>
      </c>
      <c r="R13" s="32" t="inlineStr">
        <is>
          <t>1 Year Low</t>
        </is>
      </c>
      <c r="S13" s="33" t="inlineStr">
        <is>
          <t>1 Year High</t>
        </is>
      </c>
      <c r="T13" s="34" t="inlineStr">
        <is>
          <t>Percentile</t>
        </is>
      </c>
    </row>
    <row r="14" ht="34.5" customHeight="1">
      <c r="B14" s="57" t="inlineStr">
        <is>
          <t>https://www.cftc.gov/MarketReports/CommitmentsofTraders/HistoricalCompressed/index.htm</t>
        </is>
      </c>
      <c r="G14" s="52" t="inlineStr">
        <is>
          <t>Futures Only reports</t>
        </is>
      </c>
      <c r="N14" s="28" t="inlineStr">
        <is>
          <t>Currencies</t>
        </is>
      </c>
      <c r="O14" s="36" t="n"/>
      <c r="P14" s="2" t="n"/>
      <c r="Q14" s="37" t="n"/>
      <c r="R14" s="3" t="n"/>
      <c r="S14" s="2" t="n"/>
      <c r="T14" s="4" t="n"/>
    </row>
    <row r="15" ht="30.75" customHeight="1">
      <c r="G15" s="52" t="inlineStr">
        <is>
          <t>Download Current year. Example 2020</t>
        </is>
      </c>
      <c r="N15" s="8" t="inlineStr">
        <is>
          <t>EUR</t>
        </is>
      </c>
      <c r="O15" s="38">
        <f>Recap!D7</f>
        <v/>
      </c>
      <c r="P15" s="48">
        <f>Recap!E7</f>
        <v/>
      </c>
      <c r="Q15" s="44">
        <f>Recap!F7</f>
        <v/>
      </c>
      <c r="R15" s="38">
        <f>Recap!G7</f>
        <v/>
      </c>
      <c r="S15" s="48">
        <f>Recap!H7</f>
        <v/>
      </c>
      <c r="T15" s="41">
        <f>Recap!I7</f>
        <v/>
      </c>
    </row>
    <row r="16" ht="15" customHeight="1">
      <c r="B16" s="53" t="n"/>
      <c r="G16" s="52" t="inlineStr">
        <is>
          <t>Open annual.xls</t>
        </is>
      </c>
      <c r="N16" s="8" t="inlineStr">
        <is>
          <t>CAD</t>
        </is>
      </c>
      <c r="O16" s="38">
        <f>Recap!D8</f>
        <v/>
      </c>
      <c r="P16" s="48">
        <f>Recap!E8</f>
        <v/>
      </c>
      <c r="Q16" s="44">
        <f>Recap!F8</f>
        <v/>
      </c>
      <c r="R16" s="38">
        <f>Recap!G8</f>
        <v/>
      </c>
      <c r="S16" s="48">
        <f>Recap!H8</f>
        <v/>
      </c>
      <c r="T16" s="41">
        <f>Recap!I8</f>
        <v/>
      </c>
    </row>
    <row r="17">
      <c r="B17" s="52" t="n"/>
      <c r="G17" s="52" t="inlineStr">
        <is>
          <t>Copy in Database</t>
        </is>
      </c>
      <c r="N17" s="8" t="inlineStr">
        <is>
          <t>MEX</t>
        </is>
      </c>
      <c r="O17" s="38">
        <f>Recap!D9</f>
        <v/>
      </c>
      <c r="P17" s="48">
        <f>Recap!E9</f>
        <v/>
      </c>
      <c r="Q17" s="44">
        <f>Recap!F9</f>
        <v/>
      </c>
      <c r="R17" s="38">
        <f>Recap!G9</f>
        <v/>
      </c>
      <c r="S17" s="48">
        <f>Recap!H9</f>
        <v/>
      </c>
      <c r="T17" s="41">
        <f>Recap!I9</f>
        <v/>
      </c>
    </row>
    <row r="18" ht="15" customHeight="1">
      <c r="B18" s="52" t="n"/>
      <c r="N18" s="8" t="inlineStr">
        <is>
          <t>JPY</t>
        </is>
      </c>
      <c r="O18" s="38">
        <f>Recap!D10</f>
        <v/>
      </c>
      <c r="P18" s="48">
        <f>Recap!E10</f>
        <v/>
      </c>
      <c r="Q18" s="44">
        <f>Recap!F10</f>
        <v/>
      </c>
      <c r="R18" s="38">
        <f>Recap!G10</f>
        <v/>
      </c>
      <c r="S18" s="48">
        <f>Recap!H10</f>
        <v/>
      </c>
      <c r="T18" s="41">
        <f>Recap!I10</f>
        <v/>
      </c>
    </row>
    <row r="19">
      <c r="G19" s="52" t="inlineStr">
        <is>
          <t>Non Commercial Position:</t>
        </is>
      </c>
      <c r="N19" s="8" t="inlineStr">
        <is>
          <t>NZD</t>
        </is>
      </c>
      <c r="O19" s="38">
        <f>Recap!D11</f>
        <v/>
      </c>
      <c r="P19" s="48">
        <f>Recap!E11</f>
        <v/>
      </c>
      <c r="Q19" s="44">
        <f>Recap!F11</f>
        <v/>
      </c>
      <c r="R19" s="38">
        <f>Recap!G11</f>
        <v/>
      </c>
      <c r="S19" s="48">
        <f>Recap!H11</f>
        <v/>
      </c>
      <c r="T19" s="41">
        <f>Recap!I11</f>
        <v/>
      </c>
    </row>
    <row r="20" ht="15" customHeight="1">
      <c r="B20" s="52" t="n"/>
      <c r="G20" s="52" t="inlineStr">
        <is>
          <t>Column I - Column J</t>
        </is>
      </c>
      <c r="N20" s="8" t="inlineStr">
        <is>
          <t>ZAR</t>
        </is>
      </c>
      <c r="O20" s="38">
        <f>Recap!D12</f>
        <v/>
      </c>
      <c r="P20" s="48">
        <f>Recap!E12</f>
        <v/>
      </c>
      <c r="Q20" s="44">
        <f>Recap!F12</f>
        <v/>
      </c>
      <c r="R20" s="38">
        <f>Recap!G12</f>
        <v/>
      </c>
      <c r="S20" s="48">
        <f>Recap!H12</f>
        <v/>
      </c>
      <c r="T20" s="41">
        <f>Recap!I12</f>
        <v/>
      </c>
    </row>
    <row r="21" ht="15" customHeight="1">
      <c r="B21" s="52" t="n"/>
      <c r="G21" s="52" t="inlineStr">
        <is>
          <t>NonComm_Positions_Long_All - NonComm_Positions_Short_All</t>
        </is>
      </c>
      <c r="N21" s="8" t="inlineStr">
        <is>
          <t>AUD</t>
        </is>
      </c>
      <c r="O21" s="38">
        <f>Recap!D13</f>
        <v/>
      </c>
      <c r="P21" s="48">
        <f>Recap!E13</f>
        <v/>
      </c>
      <c r="Q21" s="44">
        <f>Recap!F13</f>
        <v/>
      </c>
      <c r="R21" s="38">
        <f>Recap!G13</f>
        <v/>
      </c>
      <c r="S21" s="48">
        <f>Recap!H13</f>
        <v/>
      </c>
      <c r="T21" s="41">
        <f>Recap!I13</f>
        <v/>
      </c>
    </row>
    <row r="22" ht="15" customHeight="1">
      <c r="B22" s="52" t="n"/>
      <c r="N22" s="8" t="inlineStr">
        <is>
          <t>CHF</t>
        </is>
      </c>
      <c r="O22" s="38">
        <f>Recap!D14</f>
        <v/>
      </c>
      <c r="P22" s="48">
        <f>Recap!E14</f>
        <v/>
      </c>
      <c r="Q22" s="44">
        <f>Recap!F14</f>
        <v/>
      </c>
      <c r="R22" s="38">
        <f>Recap!G14</f>
        <v/>
      </c>
      <c r="S22" s="48">
        <f>Recap!H14</f>
        <v/>
      </c>
      <c r="T22" s="41">
        <f>Recap!I14</f>
        <v/>
      </c>
    </row>
    <row r="23" ht="15" customHeight="1">
      <c r="B23" s="52" t="n"/>
      <c r="G23" s="52" t="inlineStr">
        <is>
          <t>Build Macro or input weekly numbers for each currency in Historic</t>
        </is>
      </c>
      <c r="N23" s="8" t="inlineStr">
        <is>
          <t>RUB</t>
        </is>
      </c>
      <c r="O23" s="38">
        <f>Recap!D15</f>
        <v/>
      </c>
      <c r="P23" s="48">
        <f>Recap!E15</f>
        <v/>
      </c>
      <c r="Q23" s="44">
        <f>Recap!F15</f>
        <v/>
      </c>
      <c r="R23" s="38">
        <f>Recap!G15</f>
        <v/>
      </c>
      <c r="S23" s="48">
        <f>Recap!H15</f>
        <v/>
      </c>
      <c r="T23" s="41">
        <f>Recap!I15</f>
        <v/>
      </c>
    </row>
    <row r="24" ht="15" customHeight="1">
      <c r="B24" s="52" t="n"/>
      <c r="N24" s="8" t="inlineStr">
        <is>
          <t>BRL</t>
        </is>
      </c>
      <c r="O24" s="38">
        <f>Recap!D16</f>
        <v/>
      </c>
      <c r="P24" s="48">
        <f>Recap!E16</f>
        <v/>
      </c>
      <c r="Q24" s="44">
        <f>Recap!F16</f>
        <v/>
      </c>
      <c r="R24" s="38">
        <f>Recap!G16</f>
        <v/>
      </c>
      <c r="S24" s="48">
        <f>Recap!H16</f>
        <v/>
      </c>
      <c r="T24" s="41">
        <f>Recap!I16</f>
        <v/>
      </c>
    </row>
    <row r="25" ht="16" customHeight="1" thickBot="1">
      <c r="G25" s="52" t="inlineStr">
        <is>
          <t>Example Euro</t>
        </is>
      </c>
      <c r="N25" s="9" t="inlineStr">
        <is>
          <t>GBP</t>
        </is>
      </c>
      <c r="O25" s="39">
        <f>Recap!D17</f>
        <v/>
      </c>
      <c r="P25" s="40">
        <f>Recap!E17</f>
        <v/>
      </c>
      <c r="Q25" s="45">
        <f>Recap!F17</f>
        <v/>
      </c>
      <c r="R25" s="39">
        <f>Recap!G17</f>
        <v/>
      </c>
      <c r="S25" s="40">
        <f>Recap!H17</f>
        <v/>
      </c>
      <c r="T25" s="42">
        <f>Recap!I17</f>
        <v/>
      </c>
    </row>
    <row r="26">
      <c r="G26" t="inlineStr">
        <is>
          <t>EURO FX - CHICAGO MERCANTILE EXCHANGE</t>
        </is>
      </c>
    </row>
    <row r="27">
      <c r="G27" s="18" t="inlineStr">
        <is>
          <t>NonComm_Positions_Long_All</t>
        </is>
      </c>
      <c r="H27" s="18" t="inlineStr">
        <is>
          <t>NonComm_Positions_Short_All</t>
        </is>
      </c>
    </row>
    <row r="28">
      <c r="G28" s="17" t="n">
        <v>224832</v>
      </c>
      <c r="H28" s="17" t="n">
        <v>81841</v>
      </c>
      <c r="I28" s="35">
        <f>G28-H28</f>
        <v/>
      </c>
    </row>
  </sheetData>
  <mergeCells count="17">
    <mergeCell ref="B1:J2"/>
    <mergeCell ref="B3:J3"/>
    <mergeCell ref="B5:J5"/>
    <mergeCell ref="B7:J7"/>
    <mergeCell ref="B10:J10"/>
    <mergeCell ref="B16:F16"/>
    <mergeCell ref="B17:F17"/>
    <mergeCell ref="B18:F18"/>
    <mergeCell ref="N10:T10"/>
    <mergeCell ref="B12:F12"/>
    <mergeCell ref="G12:J12"/>
    <mergeCell ref="B14:F14"/>
    <mergeCell ref="B22:F22"/>
    <mergeCell ref="B23:F23"/>
    <mergeCell ref="B24:F24"/>
    <mergeCell ref="B20:F20"/>
    <mergeCell ref="B21:F21"/>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codeName="Sheet2">
    <tabColor theme="1" tint="0.499984740745262"/>
    <outlinePr summaryBelow="1" summaryRight="1"/>
    <pageSetUpPr/>
  </sheetPr>
  <dimension ref="A1:DV8733"/>
  <sheetViews>
    <sheetView tabSelected="1" topLeftCell="A19" workbookViewId="0">
      <selection activeCell="D1587" sqref="D1587"/>
    </sheetView>
  </sheetViews>
  <sheetFormatPr baseColWidth="8" defaultColWidth="12" defaultRowHeight="14.5"/>
  <cols>
    <col width="12" customWidth="1" style="17" min="9" max="10"/>
  </cols>
  <sheetData>
    <row r="1">
      <c r="A1" t="inlineStr">
        <is>
          <t>Market_and_Exchange_Names</t>
        </is>
      </c>
      <c r="B1" t="inlineStr">
        <is>
          <t>As_of_Date_In_Form_YYMMDD</t>
        </is>
      </c>
      <c r="C1" t="inlineStr">
        <is>
          <t>Report_Date_as_MM_DD_YYYY</t>
        </is>
      </c>
      <c r="D1" t="inlineStr">
        <is>
          <t>CFTC_Contract_Market_Code</t>
        </is>
      </c>
      <c r="E1" t="inlineStr">
        <is>
          <t>CFTC_Market_Code</t>
        </is>
      </c>
      <c r="F1" t="inlineStr">
        <is>
          <t>CFTC_Region_Code</t>
        </is>
      </c>
      <c r="G1" t="inlineStr">
        <is>
          <t>CFTC_Commodity_Code</t>
        </is>
      </c>
      <c r="H1" t="inlineStr">
        <is>
          <t>Open_Interest_All</t>
        </is>
      </c>
      <c r="I1" s="18" t="inlineStr">
        <is>
          <t>NonComm_Positions_Long_All</t>
        </is>
      </c>
      <c r="J1" s="18" t="inlineStr">
        <is>
          <t>NonComm_Positions_Short_All</t>
        </is>
      </c>
      <c r="K1" t="inlineStr">
        <is>
          <t>NonComm_Postions_Spread_All</t>
        </is>
      </c>
      <c r="L1" t="inlineStr">
        <is>
          <t>Comm_Positions_Long_All</t>
        </is>
      </c>
      <c r="M1" t="inlineStr">
        <is>
          <t>Comm_Positions_Short_All</t>
        </is>
      </c>
      <c r="N1" t="inlineStr">
        <is>
          <t>Tot_Rept_Positions_Long_All</t>
        </is>
      </c>
      <c r="O1" t="inlineStr">
        <is>
          <t>Tot_Rept_Positions_Short_All</t>
        </is>
      </c>
      <c r="P1" t="inlineStr">
        <is>
          <t>NonRept_Positions_Long_All</t>
        </is>
      </c>
      <c r="Q1" t="inlineStr">
        <is>
          <t>NonRept_Positions_Short_All</t>
        </is>
      </c>
      <c r="R1" t="inlineStr">
        <is>
          <t>Open_Interest_Old</t>
        </is>
      </c>
      <c r="S1" t="inlineStr">
        <is>
          <t>NonComm_Positions_Long_Old</t>
        </is>
      </c>
      <c r="T1" t="inlineStr">
        <is>
          <t>NonComm_Positions_Short_Old</t>
        </is>
      </c>
      <c r="U1" t="inlineStr">
        <is>
          <t>NonComm_Positions_Spread_Old</t>
        </is>
      </c>
      <c r="V1" t="inlineStr">
        <is>
          <t>Comm_Positions_Long_Old</t>
        </is>
      </c>
      <c r="W1" t="inlineStr">
        <is>
          <t>Comm_Positions_Short_Old</t>
        </is>
      </c>
      <c r="X1" t="inlineStr">
        <is>
          <t>Tot_Rept_Positions_Long_Old</t>
        </is>
      </c>
      <c r="Y1" t="inlineStr">
        <is>
          <t>Tot_Rept_Positions_Short_Old</t>
        </is>
      </c>
      <c r="Z1" t="inlineStr">
        <is>
          <t>NonRept_Positions_Long_Old</t>
        </is>
      </c>
      <c r="AA1" t="inlineStr">
        <is>
          <t>NonRept_Positions_Short_Old</t>
        </is>
      </c>
      <c r="AB1" t="inlineStr">
        <is>
          <t>Open_Interest_Other</t>
        </is>
      </c>
      <c r="AC1" t="inlineStr">
        <is>
          <t>NonComm_Positions_Long_Other</t>
        </is>
      </c>
      <c r="AD1" t="inlineStr">
        <is>
          <t>NonComm_Positions_Short_Other</t>
        </is>
      </c>
      <c r="AE1" t="inlineStr">
        <is>
          <t>NonComm_Positions_Spread_Other</t>
        </is>
      </c>
      <c r="AF1" t="inlineStr">
        <is>
          <t>Comm_Positions_Long_Other</t>
        </is>
      </c>
      <c r="AG1" t="inlineStr">
        <is>
          <t>Comm_Positions_Short_Other</t>
        </is>
      </c>
      <c r="AH1" t="inlineStr">
        <is>
          <t>Tot_Rept_Positions_Long_Other</t>
        </is>
      </c>
      <c r="AI1" t="inlineStr">
        <is>
          <t>Tot_Rept_Positions_Short_Other</t>
        </is>
      </c>
      <c r="AJ1" t="inlineStr">
        <is>
          <t>NonRept_Positions_Long_Other</t>
        </is>
      </c>
      <c r="AK1" t="inlineStr">
        <is>
          <t>NonRept_Positions_Short_Other</t>
        </is>
      </c>
      <c r="AL1" t="inlineStr">
        <is>
          <t>Change_in_Open_Interest_All</t>
        </is>
      </c>
      <c r="AM1" t="inlineStr">
        <is>
          <t>Change_in_NonComm_Long_All</t>
        </is>
      </c>
      <c r="AN1" t="inlineStr">
        <is>
          <t>Change_in_NonComm_Short_All</t>
        </is>
      </c>
      <c r="AO1" t="inlineStr">
        <is>
          <t>Change_in_NonComm_Spead_All</t>
        </is>
      </c>
      <c r="AP1" t="inlineStr">
        <is>
          <t>Change_in_Comm_Long_All</t>
        </is>
      </c>
      <c r="AQ1" t="inlineStr">
        <is>
          <t>Change_in_Comm_Short_All</t>
        </is>
      </c>
      <c r="AR1" t="inlineStr">
        <is>
          <t>Change_in_Tot_Rept_Long_All</t>
        </is>
      </c>
      <c r="AS1" t="inlineStr">
        <is>
          <t>Change_in_Tot_Rept_Short_All</t>
        </is>
      </c>
      <c r="AT1" t="inlineStr">
        <is>
          <t>Change_in_NonRept_Long_All</t>
        </is>
      </c>
      <c r="AU1" t="inlineStr">
        <is>
          <t>Change_in_NonRept_Short_All</t>
        </is>
      </c>
      <c r="AV1" t="inlineStr">
        <is>
          <t>Pct_of_Open_Interest_All</t>
        </is>
      </c>
      <c r="AW1" t="inlineStr">
        <is>
          <t>Pct_of_OI_NonComm_Long_All</t>
        </is>
      </c>
      <c r="AX1" t="inlineStr">
        <is>
          <t>Pct_of_OI_NonComm_Short_All</t>
        </is>
      </c>
      <c r="AY1" t="inlineStr">
        <is>
          <t>Pct_of_OI_NonComm_Spread_All</t>
        </is>
      </c>
      <c r="AZ1" t="inlineStr">
        <is>
          <t>Pct_of_OI_Comm_Long_All</t>
        </is>
      </c>
      <c r="BA1" t="inlineStr">
        <is>
          <t>Pct_of_OI_Comm_Short_All</t>
        </is>
      </c>
      <c r="BB1" t="inlineStr">
        <is>
          <t>Pct_of_OI_Tot_Rept_Long_All</t>
        </is>
      </c>
      <c r="BC1" t="inlineStr">
        <is>
          <t>Pct_of_OI_Tot_Rept_Short_All</t>
        </is>
      </c>
      <c r="BD1" t="inlineStr">
        <is>
          <t>Pct_of_OI_NonRept_Long_All</t>
        </is>
      </c>
      <c r="BE1" t="inlineStr">
        <is>
          <t>Pct_of_OI_NonRept_Short_All</t>
        </is>
      </c>
      <c r="BF1" t="inlineStr">
        <is>
          <t>Pct_of_Open_Interest_Old</t>
        </is>
      </c>
      <c r="BG1" t="inlineStr">
        <is>
          <t>Pct_of_OI_NonComm_Long_Old</t>
        </is>
      </c>
      <c r="BH1" t="inlineStr">
        <is>
          <t>Pct_of_OI_NonComm_Short_Old</t>
        </is>
      </c>
      <c r="BI1" t="inlineStr">
        <is>
          <t>Pct_of_OI_NonComm_Spread_Old</t>
        </is>
      </c>
      <c r="BJ1" t="inlineStr">
        <is>
          <t>Pct_of_OI_Comm_Long_Old</t>
        </is>
      </c>
      <c r="BK1" t="inlineStr">
        <is>
          <t>Pct_of_OI_Comm_Short_Old</t>
        </is>
      </c>
      <c r="BL1" t="inlineStr">
        <is>
          <t>Pct_of_OI_Tot_Rept_Long_Old</t>
        </is>
      </c>
      <c r="BM1" t="inlineStr">
        <is>
          <t>Pct_of_OI_Tot_Rept_Short_Old</t>
        </is>
      </c>
      <c r="BN1" t="inlineStr">
        <is>
          <t>Pct_of_OI_NonRept_Long_Old</t>
        </is>
      </c>
      <c r="BO1" t="inlineStr">
        <is>
          <t>Pct_of_OI_NonRept_Short_Old</t>
        </is>
      </c>
      <c r="BP1" t="inlineStr">
        <is>
          <t>Pct_of_Open_Interest_Other</t>
        </is>
      </c>
      <c r="BQ1" t="inlineStr">
        <is>
          <t>Pct_of_OI_NonComm_Long_Other</t>
        </is>
      </c>
      <c r="BR1" t="inlineStr">
        <is>
          <t>Pct_of_OI_NonComm_Short_Other</t>
        </is>
      </c>
      <c r="BS1" t="inlineStr">
        <is>
          <t>Pct_of_OI_NonComm_Spread_Other</t>
        </is>
      </c>
      <c r="BT1" t="inlineStr">
        <is>
          <t>Pct_of_OI_Comm_Long_Other</t>
        </is>
      </c>
      <c r="BU1" t="inlineStr">
        <is>
          <t>Pct_of_OI_Comm_Short_Other</t>
        </is>
      </c>
      <c r="BV1" t="inlineStr">
        <is>
          <t>Pct_of_OI_Tot_Rept_Long_Other</t>
        </is>
      </c>
      <c r="BW1" t="inlineStr">
        <is>
          <t>Pct_of_OI_Tot_Rept_Short_Other</t>
        </is>
      </c>
      <c r="BX1" t="inlineStr">
        <is>
          <t>Pct_of_OI_NonRept_Long_Other</t>
        </is>
      </c>
      <c r="BY1" t="inlineStr">
        <is>
          <t>Pct_of_OI_NonRept_Short_Other</t>
        </is>
      </c>
      <c r="BZ1" t="inlineStr">
        <is>
          <t>Traders_Tot_All</t>
        </is>
      </c>
      <c r="CA1" t="inlineStr">
        <is>
          <t>Traders_NonComm_Long_All</t>
        </is>
      </c>
      <c r="CB1" t="inlineStr">
        <is>
          <t>Traders_NonComm_Short_All</t>
        </is>
      </c>
      <c r="CC1" t="inlineStr">
        <is>
          <t>Traders_NonComm_Spread_All</t>
        </is>
      </c>
      <c r="CD1" t="inlineStr">
        <is>
          <t>Traders_Comm_Long_All</t>
        </is>
      </c>
      <c r="CE1" t="inlineStr">
        <is>
          <t>Traders_Comm_Short_All</t>
        </is>
      </c>
      <c r="CF1" t="inlineStr">
        <is>
          <t>Traders_Tot_Rept_Long_All</t>
        </is>
      </c>
      <c r="CG1" t="inlineStr">
        <is>
          <t>Traders_Tot_Rept_Short_All</t>
        </is>
      </c>
      <c r="CH1" t="inlineStr">
        <is>
          <t>Traders_Tot_Old</t>
        </is>
      </c>
      <c r="CI1" t="inlineStr">
        <is>
          <t>Traders_NonComm_Long_Old</t>
        </is>
      </c>
      <c r="CJ1" t="inlineStr">
        <is>
          <t>Traders_NonComm_Short_Old</t>
        </is>
      </c>
      <c r="CK1" t="inlineStr">
        <is>
          <t>Traders_NonComm_Spead_Old</t>
        </is>
      </c>
      <c r="CL1" t="inlineStr">
        <is>
          <t>Traders_Comm_Long_Old</t>
        </is>
      </c>
      <c r="CM1" t="inlineStr">
        <is>
          <t>Traders_Comm_Short_Old</t>
        </is>
      </c>
      <c r="CN1" t="inlineStr">
        <is>
          <t>Traders_Tot_Rept_Long_Old</t>
        </is>
      </c>
      <c r="CO1" t="inlineStr">
        <is>
          <t>Traders_Tot_Rept_Short_Old</t>
        </is>
      </c>
      <c r="CP1" t="inlineStr">
        <is>
          <t>Traders_Tot_Other</t>
        </is>
      </c>
      <c r="CQ1" t="inlineStr">
        <is>
          <t>Traders_NonComm_Long_Other</t>
        </is>
      </c>
      <c r="CR1" t="inlineStr">
        <is>
          <t>Traders_NonComm_Short_Other</t>
        </is>
      </c>
      <c r="CS1" t="inlineStr">
        <is>
          <t>Traders_NonComm_Spread_Other</t>
        </is>
      </c>
      <c r="CT1" t="inlineStr">
        <is>
          <t>Traders_Comm_Long_Other</t>
        </is>
      </c>
      <c r="CU1" t="inlineStr">
        <is>
          <t>Traders_Comm_Short_Other</t>
        </is>
      </c>
      <c r="CV1" t="inlineStr">
        <is>
          <t>Traders_Tot_Rept_Long_Other</t>
        </is>
      </c>
      <c r="CW1" t="inlineStr">
        <is>
          <t>Traders_Tot_Rept_Short_Other</t>
        </is>
      </c>
      <c r="CX1" t="inlineStr">
        <is>
          <t>Conc_Gross_LE_4_TDR_Long_All</t>
        </is>
      </c>
      <c r="CY1" t="inlineStr">
        <is>
          <t>Conc_Gross_LE_4_TDR_Short_All</t>
        </is>
      </c>
      <c r="CZ1" t="inlineStr">
        <is>
          <t>Conc_Gross_LE_8_TDR_Long_All</t>
        </is>
      </c>
      <c r="DA1" t="inlineStr">
        <is>
          <t>Conc_Gross_LE_8_TDR_Short_All</t>
        </is>
      </c>
      <c r="DB1" t="inlineStr">
        <is>
          <t>Conc_Net_LE_4_TDR_Long_All</t>
        </is>
      </c>
      <c r="DC1" t="inlineStr">
        <is>
          <t>Conc_Net_LE_4_TDR_Short_All</t>
        </is>
      </c>
      <c r="DD1" t="inlineStr">
        <is>
          <t>Conc_Net_LE_8_TDR_Long_All</t>
        </is>
      </c>
      <c r="DE1" t="inlineStr">
        <is>
          <t>Conc_Net_LE_8_TDR_Short_All</t>
        </is>
      </c>
      <c r="DF1" t="inlineStr">
        <is>
          <t>Conc_Gross_LE_4_TDR_Long_Old</t>
        </is>
      </c>
      <c r="DG1" t="inlineStr">
        <is>
          <t>Conc_Gross_LE_4_TDR_Short_Old</t>
        </is>
      </c>
      <c r="DH1" t="inlineStr">
        <is>
          <t>Conc_Gross_LE_8_TDR_Long_Old</t>
        </is>
      </c>
      <c r="DI1" t="inlineStr">
        <is>
          <t>Conc_Gross_LE_8_TDR_Short_Old</t>
        </is>
      </c>
      <c r="DJ1" t="inlineStr">
        <is>
          <t>Conc_Net_LE_4_TDR_Long_Old</t>
        </is>
      </c>
      <c r="DK1" t="inlineStr">
        <is>
          <t>Conc_Net_LE_4_TDR_Short_Old</t>
        </is>
      </c>
      <c r="DL1" t="inlineStr">
        <is>
          <t>Conc_Net_LE_8_TDR_Long_Old</t>
        </is>
      </c>
      <c r="DM1" t="inlineStr">
        <is>
          <t>Conc_Net_LE_8_TDR_Short_Old</t>
        </is>
      </c>
      <c r="DN1" t="inlineStr">
        <is>
          <t>Conc_Gross_LE_4_TDR_Long_Other</t>
        </is>
      </c>
      <c r="DO1" t="inlineStr">
        <is>
          <t>Conc_Gross_LE_4_TDR_Short_Other</t>
        </is>
      </c>
      <c r="DP1" t="inlineStr">
        <is>
          <t>Conc_Gross_LE_8_TDR_Long_Other</t>
        </is>
      </c>
      <c r="DQ1" t="inlineStr">
        <is>
          <t>Conc_Gross_LE_8_TDR_Short_Other</t>
        </is>
      </c>
      <c r="DR1" t="inlineStr">
        <is>
          <t>Conc_Net_LE_4_TDR_Long_Other</t>
        </is>
      </c>
      <c r="DS1" t="inlineStr">
        <is>
          <t>Conc_Net_LE_4_TDR_Short_Other</t>
        </is>
      </c>
      <c r="DT1" t="inlineStr">
        <is>
          <t>Conc_Net_LE_8_TDR_Long_Other</t>
        </is>
      </c>
      <c r="DU1" t="inlineStr">
        <is>
          <t>Conc_Net_LE_8_TDR_Short_Other</t>
        </is>
      </c>
      <c r="DV1" t="inlineStr">
        <is>
          <t>Contract_Units</t>
        </is>
      </c>
    </row>
    <row r="2">
      <c r="A2" t="inlineStr">
        <is>
          <t>WHEAT-SRW - CHICAGO BOARD OF TRADE</t>
        </is>
      </c>
      <c r="B2" t="n">
        <v>230110</v>
      </c>
      <c r="C2" s="1" t="n">
        <v>44936</v>
      </c>
      <c r="D2" t="inlineStr">
        <is>
          <t>001602</t>
        </is>
      </c>
      <c r="E2" t="inlineStr">
        <is>
          <t xml:space="preserve">CBT </t>
        </is>
      </c>
      <c r="F2" t="inlineStr">
        <is>
          <t>00</t>
        </is>
      </c>
      <c r="G2" t="inlineStr">
        <is>
          <t xml:space="preserve">001 </t>
        </is>
      </c>
      <c r="H2" t="n">
        <v>334538</v>
      </c>
      <c r="I2" s="17" t="n">
        <v>87085</v>
      </c>
      <c r="J2" s="17" t="n">
        <v>126801</v>
      </c>
      <c r="K2" t="n">
        <v>73091</v>
      </c>
      <c r="L2" t="n">
        <v>140763</v>
      </c>
      <c r="M2" t="n">
        <v>97234</v>
      </c>
      <c r="N2" t="n">
        <v>300939</v>
      </c>
      <c r="O2" t="n">
        <v>297126</v>
      </c>
      <c r="P2" t="n">
        <v>33599</v>
      </c>
      <c r="Q2" t="n">
        <v>37412</v>
      </c>
      <c r="R2" t="n">
        <v>217526</v>
      </c>
      <c r="S2" t="n">
        <v>88400</v>
      </c>
      <c r="T2" t="n">
        <v>112291</v>
      </c>
      <c r="U2" t="n">
        <v>23583</v>
      </c>
      <c r="V2" t="n">
        <v>80231</v>
      </c>
      <c r="W2" t="n">
        <v>57174</v>
      </c>
      <c r="X2" t="n">
        <v>192214</v>
      </c>
      <c r="Y2" t="n">
        <v>193048</v>
      </c>
      <c r="Z2" t="n">
        <v>25312</v>
      </c>
      <c r="AA2" t="n">
        <v>24478</v>
      </c>
      <c r="AB2" t="n">
        <v>117012</v>
      </c>
      <c r="AC2" t="n">
        <v>37604</v>
      </c>
      <c r="AD2" t="n">
        <v>53429</v>
      </c>
      <c r="AE2" t="n">
        <v>10589</v>
      </c>
      <c r="AF2" t="n">
        <v>60532</v>
      </c>
      <c r="AG2" t="n">
        <v>40060</v>
      </c>
      <c r="AH2" t="n">
        <v>108725</v>
      </c>
      <c r="AI2" t="n">
        <v>104078</v>
      </c>
      <c r="AJ2" t="n">
        <v>8287</v>
      </c>
      <c r="AK2" t="n">
        <v>12934</v>
      </c>
      <c r="AL2" t="n">
        <v>2961</v>
      </c>
      <c r="AM2" t="n">
        <v>2396</v>
      </c>
      <c r="AN2" t="n">
        <v>9821</v>
      </c>
      <c r="AO2" t="n">
        <v>-1465</v>
      </c>
      <c r="AP2" t="n">
        <v>-1199</v>
      </c>
      <c r="AQ2" t="n">
        <v>-7092</v>
      </c>
      <c r="AR2" t="n">
        <v>-268</v>
      </c>
      <c r="AS2" t="n">
        <v>1264</v>
      </c>
      <c r="AT2" t="n">
        <v>3229</v>
      </c>
      <c r="AU2" t="n">
        <v>1697</v>
      </c>
      <c r="AV2" t="n">
        <v>100</v>
      </c>
      <c r="AW2" t="n">
        <v>26</v>
      </c>
      <c r="AX2" t="n">
        <v>37.9</v>
      </c>
      <c r="AY2" t="n">
        <v>21.8</v>
      </c>
      <c r="AZ2" t="n">
        <v>42.1</v>
      </c>
      <c r="BA2" t="n">
        <v>29.1</v>
      </c>
      <c r="BB2" t="n">
        <v>90</v>
      </c>
      <c r="BC2" t="n">
        <v>88.8</v>
      </c>
      <c r="BD2" t="n">
        <v>10</v>
      </c>
      <c r="BE2" t="n">
        <v>11.2</v>
      </c>
      <c r="BF2" t="n">
        <v>100</v>
      </c>
      <c r="BG2" t="n">
        <v>40.6</v>
      </c>
      <c r="BH2" t="n">
        <v>51.6</v>
      </c>
      <c r="BI2" t="n">
        <v>10.8</v>
      </c>
      <c r="BJ2" t="n">
        <v>36.9</v>
      </c>
      <c r="BK2" t="n">
        <v>26.3</v>
      </c>
      <c r="BL2" t="n">
        <v>88.40000000000001</v>
      </c>
      <c r="BM2" t="n">
        <v>88.7</v>
      </c>
      <c r="BN2" t="n">
        <v>11.6</v>
      </c>
      <c r="BO2" t="n">
        <v>11.3</v>
      </c>
      <c r="BP2" t="n">
        <v>100</v>
      </c>
      <c r="BQ2" t="n">
        <v>32.1</v>
      </c>
      <c r="BR2" t="n">
        <v>45.7</v>
      </c>
      <c r="BS2" t="n">
        <v>9</v>
      </c>
      <c r="BT2" t="n">
        <v>51.7</v>
      </c>
      <c r="BU2" t="n">
        <v>34.2</v>
      </c>
      <c r="BV2" t="n">
        <v>92.90000000000001</v>
      </c>
      <c r="BW2" t="n">
        <v>88.90000000000001</v>
      </c>
      <c r="BX2" t="n">
        <v>7.1</v>
      </c>
      <c r="BY2" t="n">
        <v>11.1</v>
      </c>
      <c r="BZ2" t="n">
        <v>322</v>
      </c>
      <c r="CA2" t="n">
        <v>95</v>
      </c>
      <c r="CB2" t="n">
        <v>103</v>
      </c>
      <c r="CC2" t="n">
        <v>97</v>
      </c>
      <c r="CD2" t="n">
        <v>92</v>
      </c>
      <c r="CE2" t="n">
        <v>89</v>
      </c>
      <c r="CF2" t="n">
        <v>242</v>
      </c>
      <c r="CG2" t="n">
        <v>240</v>
      </c>
      <c r="CH2" t="n">
        <v>310</v>
      </c>
      <c r="CI2" t="n">
        <v>97</v>
      </c>
      <c r="CJ2" t="n">
        <v>95</v>
      </c>
      <c r="CK2" t="n">
        <v>65</v>
      </c>
      <c r="CL2" t="n">
        <v>82</v>
      </c>
      <c r="CM2" t="n">
        <v>71</v>
      </c>
      <c r="CN2" t="n">
        <v>212</v>
      </c>
      <c r="CO2" t="n">
        <v>200</v>
      </c>
      <c r="CP2" t="n">
        <v>198</v>
      </c>
      <c r="CQ2" t="n">
        <v>45</v>
      </c>
      <c r="CR2" t="n">
        <v>63</v>
      </c>
      <c r="CS2" t="n">
        <v>35</v>
      </c>
      <c r="CT2" t="n">
        <v>55</v>
      </c>
      <c r="CU2" t="n">
        <v>64</v>
      </c>
      <c r="CV2" t="n">
        <v>126</v>
      </c>
      <c r="CW2" t="n">
        <v>137</v>
      </c>
      <c r="CX2" t="n">
        <v>14</v>
      </c>
      <c r="CY2" t="n">
        <v>12.8</v>
      </c>
      <c r="CZ2" t="n">
        <v>23.6</v>
      </c>
      <c r="DA2" t="n">
        <v>23.3</v>
      </c>
      <c r="DB2" t="n">
        <v>11.3</v>
      </c>
      <c r="DC2" t="n">
        <v>11</v>
      </c>
      <c r="DD2" t="n">
        <v>19.5</v>
      </c>
      <c r="DE2" t="n">
        <v>18.7</v>
      </c>
      <c r="DF2" t="n">
        <v>13.8</v>
      </c>
      <c r="DG2" t="n">
        <v>15</v>
      </c>
      <c r="DH2" t="n">
        <v>23.2</v>
      </c>
      <c r="DI2" t="n">
        <v>27.3</v>
      </c>
      <c r="DJ2" t="n">
        <v>13.3</v>
      </c>
      <c r="DK2" t="n">
        <v>14.6</v>
      </c>
      <c r="DL2" t="n">
        <v>21.6</v>
      </c>
      <c r="DM2" t="n">
        <v>25.6</v>
      </c>
      <c r="DN2" t="n">
        <v>29.3</v>
      </c>
      <c r="DO2" t="n">
        <v>22.5</v>
      </c>
      <c r="DP2" t="n">
        <v>45.8</v>
      </c>
      <c r="DQ2" t="n">
        <v>35.1</v>
      </c>
      <c r="DR2" t="n">
        <v>26.4</v>
      </c>
      <c r="DS2" t="n">
        <v>22.3</v>
      </c>
      <c r="DT2" t="n">
        <v>42.9</v>
      </c>
      <c r="DU2" t="n">
        <v>32.1</v>
      </c>
      <c r="DV2" t="inlineStr">
        <is>
          <t>(CONTRACTS OF 5,000 BUSHELS)</t>
        </is>
      </c>
    </row>
    <row r="3">
      <c r="A3" t="inlineStr">
        <is>
          <t>WHEAT-SRW - CHICAGO BOARD OF TRADE</t>
        </is>
      </c>
      <c r="B3" t="n">
        <v>230103</v>
      </c>
      <c r="C3" s="1" t="n">
        <v>44929</v>
      </c>
      <c r="D3" t="inlineStr">
        <is>
          <t>001602</t>
        </is>
      </c>
      <c r="E3" t="inlineStr">
        <is>
          <t xml:space="preserve">CBT </t>
        </is>
      </c>
      <c r="F3" t="inlineStr">
        <is>
          <t>00</t>
        </is>
      </c>
      <c r="G3" t="inlineStr">
        <is>
          <t xml:space="preserve">001 </t>
        </is>
      </c>
      <c r="H3" t="n">
        <v>331577</v>
      </c>
      <c r="I3" s="17" t="n">
        <v>84689</v>
      </c>
      <c r="J3" s="17" t="n">
        <v>116980</v>
      </c>
      <c r="K3" t="n">
        <v>74556</v>
      </c>
      <c r="L3" t="n">
        <v>141962</v>
      </c>
      <c r="M3" t="n">
        <v>104326</v>
      </c>
      <c r="N3" t="n">
        <v>301207</v>
      </c>
      <c r="O3" t="n">
        <v>295862</v>
      </c>
      <c r="P3" t="n">
        <v>30370</v>
      </c>
      <c r="Q3" t="n">
        <v>35715</v>
      </c>
      <c r="R3" t="n">
        <v>217840</v>
      </c>
      <c r="S3" t="n">
        <v>86280</v>
      </c>
      <c r="T3" t="n">
        <v>102381</v>
      </c>
      <c r="U3" t="n">
        <v>24632</v>
      </c>
      <c r="V3" t="n">
        <v>83684</v>
      </c>
      <c r="W3" t="n">
        <v>67349</v>
      </c>
      <c r="X3" t="n">
        <v>194596</v>
      </c>
      <c r="Y3" t="n">
        <v>194362</v>
      </c>
      <c r="Z3" t="n">
        <v>23244</v>
      </c>
      <c r="AA3" t="n">
        <v>23478</v>
      </c>
      <c r="AB3" t="n">
        <v>113737</v>
      </c>
      <c r="AC3" t="n">
        <v>36816</v>
      </c>
      <c r="AD3" t="n">
        <v>53006</v>
      </c>
      <c r="AE3" t="n">
        <v>11517</v>
      </c>
      <c r="AF3" t="n">
        <v>58278</v>
      </c>
      <c r="AG3" t="n">
        <v>36977</v>
      </c>
      <c r="AH3" t="n">
        <v>106611</v>
      </c>
      <c r="AI3" t="n">
        <v>101500</v>
      </c>
      <c r="AJ3" t="n">
        <v>7126</v>
      </c>
      <c r="AK3" t="n">
        <v>12237</v>
      </c>
      <c r="AL3" t="n">
        <v>15</v>
      </c>
      <c r="AM3" t="n">
        <v>-1149</v>
      </c>
      <c r="AN3" t="n">
        <v>-5147</v>
      </c>
      <c r="AO3" t="n">
        <v>-1879</v>
      </c>
      <c r="AP3" t="n">
        <v>3643</v>
      </c>
      <c r="AQ3" t="n">
        <v>6662</v>
      </c>
      <c r="AR3" t="n">
        <v>615</v>
      </c>
      <c r="AS3" t="n">
        <v>-364</v>
      </c>
      <c r="AT3" t="n">
        <v>-600</v>
      </c>
      <c r="AU3" t="n">
        <v>379</v>
      </c>
      <c r="AV3" t="n">
        <v>100</v>
      </c>
      <c r="AW3" t="n">
        <v>25.5</v>
      </c>
      <c r="AX3" t="n">
        <v>35.3</v>
      </c>
      <c r="AY3" t="n">
        <v>22.5</v>
      </c>
      <c r="AZ3" t="n">
        <v>42.8</v>
      </c>
      <c r="BA3" t="n">
        <v>31.5</v>
      </c>
      <c r="BB3" t="n">
        <v>90.8</v>
      </c>
      <c r="BC3" t="n">
        <v>89.2</v>
      </c>
      <c r="BD3" t="n">
        <v>9.199999999999999</v>
      </c>
      <c r="BE3" t="n">
        <v>10.8</v>
      </c>
      <c r="BF3" t="n">
        <v>100</v>
      </c>
      <c r="BG3" t="n">
        <v>39.6</v>
      </c>
      <c r="BH3" t="n">
        <v>47</v>
      </c>
      <c r="BI3" t="n">
        <v>11.3</v>
      </c>
      <c r="BJ3" t="n">
        <v>38.4</v>
      </c>
      <c r="BK3" t="n">
        <v>30.9</v>
      </c>
      <c r="BL3" t="n">
        <v>89.3</v>
      </c>
      <c r="BM3" t="n">
        <v>89.2</v>
      </c>
      <c r="BN3" t="n">
        <v>10.7</v>
      </c>
      <c r="BO3" t="n">
        <v>10.8</v>
      </c>
      <c r="BP3" t="n">
        <v>100</v>
      </c>
      <c r="BQ3" t="n">
        <v>32.4</v>
      </c>
      <c r="BR3" t="n">
        <v>46.6</v>
      </c>
      <c r="BS3" t="n">
        <v>10.1</v>
      </c>
      <c r="BT3" t="n">
        <v>51.2</v>
      </c>
      <c r="BU3" t="n">
        <v>32.5</v>
      </c>
      <c r="BV3" t="n">
        <v>93.7</v>
      </c>
      <c r="BW3" t="n">
        <v>89.2</v>
      </c>
      <c r="BX3" t="n">
        <v>6.3</v>
      </c>
      <c r="BY3" t="n">
        <v>10.8</v>
      </c>
      <c r="BZ3" t="n">
        <v>308</v>
      </c>
      <c r="CA3" t="n">
        <v>81</v>
      </c>
      <c r="CB3" t="n">
        <v>103</v>
      </c>
      <c r="CC3" t="n">
        <v>92</v>
      </c>
      <c r="CD3" t="n">
        <v>84</v>
      </c>
      <c r="CE3" t="n">
        <v>90</v>
      </c>
      <c r="CF3" t="n">
        <v>226</v>
      </c>
      <c r="CG3" t="n">
        <v>233</v>
      </c>
      <c r="CH3" t="n">
        <v>295</v>
      </c>
      <c r="CI3" t="n">
        <v>87</v>
      </c>
      <c r="CJ3" t="n">
        <v>92</v>
      </c>
      <c r="CK3" t="n">
        <v>61</v>
      </c>
      <c r="CL3" t="n">
        <v>71</v>
      </c>
      <c r="CM3" t="n">
        <v>76</v>
      </c>
      <c r="CN3" t="n">
        <v>190</v>
      </c>
      <c r="CO3" t="n">
        <v>200</v>
      </c>
      <c r="CP3" t="n">
        <v>188</v>
      </c>
      <c r="CQ3" t="n">
        <v>42</v>
      </c>
      <c r="CR3" t="n">
        <v>58</v>
      </c>
      <c r="CS3" t="n">
        <v>36</v>
      </c>
      <c r="CT3" t="n">
        <v>52</v>
      </c>
      <c r="CU3" t="n">
        <v>65</v>
      </c>
      <c r="CV3" t="n">
        <v>121</v>
      </c>
      <c r="CW3" t="n">
        <v>133</v>
      </c>
      <c r="CX3" t="n">
        <v>14.2</v>
      </c>
      <c r="CY3" t="n">
        <v>12.7</v>
      </c>
      <c r="CZ3" t="n">
        <v>24.5</v>
      </c>
      <c r="DA3" t="n">
        <v>23.4</v>
      </c>
      <c r="DB3" t="n">
        <v>11.7</v>
      </c>
      <c r="DC3" t="n">
        <v>10.8</v>
      </c>
      <c r="DD3" t="n">
        <v>20</v>
      </c>
      <c r="DE3" t="n">
        <v>17.6</v>
      </c>
      <c r="DF3" t="n">
        <v>15</v>
      </c>
      <c r="DG3" t="n">
        <v>15.5</v>
      </c>
      <c r="DH3" t="n">
        <v>25.1</v>
      </c>
      <c r="DI3" t="n">
        <v>28.7</v>
      </c>
      <c r="DJ3" t="n">
        <v>14.4</v>
      </c>
      <c r="DK3" t="n">
        <v>14.1</v>
      </c>
      <c r="DL3" t="n">
        <v>22.8</v>
      </c>
      <c r="DM3" t="n">
        <v>24</v>
      </c>
      <c r="DN3" t="n">
        <v>29.8</v>
      </c>
      <c r="DO3" t="n">
        <v>25.4</v>
      </c>
      <c r="DP3" t="n">
        <v>46.9</v>
      </c>
      <c r="DQ3" t="n">
        <v>37.4</v>
      </c>
      <c r="DR3" t="n">
        <v>28.1</v>
      </c>
      <c r="DS3" t="n">
        <v>24.5</v>
      </c>
      <c r="DT3" t="n">
        <v>45.2</v>
      </c>
      <c r="DU3" t="n">
        <v>33.8</v>
      </c>
      <c r="DV3" t="inlineStr">
        <is>
          <t>(CONTRACTS OF 5,000 BUSHELS)</t>
        </is>
      </c>
    </row>
    <row r="4">
      <c r="A4" t="inlineStr">
        <is>
          <t>WHEAT-HRW - CHICAGO BOARD OF TRADE</t>
        </is>
      </c>
      <c r="B4" t="n">
        <v>230110</v>
      </c>
      <c r="C4" s="1" t="n">
        <v>44936</v>
      </c>
      <c r="D4" t="inlineStr">
        <is>
          <t>001612</t>
        </is>
      </c>
      <c r="E4" t="inlineStr">
        <is>
          <t xml:space="preserve">CBT </t>
        </is>
      </c>
      <c r="F4" t="inlineStr">
        <is>
          <t>00</t>
        </is>
      </c>
      <c r="G4" t="inlineStr">
        <is>
          <t xml:space="preserve">001 </t>
        </is>
      </c>
      <c r="H4" t="n">
        <v>163353</v>
      </c>
      <c r="I4" s="17" t="n">
        <v>31234</v>
      </c>
      <c r="J4" s="17" t="n">
        <v>43389</v>
      </c>
      <c r="K4" t="n">
        <v>33866</v>
      </c>
      <c r="L4" t="n">
        <v>78470</v>
      </c>
      <c r="M4" t="n">
        <v>65640</v>
      </c>
      <c r="N4" t="n">
        <v>143570</v>
      </c>
      <c r="O4" t="n">
        <v>142895</v>
      </c>
      <c r="P4" t="n">
        <v>19783</v>
      </c>
      <c r="Q4" t="n">
        <v>20458</v>
      </c>
      <c r="R4" t="n">
        <v>115704</v>
      </c>
      <c r="S4" t="n">
        <v>39602</v>
      </c>
      <c r="T4" t="n">
        <v>46893</v>
      </c>
      <c r="U4" t="n">
        <v>10607</v>
      </c>
      <c r="V4" t="n">
        <v>51096</v>
      </c>
      <c r="W4" t="n">
        <v>44268</v>
      </c>
      <c r="X4" t="n">
        <v>101305</v>
      </c>
      <c r="Y4" t="n">
        <v>101768</v>
      </c>
      <c r="Z4" t="n">
        <v>14399</v>
      </c>
      <c r="AA4" t="n">
        <v>13936</v>
      </c>
      <c r="AB4" t="n">
        <v>47649</v>
      </c>
      <c r="AC4" t="n">
        <v>10784</v>
      </c>
      <c r="AD4" t="n">
        <v>15648</v>
      </c>
      <c r="AE4" t="n">
        <v>4107</v>
      </c>
      <c r="AF4" t="n">
        <v>27374</v>
      </c>
      <c r="AG4" t="n">
        <v>21372</v>
      </c>
      <c r="AH4" t="n">
        <v>42265</v>
      </c>
      <c r="AI4" t="n">
        <v>41127</v>
      </c>
      <c r="AJ4" t="n">
        <v>5384</v>
      </c>
      <c r="AK4" t="n">
        <v>6522</v>
      </c>
      <c r="AL4" t="n">
        <v>11292</v>
      </c>
      <c r="AM4" t="n">
        <v>-3241</v>
      </c>
      <c r="AN4" t="n">
        <v>6282</v>
      </c>
      <c r="AO4" t="n">
        <v>6185</v>
      </c>
      <c r="AP4" t="n">
        <v>6050</v>
      </c>
      <c r="AQ4" t="n">
        <v>-2083</v>
      </c>
      <c r="AR4" t="n">
        <v>8994</v>
      </c>
      <c r="AS4" t="n">
        <v>10384</v>
      </c>
      <c r="AT4" t="n">
        <v>2298</v>
      </c>
      <c r="AU4" t="n">
        <v>908</v>
      </c>
      <c r="AV4" t="n">
        <v>100</v>
      </c>
      <c r="AW4" t="n">
        <v>19.1</v>
      </c>
      <c r="AX4" t="n">
        <v>26.6</v>
      </c>
      <c r="AY4" t="n">
        <v>20.7</v>
      </c>
      <c r="AZ4" t="n">
        <v>48</v>
      </c>
      <c r="BA4" t="n">
        <v>40.2</v>
      </c>
      <c r="BB4" t="n">
        <v>87.90000000000001</v>
      </c>
      <c r="BC4" t="n">
        <v>87.5</v>
      </c>
      <c r="BD4" t="n">
        <v>12.1</v>
      </c>
      <c r="BE4" t="n">
        <v>12.5</v>
      </c>
      <c r="BF4" t="n">
        <v>100</v>
      </c>
      <c r="BG4" t="n">
        <v>34.2</v>
      </c>
      <c r="BH4" t="n">
        <v>40.5</v>
      </c>
      <c r="BI4" t="n">
        <v>9.199999999999999</v>
      </c>
      <c r="BJ4" t="n">
        <v>44.2</v>
      </c>
      <c r="BK4" t="n">
        <v>38.3</v>
      </c>
      <c r="BL4" t="n">
        <v>87.59999999999999</v>
      </c>
      <c r="BM4" t="n">
        <v>88</v>
      </c>
      <c r="BN4" t="n">
        <v>12.4</v>
      </c>
      <c r="BO4" t="n">
        <v>12</v>
      </c>
      <c r="BP4" t="n">
        <v>100</v>
      </c>
      <c r="BQ4" t="n">
        <v>22.6</v>
      </c>
      <c r="BR4" t="n">
        <v>32.8</v>
      </c>
      <c r="BS4" t="n">
        <v>8.6</v>
      </c>
      <c r="BT4" t="n">
        <v>57.4</v>
      </c>
      <c r="BU4" t="n">
        <v>44.9</v>
      </c>
      <c r="BV4" t="n">
        <v>88.7</v>
      </c>
      <c r="BW4" t="n">
        <v>86.3</v>
      </c>
      <c r="BX4" t="n">
        <v>11.3</v>
      </c>
      <c r="BY4" t="n">
        <v>13.7</v>
      </c>
      <c r="BZ4" t="n">
        <v>201</v>
      </c>
      <c r="CA4" t="n">
        <v>54</v>
      </c>
      <c r="CB4" t="n">
        <v>51</v>
      </c>
      <c r="CC4" t="n">
        <v>59</v>
      </c>
      <c r="CD4" t="n">
        <v>67</v>
      </c>
      <c r="CE4" t="n">
        <v>68</v>
      </c>
      <c r="CF4" t="n">
        <v>150</v>
      </c>
      <c r="CG4" t="n">
        <v>153</v>
      </c>
      <c r="CH4" t="n">
        <v>199</v>
      </c>
      <c r="CI4" t="n">
        <v>58</v>
      </c>
      <c r="CJ4" t="n">
        <v>48</v>
      </c>
      <c r="CK4" t="n">
        <v>39</v>
      </c>
      <c r="CL4" t="n">
        <v>60</v>
      </c>
      <c r="CM4" t="n">
        <v>61</v>
      </c>
      <c r="CN4" t="n">
        <v>132</v>
      </c>
      <c r="CO4" t="n">
        <v>135</v>
      </c>
      <c r="CP4" t="n">
        <v>131</v>
      </c>
      <c r="CQ4" t="n">
        <v>31</v>
      </c>
      <c r="CR4" t="n">
        <v>27</v>
      </c>
      <c r="CS4" t="n">
        <v>21</v>
      </c>
      <c r="CT4" t="n">
        <v>42</v>
      </c>
      <c r="CU4" t="n">
        <v>49</v>
      </c>
      <c r="CV4" t="n">
        <v>84</v>
      </c>
      <c r="CW4" t="n">
        <v>86</v>
      </c>
      <c r="CX4" t="n">
        <v>15.3</v>
      </c>
      <c r="CY4" t="n">
        <v>18.9</v>
      </c>
      <c r="CZ4" t="n">
        <v>25.8</v>
      </c>
      <c r="DA4" t="n">
        <v>28.9</v>
      </c>
      <c r="DB4" t="n">
        <v>13.4</v>
      </c>
      <c r="DC4" t="n">
        <v>16.8</v>
      </c>
      <c r="DD4" t="n">
        <v>21.5</v>
      </c>
      <c r="DE4" t="n">
        <v>23.9</v>
      </c>
      <c r="DF4" t="n">
        <v>18</v>
      </c>
      <c r="DG4" t="n">
        <v>23.3</v>
      </c>
      <c r="DH4" t="n">
        <v>28.5</v>
      </c>
      <c r="DI4" t="n">
        <v>34</v>
      </c>
      <c r="DJ4" t="n">
        <v>17.1</v>
      </c>
      <c r="DK4" t="n">
        <v>22.4</v>
      </c>
      <c r="DL4" t="n">
        <v>27.4</v>
      </c>
      <c r="DM4" t="n">
        <v>32.6</v>
      </c>
      <c r="DN4" t="n">
        <v>26.3</v>
      </c>
      <c r="DO4" t="n">
        <v>31.3</v>
      </c>
      <c r="DP4" t="n">
        <v>39.9</v>
      </c>
      <c r="DQ4" t="n">
        <v>46.9</v>
      </c>
      <c r="DR4" t="n">
        <v>21.8</v>
      </c>
      <c r="DS4" t="n">
        <v>26.7</v>
      </c>
      <c r="DT4" t="n">
        <v>35.2</v>
      </c>
      <c r="DU4" t="n">
        <v>37</v>
      </c>
      <c r="DV4" t="inlineStr">
        <is>
          <t>(CONTRACTS OF 5,000 BUSHELS)</t>
        </is>
      </c>
    </row>
    <row r="5">
      <c r="A5" t="inlineStr">
        <is>
          <t>WHEAT-HRW - CHICAGO BOARD OF TRADE</t>
        </is>
      </c>
      <c r="B5" t="n">
        <v>230103</v>
      </c>
      <c r="C5" s="1" t="n">
        <v>44929</v>
      </c>
      <c r="D5" t="inlineStr">
        <is>
          <t>001612</t>
        </is>
      </c>
      <c r="E5" t="inlineStr">
        <is>
          <t xml:space="preserve">CBT </t>
        </is>
      </c>
      <c r="F5" t="inlineStr">
        <is>
          <t>00</t>
        </is>
      </c>
      <c r="G5" t="inlineStr">
        <is>
          <t xml:space="preserve">001 </t>
        </is>
      </c>
      <c r="H5" t="n">
        <v>152061</v>
      </c>
      <c r="I5" s="17" t="n">
        <v>34475</v>
      </c>
      <c r="J5" s="17" t="n">
        <v>37107</v>
      </c>
      <c r="K5" t="n">
        <v>27681</v>
      </c>
      <c r="L5" t="n">
        <v>72420</v>
      </c>
      <c r="M5" t="n">
        <v>67723</v>
      </c>
      <c r="N5" t="n">
        <v>134576</v>
      </c>
      <c r="O5" t="n">
        <v>132511</v>
      </c>
      <c r="P5" t="n">
        <v>17485</v>
      </c>
      <c r="Q5" t="n">
        <v>19550</v>
      </c>
      <c r="R5" t="n">
        <v>111399</v>
      </c>
      <c r="S5" t="n">
        <v>40714</v>
      </c>
      <c r="T5" t="n">
        <v>39065</v>
      </c>
      <c r="U5" t="n">
        <v>8047</v>
      </c>
      <c r="V5" t="n">
        <v>49528</v>
      </c>
      <c r="W5" t="n">
        <v>50928</v>
      </c>
      <c r="X5" t="n">
        <v>98289</v>
      </c>
      <c r="Y5" t="n">
        <v>98040</v>
      </c>
      <c r="Z5" t="n">
        <v>13110</v>
      </c>
      <c r="AA5" t="n">
        <v>13359</v>
      </c>
      <c r="AB5" t="n">
        <v>40662</v>
      </c>
      <c r="AC5" t="n">
        <v>8419</v>
      </c>
      <c r="AD5" t="n">
        <v>12700</v>
      </c>
      <c r="AE5" t="n">
        <v>4976</v>
      </c>
      <c r="AF5" t="n">
        <v>22892</v>
      </c>
      <c r="AG5" t="n">
        <v>16795</v>
      </c>
      <c r="AH5" t="n">
        <v>36287</v>
      </c>
      <c r="AI5" t="n">
        <v>34471</v>
      </c>
      <c r="AJ5" t="n">
        <v>4375</v>
      </c>
      <c r="AK5" t="n">
        <v>6191</v>
      </c>
      <c r="AL5" t="n">
        <v>2409</v>
      </c>
      <c r="AM5" t="n">
        <v>140</v>
      </c>
      <c r="AN5" t="n">
        <v>249</v>
      </c>
      <c r="AO5" t="n">
        <v>271</v>
      </c>
      <c r="AP5" t="n">
        <v>2399</v>
      </c>
      <c r="AQ5" t="n">
        <v>1884</v>
      </c>
      <c r="AR5" t="n">
        <v>2810</v>
      </c>
      <c r="AS5" t="n">
        <v>2404</v>
      </c>
      <c r="AT5" t="n">
        <v>-401</v>
      </c>
      <c r="AU5" t="n">
        <v>5</v>
      </c>
      <c r="AV5" t="n">
        <v>100</v>
      </c>
      <c r="AW5" t="n">
        <v>22.7</v>
      </c>
      <c r="AX5" t="n">
        <v>24.4</v>
      </c>
      <c r="AY5" t="n">
        <v>18.2</v>
      </c>
      <c r="AZ5" t="n">
        <v>47.6</v>
      </c>
      <c r="BA5" t="n">
        <v>44.5</v>
      </c>
      <c r="BB5" t="n">
        <v>88.5</v>
      </c>
      <c r="BC5" t="n">
        <v>87.09999999999999</v>
      </c>
      <c r="BD5" t="n">
        <v>11.5</v>
      </c>
      <c r="BE5" t="n">
        <v>12.9</v>
      </c>
      <c r="BF5" t="n">
        <v>100</v>
      </c>
      <c r="BG5" t="n">
        <v>36.5</v>
      </c>
      <c r="BH5" t="n">
        <v>35.1</v>
      </c>
      <c r="BI5" t="n">
        <v>7.2</v>
      </c>
      <c r="BJ5" t="n">
        <v>44.5</v>
      </c>
      <c r="BK5" t="n">
        <v>45.7</v>
      </c>
      <c r="BL5" t="n">
        <v>88.2</v>
      </c>
      <c r="BM5" t="n">
        <v>88</v>
      </c>
      <c r="BN5" t="n">
        <v>11.8</v>
      </c>
      <c r="BO5" t="n">
        <v>12</v>
      </c>
      <c r="BP5" t="n">
        <v>100</v>
      </c>
      <c r="BQ5" t="n">
        <v>20.7</v>
      </c>
      <c r="BR5" t="n">
        <v>31.2</v>
      </c>
      <c r="BS5" t="n">
        <v>12.2</v>
      </c>
      <c r="BT5" t="n">
        <v>56.3</v>
      </c>
      <c r="BU5" t="n">
        <v>41.3</v>
      </c>
      <c r="BV5" t="n">
        <v>89.2</v>
      </c>
      <c r="BW5" t="n">
        <v>84.8</v>
      </c>
      <c r="BX5" t="n">
        <v>10.8</v>
      </c>
      <c r="BY5" t="n">
        <v>15.2</v>
      </c>
      <c r="BZ5" t="n">
        <v>192</v>
      </c>
      <c r="CA5" t="n">
        <v>53</v>
      </c>
      <c r="CB5" t="n">
        <v>43</v>
      </c>
      <c r="CC5" t="n">
        <v>52</v>
      </c>
      <c r="CD5" t="n">
        <v>68</v>
      </c>
      <c r="CE5" t="n">
        <v>66</v>
      </c>
      <c r="CF5" t="n">
        <v>148</v>
      </c>
      <c r="CG5" t="n">
        <v>137</v>
      </c>
      <c r="CH5" t="n">
        <v>191</v>
      </c>
      <c r="CI5" t="n">
        <v>58</v>
      </c>
      <c r="CJ5" t="n">
        <v>39</v>
      </c>
      <c r="CK5" t="n">
        <v>33</v>
      </c>
      <c r="CL5" t="n">
        <v>58</v>
      </c>
      <c r="CM5" t="n">
        <v>59</v>
      </c>
      <c r="CN5" t="n">
        <v>127</v>
      </c>
      <c r="CO5" t="n">
        <v>121</v>
      </c>
      <c r="CP5" t="n">
        <v>122</v>
      </c>
      <c r="CQ5" t="n">
        <v>22</v>
      </c>
      <c r="CR5" t="n">
        <v>28</v>
      </c>
      <c r="CS5" t="n">
        <v>25</v>
      </c>
      <c r="CT5" t="n">
        <v>38</v>
      </c>
      <c r="CU5" t="n">
        <v>48</v>
      </c>
      <c r="CV5" t="n">
        <v>75</v>
      </c>
      <c r="CW5" t="n">
        <v>87</v>
      </c>
      <c r="CX5" t="n">
        <v>16</v>
      </c>
      <c r="CY5" t="n">
        <v>21</v>
      </c>
      <c r="CZ5" t="n">
        <v>27</v>
      </c>
      <c r="DA5" t="n">
        <v>31.8</v>
      </c>
      <c r="DB5" t="n">
        <v>14.6</v>
      </c>
      <c r="DC5" t="n">
        <v>18.3</v>
      </c>
      <c r="DD5" t="n">
        <v>23</v>
      </c>
      <c r="DE5" t="n">
        <v>25.4</v>
      </c>
      <c r="DF5" t="n">
        <v>19.4</v>
      </c>
      <c r="DG5" t="n">
        <v>25.8</v>
      </c>
      <c r="DH5" t="n">
        <v>30.5</v>
      </c>
      <c r="DI5" t="n">
        <v>37.3</v>
      </c>
      <c r="DJ5" t="n">
        <v>17.2</v>
      </c>
      <c r="DK5" t="n">
        <v>24.3</v>
      </c>
      <c r="DL5" t="n">
        <v>27.8</v>
      </c>
      <c r="DM5" t="n">
        <v>34.6</v>
      </c>
      <c r="DN5" t="n">
        <v>25.5</v>
      </c>
      <c r="DO5" t="n">
        <v>31.4</v>
      </c>
      <c r="DP5" t="n">
        <v>41.4</v>
      </c>
      <c r="DQ5" t="n">
        <v>46.4</v>
      </c>
      <c r="DR5" t="n">
        <v>23.8</v>
      </c>
      <c r="DS5" t="n">
        <v>28.7</v>
      </c>
      <c r="DT5" t="n">
        <v>39.8</v>
      </c>
      <c r="DU5" t="n">
        <v>38.3</v>
      </c>
      <c r="DV5" t="inlineStr">
        <is>
          <t>(CONTRACTS OF 5,000 BUSHELS)</t>
        </is>
      </c>
    </row>
    <row r="6">
      <c r="A6" t="inlineStr">
        <is>
          <t>WHEAT-HRSpring - MINNEAPOLIS GRAIN EXCHANGE</t>
        </is>
      </c>
      <c r="B6" t="n">
        <v>230110</v>
      </c>
      <c r="C6" s="1" t="n">
        <v>44936</v>
      </c>
      <c r="D6" t="inlineStr">
        <is>
          <t>001626</t>
        </is>
      </c>
      <c r="E6" t="inlineStr">
        <is>
          <t xml:space="preserve">MGE </t>
        </is>
      </c>
      <c r="F6" t="inlineStr">
        <is>
          <t>00</t>
        </is>
      </c>
      <c r="G6" t="inlineStr">
        <is>
          <t xml:space="preserve">001 </t>
        </is>
      </c>
      <c r="H6" t="n">
        <v>55859</v>
      </c>
      <c r="I6" s="17" t="n">
        <v>6494</v>
      </c>
      <c r="J6" s="17" t="n">
        <v>7107</v>
      </c>
      <c r="K6" t="n">
        <v>2759</v>
      </c>
      <c r="L6" t="n">
        <v>37443</v>
      </c>
      <c r="M6" t="n">
        <v>35296</v>
      </c>
      <c r="N6" t="n">
        <v>46696</v>
      </c>
      <c r="O6" t="n">
        <v>45162</v>
      </c>
      <c r="P6" t="n">
        <v>9163</v>
      </c>
      <c r="Q6" t="n">
        <v>10697</v>
      </c>
      <c r="R6" t="n">
        <v>49319</v>
      </c>
      <c r="S6" t="n">
        <v>6632</v>
      </c>
      <c r="T6" t="n">
        <v>7016</v>
      </c>
      <c r="U6" t="n">
        <v>2485</v>
      </c>
      <c r="V6" t="n">
        <v>31830</v>
      </c>
      <c r="W6" t="n">
        <v>31240</v>
      </c>
      <c r="X6" t="n">
        <v>40947</v>
      </c>
      <c r="Y6" t="n">
        <v>40741</v>
      </c>
      <c r="Z6" t="n">
        <v>8372</v>
      </c>
      <c r="AA6" t="n">
        <v>8578</v>
      </c>
      <c r="AB6" t="n">
        <v>6540</v>
      </c>
      <c r="AC6" t="n">
        <v>27</v>
      </c>
      <c r="AD6" t="n">
        <v>256</v>
      </c>
      <c r="AE6" t="n">
        <v>109</v>
      </c>
      <c r="AF6" t="n">
        <v>5613</v>
      </c>
      <c r="AG6" t="n">
        <v>4056</v>
      </c>
      <c r="AH6" t="n">
        <v>5749</v>
      </c>
      <c r="AI6" t="n">
        <v>4421</v>
      </c>
      <c r="AJ6" t="n">
        <v>791</v>
      </c>
      <c r="AK6" t="n">
        <v>2119</v>
      </c>
      <c r="AL6" t="n">
        <v>2312</v>
      </c>
      <c r="AM6" t="n">
        <v>360</v>
      </c>
      <c r="AN6" t="n">
        <v>787</v>
      </c>
      <c r="AO6" t="n">
        <v>180</v>
      </c>
      <c r="AP6" t="n">
        <v>2032</v>
      </c>
      <c r="AQ6" t="n">
        <v>662</v>
      </c>
      <c r="AR6" t="n">
        <v>2572</v>
      </c>
      <c r="AS6" t="n">
        <v>1629</v>
      </c>
      <c r="AT6" t="n">
        <v>-260</v>
      </c>
      <c r="AU6" t="n">
        <v>683</v>
      </c>
      <c r="AV6" t="n">
        <v>100</v>
      </c>
      <c r="AW6" t="n">
        <v>11.6</v>
      </c>
      <c r="AX6" t="n">
        <v>12.7</v>
      </c>
      <c r="AY6" t="n">
        <v>4.9</v>
      </c>
      <c r="AZ6" t="n">
        <v>67</v>
      </c>
      <c r="BA6" t="n">
        <v>63.2</v>
      </c>
      <c r="BB6" t="n">
        <v>83.59999999999999</v>
      </c>
      <c r="BC6" t="n">
        <v>80.8</v>
      </c>
      <c r="BD6" t="n">
        <v>16.4</v>
      </c>
      <c r="BE6" t="n">
        <v>19.1</v>
      </c>
      <c r="BF6" t="n">
        <v>100</v>
      </c>
      <c r="BG6" t="n">
        <v>13.4</v>
      </c>
      <c r="BH6" t="n">
        <v>14.2</v>
      </c>
      <c r="BI6" t="n">
        <v>5</v>
      </c>
      <c r="BJ6" t="n">
        <v>64.5</v>
      </c>
      <c r="BK6" t="n">
        <v>63.3</v>
      </c>
      <c r="BL6" t="n">
        <v>83</v>
      </c>
      <c r="BM6" t="n">
        <v>82.59999999999999</v>
      </c>
      <c r="BN6" t="n">
        <v>17</v>
      </c>
      <c r="BO6" t="n">
        <v>17.4</v>
      </c>
      <c r="BP6" t="n">
        <v>100</v>
      </c>
      <c r="BQ6" t="n">
        <v>0.4</v>
      </c>
      <c r="BR6" t="n">
        <v>3.9</v>
      </c>
      <c r="BS6" t="n">
        <v>1.7</v>
      </c>
      <c r="BT6" t="n">
        <v>85.8</v>
      </c>
      <c r="BU6" t="n">
        <v>62</v>
      </c>
      <c r="BV6" t="n">
        <v>87.90000000000001</v>
      </c>
      <c r="BW6" t="n">
        <v>67.59999999999999</v>
      </c>
      <c r="BX6" t="n">
        <v>12.1</v>
      </c>
      <c r="BY6" t="n">
        <v>32.4</v>
      </c>
      <c r="BZ6" t="n">
        <v>86</v>
      </c>
      <c r="CA6" t="n">
        <v>14</v>
      </c>
      <c r="CB6" t="n">
        <v>16</v>
      </c>
      <c r="CC6" t="n">
        <v>16</v>
      </c>
      <c r="CD6" t="n">
        <v>47</v>
      </c>
      <c r="CE6" t="n">
        <v>33</v>
      </c>
      <c r="CF6" t="n">
        <v>70</v>
      </c>
      <c r="CG6" t="n">
        <v>57</v>
      </c>
      <c r="CH6" t="n">
        <v>86</v>
      </c>
      <c r="CI6" t="n">
        <v>16</v>
      </c>
      <c r="CJ6" t="n">
        <v>15</v>
      </c>
      <c r="CK6" t="n">
        <v>14</v>
      </c>
      <c r="CL6" t="n">
        <v>47</v>
      </c>
      <c r="CM6" t="n">
        <v>32</v>
      </c>
      <c r="CN6" t="n">
        <v>69</v>
      </c>
      <c r="CO6" t="n">
        <v>55</v>
      </c>
      <c r="CP6" t="n">
        <v>45</v>
      </c>
      <c r="CQ6" t="n">
        <v>2</v>
      </c>
      <c r="CR6" t="n">
        <v>8</v>
      </c>
      <c r="CS6" t="n">
        <v>2</v>
      </c>
      <c r="CT6" t="n">
        <v>16</v>
      </c>
      <c r="CU6" t="n">
        <v>20</v>
      </c>
      <c r="CV6" t="n">
        <v>20</v>
      </c>
      <c r="CW6" t="n">
        <v>29</v>
      </c>
      <c r="CX6" t="n">
        <v>31</v>
      </c>
      <c r="CY6" t="n">
        <v>29.4</v>
      </c>
      <c r="CZ6" t="n">
        <v>41.5</v>
      </c>
      <c r="DA6" t="n">
        <v>45.9</v>
      </c>
      <c r="DB6" t="n">
        <v>19.1</v>
      </c>
      <c r="DC6" t="n">
        <v>21.3</v>
      </c>
      <c r="DD6" t="n">
        <v>27</v>
      </c>
      <c r="DE6" t="n">
        <v>34.3</v>
      </c>
      <c r="DF6" t="n">
        <v>30</v>
      </c>
      <c r="DG6" t="n">
        <v>30.4</v>
      </c>
      <c r="DH6" t="n">
        <v>39</v>
      </c>
      <c r="DI6" t="n">
        <v>46.6</v>
      </c>
      <c r="DJ6" t="n">
        <v>19.1</v>
      </c>
      <c r="DK6" t="n">
        <v>22.3</v>
      </c>
      <c r="DL6" t="n">
        <v>26.1</v>
      </c>
      <c r="DM6" t="n">
        <v>34.8</v>
      </c>
      <c r="DN6" t="n">
        <v>60.9</v>
      </c>
      <c r="DO6" t="n">
        <v>36.1</v>
      </c>
      <c r="DP6" t="n">
        <v>78.8</v>
      </c>
      <c r="DQ6" t="n">
        <v>50.7</v>
      </c>
      <c r="DR6" t="n">
        <v>60.9</v>
      </c>
      <c r="DS6" t="n">
        <v>35</v>
      </c>
      <c r="DT6" t="n">
        <v>78.8</v>
      </c>
      <c r="DU6" t="n">
        <v>49.6</v>
      </c>
      <c r="DV6" t="inlineStr">
        <is>
          <t>(CONTRACTS OF 5,000 BUSHELS)</t>
        </is>
      </c>
    </row>
    <row r="7">
      <c r="A7" t="inlineStr">
        <is>
          <t>WHEAT-HRSpring - MINNEAPOLIS GRAIN EXCHANGE</t>
        </is>
      </c>
      <c r="B7" t="n">
        <v>230103</v>
      </c>
      <c r="C7" s="1" t="n">
        <v>44929</v>
      </c>
      <c r="D7" t="inlineStr">
        <is>
          <t>001626</t>
        </is>
      </c>
      <c r="E7" t="inlineStr">
        <is>
          <t xml:space="preserve">MGE </t>
        </is>
      </c>
      <c r="F7" t="inlineStr">
        <is>
          <t>00</t>
        </is>
      </c>
      <c r="G7" t="inlineStr">
        <is>
          <t xml:space="preserve">001 </t>
        </is>
      </c>
      <c r="H7" t="n">
        <v>53547</v>
      </c>
      <c r="I7" s="17" t="n">
        <v>6134</v>
      </c>
      <c r="J7" s="17" t="n">
        <v>6320</v>
      </c>
      <c r="K7" t="n">
        <v>2579</v>
      </c>
      <c r="L7" t="n">
        <v>35411</v>
      </c>
      <c r="M7" t="n">
        <v>34634</v>
      </c>
      <c r="N7" t="n">
        <v>44124</v>
      </c>
      <c r="O7" t="n">
        <v>43533</v>
      </c>
      <c r="P7" t="n">
        <v>9423</v>
      </c>
      <c r="Q7" t="n">
        <v>10014</v>
      </c>
      <c r="R7" t="n">
        <v>47333</v>
      </c>
      <c r="S7" t="n">
        <v>6184</v>
      </c>
      <c r="T7" t="n">
        <v>6220</v>
      </c>
      <c r="U7" t="n">
        <v>2490</v>
      </c>
      <c r="V7" t="n">
        <v>30258</v>
      </c>
      <c r="W7" t="n">
        <v>30764</v>
      </c>
      <c r="X7" t="n">
        <v>38932</v>
      </c>
      <c r="Y7" t="n">
        <v>39474</v>
      </c>
      <c r="Z7" t="n">
        <v>8401</v>
      </c>
      <c r="AA7" t="n">
        <v>7859</v>
      </c>
      <c r="AB7" t="n">
        <v>6214</v>
      </c>
      <c r="AC7" t="n">
        <v>38</v>
      </c>
      <c r="AD7" t="n">
        <v>188</v>
      </c>
      <c r="AE7" t="n">
        <v>1</v>
      </c>
      <c r="AF7" t="n">
        <v>5153</v>
      </c>
      <c r="AG7" t="n">
        <v>3870</v>
      </c>
      <c r="AH7" t="n">
        <v>5192</v>
      </c>
      <c r="AI7" t="n">
        <v>4059</v>
      </c>
      <c r="AJ7" t="n">
        <v>1022</v>
      </c>
      <c r="AK7" t="n">
        <v>2155</v>
      </c>
      <c r="AL7" t="n">
        <v>-571</v>
      </c>
      <c r="AM7" t="n">
        <v>-78</v>
      </c>
      <c r="AN7" t="n">
        <v>-235</v>
      </c>
      <c r="AO7" t="n">
        <v>126</v>
      </c>
      <c r="AP7" t="n">
        <v>-1003</v>
      </c>
      <c r="AQ7" t="n">
        <v>-960</v>
      </c>
      <c r="AR7" t="n">
        <v>-955</v>
      </c>
      <c r="AS7" t="n">
        <v>-1069</v>
      </c>
      <c r="AT7" t="n">
        <v>384</v>
      </c>
      <c r="AU7" t="n">
        <v>498</v>
      </c>
      <c r="AV7" t="n">
        <v>100</v>
      </c>
      <c r="AW7" t="n">
        <v>11.5</v>
      </c>
      <c r="AX7" t="n">
        <v>11.8</v>
      </c>
      <c r="AY7" t="n">
        <v>4.8</v>
      </c>
      <c r="AZ7" t="n">
        <v>66.09999999999999</v>
      </c>
      <c r="BA7" t="n">
        <v>64.7</v>
      </c>
      <c r="BB7" t="n">
        <v>82.40000000000001</v>
      </c>
      <c r="BC7" t="n">
        <v>81.3</v>
      </c>
      <c r="BD7" t="n">
        <v>17.6</v>
      </c>
      <c r="BE7" t="n">
        <v>18.7</v>
      </c>
      <c r="BF7" t="n">
        <v>100</v>
      </c>
      <c r="BG7" t="n">
        <v>13.1</v>
      </c>
      <c r="BH7" t="n">
        <v>13.1</v>
      </c>
      <c r="BI7" t="n">
        <v>5.3</v>
      </c>
      <c r="BJ7" t="n">
        <v>63.9</v>
      </c>
      <c r="BK7" t="n">
        <v>65</v>
      </c>
      <c r="BL7" t="n">
        <v>82.3</v>
      </c>
      <c r="BM7" t="n">
        <v>83.40000000000001</v>
      </c>
      <c r="BN7" t="n">
        <v>17.7</v>
      </c>
      <c r="BO7" t="n">
        <v>16.6</v>
      </c>
      <c r="BP7" t="n">
        <v>100</v>
      </c>
      <c r="BQ7" t="n">
        <v>0.6</v>
      </c>
      <c r="BR7" t="n">
        <v>3</v>
      </c>
      <c r="BS7" t="n">
        <v>0</v>
      </c>
      <c r="BT7" t="n">
        <v>82.90000000000001</v>
      </c>
      <c r="BU7" t="n">
        <v>62.3</v>
      </c>
      <c r="BV7" t="n">
        <v>83.59999999999999</v>
      </c>
      <c r="BW7" t="n">
        <v>65.3</v>
      </c>
      <c r="BX7" t="n">
        <v>16.4</v>
      </c>
      <c r="BY7" t="n">
        <v>34.7</v>
      </c>
      <c r="BZ7" t="n">
        <v>81</v>
      </c>
      <c r="CA7" t="n">
        <v>16</v>
      </c>
      <c r="CB7" t="n">
        <v>10</v>
      </c>
      <c r="CC7" t="n">
        <v>11</v>
      </c>
      <c r="CD7" t="n">
        <v>46</v>
      </c>
      <c r="CE7" t="n">
        <v>32</v>
      </c>
      <c r="CF7" t="n">
        <v>66</v>
      </c>
      <c r="CG7" t="n">
        <v>50</v>
      </c>
      <c r="CH7" t="n">
        <v>81</v>
      </c>
      <c r="CI7" t="n">
        <v>16</v>
      </c>
      <c r="CJ7" t="n">
        <v>11</v>
      </c>
      <c r="CK7" t="n">
        <v>11</v>
      </c>
      <c r="CL7" t="n">
        <v>46</v>
      </c>
      <c r="CM7" t="n">
        <v>31</v>
      </c>
      <c r="CN7" t="n">
        <v>66</v>
      </c>
      <c r="CO7" t="n">
        <v>49</v>
      </c>
      <c r="CP7" t="n">
        <v>40</v>
      </c>
      <c r="CQ7" t="n">
        <v>3</v>
      </c>
      <c r="CR7" t="n">
        <v>5</v>
      </c>
      <c r="CS7" t="n">
        <v>1</v>
      </c>
      <c r="CT7" t="n">
        <v>14</v>
      </c>
      <c r="CU7" t="n">
        <v>20</v>
      </c>
      <c r="CV7" t="n">
        <v>17</v>
      </c>
      <c r="CW7" t="n">
        <v>26</v>
      </c>
      <c r="CX7" t="n">
        <v>32.7</v>
      </c>
      <c r="CY7" t="n">
        <v>31.7</v>
      </c>
      <c r="CZ7" t="n">
        <v>42.1</v>
      </c>
      <c r="DA7" t="n">
        <v>48.5</v>
      </c>
      <c r="DB7" t="n">
        <v>20.1</v>
      </c>
      <c r="DC7" t="n">
        <v>25</v>
      </c>
      <c r="DD7" t="n">
        <v>28.1</v>
      </c>
      <c r="DE7" t="n">
        <v>36.9</v>
      </c>
      <c r="DF7" t="n">
        <v>31.1</v>
      </c>
      <c r="DG7" t="n">
        <v>33.5</v>
      </c>
      <c r="DH7" t="n">
        <v>39.6</v>
      </c>
      <c r="DI7" t="n">
        <v>49.5</v>
      </c>
      <c r="DJ7" t="n">
        <v>19</v>
      </c>
      <c r="DK7" t="n">
        <v>25.9</v>
      </c>
      <c r="DL7" t="n">
        <v>26.1</v>
      </c>
      <c r="DM7" t="n">
        <v>37.3</v>
      </c>
      <c r="DN7" t="n">
        <v>61.8</v>
      </c>
      <c r="DO7" t="n">
        <v>36.2</v>
      </c>
      <c r="DP7" t="n">
        <v>79.5</v>
      </c>
      <c r="DQ7" t="n">
        <v>50.5</v>
      </c>
      <c r="DR7" t="n">
        <v>61.8</v>
      </c>
      <c r="DS7" t="n">
        <v>35</v>
      </c>
      <c r="DT7" t="n">
        <v>79.5</v>
      </c>
      <c r="DU7" t="n">
        <v>49.3</v>
      </c>
      <c r="DV7" t="inlineStr">
        <is>
          <t>(CONTRACTS OF 5,000 BUSHELS)</t>
        </is>
      </c>
    </row>
    <row r="8">
      <c r="A8" t="inlineStr">
        <is>
          <t>CORN - CHICAGO BOARD OF TRADE</t>
        </is>
      </c>
      <c r="B8" t="n">
        <v>230110</v>
      </c>
      <c r="C8" s="1" t="n">
        <v>44936</v>
      </c>
      <c r="D8" t="inlineStr">
        <is>
          <t>002602</t>
        </is>
      </c>
      <c r="E8" t="inlineStr">
        <is>
          <t xml:space="preserve">CBT </t>
        </is>
      </c>
      <c r="F8" t="inlineStr">
        <is>
          <t>00</t>
        </is>
      </c>
      <c r="G8" t="inlineStr">
        <is>
          <t xml:space="preserve">002 </t>
        </is>
      </c>
      <c r="H8" t="n">
        <v>1214817</v>
      </c>
      <c r="I8" s="17" t="n">
        <v>332822</v>
      </c>
      <c r="J8" s="17" t="n">
        <v>99027</v>
      </c>
      <c r="K8" t="n">
        <v>203852</v>
      </c>
      <c r="L8" t="n">
        <v>561153</v>
      </c>
      <c r="M8" t="n">
        <v>743764</v>
      </c>
      <c r="N8" t="n">
        <v>1097827</v>
      </c>
      <c r="O8" t="n">
        <v>1046643</v>
      </c>
      <c r="P8" t="n">
        <v>116990</v>
      </c>
      <c r="Q8" t="n">
        <v>168174</v>
      </c>
      <c r="R8" t="n">
        <v>1029143</v>
      </c>
      <c r="S8" t="n">
        <v>307187</v>
      </c>
      <c r="T8" t="n">
        <v>112290</v>
      </c>
      <c r="U8" t="n">
        <v>143594</v>
      </c>
      <c r="V8" t="n">
        <v>478524</v>
      </c>
      <c r="W8" t="n">
        <v>641485</v>
      </c>
      <c r="X8" t="n">
        <v>929305</v>
      </c>
      <c r="Y8" t="n">
        <v>897369</v>
      </c>
      <c r="Z8" t="n">
        <v>99838</v>
      </c>
      <c r="AA8" t="n">
        <v>131774</v>
      </c>
      <c r="AB8" t="n">
        <v>185674</v>
      </c>
      <c r="AC8" t="n">
        <v>79286</v>
      </c>
      <c r="AD8" t="n">
        <v>40388</v>
      </c>
      <c r="AE8" t="n">
        <v>6607</v>
      </c>
      <c r="AF8" t="n">
        <v>82629</v>
      </c>
      <c r="AG8" t="n">
        <v>102279</v>
      </c>
      <c r="AH8" t="n">
        <v>168522</v>
      </c>
      <c r="AI8" t="n">
        <v>149274</v>
      </c>
      <c r="AJ8" t="n">
        <v>17152</v>
      </c>
      <c r="AK8" t="n">
        <v>36400</v>
      </c>
      <c r="AL8" t="n">
        <v>-6617</v>
      </c>
      <c r="AM8" t="n">
        <v>-26671</v>
      </c>
      <c r="AN8" t="n">
        <v>7066</v>
      </c>
      <c r="AO8" t="n">
        <v>844</v>
      </c>
      <c r="AP8" t="n">
        <v>19263</v>
      </c>
      <c r="AQ8" t="n">
        <v>-15243</v>
      </c>
      <c r="AR8" t="n">
        <v>-6564</v>
      </c>
      <c r="AS8" t="n">
        <v>-7333</v>
      </c>
      <c r="AT8" t="n">
        <v>-53</v>
      </c>
      <c r="AU8" t="n">
        <v>716</v>
      </c>
      <c r="AV8" t="n">
        <v>100</v>
      </c>
      <c r="AW8" t="n">
        <v>27.4</v>
      </c>
      <c r="AX8" t="n">
        <v>8.199999999999999</v>
      </c>
      <c r="AY8" t="n">
        <v>16.8</v>
      </c>
      <c r="AZ8" t="n">
        <v>46.2</v>
      </c>
      <c r="BA8" t="n">
        <v>61.2</v>
      </c>
      <c r="BB8" t="n">
        <v>90.40000000000001</v>
      </c>
      <c r="BC8" t="n">
        <v>86.2</v>
      </c>
      <c r="BD8" t="n">
        <v>9.6</v>
      </c>
      <c r="BE8" t="n">
        <v>13.8</v>
      </c>
      <c r="BF8" t="n">
        <v>100</v>
      </c>
      <c r="BG8" t="n">
        <v>29.8</v>
      </c>
      <c r="BH8" t="n">
        <v>10.9</v>
      </c>
      <c r="BI8" t="n">
        <v>14</v>
      </c>
      <c r="BJ8" t="n">
        <v>46.5</v>
      </c>
      <c r="BK8" t="n">
        <v>62.3</v>
      </c>
      <c r="BL8" t="n">
        <v>90.3</v>
      </c>
      <c r="BM8" t="n">
        <v>87.2</v>
      </c>
      <c r="BN8" t="n">
        <v>9.699999999999999</v>
      </c>
      <c r="BO8" t="n">
        <v>12.8</v>
      </c>
      <c r="BP8" t="n">
        <v>100</v>
      </c>
      <c r="BQ8" t="n">
        <v>42.7</v>
      </c>
      <c r="BR8" t="n">
        <v>21.8</v>
      </c>
      <c r="BS8" t="n">
        <v>3.6</v>
      </c>
      <c r="BT8" t="n">
        <v>44.5</v>
      </c>
      <c r="BU8" t="n">
        <v>55.1</v>
      </c>
      <c r="BV8" t="n">
        <v>90.8</v>
      </c>
      <c r="BW8" t="n">
        <v>80.40000000000001</v>
      </c>
      <c r="BX8" t="n">
        <v>9.199999999999999</v>
      </c>
      <c r="BY8" t="n">
        <v>19.6</v>
      </c>
      <c r="BZ8" t="n">
        <v>703</v>
      </c>
      <c r="CA8" t="n">
        <v>148</v>
      </c>
      <c r="CB8" t="n">
        <v>91</v>
      </c>
      <c r="CC8" t="n">
        <v>140</v>
      </c>
      <c r="CD8" t="n">
        <v>259</v>
      </c>
      <c r="CE8" t="n">
        <v>366</v>
      </c>
      <c r="CF8" t="n">
        <v>480</v>
      </c>
      <c r="CG8" t="n">
        <v>548</v>
      </c>
      <c r="CH8" t="n">
        <v>688</v>
      </c>
      <c r="CI8" t="n">
        <v>156</v>
      </c>
      <c r="CJ8" t="n">
        <v>88</v>
      </c>
      <c r="CK8" t="n">
        <v>115</v>
      </c>
      <c r="CL8" t="n">
        <v>247</v>
      </c>
      <c r="CM8" t="n">
        <v>349</v>
      </c>
      <c r="CN8" t="n">
        <v>457</v>
      </c>
      <c r="CO8" t="n">
        <v>509</v>
      </c>
      <c r="CP8" t="n">
        <v>465</v>
      </c>
      <c r="CQ8" t="n">
        <v>54</v>
      </c>
      <c r="CR8" t="n">
        <v>67</v>
      </c>
      <c r="CS8" t="n">
        <v>25</v>
      </c>
      <c r="CT8" t="n">
        <v>104</v>
      </c>
      <c r="CU8" t="n">
        <v>279</v>
      </c>
      <c r="CV8" t="n">
        <v>172</v>
      </c>
      <c r="CW8" t="n">
        <v>357</v>
      </c>
      <c r="CX8" t="n">
        <v>11.2</v>
      </c>
      <c r="CY8" t="n">
        <v>9.1</v>
      </c>
      <c r="CZ8" t="n">
        <v>18.1</v>
      </c>
      <c r="DA8" t="n">
        <v>15.1</v>
      </c>
      <c r="DB8" t="n">
        <v>11.1</v>
      </c>
      <c r="DC8" t="n">
        <v>8</v>
      </c>
      <c r="DD8" t="n">
        <v>17.9</v>
      </c>
      <c r="DE8" t="n">
        <v>12.2</v>
      </c>
      <c r="DF8" t="n">
        <v>12.1</v>
      </c>
      <c r="DG8" t="n">
        <v>9.5</v>
      </c>
      <c r="DH8" t="n">
        <v>19.7</v>
      </c>
      <c r="DI8" t="n">
        <v>16</v>
      </c>
      <c r="DJ8" t="n">
        <v>12</v>
      </c>
      <c r="DK8" t="n">
        <v>8.9</v>
      </c>
      <c r="DL8" t="n">
        <v>19.5</v>
      </c>
      <c r="DM8" t="n">
        <v>13.8</v>
      </c>
      <c r="DN8" t="n">
        <v>26.5</v>
      </c>
      <c r="DO8" t="n">
        <v>12.6</v>
      </c>
      <c r="DP8" t="n">
        <v>40.7</v>
      </c>
      <c r="DQ8" t="n">
        <v>20.8</v>
      </c>
      <c r="DR8" t="n">
        <v>26.5</v>
      </c>
      <c r="DS8" t="n">
        <v>12.6</v>
      </c>
      <c r="DT8" t="n">
        <v>40.7</v>
      </c>
      <c r="DU8" t="n">
        <v>20.7</v>
      </c>
      <c r="DV8" t="inlineStr">
        <is>
          <t>(CONTRACTS OF 5,000 BUSHELS)</t>
        </is>
      </c>
    </row>
    <row r="9">
      <c r="A9" t="inlineStr">
        <is>
          <t>CORN - CHICAGO BOARD OF TRADE</t>
        </is>
      </c>
      <c r="B9" t="n">
        <v>230103</v>
      </c>
      <c r="C9" s="1" t="n">
        <v>44929</v>
      </c>
      <c r="D9" t="inlineStr">
        <is>
          <t>002602</t>
        </is>
      </c>
      <c r="E9" t="inlineStr">
        <is>
          <t xml:space="preserve">CBT </t>
        </is>
      </c>
      <c r="F9" t="inlineStr">
        <is>
          <t>00</t>
        </is>
      </c>
      <c r="G9" t="inlineStr">
        <is>
          <t xml:space="preserve">002 </t>
        </is>
      </c>
      <c r="H9" t="n">
        <v>1221434</v>
      </c>
      <c r="I9" s="17" t="n">
        <v>359493</v>
      </c>
      <c r="J9" s="17" t="n">
        <v>91961</v>
      </c>
      <c r="K9" t="n">
        <v>203008</v>
      </c>
      <c r="L9" t="n">
        <v>541890</v>
      </c>
      <c r="M9" t="n">
        <v>759007</v>
      </c>
      <c r="N9" t="n">
        <v>1104391</v>
      </c>
      <c r="O9" t="n">
        <v>1053976</v>
      </c>
      <c r="P9" t="n">
        <v>117043</v>
      </c>
      <c r="Q9" t="n">
        <v>167458</v>
      </c>
      <c r="R9" t="n">
        <v>1041434</v>
      </c>
      <c r="S9" t="n">
        <v>327719</v>
      </c>
      <c r="T9" t="n">
        <v>101010</v>
      </c>
      <c r="U9" t="n">
        <v>149143</v>
      </c>
      <c r="V9" t="n">
        <v>463829</v>
      </c>
      <c r="W9" t="n">
        <v>657695</v>
      </c>
      <c r="X9" t="n">
        <v>940691</v>
      </c>
      <c r="Y9" t="n">
        <v>907848</v>
      </c>
      <c r="Z9" t="n">
        <v>100743</v>
      </c>
      <c r="AA9" t="n">
        <v>133586</v>
      </c>
      <c r="AB9" t="n">
        <v>180000</v>
      </c>
      <c r="AC9" t="n">
        <v>79038</v>
      </c>
      <c r="AD9" t="n">
        <v>38215</v>
      </c>
      <c r="AE9" t="n">
        <v>6601</v>
      </c>
      <c r="AF9" t="n">
        <v>78061</v>
      </c>
      <c r="AG9" t="n">
        <v>101312</v>
      </c>
      <c r="AH9" t="n">
        <v>163700</v>
      </c>
      <c r="AI9" t="n">
        <v>146128</v>
      </c>
      <c r="AJ9" t="n">
        <v>16300</v>
      </c>
      <c r="AK9" t="n">
        <v>33872</v>
      </c>
      <c r="AL9" t="n">
        <v>34463</v>
      </c>
      <c r="AM9" t="n">
        <v>27166</v>
      </c>
      <c r="AN9" t="n">
        <v>-5233</v>
      </c>
      <c r="AO9" t="n">
        <v>13516</v>
      </c>
      <c r="AP9" t="n">
        <v>-3427</v>
      </c>
      <c r="AQ9" t="n">
        <v>23817</v>
      </c>
      <c r="AR9" t="n">
        <v>37255</v>
      </c>
      <c r="AS9" t="n">
        <v>32100</v>
      </c>
      <c r="AT9" t="n">
        <v>-2792</v>
      </c>
      <c r="AU9" t="n">
        <v>2363</v>
      </c>
      <c r="AV9" t="n">
        <v>100</v>
      </c>
      <c r="AW9" t="n">
        <v>29.4</v>
      </c>
      <c r="AX9" t="n">
        <v>7.5</v>
      </c>
      <c r="AY9" t="n">
        <v>16.6</v>
      </c>
      <c r="AZ9" t="n">
        <v>44.4</v>
      </c>
      <c r="BA9" t="n">
        <v>62.1</v>
      </c>
      <c r="BB9" t="n">
        <v>90.40000000000001</v>
      </c>
      <c r="BC9" t="n">
        <v>86.3</v>
      </c>
      <c r="BD9" t="n">
        <v>9.6</v>
      </c>
      <c r="BE9" t="n">
        <v>13.7</v>
      </c>
      <c r="BF9" t="n">
        <v>100</v>
      </c>
      <c r="BG9" t="n">
        <v>31.5</v>
      </c>
      <c r="BH9" t="n">
        <v>9.699999999999999</v>
      </c>
      <c r="BI9" t="n">
        <v>14.3</v>
      </c>
      <c r="BJ9" t="n">
        <v>44.5</v>
      </c>
      <c r="BK9" t="n">
        <v>63.2</v>
      </c>
      <c r="BL9" t="n">
        <v>90.3</v>
      </c>
      <c r="BM9" t="n">
        <v>87.2</v>
      </c>
      <c r="BN9" t="n">
        <v>9.699999999999999</v>
      </c>
      <c r="BO9" t="n">
        <v>12.8</v>
      </c>
      <c r="BP9" t="n">
        <v>100</v>
      </c>
      <c r="BQ9" t="n">
        <v>43.9</v>
      </c>
      <c r="BR9" t="n">
        <v>21.2</v>
      </c>
      <c r="BS9" t="n">
        <v>3.7</v>
      </c>
      <c r="BT9" t="n">
        <v>43.4</v>
      </c>
      <c r="BU9" t="n">
        <v>56.3</v>
      </c>
      <c r="BV9" t="n">
        <v>90.90000000000001</v>
      </c>
      <c r="BW9" t="n">
        <v>81.2</v>
      </c>
      <c r="BX9" t="n">
        <v>9.1</v>
      </c>
      <c r="BY9" t="n">
        <v>18.8</v>
      </c>
      <c r="BZ9" t="n">
        <v>689</v>
      </c>
      <c r="CA9" t="n">
        <v>149</v>
      </c>
      <c r="CB9" t="n">
        <v>83</v>
      </c>
      <c r="CC9" t="n">
        <v>136</v>
      </c>
      <c r="CD9" t="n">
        <v>255</v>
      </c>
      <c r="CE9" t="n">
        <v>360</v>
      </c>
      <c r="CF9" t="n">
        <v>473</v>
      </c>
      <c r="CG9" t="n">
        <v>531</v>
      </c>
      <c r="CH9" t="n">
        <v>675</v>
      </c>
      <c r="CI9" t="n">
        <v>157</v>
      </c>
      <c r="CJ9" t="n">
        <v>80</v>
      </c>
      <c r="CK9" t="n">
        <v>111</v>
      </c>
      <c r="CL9" t="n">
        <v>243</v>
      </c>
      <c r="CM9" t="n">
        <v>343</v>
      </c>
      <c r="CN9" t="n">
        <v>449</v>
      </c>
      <c r="CO9" t="n">
        <v>494</v>
      </c>
      <c r="CP9" t="n">
        <v>463</v>
      </c>
      <c r="CQ9" t="n">
        <v>51</v>
      </c>
      <c r="CR9" t="n">
        <v>66</v>
      </c>
      <c r="CS9" t="n">
        <v>26</v>
      </c>
      <c r="CT9" t="n">
        <v>106</v>
      </c>
      <c r="CU9" t="n">
        <v>280</v>
      </c>
      <c r="CV9" t="n">
        <v>171</v>
      </c>
      <c r="CW9" t="n">
        <v>358</v>
      </c>
      <c r="CX9" t="n">
        <v>11.3</v>
      </c>
      <c r="CY9" t="n">
        <v>9.6</v>
      </c>
      <c r="CZ9" t="n">
        <v>18.2</v>
      </c>
      <c r="DA9" t="n">
        <v>15.6</v>
      </c>
      <c r="DB9" t="n">
        <v>11.2</v>
      </c>
      <c r="DC9" t="n">
        <v>8.699999999999999</v>
      </c>
      <c r="DD9" t="n">
        <v>18</v>
      </c>
      <c r="DE9" t="n">
        <v>13.3</v>
      </c>
      <c r="DF9" t="n">
        <v>12.2</v>
      </c>
      <c r="DG9" t="n">
        <v>10.2</v>
      </c>
      <c r="DH9" t="n">
        <v>20</v>
      </c>
      <c r="DI9" t="n">
        <v>16.9</v>
      </c>
      <c r="DJ9" t="n">
        <v>12.2</v>
      </c>
      <c r="DK9" t="n">
        <v>9.699999999999999</v>
      </c>
      <c r="DL9" t="n">
        <v>20</v>
      </c>
      <c r="DM9" t="n">
        <v>14.5</v>
      </c>
      <c r="DN9" t="n">
        <v>27.4</v>
      </c>
      <c r="DO9" t="n">
        <v>13</v>
      </c>
      <c r="DP9" t="n">
        <v>41.6</v>
      </c>
      <c r="DQ9" t="n">
        <v>21.4</v>
      </c>
      <c r="DR9" t="n">
        <v>27.4</v>
      </c>
      <c r="DS9" t="n">
        <v>13</v>
      </c>
      <c r="DT9" t="n">
        <v>41.6</v>
      </c>
      <c r="DU9" t="n">
        <v>21.2</v>
      </c>
      <c r="DV9" t="inlineStr">
        <is>
          <t>(CONTRACTS OF 5,000 BUSHELS)</t>
        </is>
      </c>
    </row>
    <row r="10">
      <c r="A10" t="inlineStr">
        <is>
          <t>OATS - CHICAGO BOARD OF TRADE</t>
        </is>
      </c>
      <c r="B10" t="n">
        <v>230110</v>
      </c>
      <c r="C10" s="1" t="n">
        <v>44936</v>
      </c>
      <c r="D10" t="inlineStr">
        <is>
          <t>004603</t>
        </is>
      </c>
      <c r="E10" t="inlineStr">
        <is>
          <t xml:space="preserve">CBT </t>
        </is>
      </c>
      <c r="F10" t="inlineStr">
        <is>
          <t>00</t>
        </is>
      </c>
      <c r="G10" t="inlineStr">
        <is>
          <t xml:space="preserve">004 </t>
        </is>
      </c>
      <c r="H10" t="n">
        <v>3810</v>
      </c>
      <c r="I10" s="17" t="n">
        <v>793</v>
      </c>
      <c r="J10" s="17" t="n">
        <v>1659</v>
      </c>
      <c r="K10" t="n">
        <v>76</v>
      </c>
      <c r="L10" t="n">
        <v>870</v>
      </c>
      <c r="M10" t="n">
        <v>986</v>
      </c>
      <c r="N10" t="n">
        <v>1739</v>
      </c>
      <c r="O10" t="n">
        <v>2721</v>
      </c>
      <c r="P10" t="n">
        <v>2071</v>
      </c>
      <c r="Q10" t="n">
        <v>1089</v>
      </c>
      <c r="R10" t="n">
        <v>3608</v>
      </c>
      <c r="S10" t="n">
        <v>847</v>
      </c>
      <c r="T10" t="n">
        <v>1659</v>
      </c>
      <c r="U10" t="n">
        <v>10</v>
      </c>
      <c r="V10" t="n">
        <v>870</v>
      </c>
      <c r="W10" t="n">
        <v>965</v>
      </c>
      <c r="X10" t="n">
        <v>1727</v>
      </c>
      <c r="Y10" t="n">
        <v>2634</v>
      </c>
      <c r="Z10" t="n">
        <v>1881</v>
      </c>
      <c r="AA10" t="n">
        <v>974</v>
      </c>
      <c r="AB10" t="n">
        <v>202</v>
      </c>
      <c r="AC10" t="n">
        <v>0</v>
      </c>
      <c r="AD10" t="n">
        <v>54</v>
      </c>
      <c r="AE10" t="n">
        <v>12</v>
      </c>
      <c r="AF10" t="n">
        <v>0</v>
      </c>
      <c r="AG10" t="n">
        <v>21</v>
      </c>
      <c r="AH10" t="n">
        <v>12</v>
      </c>
      <c r="AI10" t="n">
        <v>87</v>
      </c>
      <c r="AJ10" t="n">
        <v>190</v>
      </c>
      <c r="AK10" t="n">
        <v>115</v>
      </c>
      <c r="AL10" t="n">
        <v>160</v>
      </c>
      <c r="AM10" t="n">
        <v>7</v>
      </c>
      <c r="AN10" t="n">
        <v>204</v>
      </c>
      <c r="AO10" t="n">
        <v>0</v>
      </c>
      <c r="AP10" t="n">
        <v>10</v>
      </c>
      <c r="AQ10" t="n">
        <v>-24</v>
      </c>
      <c r="AR10" t="n">
        <v>17</v>
      </c>
      <c r="AS10" t="n">
        <v>180</v>
      </c>
      <c r="AT10" t="n">
        <v>143</v>
      </c>
      <c r="AU10" t="n">
        <v>-20</v>
      </c>
      <c r="AV10" t="n">
        <v>100</v>
      </c>
      <c r="AW10" t="n">
        <v>20.8</v>
      </c>
      <c r="AX10" t="n">
        <v>43.5</v>
      </c>
      <c r="AY10" t="n">
        <v>2</v>
      </c>
      <c r="AZ10" t="n">
        <v>22.8</v>
      </c>
      <c r="BA10" t="n">
        <v>25.9</v>
      </c>
      <c r="BB10" t="n">
        <v>45.6</v>
      </c>
      <c r="BC10" t="n">
        <v>71.40000000000001</v>
      </c>
      <c r="BD10" t="n">
        <v>54.4</v>
      </c>
      <c r="BE10" t="n">
        <v>28.6</v>
      </c>
      <c r="BF10" t="n">
        <v>100</v>
      </c>
      <c r="BG10" t="n">
        <v>23.5</v>
      </c>
      <c r="BH10" t="n">
        <v>46</v>
      </c>
      <c r="BI10" t="n">
        <v>0.3</v>
      </c>
      <c r="BJ10" t="n">
        <v>24.1</v>
      </c>
      <c r="BK10" t="n">
        <v>26.7</v>
      </c>
      <c r="BL10" t="n">
        <v>47.9</v>
      </c>
      <c r="BM10" t="n">
        <v>73</v>
      </c>
      <c r="BN10" t="n">
        <v>52.1</v>
      </c>
      <c r="BO10" t="n">
        <v>27</v>
      </c>
      <c r="BP10" t="n">
        <v>100</v>
      </c>
      <c r="BQ10" t="n">
        <v>0</v>
      </c>
      <c r="BR10" t="n">
        <v>26.7</v>
      </c>
      <c r="BS10" t="n">
        <v>5.9</v>
      </c>
      <c r="BT10" t="n">
        <v>0</v>
      </c>
      <c r="BU10" t="n">
        <v>10.4</v>
      </c>
      <c r="BV10" t="n">
        <v>5.9</v>
      </c>
      <c r="BW10" t="n">
        <v>43.1</v>
      </c>
      <c r="BX10" t="n">
        <v>94.09999999999999</v>
      </c>
      <c r="BY10" t="n">
        <v>56.9</v>
      </c>
      <c r="BZ10" t="n">
        <v>23</v>
      </c>
      <c r="CA10" t="n">
        <v>5</v>
      </c>
      <c r="CB10" t="n">
        <v>7</v>
      </c>
      <c r="CC10" t="n">
        <v>2</v>
      </c>
      <c r="CD10" t="n">
        <v>7</v>
      </c>
      <c r="CE10" t="n">
        <v>6</v>
      </c>
      <c r="CF10" t="n">
        <v>12</v>
      </c>
      <c r="CG10" t="n">
        <v>15</v>
      </c>
      <c r="CH10" t="n">
        <v>23</v>
      </c>
      <c r="CI10" t="n">
        <v>5</v>
      </c>
      <c r="CJ10" t="n">
        <v>7</v>
      </c>
      <c r="CK10" t="n">
        <v>1</v>
      </c>
      <c r="CL10" t="n">
        <v>7</v>
      </c>
      <c r="CM10" t="n">
        <v>6</v>
      </c>
      <c r="CN10" t="n">
        <v>12</v>
      </c>
      <c r="CO10" t="n">
        <v>14</v>
      </c>
      <c r="CP10" t="n">
        <v>3</v>
      </c>
      <c r="CQ10" t="n">
        <v>0</v>
      </c>
      <c r="CR10" t="n">
        <v>2</v>
      </c>
      <c r="CS10" t="n">
        <v>1</v>
      </c>
      <c r="CT10" t="n">
        <v>0</v>
      </c>
      <c r="CU10" t="n">
        <v>1</v>
      </c>
      <c r="CV10" t="n">
        <v>1</v>
      </c>
      <c r="CW10" t="n">
        <v>3</v>
      </c>
      <c r="CX10" t="n">
        <v>27.2</v>
      </c>
      <c r="CY10" t="n">
        <v>39.4</v>
      </c>
      <c r="CZ10" t="n">
        <v>40.4</v>
      </c>
      <c r="DA10" t="n">
        <v>57.9</v>
      </c>
      <c r="DB10" t="n">
        <v>27.2</v>
      </c>
      <c r="DC10" t="n">
        <v>38.5</v>
      </c>
      <c r="DD10" t="n">
        <v>39.7</v>
      </c>
      <c r="DE10" t="n">
        <v>57</v>
      </c>
      <c r="DF10" t="n">
        <v>28.7</v>
      </c>
      <c r="DG10" t="n">
        <v>41</v>
      </c>
      <c r="DH10" t="n">
        <v>42.4</v>
      </c>
      <c r="DI10" t="n">
        <v>60.5</v>
      </c>
      <c r="DJ10" t="n">
        <v>28.7</v>
      </c>
      <c r="DK10" t="n">
        <v>40</v>
      </c>
      <c r="DL10" t="n">
        <v>42.4</v>
      </c>
      <c r="DM10" t="n">
        <v>59.6</v>
      </c>
      <c r="DN10" t="n">
        <v>5.9</v>
      </c>
      <c r="DO10" t="n">
        <v>43.1</v>
      </c>
      <c r="DP10" t="n">
        <v>5.9</v>
      </c>
      <c r="DQ10" t="n">
        <v>43.1</v>
      </c>
      <c r="DR10" t="n">
        <v>0</v>
      </c>
      <c r="DS10" t="n">
        <v>37.1</v>
      </c>
      <c r="DT10" t="n">
        <v>0</v>
      </c>
      <c r="DU10" t="n">
        <v>37.1</v>
      </c>
      <c r="DV10" t="inlineStr">
        <is>
          <t>(CONTRACTS OF 5,000 BUSHELS)</t>
        </is>
      </c>
    </row>
    <row r="11">
      <c r="A11" t="inlineStr">
        <is>
          <t>OATS - CHICAGO BOARD OF TRADE</t>
        </is>
      </c>
      <c r="B11" t="n">
        <v>230103</v>
      </c>
      <c r="C11" s="1" t="n">
        <v>44929</v>
      </c>
      <c r="D11" t="inlineStr">
        <is>
          <t>004603</t>
        </is>
      </c>
      <c r="E11" t="inlineStr">
        <is>
          <t xml:space="preserve">CBT </t>
        </is>
      </c>
      <c r="F11" t="inlineStr">
        <is>
          <t>00</t>
        </is>
      </c>
      <c r="G11" t="inlineStr">
        <is>
          <t xml:space="preserve">004 </t>
        </is>
      </c>
      <c r="H11" t="n">
        <v>3650</v>
      </c>
      <c r="I11" s="17" t="n">
        <v>786</v>
      </c>
      <c r="J11" s="17" t="n">
        <v>1455</v>
      </c>
      <c r="K11" t="n">
        <v>76</v>
      </c>
      <c r="L11" t="n">
        <v>860</v>
      </c>
      <c r="M11" t="n">
        <v>1010</v>
      </c>
      <c r="N11" t="n">
        <v>1722</v>
      </c>
      <c r="O11" t="n">
        <v>2541</v>
      </c>
      <c r="P11" t="n">
        <v>1928</v>
      </c>
      <c r="Q11" t="n">
        <v>1109</v>
      </c>
      <c r="R11" t="n">
        <v>3476</v>
      </c>
      <c r="S11" t="n">
        <v>826</v>
      </c>
      <c r="T11" t="n">
        <v>1455</v>
      </c>
      <c r="U11" t="n">
        <v>23</v>
      </c>
      <c r="V11" t="n">
        <v>860</v>
      </c>
      <c r="W11" t="n">
        <v>989</v>
      </c>
      <c r="X11" t="n">
        <v>1709</v>
      </c>
      <c r="Y11" t="n">
        <v>2467</v>
      </c>
      <c r="Z11" t="n">
        <v>1767</v>
      </c>
      <c r="AA11" t="n">
        <v>1009</v>
      </c>
      <c r="AB11" t="n">
        <v>174</v>
      </c>
      <c r="AC11" t="n">
        <v>0</v>
      </c>
      <c r="AD11" t="n">
        <v>40</v>
      </c>
      <c r="AE11" t="n">
        <v>13</v>
      </c>
      <c r="AF11" t="n">
        <v>0</v>
      </c>
      <c r="AG11" t="n">
        <v>21</v>
      </c>
      <c r="AH11" t="n">
        <v>13</v>
      </c>
      <c r="AI11" t="n">
        <v>74</v>
      </c>
      <c r="AJ11" t="n">
        <v>161</v>
      </c>
      <c r="AK11" t="n">
        <v>100</v>
      </c>
      <c r="AL11" t="n">
        <v>-282</v>
      </c>
      <c r="AM11" t="n">
        <v>99</v>
      </c>
      <c r="AN11" t="n">
        <v>-242</v>
      </c>
      <c r="AO11" t="n">
        <v>23</v>
      </c>
      <c r="AP11" t="n">
        <v>-238</v>
      </c>
      <c r="AQ11" t="n">
        <v>-60</v>
      </c>
      <c r="AR11" t="n">
        <v>-116</v>
      </c>
      <c r="AS11" t="n">
        <v>-279</v>
      </c>
      <c r="AT11" t="n">
        <v>-166</v>
      </c>
      <c r="AU11" t="n">
        <v>-3</v>
      </c>
      <c r="AV11" t="n">
        <v>100</v>
      </c>
      <c r="AW11" t="n">
        <v>21.5</v>
      </c>
      <c r="AX11" t="n">
        <v>39.9</v>
      </c>
      <c r="AY11" t="n">
        <v>2.1</v>
      </c>
      <c r="AZ11" t="n">
        <v>23.6</v>
      </c>
      <c r="BA11" t="n">
        <v>27.7</v>
      </c>
      <c r="BB11" t="n">
        <v>47.2</v>
      </c>
      <c r="BC11" t="n">
        <v>69.59999999999999</v>
      </c>
      <c r="BD11" t="n">
        <v>52.8</v>
      </c>
      <c r="BE11" t="n">
        <v>30.4</v>
      </c>
      <c r="BF11" t="n">
        <v>100</v>
      </c>
      <c r="BG11" t="n">
        <v>23.8</v>
      </c>
      <c r="BH11" t="n">
        <v>41.9</v>
      </c>
      <c r="BI11" t="n">
        <v>0.7</v>
      </c>
      <c r="BJ11" t="n">
        <v>24.7</v>
      </c>
      <c r="BK11" t="n">
        <v>28.5</v>
      </c>
      <c r="BL11" t="n">
        <v>49.2</v>
      </c>
      <c r="BM11" t="n">
        <v>71</v>
      </c>
      <c r="BN11" t="n">
        <v>50.8</v>
      </c>
      <c r="BO11" t="n">
        <v>29</v>
      </c>
      <c r="BP11" t="n">
        <v>100</v>
      </c>
      <c r="BQ11" t="n">
        <v>0</v>
      </c>
      <c r="BR11" t="n">
        <v>23</v>
      </c>
      <c r="BS11" t="n">
        <v>7.5</v>
      </c>
      <c r="BT11" t="n">
        <v>0</v>
      </c>
      <c r="BU11" t="n">
        <v>12.1</v>
      </c>
      <c r="BV11" t="n">
        <v>7.5</v>
      </c>
      <c r="BW11" t="n">
        <v>42.5</v>
      </c>
      <c r="BX11" t="n">
        <v>92.5</v>
      </c>
      <c r="BY11" t="n">
        <v>57.5</v>
      </c>
      <c r="BZ11" t="n">
        <v>20</v>
      </c>
      <c r="CA11" t="n">
        <v>5</v>
      </c>
      <c r="CB11" t="n">
        <v>5</v>
      </c>
      <c r="CC11" t="n">
        <v>2</v>
      </c>
      <c r="CD11" t="n">
        <v>7</v>
      </c>
      <c r="CE11" t="n">
        <v>5</v>
      </c>
      <c r="CF11" t="n">
        <v>12</v>
      </c>
      <c r="CG11" t="n">
        <v>12</v>
      </c>
      <c r="CH11" t="n">
        <v>20</v>
      </c>
      <c r="CI11" t="n">
        <v>5</v>
      </c>
      <c r="CJ11" t="n">
        <v>5</v>
      </c>
      <c r="CK11" t="n">
        <v>1</v>
      </c>
      <c r="CL11" t="n">
        <v>7</v>
      </c>
      <c r="CM11" t="n">
        <v>5</v>
      </c>
      <c r="CN11" t="n">
        <v>12</v>
      </c>
      <c r="CO11" t="n">
        <v>11</v>
      </c>
      <c r="CP11" t="n">
        <v>3</v>
      </c>
      <c r="CQ11" t="n">
        <v>0</v>
      </c>
      <c r="CR11" t="n">
        <v>2</v>
      </c>
      <c r="CS11" t="n">
        <v>1</v>
      </c>
      <c r="CT11" t="n">
        <v>0</v>
      </c>
      <c r="CU11" t="n">
        <v>1</v>
      </c>
      <c r="CV11" t="n">
        <v>1</v>
      </c>
      <c r="CW11" t="n">
        <v>3</v>
      </c>
      <c r="CX11" t="n">
        <v>27.3</v>
      </c>
      <c r="CY11" t="n">
        <v>44.1</v>
      </c>
      <c r="CZ11" t="n">
        <v>41</v>
      </c>
      <c r="DA11" t="n">
        <v>65.59999999999999</v>
      </c>
      <c r="DB11" t="n">
        <v>27.3</v>
      </c>
      <c r="DC11" t="n">
        <v>43.5</v>
      </c>
      <c r="DD11" t="n">
        <v>40.2</v>
      </c>
      <c r="DE11" t="n">
        <v>65</v>
      </c>
      <c r="DF11" t="n">
        <v>28.7</v>
      </c>
      <c r="DG11" t="n">
        <v>45.7</v>
      </c>
      <c r="DH11" t="n">
        <v>42.7</v>
      </c>
      <c r="DI11" t="n">
        <v>68.3</v>
      </c>
      <c r="DJ11" t="n">
        <v>28.7</v>
      </c>
      <c r="DK11" t="n">
        <v>45</v>
      </c>
      <c r="DL11" t="n">
        <v>42.7</v>
      </c>
      <c r="DM11" t="n">
        <v>67.59999999999999</v>
      </c>
      <c r="DN11" t="n">
        <v>7.5</v>
      </c>
      <c r="DO11" t="n">
        <v>42.5</v>
      </c>
      <c r="DP11" t="n">
        <v>7.5</v>
      </c>
      <c r="DQ11" t="n">
        <v>42.5</v>
      </c>
      <c r="DR11" t="n">
        <v>0</v>
      </c>
      <c r="DS11" t="n">
        <v>35.1</v>
      </c>
      <c r="DT11" t="n">
        <v>0</v>
      </c>
      <c r="DU11" t="n">
        <v>35.1</v>
      </c>
      <c r="DV11" t="inlineStr">
        <is>
          <t>(CONTRACTS OF 5,000 BUSHELS)</t>
        </is>
      </c>
    </row>
    <row r="12">
      <c r="A12" t="inlineStr">
        <is>
          <t>SOYBEANS - CHICAGO BOARD OF TRADE</t>
        </is>
      </c>
      <c r="B12" t="n">
        <v>230110</v>
      </c>
      <c r="C12" s="1" t="n">
        <v>44936</v>
      </c>
      <c r="D12" t="inlineStr">
        <is>
          <t>005602</t>
        </is>
      </c>
      <c r="E12" t="inlineStr">
        <is>
          <t xml:space="preserve">CBT </t>
        </is>
      </c>
      <c r="F12" t="inlineStr">
        <is>
          <t>00</t>
        </is>
      </c>
      <c r="G12" t="inlineStr">
        <is>
          <t xml:space="preserve">005 </t>
        </is>
      </c>
      <c r="H12" t="n">
        <v>620659</v>
      </c>
      <c r="I12" s="17" t="n">
        <v>187837</v>
      </c>
      <c r="J12" s="17" t="n">
        <v>47509</v>
      </c>
      <c r="K12" t="n">
        <v>87628</v>
      </c>
      <c r="L12" t="n">
        <v>302217</v>
      </c>
      <c r="M12" t="n">
        <v>406383</v>
      </c>
      <c r="N12" t="n">
        <v>577682</v>
      </c>
      <c r="O12" t="n">
        <v>541520</v>
      </c>
      <c r="P12" t="n">
        <v>42977</v>
      </c>
      <c r="Q12" t="n">
        <v>79139</v>
      </c>
      <c r="R12" t="n">
        <v>519120</v>
      </c>
      <c r="S12" t="n">
        <v>174769</v>
      </c>
      <c r="T12" t="n">
        <v>43094</v>
      </c>
      <c r="U12" t="n">
        <v>58512</v>
      </c>
      <c r="V12" t="n">
        <v>250056</v>
      </c>
      <c r="W12" t="n">
        <v>362696</v>
      </c>
      <c r="X12" t="n">
        <v>483337</v>
      </c>
      <c r="Y12" t="n">
        <v>464302</v>
      </c>
      <c r="Z12" t="n">
        <v>35783</v>
      </c>
      <c r="AA12" t="n">
        <v>54818</v>
      </c>
      <c r="AB12" t="n">
        <v>101539</v>
      </c>
      <c r="AC12" t="n">
        <v>32908</v>
      </c>
      <c r="AD12" t="n">
        <v>24255</v>
      </c>
      <c r="AE12" t="n">
        <v>9276</v>
      </c>
      <c r="AF12" t="n">
        <v>52161</v>
      </c>
      <c r="AG12" t="n">
        <v>43687</v>
      </c>
      <c r="AH12" t="n">
        <v>94345</v>
      </c>
      <c r="AI12" t="n">
        <v>77218</v>
      </c>
      <c r="AJ12" t="n">
        <v>7194</v>
      </c>
      <c r="AK12" t="n">
        <v>24321</v>
      </c>
      <c r="AL12" t="n">
        <v>17050</v>
      </c>
      <c r="AM12" t="n">
        <v>-7483</v>
      </c>
      <c r="AN12" t="n">
        <v>828</v>
      </c>
      <c r="AO12" t="n">
        <v>6309</v>
      </c>
      <c r="AP12" t="n">
        <v>17882</v>
      </c>
      <c r="AQ12" t="n">
        <v>10719</v>
      </c>
      <c r="AR12" t="n">
        <v>16708</v>
      </c>
      <c r="AS12" t="n">
        <v>17856</v>
      </c>
      <c r="AT12" t="n">
        <v>342</v>
      </c>
      <c r="AU12" t="n">
        <v>-806</v>
      </c>
      <c r="AV12" t="n">
        <v>100</v>
      </c>
      <c r="AW12" t="n">
        <v>30.3</v>
      </c>
      <c r="AX12" t="n">
        <v>7.7</v>
      </c>
      <c r="AY12" t="n">
        <v>14.1</v>
      </c>
      <c r="AZ12" t="n">
        <v>48.7</v>
      </c>
      <c r="BA12" t="n">
        <v>65.5</v>
      </c>
      <c r="BB12" t="n">
        <v>93.09999999999999</v>
      </c>
      <c r="BC12" t="n">
        <v>87.2</v>
      </c>
      <c r="BD12" t="n">
        <v>6.9</v>
      </c>
      <c r="BE12" t="n">
        <v>12.8</v>
      </c>
      <c r="BF12" t="n">
        <v>100</v>
      </c>
      <c r="BG12" t="n">
        <v>33.7</v>
      </c>
      <c r="BH12" t="n">
        <v>8.300000000000001</v>
      </c>
      <c r="BI12" t="n">
        <v>11.3</v>
      </c>
      <c r="BJ12" t="n">
        <v>48.2</v>
      </c>
      <c r="BK12" t="n">
        <v>69.90000000000001</v>
      </c>
      <c r="BL12" t="n">
        <v>93.09999999999999</v>
      </c>
      <c r="BM12" t="n">
        <v>89.40000000000001</v>
      </c>
      <c r="BN12" t="n">
        <v>6.9</v>
      </c>
      <c r="BO12" t="n">
        <v>10.6</v>
      </c>
      <c r="BP12" t="n">
        <v>100</v>
      </c>
      <c r="BQ12" t="n">
        <v>32.4</v>
      </c>
      <c r="BR12" t="n">
        <v>23.9</v>
      </c>
      <c r="BS12" t="n">
        <v>9.1</v>
      </c>
      <c r="BT12" t="n">
        <v>51.4</v>
      </c>
      <c r="BU12" t="n">
        <v>43</v>
      </c>
      <c r="BV12" t="n">
        <v>92.90000000000001</v>
      </c>
      <c r="BW12" t="n">
        <v>76</v>
      </c>
      <c r="BX12" t="n">
        <v>7.1</v>
      </c>
      <c r="BY12" t="n">
        <v>24</v>
      </c>
      <c r="BZ12" t="n">
        <v>500</v>
      </c>
      <c r="CA12" t="n">
        <v>147</v>
      </c>
      <c r="CB12" t="n">
        <v>82</v>
      </c>
      <c r="CC12" t="n">
        <v>128</v>
      </c>
      <c r="CD12" t="n">
        <v>149</v>
      </c>
      <c r="CE12" t="n">
        <v>216</v>
      </c>
      <c r="CF12" t="n">
        <v>365</v>
      </c>
      <c r="CG12" t="n">
        <v>378</v>
      </c>
      <c r="CH12" t="n">
        <v>489</v>
      </c>
      <c r="CI12" t="n">
        <v>146</v>
      </c>
      <c r="CJ12" t="n">
        <v>83</v>
      </c>
      <c r="CK12" t="n">
        <v>110</v>
      </c>
      <c r="CL12" t="n">
        <v>138</v>
      </c>
      <c r="CM12" t="n">
        <v>202</v>
      </c>
      <c r="CN12" t="n">
        <v>338</v>
      </c>
      <c r="CO12" t="n">
        <v>353</v>
      </c>
      <c r="CP12" t="n">
        <v>279</v>
      </c>
      <c r="CQ12" t="n">
        <v>51</v>
      </c>
      <c r="CR12" t="n">
        <v>43</v>
      </c>
      <c r="CS12" t="n">
        <v>27</v>
      </c>
      <c r="CT12" t="n">
        <v>56</v>
      </c>
      <c r="CU12" t="n">
        <v>155</v>
      </c>
      <c r="CV12" t="n">
        <v>121</v>
      </c>
      <c r="CW12" t="n">
        <v>214</v>
      </c>
      <c r="CX12" t="n">
        <v>12.3</v>
      </c>
      <c r="CY12" t="n">
        <v>15</v>
      </c>
      <c r="CZ12" t="n">
        <v>21.3</v>
      </c>
      <c r="DA12" t="n">
        <v>23.8</v>
      </c>
      <c r="DB12" t="n">
        <v>11.8</v>
      </c>
      <c r="DC12" t="n">
        <v>13.9</v>
      </c>
      <c r="DD12" t="n">
        <v>20</v>
      </c>
      <c r="DE12" t="n">
        <v>21.6</v>
      </c>
      <c r="DF12" t="n">
        <v>13.1</v>
      </c>
      <c r="DG12" t="n">
        <v>17.4</v>
      </c>
      <c r="DH12" t="n">
        <v>22.4</v>
      </c>
      <c r="DI12" t="n">
        <v>26.8</v>
      </c>
      <c r="DJ12" t="n">
        <v>12.6</v>
      </c>
      <c r="DK12" t="n">
        <v>16.3</v>
      </c>
      <c r="DL12" t="n">
        <v>21.3</v>
      </c>
      <c r="DM12" t="n">
        <v>25</v>
      </c>
      <c r="DN12" t="n">
        <v>23.4</v>
      </c>
      <c r="DO12" t="n">
        <v>19.6</v>
      </c>
      <c r="DP12" t="n">
        <v>40.7</v>
      </c>
      <c r="DQ12" t="n">
        <v>29.8</v>
      </c>
      <c r="DR12" t="n">
        <v>23.4</v>
      </c>
      <c r="DS12" t="n">
        <v>18.6</v>
      </c>
      <c r="DT12" t="n">
        <v>37.6</v>
      </c>
      <c r="DU12" t="n">
        <v>25.6</v>
      </c>
      <c r="DV12" t="inlineStr">
        <is>
          <t>(CONTRACTS OF 5,000 BUSHELS)</t>
        </is>
      </c>
    </row>
    <row r="13">
      <c r="A13" t="inlineStr">
        <is>
          <t>SOYBEANS - CHICAGO BOARD OF TRADE</t>
        </is>
      </c>
      <c r="B13" t="n">
        <v>230103</v>
      </c>
      <c r="C13" s="1" t="n">
        <v>44929</v>
      </c>
      <c r="D13" t="inlineStr">
        <is>
          <t>005602</t>
        </is>
      </c>
      <c r="E13" t="inlineStr">
        <is>
          <t xml:space="preserve">CBT </t>
        </is>
      </c>
      <c r="F13" t="inlineStr">
        <is>
          <t>00</t>
        </is>
      </c>
      <c r="G13" t="inlineStr">
        <is>
          <t xml:space="preserve">005 </t>
        </is>
      </c>
      <c r="H13" t="n">
        <v>603609</v>
      </c>
      <c r="I13" s="17" t="n">
        <v>195320</v>
      </c>
      <c r="J13" s="17" t="n">
        <v>46681</v>
      </c>
      <c r="K13" t="n">
        <v>81319</v>
      </c>
      <c r="L13" t="n">
        <v>284335</v>
      </c>
      <c r="M13" t="n">
        <v>395664</v>
      </c>
      <c r="N13" t="n">
        <v>560974</v>
      </c>
      <c r="O13" t="n">
        <v>523664</v>
      </c>
      <c r="P13" t="n">
        <v>42635</v>
      </c>
      <c r="Q13" t="n">
        <v>79945</v>
      </c>
      <c r="R13" t="n">
        <v>509733</v>
      </c>
      <c r="S13" t="n">
        <v>182132</v>
      </c>
      <c r="T13" t="n">
        <v>42483</v>
      </c>
      <c r="U13" t="n">
        <v>55012</v>
      </c>
      <c r="V13" t="n">
        <v>236481</v>
      </c>
      <c r="W13" t="n">
        <v>355369</v>
      </c>
      <c r="X13" t="n">
        <v>473625</v>
      </c>
      <c r="Y13" t="n">
        <v>452864</v>
      </c>
      <c r="Z13" t="n">
        <v>36108</v>
      </c>
      <c r="AA13" t="n">
        <v>56869</v>
      </c>
      <c r="AB13" t="n">
        <v>93876</v>
      </c>
      <c r="AC13" t="n">
        <v>31189</v>
      </c>
      <c r="AD13" t="n">
        <v>22199</v>
      </c>
      <c r="AE13" t="n">
        <v>8306</v>
      </c>
      <c r="AF13" t="n">
        <v>47854</v>
      </c>
      <c r="AG13" t="n">
        <v>40295</v>
      </c>
      <c r="AH13" t="n">
        <v>87349</v>
      </c>
      <c r="AI13" t="n">
        <v>70800</v>
      </c>
      <c r="AJ13" t="n">
        <v>6527</v>
      </c>
      <c r="AK13" t="n">
        <v>23076</v>
      </c>
      <c r="AL13" t="n">
        <v>8008</v>
      </c>
      <c r="AM13" t="n">
        <v>15577</v>
      </c>
      <c r="AN13" t="n">
        <v>457</v>
      </c>
      <c r="AO13" t="n">
        <v>3077</v>
      </c>
      <c r="AP13" t="n">
        <v>-6423</v>
      </c>
      <c r="AQ13" t="n">
        <v>4825</v>
      </c>
      <c r="AR13" t="n">
        <v>12231</v>
      </c>
      <c r="AS13" t="n">
        <v>8359</v>
      </c>
      <c r="AT13" t="n">
        <v>-4223</v>
      </c>
      <c r="AU13" t="n">
        <v>-351</v>
      </c>
      <c r="AV13" t="n">
        <v>100</v>
      </c>
      <c r="AW13" t="n">
        <v>32.4</v>
      </c>
      <c r="AX13" t="n">
        <v>7.7</v>
      </c>
      <c r="AY13" t="n">
        <v>13.5</v>
      </c>
      <c r="AZ13" t="n">
        <v>47.1</v>
      </c>
      <c r="BA13" t="n">
        <v>65.5</v>
      </c>
      <c r="BB13" t="n">
        <v>92.90000000000001</v>
      </c>
      <c r="BC13" t="n">
        <v>86.8</v>
      </c>
      <c r="BD13" t="n">
        <v>7.1</v>
      </c>
      <c r="BE13" t="n">
        <v>13.2</v>
      </c>
      <c r="BF13" t="n">
        <v>100</v>
      </c>
      <c r="BG13" t="n">
        <v>35.7</v>
      </c>
      <c r="BH13" t="n">
        <v>8.300000000000001</v>
      </c>
      <c r="BI13" t="n">
        <v>10.8</v>
      </c>
      <c r="BJ13" t="n">
        <v>46.4</v>
      </c>
      <c r="BK13" t="n">
        <v>69.7</v>
      </c>
      <c r="BL13" t="n">
        <v>92.90000000000001</v>
      </c>
      <c r="BM13" t="n">
        <v>88.8</v>
      </c>
      <c r="BN13" t="n">
        <v>7.1</v>
      </c>
      <c r="BO13" t="n">
        <v>11.2</v>
      </c>
      <c r="BP13" t="n">
        <v>100</v>
      </c>
      <c r="BQ13" t="n">
        <v>33.2</v>
      </c>
      <c r="BR13" t="n">
        <v>23.6</v>
      </c>
      <c r="BS13" t="n">
        <v>8.800000000000001</v>
      </c>
      <c r="BT13" t="n">
        <v>51</v>
      </c>
      <c r="BU13" t="n">
        <v>42.9</v>
      </c>
      <c r="BV13" t="n">
        <v>93</v>
      </c>
      <c r="BW13" t="n">
        <v>75.40000000000001</v>
      </c>
      <c r="BX13" t="n">
        <v>7</v>
      </c>
      <c r="BY13" t="n">
        <v>24.6</v>
      </c>
      <c r="BZ13" t="n">
        <v>494</v>
      </c>
      <c r="CA13" t="n">
        <v>157</v>
      </c>
      <c r="CB13" t="n">
        <v>76</v>
      </c>
      <c r="CC13" t="n">
        <v>119</v>
      </c>
      <c r="CD13" t="n">
        <v>139</v>
      </c>
      <c r="CE13" t="n">
        <v>211</v>
      </c>
      <c r="CF13" t="n">
        <v>351</v>
      </c>
      <c r="CG13" t="n">
        <v>368</v>
      </c>
      <c r="CH13" t="n">
        <v>486</v>
      </c>
      <c r="CI13" t="n">
        <v>156</v>
      </c>
      <c r="CJ13" t="n">
        <v>77</v>
      </c>
      <c r="CK13" t="n">
        <v>104</v>
      </c>
      <c r="CL13" t="n">
        <v>129</v>
      </c>
      <c r="CM13" t="n">
        <v>200</v>
      </c>
      <c r="CN13" t="n">
        <v>328</v>
      </c>
      <c r="CO13" t="n">
        <v>348</v>
      </c>
      <c r="CP13" t="n">
        <v>275</v>
      </c>
      <c r="CQ13" t="n">
        <v>47</v>
      </c>
      <c r="CR13" t="n">
        <v>48</v>
      </c>
      <c r="CS13" t="n">
        <v>24</v>
      </c>
      <c r="CT13" t="n">
        <v>56</v>
      </c>
      <c r="CU13" t="n">
        <v>153</v>
      </c>
      <c r="CV13" t="n">
        <v>116</v>
      </c>
      <c r="CW13" t="n">
        <v>213</v>
      </c>
      <c r="CX13" t="n">
        <v>12.3</v>
      </c>
      <c r="CY13" t="n">
        <v>15.1</v>
      </c>
      <c r="CZ13" t="n">
        <v>21.5</v>
      </c>
      <c r="DA13" t="n">
        <v>24.5</v>
      </c>
      <c r="DB13" t="n">
        <v>11.8</v>
      </c>
      <c r="DC13" t="n">
        <v>14.4</v>
      </c>
      <c r="DD13" t="n">
        <v>20.5</v>
      </c>
      <c r="DE13" t="n">
        <v>22.7</v>
      </c>
      <c r="DF13" t="n">
        <v>12.8</v>
      </c>
      <c r="DG13" t="n">
        <v>17.5</v>
      </c>
      <c r="DH13" t="n">
        <v>22.6</v>
      </c>
      <c r="DI13" t="n">
        <v>27.3</v>
      </c>
      <c r="DJ13" t="n">
        <v>12.5</v>
      </c>
      <c r="DK13" t="n">
        <v>16.7</v>
      </c>
      <c r="DL13" t="n">
        <v>21.8</v>
      </c>
      <c r="DM13" t="n">
        <v>25.5</v>
      </c>
      <c r="DN13" t="n">
        <v>25.1</v>
      </c>
      <c r="DO13" t="n">
        <v>19.4</v>
      </c>
      <c r="DP13" t="n">
        <v>42.9</v>
      </c>
      <c r="DQ13" t="n">
        <v>29.3</v>
      </c>
      <c r="DR13" t="n">
        <v>24.9</v>
      </c>
      <c r="DS13" t="n">
        <v>17.5</v>
      </c>
      <c r="DT13" t="n">
        <v>39.1</v>
      </c>
      <c r="DU13" t="n">
        <v>24.8</v>
      </c>
      <c r="DV13" t="inlineStr">
        <is>
          <t>(CONTRACTS OF 5,000 BUSHELS)</t>
        </is>
      </c>
    </row>
    <row r="14">
      <c r="A14" t="inlineStr">
        <is>
          <t>NJ SRECS - ICE FUTURES ENERGY DIV</t>
        </is>
      </c>
      <c r="B14" t="n">
        <v>230110</v>
      </c>
      <c r="C14" s="1" t="n">
        <v>44936</v>
      </c>
      <c r="D14" t="inlineStr">
        <is>
          <t>0063CC</t>
        </is>
      </c>
      <c r="E14" t="inlineStr">
        <is>
          <t>IFED</t>
        </is>
      </c>
      <c r="F14" t="inlineStr">
        <is>
          <t>01</t>
        </is>
      </c>
      <c r="G14" t="inlineStr">
        <is>
          <t xml:space="preserve">006 </t>
        </is>
      </c>
      <c r="H14" t="n">
        <v>132224</v>
      </c>
      <c r="I14" s="17" t="n">
        <v>39123</v>
      </c>
      <c r="J14" s="17" t="n">
        <v>6516</v>
      </c>
      <c r="K14" t="n">
        <v>7845</v>
      </c>
      <c r="L14" t="n">
        <v>85256</v>
      </c>
      <c r="M14" t="n">
        <v>117863</v>
      </c>
      <c r="N14" t="n">
        <v>132224</v>
      </c>
      <c r="O14" t="n">
        <v>132224</v>
      </c>
      <c r="P14" t="n">
        <v>0</v>
      </c>
      <c r="Q14" t="n">
        <v>0</v>
      </c>
      <c r="R14" t="n">
        <v>132224</v>
      </c>
      <c r="S14" t="n">
        <v>39123</v>
      </c>
      <c r="T14" t="n">
        <v>6516</v>
      </c>
      <c r="U14" t="n">
        <v>7845</v>
      </c>
      <c r="V14" t="n">
        <v>85256</v>
      </c>
      <c r="W14" t="n">
        <v>117863</v>
      </c>
      <c r="X14" t="n">
        <v>132224</v>
      </c>
      <c r="Y14" t="n">
        <v>132224</v>
      </c>
      <c r="Z14" t="n">
        <v>0</v>
      </c>
      <c r="AA14" t="n">
        <v>0</v>
      </c>
      <c r="AB14" t="n">
        <v>0</v>
      </c>
      <c r="AC14" t="n">
        <v>0</v>
      </c>
      <c r="AD14" t="n">
        <v>0</v>
      </c>
      <c r="AE14" t="n">
        <v>0</v>
      </c>
      <c r="AF14" t="n">
        <v>0</v>
      </c>
      <c r="AG14" t="n">
        <v>0</v>
      </c>
      <c r="AH14" t="n">
        <v>0</v>
      </c>
      <c r="AI14" t="n">
        <v>0</v>
      </c>
      <c r="AJ14" t="n">
        <v>0</v>
      </c>
      <c r="AK14" t="n">
        <v>0</v>
      </c>
      <c r="AL14" t="n">
        <v>-1255</v>
      </c>
      <c r="AM14" t="n">
        <v>0</v>
      </c>
      <c r="AN14" t="n">
        <v>0</v>
      </c>
      <c r="AO14" t="n">
        <v>0</v>
      </c>
      <c r="AP14" t="n">
        <v>-1255</v>
      </c>
      <c r="AQ14" t="n">
        <v>-1255</v>
      </c>
      <c r="AR14" t="n">
        <v>-1255</v>
      </c>
      <c r="AS14" t="n">
        <v>-1255</v>
      </c>
      <c r="AT14" t="n">
        <v>0</v>
      </c>
      <c r="AU14" t="n">
        <v>0</v>
      </c>
      <c r="AV14" t="n">
        <v>100</v>
      </c>
      <c r="AW14" t="n">
        <v>29.6</v>
      </c>
      <c r="AX14" t="n">
        <v>4.9</v>
      </c>
      <c r="AY14" t="n">
        <v>5.9</v>
      </c>
      <c r="AZ14" t="n">
        <v>64.5</v>
      </c>
      <c r="BA14" t="n">
        <v>89.09999999999999</v>
      </c>
      <c r="BB14" t="n">
        <v>100</v>
      </c>
      <c r="BC14" t="n">
        <v>100</v>
      </c>
      <c r="BD14" t="n">
        <v>0</v>
      </c>
      <c r="BE14" t="n">
        <v>0</v>
      </c>
      <c r="BF14" t="n">
        <v>100</v>
      </c>
      <c r="BG14" t="n">
        <v>29.6</v>
      </c>
      <c r="BH14" t="n">
        <v>4.9</v>
      </c>
      <c r="BI14" t="n">
        <v>5.9</v>
      </c>
      <c r="BJ14" t="n">
        <v>64.5</v>
      </c>
      <c r="BK14" t="n">
        <v>89.09999999999999</v>
      </c>
      <c r="BL14" t="n">
        <v>100</v>
      </c>
      <c r="BM14" t="n">
        <v>100</v>
      </c>
      <c r="BN14" t="n">
        <v>0</v>
      </c>
      <c r="BO14" t="n">
        <v>0</v>
      </c>
      <c r="BP14" t="n">
        <v>0</v>
      </c>
      <c r="BQ14" t="n">
        <v>0</v>
      </c>
      <c r="BR14" t="n">
        <v>0</v>
      </c>
      <c r="BS14" t="n">
        <v>0</v>
      </c>
      <c r="BT14" t="n">
        <v>0</v>
      </c>
      <c r="BU14" t="n">
        <v>0</v>
      </c>
      <c r="BV14" t="n">
        <v>0</v>
      </c>
      <c r="BW14" t="n">
        <v>0</v>
      </c>
      <c r="BX14" t="n">
        <v>0</v>
      </c>
      <c r="BY14" t="n">
        <v>0</v>
      </c>
      <c r="BZ14" t="n">
        <v>29</v>
      </c>
      <c r="CA14" t="n">
        <v>7</v>
      </c>
      <c r="CB14" t="n">
        <v>3</v>
      </c>
      <c r="CC14" t="n">
        <v>5</v>
      </c>
      <c r="CD14" t="n">
        <v>16</v>
      </c>
      <c r="CE14" t="n">
        <v>9</v>
      </c>
      <c r="CF14" t="n">
        <v>26</v>
      </c>
      <c r="CG14" t="n">
        <v>15</v>
      </c>
      <c r="CH14" t="n">
        <v>29</v>
      </c>
      <c r="CI14" t="n">
        <v>7</v>
      </c>
      <c r="CJ14" t="n">
        <v>3</v>
      </c>
      <c r="CK14" t="n">
        <v>5</v>
      </c>
      <c r="CL14" t="n">
        <v>16</v>
      </c>
      <c r="CM14" t="n">
        <v>9</v>
      </c>
      <c r="CN14" t="n">
        <v>26</v>
      </c>
      <c r="CO14" t="n">
        <v>15</v>
      </c>
      <c r="CP14" t="n">
        <v>0</v>
      </c>
      <c r="CQ14" t="n">
        <v>0</v>
      </c>
      <c r="CR14" t="n">
        <v>0</v>
      </c>
      <c r="CS14" t="n">
        <v>0</v>
      </c>
      <c r="CT14" t="n">
        <v>0</v>
      </c>
      <c r="CU14" t="n">
        <v>0</v>
      </c>
      <c r="CV14" t="n">
        <v>0</v>
      </c>
      <c r="CW14" t="n">
        <v>0</v>
      </c>
      <c r="CX14" t="n">
        <v>49.6</v>
      </c>
      <c r="CY14" t="n">
        <v>90.40000000000001</v>
      </c>
      <c r="CZ14" t="n">
        <v>72.40000000000001</v>
      </c>
      <c r="DA14" t="n">
        <v>97.5</v>
      </c>
      <c r="DB14" t="n">
        <v>49.5</v>
      </c>
      <c r="DC14" t="n">
        <v>86.5</v>
      </c>
      <c r="DD14" t="n">
        <v>71.2</v>
      </c>
      <c r="DE14" t="n">
        <v>88</v>
      </c>
      <c r="DF14" t="n">
        <v>49.6</v>
      </c>
      <c r="DG14" t="n">
        <v>90.40000000000001</v>
      </c>
      <c r="DH14" t="n">
        <v>72.40000000000001</v>
      </c>
      <c r="DI14" t="n">
        <v>97.5</v>
      </c>
      <c r="DJ14" t="n">
        <v>49.5</v>
      </c>
      <c r="DK14" t="n">
        <v>86.5</v>
      </c>
      <c r="DL14" t="n">
        <v>71.2</v>
      </c>
      <c r="DM14" t="n">
        <v>88</v>
      </c>
      <c r="DN14" t="n">
        <v>0</v>
      </c>
      <c r="DO14" t="n">
        <v>0</v>
      </c>
      <c r="DP14" t="n">
        <v>0</v>
      </c>
      <c r="DQ14" t="n">
        <v>0</v>
      </c>
      <c r="DR14" t="n">
        <v>0</v>
      </c>
      <c r="DS14" t="n">
        <v>0</v>
      </c>
      <c r="DT14" t="n">
        <v>0</v>
      </c>
      <c r="DU14" t="n">
        <v>0</v>
      </c>
      <c r="DV14" t="inlineStr">
        <is>
          <t>(10 SRECs)</t>
        </is>
      </c>
    </row>
    <row r="15">
      <c r="A15" t="inlineStr">
        <is>
          <t>NJ SRECS - ICE FUTURES ENERGY DIV</t>
        </is>
      </c>
      <c r="B15" t="n">
        <v>230103</v>
      </c>
      <c r="C15" s="1" t="n">
        <v>44929</v>
      </c>
      <c r="D15" t="inlineStr">
        <is>
          <t>0063CC</t>
        </is>
      </c>
      <c r="E15" t="inlineStr">
        <is>
          <t>IFED</t>
        </is>
      </c>
      <c r="F15" t="inlineStr">
        <is>
          <t>01</t>
        </is>
      </c>
      <c r="G15" t="inlineStr">
        <is>
          <t xml:space="preserve">006 </t>
        </is>
      </c>
      <c r="H15" t="n">
        <v>133479</v>
      </c>
      <c r="I15" s="17" t="n">
        <v>39123</v>
      </c>
      <c r="J15" s="17" t="n">
        <v>6516</v>
      </c>
      <c r="K15" t="n">
        <v>7845</v>
      </c>
      <c r="L15" t="n">
        <v>86511</v>
      </c>
      <c r="M15" t="n">
        <v>119118</v>
      </c>
      <c r="N15" t="n">
        <v>133479</v>
      </c>
      <c r="O15" t="n">
        <v>133479</v>
      </c>
      <c r="P15" t="n">
        <v>0</v>
      </c>
      <c r="Q15" t="n">
        <v>0</v>
      </c>
      <c r="R15" t="n">
        <v>133479</v>
      </c>
      <c r="S15" t="n">
        <v>39123</v>
      </c>
      <c r="T15" t="n">
        <v>6516</v>
      </c>
      <c r="U15" t="n">
        <v>7845</v>
      </c>
      <c r="V15" t="n">
        <v>86511</v>
      </c>
      <c r="W15" t="n">
        <v>119118</v>
      </c>
      <c r="X15" t="n">
        <v>133479</v>
      </c>
      <c r="Y15" t="n">
        <v>133479</v>
      </c>
      <c r="Z15" t="n">
        <v>0</v>
      </c>
      <c r="AA15" t="n">
        <v>0</v>
      </c>
      <c r="AB15" t="n">
        <v>0</v>
      </c>
      <c r="AC15" t="n">
        <v>0</v>
      </c>
      <c r="AD15" t="n">
        <v>0</v>
      </c>
      <c r="AE15" t="n">
        <v>0</v>
      </c>
      <c r="AF15" t="n">
        <v>0</v>
      </c>
      <c r="AG15" t="n">
        <v>0</v>
      </c>
      <c r="AH15" t="n">
        <v>0</v>
      </c>
      <c r="AI15" t="n">
        <v>0</v>
      </c>
      <c r="AJ15" t="n">
        <v>0</v>
      </c>
      <c r="AK15" t="n">
        <v>0</v>
      </c>
      <c r="AL15" t="n">
        <v>0</v>
      </c>
      <c r="AM15" t="n">
        <v>0</v>
      </c>
      <c r="AN15" t="n">
        <v>0</v>
      </c>
      <c r="AO15" t="n">
        <v>0</v>
      </c>
      <c r="AP15" t="n">
        <v>0</v>
      </c>
      <c r="AQ15" t="n">
        <v>0</v>
      </c>
      <c r="AR15" t="n">
        <v>0</v>
      </c>
      <c r="AS15" t="n">
        <v>0</v>
      </c>
      <c r="AT15" t="n">
        <v>0</v>
      </c>
      <c r="AU15" t="n">
        <v>0</v>
      </c>
      <c r="AV15" t="n">
        <v>100</v>
      </c>
      <c r="AW15" t="n">
        <v>29.3</v>
      </c>
      <c r="AX15" t="n">
        <v>4.9</v>
      </c>
      <c r="AY15" t="n">
        <v>5.9</v>
      </c>
      <c r="AZ15" t="n">
        <v>64.8</v>
      </c>
      <c r="BA15" t="n">
        <v>89.2</v>
      </c>
      <c r="BB15" t="n">
        <v>100</v>
      </c>
      <c r="BC15" t="n">
        <v>100</v>
      </c>
      <c r="BD15" t="n">
        <v>0</v>
      </c>
      <c r="BE15" t="n">
        <v>0</v>
      </c>
      <c r="BF15" t="n">
        <v>100</v>
      </c>
      <c r="BG15" t="n">
        <v>29.3</v>
      </c>
      <c r="BH15" t="n">
        <v>4.9</v>
      </c>
      <c r="BI15" t="n">
        <v>5.9</v>
      </c>
      <c r="BJ15" t="n">
        <v>64.8</v>
      </c>
      <c r="BK15" t="n">
        <v>89.2</v>
      </c>
      <c r="BL15" t="n">
        <v>100</v>
      </c>
      <c r="BM15" t="n">
        <v>100</v>
      </c>
      <c r="BN15" t="n">
        <v>0</v>
      </c>
      <c r="BO15" t="n">
        <v>0</v>
      </c>
      <c r="BP15" t="n">
        <v>0</v>
      </c>
      <c r="BQ15" t="n">
        <v>0</v>
      </c>
      <c r="BR15" t="n">
        <v>0</v>
      </c>
      <c r="BS15" t="n">
        <v>0</v>
      </c>
      <c r="BT15" t="n">
        <v>0</v>
      </c>
      <c r="BU15" t="n">
        <v>0</v>
      </c>
      <c r="BV15" t="n">
        <v>0</v>
      </c>
      <c r="BW15" t="n">
        <v>0</v>
      </c>
      <c r="BX15" t="n">
        <v>0</v>
      </c>
      <c r="BY15" t="n">
        <v>0</v>
      </c>
      <c r="BZ15" t="n">
        <v>29</v>
      </c>
      <c r="CA15" t="n">
        <v>7</v>
      </c>
      <c r="CB15" t="n">
        <v>3</v>
      </c>
      <c r="CC15" t="n">
        <v>5</v>
      </c>
      <c r="CD15" t="n">
        <v>16</v>
      </c>
      <c r="CE15" t="n">
        <v>9</v>
      </c>
      <c r="CF15" t="n">
        <v>26</v>
      </c>
      <c r="CG15" t="n">
        <v>15</v>
      </c>
      <c r="CH15" t="n">
        <v>29</v>
      </c>
      <c r="CI15" t="n">
        <v>7</v>
      </c>
      <c r="CJ15" t="n">
        <v>3</v>
      </c>
      <c r="CK15" t="n">
        <v>5</v>
      </c>
      <c r="CL15" t="n">
        <v>16</v>
      </c>
      <c r="CM15" t="n">
        <v>9</v>
      </c>
      <c r="CN15" t="n">
        <v>26</v>
      </c>
      <c r="CO15" t="n">
        <v>15</v>
      </c>
      <c r="CP15" t="n">
        <v>0</v>
      </c>
      <c r="CQ15" t="n">
        <v>0</v>
      </c>
      <c r="CR15" t="n">
        <v>0</v>
      </c>
      <c r="CS15" t="n">
        <v>0</v>
      </c>
      <c r="CT15" t="n">
        <v>0</v>
      </c>
      <c r="CU15" t="n">
        <v>0</v>
      </c>
      <c r="CV15" t="n">
        <v>0</v>
      </c>
      <c r="CW15" t="n">
        <v>0</v>
      </c>
      <c r="CX15" t="n">
        <v>51.1</v>
      </c>
      <c r="CY15" t="n">
        <v>90.5</v>
      </c>
      <c r="CZ15" t="n">
        <v>73.59999999999999</v>
      </c>
      <c r="DA15" t="n">
        <v>97.5</v>
      </c>
      <c r="DB15" t="n">
        <v>50.9</v>
      </c>
      <c r="DC15" t="n">
        <v>87.59999999999999</v>
      </c>
      <c r="DD15" t="n">
        <v>72.40000000000001</v>
      </c>
      <c r="DE15" t="n">
        <v>89</v>
      </c>
      <c r="DF15" t="n">
        <v>51.1</v>
      </c>
      <c r="DG15" t="n">
        <v>90.5</v>
      </c>
      <c r="DH15" t="n">
        <v>73.59999999999999</v>
      </c>
      <c r="DI15" t="n">
        <v>97.5</v>
      </c>
      <c r="DJ15" t="n">
        <v>50.9</v>
      </c>
      <c r="DK15" t="n">
        <v>87.59999999999999</v>
      </c>
      <c r="DL15" t="n">
        <v>72.40000000000001</v>
      </c>
      <c r="DM15" t="n">
        <v>89</v>
      </c>
      <c r="DN15" t="n">
        <v>0</v>
      </c>
      <c r="DO15" t="n">
        <v>0</v>
      </c>
      <c r="DP15" t="n">
        <v>0</v>
      </c>
      <c r="DQ15" t="n">
        <v>0</v>
      </c>
      <c r="DR15" t="n">
        <v>0</v>
      </c>
      <c r="DS15" t="n">
        <v>0</v>
      </c>
      <c r="DT15" t="n">
        <v>0</v>
      </c>
      <c r="DU15" t="n">
        <v>0</v>
      </c>
      <c r="DV15" t="inlineStr">
        <is>
          <t>(10 SRECs)</t>
        </is>
      </c>
    </row>
    <row r="16">
      <c r="A16" t="inlineStr">
        <is>
          <t>PJM TRI-RECs CLASS 1 - ICE FUTURES ENERGY DIV</t>
        </is>
      </c>
      <c r="B16" t="n">
        <v>230110</v>
      </c>
      <c r="C16" s="1" t="n">
        <v>44936</v>
      </c>
      <c r="D16" t="inlineStr">
        <is>
          <t>0063CH</t>
        </is>
      </c>
      <c r="E16" t="inlineStr">
        <is>
          <t>IFED</t>
        </is>
      </c>
      <c r="F16" t="inlineStr">
        <is>
          <t>01</t>
        </is>
      </c>
      <c r="G16" t="inlineStr">
        <is>
          <t xml:space="preserve">006 </t>
        </is>
      </c>
      <c r="H16" t="n">
        <v>250731</v>
      </c>
      <c r="I16" s="17" t="n">
        <v>95670</v>
      </c>
      <c r="J16" s="17" t="n">
        <v>14138</v>
      </c>
      <c r="K16" t="n">
        <v>14882</v>
      </c>
      <c r="L16" t="n">
        <v>140158</v>
      </c>
      <c r="M16" t="n">
        <v>221711</v>
      </c>
      <c r="N16" t="n">
        <v>250710</v>
      </c>
      <c r="O16" t="n">
        <v>250731</v>
      </c>
      <c r="P16" t="n">
        <v>21</v>
      </c>
      <c r="Q16" t="n">
        <v>0</v>
      </c>
      <c r="R16" t="n">
        <v>250731</v>
      </c>
      <c r="S16" t="n">
        <v>95670</v>
      </c>
      <c r="T16" t="n">
        <v>14138</v>
      </c>
      <c r="U16" t="n">
        <v>14882</v>
      </c>
      <c r="V16" t="n">
        <v>140158</v>
      </c>
      <c r="W16" t="n">
        <v>221711</v>
      </c>
      <c r="X16" t="n">
        <v>250710</v>
      </c>
      <c r="Y16" t="n">
        <v>250731</v>
      </c>
      <c r="Z16" t="n">
        <v>21</v>
      </c>
      <c r="AA16" t="n">
        <v>0</v>
      </c>
      <c r="AB16" t="n">
        <v>0</v>
      </c>
      <c r="AC16" t="n">
        <v>0</v>
      </c>
      <c r="AD16" t="n">
        <v>0</v>
      </c>
      <c r="AE16" t="n">
        <v>0</v>
      </c>
      <c r="AF16" t="n">
        <v>0</v>
      </c>
      <c r="AG16" t="n">
        <v>0</v>
      </c>
      <c r="AH16" t="n">
        <v>0</v>
      </c>
      <c r="AI16" t="n">
        <v>0</v>
      </c>
      <c r="AJ16" t="n">
        <v>0</v>
      </c>
      <c r="AK16" t="n">
        <v>0</v>
      </c>
      <c r="AL16" t="n">
        <v>2719</v>
      </c>
      <c r="AM16" t="n">
        <v>1485</v>
      </c>
      <c r="AN16" t="n">
        <v>449</v>
      </c>
      <c r="AO16" t="n">
        <v>307</v>
      </c>
      <c r="AP16" t="n">
        <v>927</v>
      </c>
      <c r="AQ16" t="n">
        <v>1963</v>
      </c>
      <c r="AR16" t="n">
        <v>2719</v>
      </c>
      <c r="AS16" t="n">
        <v>2719</v>
      </c>
      <c r="AT16" t="n">
        <v>0</v>
      </c>
      <c r="AU16" t="n">
        <v>0</v>
      </c>
      <c r="AV16" t="n">
        <v>100</v>
      </c>
      <c r="AW16" t="n">
        <v>38.2</v>
      </c>
      <c r="AX16" t="n">
        <v>5.6</v>
      </c>
      <c r="AY16" t="n">
        <v>5.9</v>
      </c>
      <c r="AZ16" t="n">
        <v>55.9</v>
      </c>
      <c r="BA16" t="n">
        <v>88.40000000000001</v>
      </c>
      <c r="BB16" t="n">
        <v>100</v>
      </c>
      <c r="BC16" t="n">
        <v>100</v>
      </c>
      <c r="BD16" t="n">
        <v>0</v>
      </c>
      <c r="BE16" t="n">
        <v>0</v>
      </c>
      <c r="BF16" t="n">
        <v>100</v>
      </c>
      <c r="BG16" t="n">
        <v>38.2</v>
      </c>
      <c r="BH16" t="n">
        <v>5.6</v>
      </c>
      <c r="BI16" t="n">
        <v>5.9</v>
      </c>
      <c r="BJ16" t="n">
        <v>55.9</v>
      </c>
      <c r="BK16" t="n">
        <v>88.40000000000001</v>
      </c>
      <c r="BL16" t="n">
        <v>100</v>
      </c>
      <c r="BM16" t="n">
        <v>100</v>
      </c>
      <c r="BN16" t="n">
        <v>0</v>
      </c>
      <c r="BO16" t="n">
        <v>0</v>
      </c>
      <c r="BP16" t="n">
        <v>0</v>
      </c>
      <c r="BQ16" t="n">
        <v>0</v>
      </c>
      <c r="BR16" t="n">
        <v>0</v>
      </c>
      <c r="BS16" t="n">
        <v>0</v>
      </c>
      <c r="BT16" t="n">
        <v>0</v>
      </c>
      <c r="BU16" t="n">
        <v>0</v>
      </c>
      <c r="BV16" t="n">
        <v>0</v>
      </c>
      <c r="BW16" t="n">
        <v>0</v>
      </c>
      <c r="BX16" t="n">
        <v>0</v>
      </c>
      <c r="BY16" t="n">
        <v>0</v>
      </c>
      <c r="BZ16" t="n">
        <v>48</v>
      </c>
      <c r="CA16" t="n">
        <v>11</v>
      </c>
      <c r="CB16" t="n">
        <v>4</v>
      </c>
      <c r="CC16" t="n">
        <v>8</v>
      </c>
      <c r="CD16" t="n">
        <v>25</v>
      </c>
      <c r="CE16" t="n">
        <v>19</v>
      </c>
      <c r="CF16" t="n">
        <v>38</v>
      </c>
      <c r="CG16" t="n">
        <v>30</v>
      </c>
      <c r="CH16" t="n">
        <v>48</v>
      </c>
      <c r="CI16" t="n">
        <v>11</v>
      </c>
      <c r="CJ16" t="n">
        <v>4</v>
      </c>
      <c r="CK16" t="n">
        <v>8</v>
      </c>
      <c r="CL16" t="n">
        <v>25</v>
      </c>
      <c r="CM16" t="n">
        <v>19</v>
      </c>
      <c r="CN16" t="n">
        <v>38</v>
      </c>
      <c r="CO16" t="n">
        <v>30</v>
      </c>
      <c r="CP16" t="n">
        <v>0</v>
      </c>
      <c r="CQ16" t="n">
        <v>0</v>
      </c>
      <c r="CR16" t="n">
        <v>0</v>
      </c>
      <c r="CS16" t="n">
        <v>0</v>
      </c>
      <c r="CT16" t="n">
        <v>0</v>
      </c>
      <c r="CU16" t="n">
        <v>0</v>
      </c>
      <c r="CV16" t="n">
        <v>0</v>
      </c>
      <c r="CW16" t="n">
        <v>0</v>
      </c>
      <c r="CX16" t="n">
        <v>57.2</v>
      </c>
      <c r="CY16" t="n">
        <v>65.40000000000001</v>
      </c>
      <c r="CZ16" t="n">
        <v>77.2</v>
      </c>
      <c r="DA16" t="n">
        <v>85.09999999999999</v>
      </c>
      <c r="DB16" t="n">
        <v>55.3</v>
      </c>
      <c r="DC16" t="n">
        <v>59.9</v>
      </c>
      <c r="DD16" t="n">
        <v>67.7</v>
      </c>
      <c r="DE16" t="n">
        <v>74.59999999999999</v>
      </c>
      <c r="DF16" t="n">
        <v>57.2</v>
      </c>
      <c r="DG16" t="n">
        <v>65.40000000000001</v>
      </c>
      <c r="DH16" t="n">
        <v>77.2</v>
      </c>
      <c r="DI16" t="n">
        <v>85.09999999999999</v>
      </c>
      <c r="DJ16" t="n">
        <v>55.3</v>
      </c>
      <c r="DK16" t="n">
        <v>59.9</v>
      </c>
      <c r="DL16" t="n">
        <v>67.7</v>
      </c>
      <c r="DM16" t="n">
        <v>74.59999999999999</v>
      </c>
      <c r="DN16" t="n">
        <v>0</v>
      </c>
      <c r="DO16" t="n">
        <v>0</v>
      </c>
      <c r="DP16" t="n">
        <v>0</v>
      </c>
      <c r="DQ16" t="n">
        <v>0</v>
      </c>
      <c r="DR16" t="n">
        <v>0</v>
      </c>
      <c r="DS16" t="n">
        <v>0</v>
      </c>
      <c r="DT16" t="n">
        <v>0</v>
      </c>
      <c r="DU16" t="n">
        <v>0</v>
      </c>
      <c r="DV16" t="inlineStr">
        <is>
          <t>100 MWh of renewable energy certificates</t>
        </is>
      </c>
    </row>
    <row r="17">
      <c r="A17" t="inlineStr">
        <is>
          <t>PJM TRI-RECs CLASS 1 - ICE FUTURES ENERGY DIV</t>
        </is>
      </c>
      <c r="B17" t="n">
        <v>230103</v>
      </c>
      <c r="C17" s="1" t="n">
        <v>44929</v>
      </c>
      <c r="D17" t="inlineStr">
        <is>
          <t>0063CH</t>
        </is>
      </c>
      <c r="E17" t="inlineStr">
        <is>
          <t>IFED</t>
        </is>
      </c>
      <c r="F17" t="inlineStr">
        <is>
          <t>01</t>
        </is>
      </c>
      <c r="G17" t="inlineStr">
        <is>
          <t xml:space="preserve">006 </t>
        </is>
      </c>
      <c r="H17" t="n">
        <v>248012</v>
      </c>
      <c r="I17" s="17" t="n">
        <v>94185</v>
      </c>
      <c r="J17" s="17" t="n">
        <v>13689</v>
      </c>
      <c r="K17" t="n">
        <v>14575</v>
      </c>
      <c r="L17" t="n">
        <v>139231</v>
      </c>
      <c r="M17" t="n">
        <v>219748</v>
      </c>
      <c r="N17" t="n">
        <v>247991</v>
      </c>
      <c r="O17" t="n">
        <v>248012</v>
      </c>
      <c r="P17" t="n">
        <v>21</v>
      </c>
      <c r="Q17" t="n">
        <v>0</v>
      </c>
      <c r="R17" t="n">
        <v>248012</v>
      </c>
      <c r="S17" t="n">
        <v>94185</v>
      </c>
      <c r="T17" t="n">
        <v>13689</v>
      </c>
      <c r="U17" t="n">
        <v>14575</v>
      </c>
      <c r="V17" t="n">
        <v>139231</v>
      </c>
      <c r="W17" t="n">
        <v>219748</v>
      </c>
      <c r="X17" t="n">
        <v>247991</v>
      </c>
      <c r="Y17" t="n">
        <v>248012</v>
      </c>
      <c r="Z17" t="n">
        <v>21</v>
      </c>
      <c r="AA17" t="n">
        <v>0</v>
      </c>
      <c r="AB17" t="n">
        <v>0</v>
      </c>
      <c r="AC17" t="n">
        <v>0</v>
      </c>
      <c r="AD17" t="n">
        <v>0</v>
      </c>
      <c r="AE17" t="n">
        <v>0</v>
      </c>
      <c r="AF17" t="n">
        <v>0</v>
      </c>
      <c r="AG17" t="n">
        <v>0</v>
      </c>
      <c r="AH17" t="n">
        <v>0</v>
      </c>
      <c r="AI17" t="n">
        <v>0</v>
      </c>
      <c r="AJ17" t="n">
        <v>0</v>
      </c>
      <c r="AK17" t="n">
        <v>0</v>
      </c>
      <c r="AL17" t="n">
        <v>1729</v>
      </c>
      <c r="AM17" t="n">
        <v>2341</v>
      </c>
      <c r="AN17" t="n">
        <v>98</v>
      </c>
      <c r="AO17" t="n">
        <v>-82</v>
      </c>
      <c r="AP17" t="n">
        <v>-530</v>
      </c>
      <c r="AQ17" t="n">
        <v>1713</v>
      </c>
      <c r="AR17" t="n">
        <v>1729</v>
      </c>
      <c r="AS17" t="n">
        <v>1729</v>
      </c>
      <c r="AT17" t="n">
        <v>0</v>
      </c>
      <c r="AU17" t="n">
        <v>0</v>
      </c>
      <c r="AV17" t="n">
        <v>100</v>
      </c>
      <c r="AW17" t="n">
        <v>38</v>
      </c>
      <c r="AX17" t="n">
        <v>5.5</v>
      </c>
      <c r="AY17" t="n">
        <v>5.9</v>
      </c>
      <c r="AZ17" t="n">
        <v>56.1</v>
      </c>
      <c r="BA17" t="n">
        <v>88.59999999999999</v>
      </c>
      <c r="BB17" t="n">
        <v>100</v>
      </c>
      <c r="BC17" t="n">
        <v>100</v>
      </c>
      <c r="BD17" t="n">
        <v>0</v>
      </c>
      <c r="BE17" t="n">
        <v>0</v>
      </c>
      <c r="BF17" t="n">
        <v>100</v>
      </c>
      <c r="BG17" t="n">
        <v>38</v>
      </c>
      <c r="BH17" t="n">
        <v>5.5</v>
      </c>
      <c r="BI17" t="n">
        <v>5.9</v>
      </c>
      <c r="BJ17" t="n">
        <v>56.1</v>
      </c>
      <c r="BK17" t="n">
        <v>88.59999999999999</v>
      </c>
      <c r="BL17" t="n">
        <v>100</v>
      </c>
      <c r="BM17" t="n">
        <v>100</v>
      </c>
      <c r="BN17" t="n">
        <v>0</v>
      </c>
      <c r="BO17" t="n">
        <v>0</v>
      </c>
      <c r="BP17" t="n">
        <v>0</v>
      </c>
      <c r="BQ17" t="n">
        <v>0</v>
      </c>
      <c r="BR17" t="n">
        <v>0</v>
      </c>
      <c r="BS17" t="n">
        <v>0</v>
      </c>
      <c r="BT17" t="n">
        <v>0</v>
      </c>
      <c r="BU17" t="n">
        <v>0</v>
      </c>
      <c r="BV17" t="n">
        <v>0</v>
      </c>
      <c r="BW17" t="n">
        <v>0</v>
      </c>
      <c r="BX17" t="n">
        <v>0</v>
      </c>
      <c r="BY17" t="n">
        <v>0</v>
      </c>
      <c r="BZ17" t="n">
        <v>48</v>
      </c>
      <c r="CA17" t="n">
        <v>11</v>
      </c>
      <c r="CB17" t="n">
        <v>4</v>
      </c>
      <c r="CC17" t="n">
        <v>7</v>
      </c>
      <c r="CD17" t="n">
        <v>25</v>
      </c>
      <c r="CE17" t="n">
        <v>18</v>
      </c>
      <c r="CF17" t="n">
        <v>38</v>
      </c>
      <c r="CG17" t="n">
        <v>28</v>
      </c>
      <c r="CH17" t="n">
        <v>48</v>
      </c>
      <c r="CI17" t="n">
        <v>11</v>
      </c>
      <c r="CJ17" t="n">
        <v>4</v>
      </c>
      <c r="CK17" t="n">
        <v>7</v>
      </c>
      <c r="CL17" t="n">
        <v>25</v>
      </c>
      <c r="CM17" t="n">
        <v>18</v>
      </c>
      <c r="CN17" t="n">
        <v>38</v>
      </c>
      <c r="CO17" t="n">
        <v>28</v>
      </c>
      <c r="CP17" t="n">
        <v>0</v>
      </c>
      <c r="CQ17" t="n">
        <v>0</v>
      </c>
      <c r="CR17" t="n">
        <v>0</v>
      </c>
      <c r="CS17" t="n">
        <v>0</v>
      </c>
      <c r="CT17" t="n">
        <v>0</v>
      </c>
      <c r="CU17" t="n">
        <v>0</v>
      </c>
      <c r="CV17" t="n">
        <v>0</v>
      </c>
      <c r="CW17" t="n">
        <v>0</v>
      </c>
      <c r="CX17" t="n">
        <v>57.1</v>
      </c>
      <c r="CY17" t="n">
        <v>65.8</v>
      </c>
      <c r="CZ17" t="n">
        <v>76.90000000000001</v>
      </c>
      <c r="DA17" t="n">
        <v>85.40000000000001</v>
      </c>
      <c r="DB17" t="n">
        <v>55.1</v>
      </c>
      <c r="DC17" t="n">
        <v>60.4</v>
      </c>
      <c r="DD17" t="n">
        <v>67.90000000000001</v>
      </c>
      <c r="DE17" t="n">
        <v>74.8</v>
      </c>
      <c r="DF17" t="n">
        <v>57.1</v>
      </c>
      <c r="DG17" t="n">
        <v>65.8</v>
      </c>
      <c r="DH17" t="n">
        <v>76.90000000000001</v>
      </c>
      <c r="DI17" t="n">
        <v>85.40000000000001</v>
      </c>
      <c r="DJ17" t="n">
        <v>55.1</v>
      </c>
      <c r="DK17" t="n">
        <v>60.4</v>
      </c>
      <c r="DL17" t="n">
        <v>67.90000000000001</v>
      </c>
      <c r="DM17" t="n">
        <v>74.8</v>
      </c>
      <c r="DN17" t="n">
        <v>0</v>
      </c>
      <c r="DO17" t="n">
        <v>0</v>
      </c>
      <c r="DP17" t="n">
        <v>0</v>
      </c>
      <c r="DQ17" t="n">
        <v>0</v>
      </c>
      <c r="DR17" t="n">
        <v>0</v>
      </c>
      <c r="DS17" t="n">
        <v>0</v>
      </c>
      <c r="DT17" t="n">
        <v>0</v>
      </c>
      <c r="DU17" t="n">
        <v>0</v>
      </c>
      <c r="DV17" t="inlineStr">
        <is>
          <t>100 MWh of renewable energy certificates</t>
        </is>
      </c>
    </row>
    <row r="18">
      <c r="A18" t="inlineStr">
        <is>
          <t>CALIF LOW CARBON FSC-OPIS - ICE FUTURES ENERGY DIV</t>
        </is>
      </c>
      <c r="B18" t="n">
        <v>230110</v>
      </c>
      <c r="C18" s="1" t="n">
        <v>44936</v>
      </c>
      <c r="D18" t="inlineStr">
        <is>
          <t>0063CU</t>
        </is>
      </c>
      <c r="E18" t="inlineStr">
        <is>
          <t>IFED</t>
        </is>
      </c>
      <c r="F18" t="inlineStr">
        <is>
          <t>01</t>
        </is>
      </c>
      <c r="G18" t="inlineStr">
        <is>
          <t xml:space="preserve">006 </t>
        </is>
      </c>
      <c r="H18" t="n">
        <v>15678</v>
      </c>
      <c r="I18" s="17" t="n">
        <v>3779</v>
      </c>
      <c r="J18" s="17" t="n">
        <v>200</v>
      </c>
      <c r="K18" t="n">
        <v>1577</v>
      </c>
      <c r="L18" t="n">
        <v>10322</v>
      </c>
      <c r="M18" t="n">
        <v>13901</v>
      </c>
      <c r="N18" t="n">
        <v>15678</v>
      </c>
      <c r="O18" t="n">
        <v>15678</v>
      </c>
      <c r="P18" t="n">
        <v>0</v>
      </c>
      <c r="Q18" t="n">
        <v>0</v>
      </c>
      <c r="R18" t="n">
        <v>15678</v>
      </c>
      <c r="S18" t="n">
        <v>3779</v>
      </c>
      <c r="T18" t="n">
        <v>200</v>
      </c>
      <c r="U18" t="n">
        <v>1577</v>
      </c>
      <c r="V18" t="n">
        <v>10322</v>
      </c>
      <c r="W18" t="n">
        <v>13901</v>
      </c>
      <c r="X18" t="n">
        <v>15678</v>
      </c>
      <c r="Y18" t="n">
        <v>15678</v>
      </c>
      <c r="Z18" t="n">
        <v>0</v>
      </c>
      <c r="AA18" t="n">
        <v>0</v>
      </c>
      <c r="AB18" t="n">
        <v>0</v>
      </c>
      <c r="AC18" t="n">
        <v>0</v>
      </c>
      <c r="AD18" t="n">
        <v>0</v>
      </c>
      <c r="AE18" t="n">
        <v>0</v>
      </c>
      <c r="AF18" t="n">
        <v>0</v>
      </c>
      <c r="AG18" t="n">
        <v>0</v>
      </c>
      <c r="AH18" t="n">
        <v>0</v>
      </c>
      <c r="AI18" t="n">
        <v>0</v>
      </c>
      <c r="AJ18" t="n">
        <v>0</v>
      </c>
      <c r="AK18" t="n">
        <v>0</v>
      </c>
      <c r="AL18" t="n">
        <v>756</v>
      </c>
      <c r="AM18" t="n">
        <v>-324</v>
      </c>
      <c r="AN18" t="n">
        <v>100</v>
      </c>
      <c r="AO18" t="n">
        <v>200</v>
      </c>
      <c r="AP18" t="n">
        <v>880</v>
      </c>
      <c r="AQ18" t="n">
        <v>456</v>
      </c>
      <c r="AR18" t="n">
        <v>756</v>
      </c>
      <c r="AS18" t="n">
        <v>756</v>
      </c>
      <c r="AT18" t="n">
        <v>0</v>
      </c>
      <c r="AU18" t="n">
        <v>0</v>
      </c>
      <c r="AV18" t="n">
        <v>100</v>
      </c>
      <c r="AW18" t="n">
        <v>24.1</v>
      </c>
      <c r="AX18" t="n">
        <v>1.3</v>
      </c>
      <c r="AY18" t="n">
        <v>10.1</v>
      </c>
      <c r="AZ18" t="n">
        <v>65.8</v>
      </c>
      <c r="BA18" t="n">
        <v>88.7</v>
      </c>
      <c r="BB18" t="n">
        <v>100</v>
      </c>
      <c r="BC18" t="n">
        <v>100</v>
      </c>
      <c r="BD18" t="n">
        <v>0</v>
      </c>
      <c r="BE18" t="n">
        <v>0</v>
      </c>
      <c r="BF18" t="n">
        <v>100</v>
      </c>
      <c r="BG18" t="n">
        <v>24.1</v>
      </c>
      <c r="BH18" t="n">
        <v>1.3</v>
      </c>
      <c r="BI18" t="n">
        <v>10.1</v>
      </c>
      <c r="BJ18" t="n">
        <v>65.8</v>
      </c>
      <c r="BK18" t="n">
        <v>88.7</v>
      </c>
      <c r="BL18" t="n">
        <v>100</v>
      </c>
      <c r="BM18" t="n">
        <v>100</v>
      </c>
      <c r="BN18" t="n">
        <v>0</v>
      </c>
      <c r="BO18" t="n">
        <v>0</v>
      </c>
      <c r="BP18" t="n">
        <v>0</v>
      </c>
      <c r="BQ18" t="n">
        <v>0</v>
      </c>
      <c r="BR18" t="n">
        <v>0</v>
      </c>
      <c r="BS18" t="n">
        <v>0</v>
      </c>
      <c r="BT18" t="n">
        <v>0</v>
      </c>
      <c r="BU18" t="n">
        <v>0</v>
      </c>
      <c r="BV18" t="n">
        <v>0</v>
      </c>
      <c r="BW18" t="n">
        <v>0</v>
      </c>
      <c r="BX18" t="n">
        <v>0</v>
      </c>
      <c r="BY18" t="n">
        <v>0</v>
      </c>
      <c r="BZ18" t="n">
        <v>21</v>
      </c>
      <c r="CA18" t="n">
        <v>11</v>
      </c>
      <c r="CB18" t="n">
        <v>1</v>
      </c>
      <c r="CC18" t="n">
        <v>3</v>
      </c>
      <c r="CD18" t="n">
        <v>9</v>
      </c>
      <c r="CE18" t="n">
        <v>5</v>
      </c>
      <c r="CF18" t="n">
        <v>20</v>
      </c>
      <c r="CG18" t="n">
        <v>9</v>
      </c>
      <c r="CH18" t="n">
        <v>21</v>
      </c>
      <c r="CI18" t="n">
        <v>11</v>
      </c>
      <c r="CJ18" t="n">
        <v>1</v>
      </c>
      <c r="CK18" t="n">
        <v>3</v>
      </c>
      <c r="CL18" t="n">
        <v>9</v>
      </c>
      <c r="CM18" t="n">
        <v>5</v>
      </c>
      <c r="CN18" t="n">
        <v>20</v>
      </c>
      <c r="CO18" t="n">
        <v>9</v>
      </c>
      <c r="CP18" t="n">
        <v>0</v>
      </c>
      <c r="CQ18" t="n">
        <v>0</v>
      </c>
      <c r="CR18" t="n">
        <v>0</v>
      </c>
      <c r="CS18" t="n">
        <v>0</v>
      </c>
      <c r="CT18" t="n">
        <v>0</v>
      </c>
      <c r="CU18" t="n">
        <v>0</v>
      </c>
      <c r="CV18" t="n">
        <v>0</v>
      </c>
      <c r="CW18" t="n">
        <v>0</v>
      </c>
      <c r="CX18" t="n">
        <v>55.9</v>
      </c>
      <c r="CY18" t="n">
        <v>84.2</v>
      </c>
      <c r="CZ18" t="n">
        <v>79.90000000000001</v>
      </c>
      <c r="DA18" t="n">
        <v>99.40000000000001</v>
      </c>
      <c r="DB18" t="n">
        <v>37.8</v>
      </c>
      <c r="DC18" t="n">
        <v>55.1</v>
      </c>
      <c r="DD18" t="n">
        <v>48.7</v>
      </c>
      <c r="DE18" t="n">
        <v>56.4</v>
      </c>
      <c r="DF18" t="n">
        <v>55.9</v>
      </c>
      <c r="DG18" t="n">
        <v>84.2</v>
      </c>
      <c r="DH18" t="n">
        <v>79.90000000000001</v>
      </c>
      <c r="DI18" t="n">
        <v>99.40000000000001</v>
      </c>
      <c r="DJ18" t="n">
        <v>37.8</v>
      </c>
      <c r="DK18" t="n">
        <v>55.1</v>
      </c>
      <c r="DL18" t="n">
        <v>48.7</v>
      </c>
      <c r="DM18" t="n">
        <v>56.4</v>
      </c>
      <c r="DN18" t="n">
        <v>0</v>
      </c>
      <c r="DO18" t="n">
        <v>0</v>
      </c>
      <c r="DP18" t="n">
        <v>0</v>
      </c>
      <c r="DQ18" t="n">
        <v>0</v>
      </c>
      <c r="DR18" t="n">
        <v>0</v>
      </c>
      <c r="DS18" t="n">
        <v>0</v>
      </c>
      <c r="DT18" t="n">
        <v>0</v>
      </c>
      <c r="DU18" t="n">
        <v>0</v>
      </c>
      <c r="DV18" t="inlineStr">
        <is>
          <t>100 LCFS Credits- each of 1 MT</t>
        </is>
      </c>
    </row>
    <row r="19">
      <c r="A19" t="inlineStr">
        <is>
          <t>CALIF LOW CARBON FSC-OPIS - ICE FUTURES ENERGY DIV</t>
        </is>
      </c>
      <c r="B19" t="n">
        <v>230103</v>
      </c>
      <c r="C19" s="1" t="n">
        <v>44929</v>
      </c>
      <c r="D19" t="inlineStr">
        <is>
          <t>0063CU</t>
        </is>
      </c>
      <c r="E19" t="inlineStr">
        <is>
          <t>IFED</t>
        </is>
      </c>
      <c r="F19" t="inlineStr">
        <is>
          <t>01</t>
        </is>
      </c>
      <c r="G19" t="inlineStr">
        <is>
          <t xml:space="preserve">006 </t>
        </is>
      </c>
      <c r="H19" t="n">
        <v>14922</v>
      </c>
      <c r="I19" s="17" t="n">
        <v>4103</v>
      </c>
      <c r="J19" s="17" t="n">
        <v>100</v>
      </c>
      <c r="K19" t="n">
        <v>1377</v>
      </c>
      <c r="L19" t="n">
        <v>9442</v>
      </c>
      <c r="M19" t="n">
        <v>13445</v>
      </c>
      <c r="N19" t="n">
        <v>14922</v>
      </c>
      <c r="O19" t="n">
        <v>14922</v>
      </c>
      <c r="P19" t="n">
        <v>0</v>
      </c>
      <c r="Q19" t="n">
        <v>0</v>
      </c>
      <c r="R19" t="n">
        <v>14922</v>
      </c>
      <c r="S19" t="n">
        <v>4103</v>
      </c>
      <c r="T19" t="n">
        <v>100</v>
      </c>
      <c r="U19" t="n">
        <v>1377</v>
      </c>
      <c r="V19" t="n">
        <v>9442</v>
      </c>
      <c r="W19" t="n">
        <v>13445</v>
      </c>
      <c r="X19" t="n">
        <v>14922</v>
      </c>
      <c r="Y19" t="n">
        <v>14922</v>
      </c>
      <c r="Z19" t="n">
        <v>0</v>
      </c>
      <c r="AA19" t="n">
        <v>0</v>
      </c>
      <c r="AB19" t="n">
        <v>0</v>
      </c>
      <c r="AC19" t="n">
        <v>0</v>
      </c>
      <c r="AD19" t="n">
        <v>0</v>
      </c>
      <c r="AE19" t="n">
        <v>0</v>
      </c>
      <c r="AF19" t="n">
        <v>0</v>
      </c>
      <c r="AG19" t="n">
        <v>0</v>
      </c>
      <c r="AH19" t="n">
        <v>0</v>
      </c>
      <c r="AI19" t="n">
        <v>0</v>
      </c>
      <c r="AJ19" t="n">
        <v>0</v>
      </c>
      <c r="AK19" t="n">
        <v>0</v>
      </c>
      <c r="AL19" t="n">
        <v>-2303</v>
      </c>
      <c r="AM19" t="n">
        <v>-70</v>
      </c>
      <c r="AN19" t="n">
        <v>-100</v>
      </c>
      <c r="AO19" t="n">
        <v>-540</v>
      </c>
      <c r="AP19" t="n">
        <v>-1682</v>
      </c>
      <c r="AQ19" t="n">
        <v>-1663</v>
      </c>
      <c r="AR19" t="n">
        <v>-2292</v>
      </c>
      <c r="AS19" t="n">
        <v>-2303</v>
      </c>
      <c r="AT19" t="n">
        <v>-11</v>
      </c>
      <c r="AU19" t="n">
        <v>0</v>
      </c>
      <c r="AV19" t="n">
        <v>100</v>
      </c>
      <c r="AW19" t="n">
        <v>27.5</v>
      </c>
      <c r="AX19" t="n">
        <v>0.7</v>
      </c>
      <c r="AY19" t="n">
        <v>9.199999999999999</v>
      </c>
      <c r="AZ19" t="n">
        <v>63.3</v>
      </c>
      <c r="BA19" t="n">
        <v>90.09999999999999</v>
      </c>
      <c r="BB19" t="n">
        <v>100</v>
      </c>
      <c r="BC19" t="n">
        <v>100</v>
      </c>
      <c r="BD19" t="n">
        <v>0</v>
      </c>
      <c r="BE19" t="n">
        <v>0</v>
      </c>
      <c r="BF19" t="n">
        <v>100</v>
      </c>
      <c r="BG19" t="n">
        <v>27.5</v>
      </c>
      <c r="BH19" t="n">
        <v>0.7</v>
      </c>
      <c r="BI19" t="n">
        <v>9.199999999999999</v>
      </c>
      <c r="BJ19" t="n">
        <v>63.3</v>
      </c>
      <c r="BK19" t="n">
        <v>90.09999999999999</v>
      </c>
      <c r="BL19" t="n">
        <v>100</v>
      </c>
      <c r="BM19" t="n">
        <v>100</v>
      </c>
      <c r="BN19" t="n">
        <v>0</v>
      </c>
      <c r="BO19" t="n">
        <v>0</v>
      </c>
      <c r="BP19" t="n">
        <v>0</v>
      </c>
      <c r="BQ19" t="n">
        <v>0</v>
      </c>
      <c r="BR19" t="n">
        <v>0</v>
      </c>
      <c r="BS19" t="n">
        <v>0</v>
      </c>
      <c r="BT19" t="n">
        <v>0</v>
      </c>
      <c r="BU19" t="n">
        <v>0</v>
      </c>
      <c r="BV19" t="n">
        <v>0</v>
      </c>
      <c r="BW19" t="n">
        <v>0</v>
      </c>
      <c r="BX19" t="n">
        <v>0</v>
      </c>
      <c r="BY19" t="n">
        <v>0</v>
      </c>
      <c r="BZ19" t="n">
        <v>20</v>
      </c>
      <c r="CA19" t="n">
        <v>11</v>
      </c>
      <c r="CB19" t="n">
        <v>1</v>
      </c>
      <c r="CC19" t="n">
        <v>3</v>
      </c>
      <c r="CD19" t="n">
        <v>8</v>
      </c>
      <c r="CE19" t="n">
        <v>5</v>
      </c>
      <c r="CF19" t="n">
        <v>19</v>
      </c>
      <c r="CG19" t="n">
        <v>9</v>
      </c>
      <c r="CH19" t="n">
        <v>20</v>
      </c>
      <c r="CI19" t="n">
        <v>11</v>
      </c>
      <c r="CJ19" t="n">
        <v>1</v>
      </c>
      <c r="CK19" t="n">
        <v>3</v>
      </c>
      <c r="CL19" t="n">
        <v>8</v>
      </c>
      <c r="CM19" t="n">
        <v>5</v>
      </c>
      <c r="CN19" t="n">
        <v>19</v>
      </c>
      <c r="CO19" t="n">
        <v>9</v>
      </c>
      <c r="CP19" t="n">
        <v>0</v>
      </c>
      <c r="CQ19" t="n">
        <v>0</v>
      </c>
      <c r="CR19" t="n">
        <v>0</v>
      </c>
      <c r="CS19" t="n">
        <v>0</v>
      </c>
      <c r="CT19" t="n">
        <v>0</v>
      </c>
      <c r="CU19" t="n">
        <v>0</v>
      </c>
      <c r="CV19" t="n">
        <v>0</v>
      </c>
      <c r="CW19" t="n">
        <v>0</v>
      </c>
      <c r="CX19" t="n">
        <v>56.7</v>
      </c>
      <c r="CY19" t="n">
        <v>88.8</v>
      </c>
      <c r="CZ19" t="n">
        <v>80.90000000000001</v>
      </c>
      <c r="DA19" t="n">
        <v>99.3</v>
      </c>
      <c r="DB19" t="n">
        <v>38.2</v>
      </c>
      <c r="DC19" t="n">
        <v>59.9</v>
      </c>
      <c r="DD19" t="n">
        <v>51.6</v>
      </c>
      <c r="DE19" t="n">
        <v>60.6</v>
      </c>
      <c r="DF19" t="n">
        <v>56.7</v>
      </c>
      <c r="DG19" t="n">
        <v>88.8</v>
      </c>
      <c r="DH19" t="n">
        <v>80.90000000000001</v>
      </c>
      <c r="DI19" t="n">
        <v>99.3</v>
      </c>
      <c r="DJ19" t="n">
        <v>38.2</v>
      </c>
      <c r="DK19" t="n">
        <v>59.9</v>
      </c>
      <c r="DL19" t="n">
        <v>51.6</v>
      </c>
      <c r="DM19" t="n">
        <v>60.6</v>
      </c>
      <c r="DN19" t="n">
        <v>0</v>
      </c>
      <c r="DO19" t="n">
        <v>0</v>
      </c>
      <c r="DP19" t="n">
        <v>0</v>
      </c>
      <c r="DQ19" t="n">
        <v>0</v>
      </c>
      <c r="DR19" t="n">
        <v>0</v>
      </c>
      <c r="DS19" t="n">
        <v>0</v>
      </c>
      <c r="DT19" t="n">
        <v>0</v>
      </c>
      <c r="DU19" t="n">
        <v>0</v>
      </c>
      <c r="DV19" t="inlineStr">
        <is>
          <t>100 LCFS Credits- each of 1 MT</t>
        </is>
      </c>
    </row>
    <row r="20">
      <c r="A20" t="inlineStr">
        <is>
          <t>D6 RINs OPIS CURRENT YEAR - ICE FUTURES ENERGY DIV</t>
        </is>
      </c>
      <c r="B20" t="n">
        <v>230110</v>
      </c>
      <c r="C20" s="1" t="n">
        <v>44936</v>
      </c>
      <c r="D20" t="inlineStr">
        <is>
          <t>0063CW</t>
        </is>
      </c>
      <c r="E20" t="inlineStr">
        <is>
          <t>IFED</t>
        </is>
      </c>
      <c r="F20" t="inlineStr">
        <is>
          <t>01</t>
        </is>
      </c>
      <c r="G20" t="inlineStr">
        <is>
          <t xml:space="preserve">006 </t>
        </is>
      </c>
      <c r="H20" t="n">
        <v>3604</v>
      </c>
      <c r="I20" s="17" t="n">
        <v>993</v>
      </c>
      <c r="J20" s="17" t="n">
        <v>2277</v>
      </c>
      <c r="K20" t="n">
        <v>125</v>
      </c>
      <c r="L20" t="n">
        <v>2474</v>
      </c>
      <c r="M20" t="n">
        <v>1197</v>
      </c>
      <c r="N20" t="n">
        <v>3592</v>
      </c>
      <c r="O20" t="n">
        <v>3599</v>
      </c>
      <c r="P20" t="n">
        <v>12</v>
      </c>
      <c r="Q20" t="n">
        <v>5</v>
      </c>
      <c r="R20" t="n">
        <v>3604</v>
      </c>
      <c r="S20" t="n">
        <v>993</v>
      </c>
      <c r="T20" t="n">
        <v>2277</v>
      </c>
      <c r="U20" t="n">
        <v>125</v>
      </c>
      <c r="V20" t="n">
        <v>2474</v>
      </c>
      <c r="W20" t="n">
        <v>1197</v>
      </c>
      <c r="X20" t="n">
        <v>3592</v>
      </c>
      <c r="Y20" t="n">
        <v>3599</v>
      </c>
      <c r="Z20" t="n">
        <v>12</v>
      </c>
      <c r="AA20" t="n">
        <v>5</v>
      </c>
      <c r="AB20" t="n">
        <v>0</v>
      </c>
      <c r="AC20" t="n">
        <v>0</v>
      </c>
      <c r="AD20" t="n">
        <v>0</v>
      </c>
      <c r="AE20" t="n">
        <v>0</v>
      </c>
      <c r="AF20" t="n">
        <v>0</v>
      </c>
      <c r="AG20" t="n">
        <v>0</v>
      </c>
      <c r="AH20" t="n">
        <v>0</v>
      </c>
      <c r="AI20" t="n">
        <v>0</v>
      </c>
      <c r="AJ20" t="n">
        <v>0</v>
      </c>
      <c r="AK20" t="n">
        <v>0</v>
      </c>
      <c r="AL20" t="n">
        <v>-2071</v>
      </c>
      <c r="AM20" t="n">
        <v>487</v>
      </c>
      <c r="AN20" t="n">
        <v>190</v>
      </c>
      <c r="AO20" t="n">
        <v>-1074</v>
      </c>
      <c r="AP20" t="n">
        <v>-1488</v>
      </c>
      <c r="AQ20" t="n">
        <v>-1180</v>
      </c>
      <c r="AR20" t="n">
        <v>-2075</v>
      </c>
      <c r="AS20" t="n">
        <v>-2064</v>
      </c>
      <c r="AT20" t="n">
        <v>4</v>
      </c>
      <c r="AU20" t="n">
        <v>-7</v>
      </c>
      <c r="AV20" t="n">
        <v>100</v>
      </c>
      <c r="AW20" t="n">
        <v>27.6</v>
      </c>
      <c r="AX20" t="n">
        <v>63.2</v>
      </c>
      <c r="AY20" t="n">
        <v>3.5</v>
      </c>
      <c r="AZ20" t="n">
        <v>68.59999999999999</v>
      </c>
      <c r="BA20" t="n">
        <v>33.2</v>
      </c>
      <c r="BB20" t="n">
        <v>99.7</v>
      </c>
      <c r="BC20" t="n">
        <v>99.90000000000001</v>
      </c>
      <c r="BD20" t="n">
        <v>0.3</v>
      </c>
      <c r="BE20" t="n">
        <v>0.1</v>
      </c>
      <c r="BF20" t="n">
        <v>100</v>
      </c>
      <c r="BG20" t="n">
        <v>27.6</v>
      </c>
      <c r="BH20" t="n">
        <v>63.2</v>
      </c>
      <c r="BI20" t="n">
        <v>3.5</v>
      </c>
      <c r="BJ20" t="n">
        <v>68.59999999999999</v>
      </c>
      <c r="BK20" t="n">
        <v>33.2</v>
      </c>
      <c r="BL20" t="n">
        <v>99.7</v>
      </c>
      <c r="BM20" t="n">
        <v>99.90000000000001</v>
      </c>
      <c r="BN20" t="n">
        <v>0.3</v>
      </c>
      <c r="BO20" t="n">
        <v>0.1</v>
      </c>
      <c r="BP20" t="n">
        <v>0</v>
      </c>
      <c r="BQ20" t="n">
        <v>0</v>
      </c>
      <c r="BR20" t="n">
        <v>0</v>
      </c>
      <c r="BS20" t="n">
        <v>0</v>
      </c>
      <c r="BT20" t="n">
        <v>0</v>
      </c>
      <c r="BU20" t="n">
        <v>0</v>
      </c>
      <c r="BV20" t="n">
        <v>0</v>
      </c>
      <c r="BW20" t="n">
        <v>0</v>
      </c>
      <c r="BX20" t="n">
        <v>0</v>
      </c>
      <c r="BY20" t="n">
        <v>0</v>
      </c>
      <c r="BZ20" t="n">
        <v>25</v>
      </c>
      <c r="CA20" t="n">
        <v>6</v>
      </c>
      <c r="CB20" t="n">
        <v>9</v>
      </c>
      <c r="CC20" t="n">
        <v>3</v>
      </c>
      <c r="CD20" t="n">
        <v>6</v>
      </c>
      <c r="CE20" t="n">
        <v>4</v>
      </c>
      <c r="CF20" t="n">
        <v>13</v>
      </c>
      <c r="CG20" t="n">
        <v>15</v>
      </c>
      <c r="CH20" t="n">
        <v>25</v>
      </c>
      <c r="CI20" t="n">
        <v>6</v>
      </c>
      <c r="CJ20" t="n">
        <v>9</v>
      </c>
      <c r="CK20" t="n">
        <v>3</v>
      </c>
      <c r="CL20" t="n">
        <v>6</v>
      </c>
      <c r="CM20" t="n">
        <v>4</v>
      </c>
      <c r="CN20" t="n">
        <v>13</v>
      </c>
      <c r="CO20" t="n">
        <v>15</v>
      </c>
      <c r="CP20" t="n">
        <v>0</v>
      </c>
      <c r="CQ20" t="n">
        <v>0</v>
      </c>
      <c r="CR20" t="n">
        <v>0</v>
      </c>
      <c r="CS20" t="n">
        <v>0</v>
      </c>
      <c r="CT20" t="n">
        <v>0</v>
      </c>
      <c r="CU20" t="n">
        <v>0</v>
      </c>
      <c r="CV20" t="n">
        <v>0</v>
      </c>
      <c r="CW20" t="n">
        <v>0</v>
      </c>
      <c r="CX20" t="n">
        <v>76</v>
      </c>
      <c r="CY20" t="n">
        <v>72.7</v>
      </c>
      <c r="CZ20" t="n">
        <v>92</v>
      </c>
      <c r="DA20" t="n">
        <v>91</v>
      </c>
      <c r="DB20" t="n">
        <v>74.09999999999999</v>
      </c>
      <c r="DC20" t="n">
        <v>72.7</v>
      </c>
      <c r="DD20" t="n">
        <v>89.90000000000001</v>
      </c>
      <c r="DE20" t="n">
        <v>89.7</v>
      </c>
      <c r="DF20" t="n">
        <v>76</v>
      </c>
      <c r="DG20" t="n">
        <v>72.7</v>
      </c>
      <c r="DH20" t="n">
        <v>92</v>
      </c>
      <c r="DI20" t="n">
        <v>91</v>
      </c>
      <c r="DJ20" t="n">
        <v>74.09999999999999</v>
      </c>
      <c r="DK20" t="n">
        <v>72.7</v>
      </c>
      <c r="DL20" t="n">
        <v>89.90000000000001</v>
      </c>
      <c r="DM20" t="n">
        <v>89.7</v>
      </c>
      <c r="DN20" t="n">
        <v>0</v>
      </c>
      <c r="DO20" t="n">
        <v>0</v>
      </c>
      <c r="DP20" t="n">
        <v>0</v>
      </c>
      <c r="DQ20" t="n">
        <v>0</v>
      </c>
      <c r="DR20" t="n">
        <v>0</v>
      </c>
      <c r="DS20" t="n">
        <v>0</v>
      </c>
      <c r="DT20" t="n">
        <v>0</v>
      </c>
      <c r="DU20" t="n">
        <v>0</v>
      </c>
      <c r="DV20" t="inlineStr">
        <is>
          <t>(50,000 RINs)</t>
        </is>
      </c>
    </row>
    <row r="21">
      <c r="A21" t="inlineStr">
        <is>
          <t>D6 RINs OPIS CURRENT YEAR - ICE FUTURES ENERGY DIV</t>
        </is>
      </c>
      <c r="B21" t="n">
        <v>230103</v>
      </c>
      <c r="C21" s="1" t="n">
        <v>44929</v>
      </c>
      <c r="D21" t="inlineStr">
        <is>
          <t>0063CW</t>
        </is>
      </c>
      <c r="E21" t="inlineStr">
        <is>
          <t>IFED</t>
        </is>
      </c>
      <c r="F21" t="inlineStr">
        <is>
          <t>01</t>
        </is>
      </c>
      <c r="G21" t="inlineStr">
        <is>
          <t xml:space="preserve">006 </t>
        </is>
      </c>
      <c r="H21" t="n">
        <v>5675</v>
      </c>
      <c r="I21" s="17" t="n">
        <v>506</v>
      </c>
      <c r="J21" s="17" t="n">
        <v>2087</v>
      </c>
      <c r="K21" t="n">
        <v>1199</v>
      </c>
      <c r="L21" t="n">
        <v>3962</v>
      </c>
      <c r="M21" t="n">
        <v>2377</v>
      </c>
      <c r="N21" t="n">
        <v>5667</v>
      </c>
      <c r="O21" t="n">
        <v>5663</v>
      </c>
      <c r="P21" t="n">
        <v>8</v>
      </c>
      <c r="Q21" t="n">
        <v>12</v>
      </c>
      <c r="R21" t="n">
        <v>5675</v>
      </c>
      <c r="S21" t="n">
        <v>506</v>
      </c>
      <c r="T21" t="n">
        <v>2087</v>
      </c>
      <c r="U21" t="n">
        <v>1199</v>
      </c>
      <c r="V21" t="n">
        <v>3962</v>
      </c>
      <c r="W21" t="n">
        <v>2377</v>
      </c>
      <c r="X21" t="n">
        <v>5667</v>
      </c>
      <c r="Y21" t="n">
        <v>5663</v>
      </c>
      <c r="Z21" t="n">
        <v>8</v>
      </c>
      <c r="AA21" t="n">
        <v>12</v>
      </c>
      <c r="AB21" t="n">
        <v>0</v>
      </c>
      <c r="AC21" t="n">
        <v>0</v>
      </c>
      <c r="AD21" t="n">
        <v>0</v>
      </c>
      <c r="AE21" t="n">
        <v>0</v>
      </c>
      <c r="AF21" t="n">
        <v>0</v>
      </c>
      <c r="AG21" t="n">
        <v>0</v>
      </c>
      <c r="AH21" t="n">
        <v>0</v>
      </c>
      <c r="AI21" t="n">
        <v>0</v>
      </c>
      <c r="AJ21" t="n">
        <v>0</v>
      </c>
      <c r="AK21" t="n">
        <v>0</v>
      </c>
      <c r="AL21" t="n">
        <v>30</v>
      </c>
      <c r="AM21" t="n">
        <v>-18</v>
      </c>
      <c r="AN21" t="n">
        <v>68</v>
      </c>
      <c r="AO21" t="n">
        <v>-18</v>
      </c>
      <c r="AP21" t="n">
        <v>58</v>
      </c>
      <c r="AQ21" t="n">
        <v>-20</v>
      </c>
      <c r="AR21" t="n">
        <v>22</v>
      </c>
      <c r="AS21" t="n">
        <v>30</v>
      </c>
      <c r="AT21" t="n">
        <v>8</v>
      </c>
      <c r="AU21" t="n">
        <v>0</v>
      </c>
      <c r="AV21" t="n">
        <v>100</v>
      </c>
      <c r="AW21" t="n">
        <v>8.9</v>
      </c>
      <c r="AX21" t="n">
        <v>36.8</v>
      </c>
      <c r="AY21" t="n">
        <v>21.1</v>
      </c>
      <c r="AZ21" t="n">
        <v>69.8</v>
      </c>
      <c r="BA21" t="n">
        <v>41.9</v>
      </c>
      <c r="BB21" t="n">
        <v>99.90000000000001</v>
      </c>
      <c r="BC21" t="n">
        <v>99.8</v>
      </c>
      <c r="BD21" t="n">
        <v>0.1</v>
      </c>
      <c r="BE21" t="n">
        <v>0.2</v>
      </c>
      <c r="BF21" t="n">
        <v>100</v>
      </c>
      <c r="BG21" t="n">
        <v>8.9</v>
      </c>
      <c r="BH21" t="n">
        <v>36.8</v>
      </c>
      <c r="BI21" t="n">
        <v>21.1</v>
      </c>
      <c r="BJ21" t="n">
        <v>69.8</v>
      </c>
      <c r="BK21" t="n">
        <v>41.9</v>
      </c>
      <c r="BL21" t="n">
        <v>99.90000000000001</v>
      </c>
      <c r="BM21" t="n">
        <v>99.8</v>
      </c>
      <c r="BN21" t="n">
        <v>0.1</v>
      </c>
      <c r="BO21" t="n">
        <v>0.2</v>
      </c>
      <c r="BP21" t="n">
        <v>0</v>
      </c>
      <c r="BQ21" t="n">
        <v>0</v>
      </c>
      <c r="BR21" t="n">
        <v>0</v>
      </c>
      <c r="BS21" t="n">
        <v>0</v>
      </c>
      <c r="BT21" t="n">
        <v>0</v>
      </c>
      <c r="BU21" t="n">
        <v>0</v>
      </c>
      <c r="BV21" t="n">
        <v>0</v>
      </c>
      <c r="BW21" t="n">
        <v>0</v>
      </c>
      <c r="BX21" t="n">
        <v>0</v>
      </c>
      <c r="BY21" t="n">
        <v>0</v>
      </c>
      <c r="BZ21" t="n">
        <v>24</v>
      </c>
      <c r="CA21" t="n">
        <v>6</v>
      </c>
      <c r="CB21" t="n">
        <v>8</v>
      </c>
      <c r="CC21" t="n">
        <v>7</v>
      </c>
      <c r="CD21" t="n">
        <v>6</v>
      </c>
      <c r="CE21" t="n">
        <v>5</v>
      </c>
      <c r="CF21" t="n">
        <v>15</v>
      </c>
      <c r="CG21" t="n">
        <v>17</v>
      </c>
      <c r="CH21" t="n">
        <v>24</v>
      </c>
      <c r="CI21" t="n">
        <v>6</v>
      </c>
      <c r="CJ21" t="n">
        <v>8</v>
      </c>
      <c r="CK21" t="n">
        <v>7</v>
      </c>
      <c r="CL21" t="n">
        <v>6</v>
      </c>
      <c r="CM21" t="n">
        <v>5</v>
      </c>
      <c r="CN21" t="n">
        <v>15</v>
      </c>
      <c r="CO21" t="n">
        <v>17</v>
      </c>
      <c r="CP21" t="n">
        <v>0</v>
      </c>
      <c r="CQ21" t="n">
        <v>0</v>
      </c>
      <c r="CR21" t="n">
        <v>0</v>
      </c>
      <c r="CS21" t="n">
        <v>0</v>
      </c>
      <c r="CT21" t="n">
        <v>0</v>
      </c>
      <c r="CU21" t="n">
        <v>0</v>
      </c>
      <c r="CV21" t="n">
        <v>0</v>
      </c>
      <c r="CW21" t="n">
        <v>0</v>
      </c>
      <c r="CX21" t="n">
        <v>78.5</v>
      </c>
      <c r="CY21" t="n">
        <v>73.09999999999999</v>
      </c>
      <c r="CZ21" t="n">
        <v>92.59999999999999</v>
      </c>
      <c r="DA21" t="n">
        <v>89.40000000000001</v>
      </c>
      <c r="DB21" t="n">
        <v>53.3</v>
      </c>
      <c r="DC21" t="n">
        <v>46.1</v>
      </c>
      <c r="DD21" t="n">
        <v>59.2</v>
      </c>
      <c r="DE21" t="n">
        <v>56.3</v>
      </c>
      <c r="DF21" t="n">
        <v>78.5</v>
      </c>
      <c r="DG21" t="n">
        <v>73.09999999999999</v>
      </c>
      <c r="DH21" t="n">
        <v>92.59999999999999</v>
      </c>
      <c r="DI21" t="n">
        <v>89.40000000000001</v>
      </c>
      <c r="DJ21" t="n">
        <v>53.3</v>
      </c>
      <c r="DK21" t="n">
        <v>46.1</v>
      </c>
      <c r="DL21" t="n">
        <v>59.2</v>
      </c>
      <c r="DM21" t="n">
        <v>56.3</v>
      </c>
      <c r="DN21" t="n">
        <v>0</v>
      </c>
      <c r="DO21" t="n">
        <v>0</v>
      </c>
      <c r="DP21" t="n">
        <v>0</v>
      </c>
      <c r="DQ21" t="n">
        <v>0</v>
      </c>
      <c r="DR21" t="n">
        <v>0</v>
      </c>
      <c r="DS21" t="n">
        <v>0</v>
      </c>
      <c r="DT21" t="n">
        <v>0</v>
      </c>
      <c r="DU21" t="n">
        <v>0</v>
      </c>
      <c r="DV21" t="inlineStr">
        <is>
          <t>(50,000 RINs)</t>
        </is>
      </c>
    </row>
    <row r="22">
      <c r="A22" t="inlineStr">
        <is>
          <t>PA SOLAR ALTER ENERGY CREDIT - ICE FUTURES ENERGY DIV</t>
        </is>
      </c>
      <c r="B22" t="n">
        <v>230110</v>
      </c>
      <c r="C22" s="1" t="n">
        <v>44936</v>
      </c>
      <c r="D22" t="inlineStr">
        <is>
          <t>0063DA</t>
        </is>
      </c>
      <c r="E22" t="inlineStr">
        <is>
          <t>IFED</t>
        </is>
      </c>
      <c r="F22" t="inlineStr">
        <is>
          <t>01</t>
        </is>
      </c>
      <c r="G22" t="inlineStr">
        <is>
          <t xml:space="preserve">006 </t>
        </is>
      </c>
      <c r="H22" t="n">
        <v>27972</v>
      </c>
      <c r="I22" s="17" t="n">
        <v>3846</v>
      </c>
      <c r="J22" s="17" t="n">
        <v>6231</v>
      </c>
      <c r="K22" t="n">
        <v>4927</v>
      </c>
      <c r="L22" t="n">
        <v>19198</v>
      </c>
      <c r="M22" t="n">
        <v>16814</v>
      </c>
      <c r="N22" t="n">
        <v>27971</v>
      </c>
      <c r="O22" t="n">
        <v>27972</v>
      </c>
      <c r="P22" t="n">
        <v>1</v>
      </c>
      <c r="Q22" t="n">
        <v>0</v>
      </c>
      <c r="R22" t="n">
        <v>27972</v>
      </c>
      <c r="S22" t="n">
        <v>3846</v>
      </c>
      <c r="T22" t="n">
        <v>6231</v>
      </c>
      <c r="U22" t="n">
        <v>4927</v>
      </c>
      <c r="V22" t="n">
        <v>19198</v>
      </c>
      <c r="W22" t="n">
        <v>16814</v>
      </c>
      <c r="X22" t="n">
        <v>27971</v>
      </c>
      <c r="Y22" t="n">
        <v>27972</v>
      </c>
      <c r="Z22" t="n">
        <v>1</v>
      </c>
      <c r="AA22" t="n">
        <v>0</v>
      </c>
      <c r="AB22" t="n">
        <v>0</v>
      </c>
      <c r="AC22" t="n">
        <v>0</v>
      </c>
      <c r="AD22" t="n">
        <v>0</v>
      </c>
      <c r="AE22" t="n">
        <v>0</v>
      </c>
      <c r="AF22" t="n">
        <v>0</v>
      </c>
      <c r="AG22" t="n">
        <v>0</v>
      </c>
      <c r="AH22" t="n">
        <v>0</v>
      </c>
      <c r="AI22" t="n">
        <v>0</v>
      </c>
      <c r="AJ22" t="n">
        <v>0</v>
      </c>
      <c r="AK22" t="n">
        <v>0</v>
      </c>
      <c r="AL22" t="n">
        <v>0</v>
      </c>
      <c r="AM22" t="n">
        <v>0</v>
      </c>
      <c r="AN22" t="n">
        <v>0</v>
      </c>
      <c r="AO22" t="n">
        <v>0</v>
      </c>
      <c r="AP22" t="n">
        <v>0</v>
      </c>
      <c r="AQ22" t="n">
        <v>0</v>
      </c>
      <c r="AR22" t="n">
        <v>0</v>
      </c>
      <c r="AS22" t="n">
        <v>0</v>
      </c>
      <c r="AT22" t="n">
        <v>0</v>
      </c>
      <c r="AU22" t="n">
        <v>0</v>
      </c>
      <c r="AV22" t="n">
        <v>100</v>
      </c>
      <c r="AW22" t="n">
        <v>13.7</v>
      </c>
      <c r="AX22" t="n">
        <v>22.3</v>
      </c>
      <c r="AY22" t="n">
        <v>17.6</v>
      </c>
      <c r="AZ22" t="n">
        <v>68.59999999999999</v>
      </c>
      <c r="BA22" t="n">
        <v>60.1</v>
      </c>
      <c r="BB22" t="n">
        <v>100</v>
      </c>
      <c r="BC22" t="n">
        <v>100</v>
      </c>
      <c r="BD22" t="n">
        <v>0</v>
      </c>
      <c r="BE22" t="n">
        <v>0</v>
      </c>
      <c r="BF22" t="n">
        <v>100</v>
      </c>
      <c r="BG22" t="n">
        <v>13.7</v>
      </c>
      <c r="BH22" t="n">
        <v>22.3</v>
      </c>
      <c r="BI22" t="n">
        <v>17.6</v>
      </c>
      <c r="BJ22" t="n">
        <v>68.59999999999999</v>
      </c>
      <c r="BK22" t="n">
        <v>60.1</v>
      </c>
      <c r="BL22" t="n">
        <v>100</v>
      </c>
      <c r="BM22" t="n">
        <v>100</v>
      </c>
      <c r="BN22" t="n">
        <v>0</v>
      </c>
      <c r="BO22" t="n">
        <v>0</v>
      </c>
      <c r="BP22" t="n">
        <v>0</v>
      </c>
      <c r="BQ22" t="n">
        <v>0</v>
      </c>
      <c r="BR22" t="n">
        <v>0</v>
      </c>
      <c r="BS22" t="n">
        <v>0</v>
      </c>
      <c r="BT22" t="n">
        <v>0</v>
      </c>
      <c r="BU22" t="n">
        <v>0</v>
      </c>
      <c r="BV22" t="n">
        <v>0</v>
      </c>
      <c r="BW22" t="n">
        <v>0</v>
      </c>
      <c r="BX22" t="n">
        <v>0</v>
      </c>
      <c r="BY22" t="n">
        <v>0</v>
      </c>
      <c r="BZ22" t="n">
        <v>21</v>
      </c>
      <c r="CA22" t="n">
        <v>5</v>
      </c>
      <c r="CB22" t="n">
        <v>2</v>
      </c>
      <c r="CC22" t="n">
        <v>2</v>
      </c>
      <c r="CD22" t="n">
        <v>12</v>
      </c>
      <c r="CE22" t="n">
        <v>6</v>
      </c>
      <c r="CF22" t="n">
        <v>18</v>
      </c>
      <c r="CG22" t="n">
        <v>9</v>
      </c>
      <c r="CH22" t="n">
        <v>21</v>
      </c>
      <c r="CI22" t="n">
        <v>5</v>
      </c>
      <c r="CJ22" t="n">
        <v>2</v>
      </c>
      <c r="CK22" t="n">
        <v>2</v>
      </c>
      <c r="CL22" t="n">
        <v>12</v>
      </c>
      <c r="CM22" t="n">
        <v>6</v>
      </c>
      <c r="CN22" t="n">
        <v>18</v>
      </c>
      <c r="CO22" t="n">
        <v>9</v>
      </c>
      <c r="CP22" t="n">
        <v>0</v>
      </c>
      <c r="CQ22" t="n">
        <v>0</v>
      </c>
      <c r="CR22" t="n">
        <v>0</v>
      </c>
      <c r="CS22" t="n">
        <v>0</v>
      </c>
      <c r="CT22" t="n">
        <v>0</v>
      </c>
      <c r="CU22" t="n">
        <v>0</v>
      </c>
      <c r="CV22" t="n">
        <v>0</v>
      </c>
      <c r="CW22" t="n">
        <v>0</v>
      </c>
      <c r="CX22" t="n">
        <v>62.6</v>
      </c>
      <c r="CY22" t="n">
        <v>77.8</v>
      </c>
      <c r="CZ22" t="n">
        <v>84.90000000000001</v>
      </c>
      <c r="DA22" t="n">
        <v>99.3</v>
      </c>
      <c r="DB22" t="n">
        <v>47.5</v>
      </c>
      <c r="DC22" t="n">
        <v>51</v>
      </c>
      <c r="DD22" t="n">
        <v>58.5</v>
      </c>
      <c r="DE22" t="n">
        <v>62.8</v>
      </c>
      <c r="DF22" t="n">
        <v>62.6</v>
      </c>
      <c r="DG22" t="n">
        <v>77.8</v>
      </c>
      <c r="DH22" t="n">
        <v>84.90000000000001</v>
      </c>
      <c r="DI22" t="n">
        <v>99.3</v>
      </c>
      <c r="DJ22" t="n">
        <v>47.5</v>
      </c>
      <c r="DK22" t="n">
        <v>51</v>
      </c>
      <c r="DL22" t="n">
        <v>58.5</v>
      </c>
      <c r="DM22" t="n">
        <v>62.8</v>
      </c>
      <c r="DN22" t="n">
        <v>0</v>
      </c>
      <c r="DO22" t="n">
        <v>0</v>
      </c>
      <c r="DP22" t="n">
        <v>0</v>
      </c>
      <c r="DQ22" t="n">
        <v>0</v>
      </c>
      <c r="DR22" t="n">
        <v>0</v>
      </c>
      <c r="DS22" t="n">
        <v>0</v>
      </c>
      <c r="DT22" t="n">
        <v>0</v>
      </c>
      <c r="DU22" t="n">
        <v>0</v>
      </c>
      <c r="DV22" t="inlineStr">
        <is>
          <t>(10 PA SRECs)</t>
        </is>
      </c>
    </row>
    <row r="23">
      <c r="A23" t="inlineStr">
        <is>
          <t>PA SOLAR ALTER ENERGY CREDIT - ICE FUTURES ENERGY DIV</t>
        </is>
      </c>
      <c r="B23" t="n">
        <v>230103</v>
      </c>
      <c r="C23" s="1" t="n">
        <v>44929</v>
      </c>
      <c r="D23" t="inlineStr">
        <is>
          <t>0063DA</t>
        </is>
      </c>
      <c r="E23" t="inlineStr">
        <is>
          <t>IFED</t>
        </is>
      </c>
      <c r="F23" t="inlineStr">
        <is>
          <t>01</t>
        </is>
      </c>
      <c r="G23" t="inlineStr">
        <is>
          <t xml:space="preserve">006 </t>
        </is>
      </c>
      <c r="H23" t="n">
        <v>27972</v>
      </c>
      <c r="I23" s="17" t="n">
        <v>3846</v>
      </c>
      <c r="J23" s="17" t="n">
        <v>6231</v>
      </c>
      <c r="K23" t="n">
        <v>4927</v>
      </c>
      <c r="L23" t="n">
        <v>19198</v>
      </c>
      <c r="M23" t="n">
        <v>16814</v>
      </c>
      <c r="N23" t="n">
        <v>27971</v>
      </c>
      <c r="O23" t="n">
        <v>27972</v>
      </c>
      <c r="P23" t="n">
        <v>1</v>
      </c>
      <c r="Q23" t="n">
        <v>0</v>
      </c>
      <c r="R23" t="n">
        <v>27972</v>
      </c>
      <c r="S23" t="n">
        <v>3846</v>
      </c>
      <c r="T23" t="n">
        <v>6231</v>
      </c>
      <c r="U23" t="n">
        <v>4927</v>
      </c>
      <c r="V23" t="n">
        <v>19198</v>
      </c>
      <c r="W23" t="n">
        <v>16814</v>
      </c>
      <c r="X23" t="n">
        <v>27971</v>
      </c>
      <c r="Y23" t="n">
        <v>27972</v>
      </c>
      <c r="Z23" t="n">
        <v>1</v>
      </c>
      <c r="AA23" t="n">
        <v>0</v>
      </c>
      <c r="AB23" t="n">
        <v>0</v>
      </c>
      <c r="AC23" t="n">
        <v>0</v>
      </c>
      <c r="AD23" t="n">
        <v>0</v>
      </c>
      <c r="AE23" t="n">
        <v>0</v>
      </c>
      <c r="AF23" t="n">
        <v>0</v>
      </c>
      <c r="AG23" t="n">
        <v>0</v>
      </c>
      <c r="AH23" t="n">
        <v>0</v>
      </c>
      <c r="AI23" t="n">
        <v>0</v>
      </c>
      <c r="AJ23" t="n">
        <v>0</v>
      </c>
      <c r="AK23" t="n">
        <v>0</v>
      </c>
      <c r="AL23" t="n">
        <v>0</v>
      </c>
      <c r="AM23" t="n">
        <v>0</v>
      </c>
      <c r="AN23" t="n">
        <v>0</v>
      </c>
      <c r="AO23" t="n">
        <v>0</v>
      </c>
      <c r="AP23" t="n">
        <v>0</v>
      </c>
      <c r="AQ23" t="n">
        <v>0</v>
      </c>
      <c r="AR23" t="n">
        <v>0</v>
      </c>
      <c r="AS23" t="n">
        <v>0</v>
      </c>
      <c r="AT23" t="n">
        <v>0</v>
      </c>
      <c r="AU23" t="n">
        <v>0</v>
      </c>
      <c r="AV23" t="n">
        <v>100</v>
      </c>
      <c r="AW23" t="n">
        <v>13.7</v>
      </c>
      <c r="AX23" t="n">
        <v>22.3</v>
      </c>
      <c r="AY23" t="n">
        <v>17.6</v>
      </c>
      <c r="AZ23" t="n">
        <v>68.59999999999999</v>
      </c>
      <c r="BA23" t="n">
        <v>60.1</v>
      </c>
      <c r="BB23" t="n">
        <v>100</v>
      </c>
      <c r="BC23" t="n">
        <v>100</v>
      </c>
      <c r="BD23" t="n">
        <v>0</v>
      </c>
      <c r="BE23" t="n">
        <v>0</v>
      </c>
      <c r="BF23" t="n">
        <v>100</v>
      </c>
      <c r="BG23" t="n">
        <v>13.7</v>
      </c>
      <c r="BH23" t="n">
        <v>22.3</v>
      </c>
      <c r="BI23" t="n">
        <v>17.6</v>
      </c>
      <c r="BJ23" t="n">
        <v>68.59999999999999</v>
      </c>
      <c r="BK23" t="n">
        <v>60.1</v>
      </c>
      <c r="BL23" t="n">
        <v>100</v>
      </c>
      <c r="BM23" t="n">
        <v>100</v>
      </c>
      <c r="BN23" t="n">
        <v>0</v>
      </c>
      <c r="BO23" t="n">
        <v>0</v>
      </c>
      <c r="BP23" t="n">
        <v>0</v>
      </c>
      <c r="BQ23" t="n">
        <v>0</v>
      </c>
      <c r="BR23" t="n">
        <v>0</v>
      </c>
      <c r="BS23" t="n">
        <v>0</v>
      </c>
      <c r="BT23" t="n">
        <v>0</v>
      </c>
      <c r="BU23" t="n">
        <v>0</v>
      </c>
      <c r="BV23" t="n">
        <v>0</v>
      </c>
      <c r="BW23" t="n">
        <v>0</v>
      </c>
      <c r="BX23" t="n">
        <v>0</v>
      </c>
      <c r="BY23" t="n">
        <v>0</v>
      </c>
      <c r="BZ23" t="n">
        <v>21</v>
      </c>
      <c r="CA23" t="n">
        <v>5</v>
      </c>
      <c r="CB23" t="n">
        <v>2</v>
      </c>
      <c r="CC23" t="n">
        <v>2</v>
      </c>
      <c r="CD23" t="n">
        <v>12</v>
      </c>
      <c r="CE23" t="n">
        <v>6</v>
      </c>
      <c r="CF23" t="n">
        <v>18</v>
      </c>
      <c r="CG23" t="n">
        <v>9</v>
      </c>
      <c r="CH23" t="n">
        <v>21</v>
      </c>
      <c r="CI23" t="n">
        <v>5</v>
      </c>
      <c r="CJ23" t="n">
        <v>2</v>
      </c>
      <c r="CK23" t="n">
        <v>2</v>
      </c>
      <c r="CL23" t="n">
        <v>12</v>
      </c>
      <c r="CM23" t="n">
        <v>6</v>
      </c>
      <c r="CN23" t="n">
        <v>18</v>
      </c>
      <c r="CO23" t="n">
        <v>9</v>
      </c>
      <c r="CP23" t="n">
        <v>0</v>
      </c>
      <c r="CQ23" t="n">
        <v>0</v>
      </c>
      <c r="CR23" t="n">
        <v>0</v>
      </c>
      <c r="CS23" t="n">
        <v>0</v>
      </c>
      <c r="CT23" t="n">
        <v>0</v>
      </c>
      <c r="CU23" t="n">
        <v>0</v>
      </c>
      <c r="CV23" t="n">
        <v>0</v>
      </c>
      <c r="CW23" t="n">
        <v>0</v>
      </c>
      <c r="CX23" t="n">
        <v>62.6</v>
      </c>
      <c r="CY23" t="n">
        <v>77.8</v>
      </c>
      <c r="CZ23" t="n">
        <v>84.90000000000001</v>
      </c>
      <c r="DA23" t="n">
        <v>99.3</v>
      </c>
      <c r="DB23" t="n">
        <v>47.5</v>
      </c>
      <c r="DC23" t="n">
        <v>51</v>
      </c>
      <c r="DD23" t="n">
        <v>58.5</v>
      </c>
      <c r="DE23" t="n">
        <v>62.8</v>
      </c>
      <c r="DF23" t="n">
        <v>62.6</v>
      </c>
      <c r="DG23" t="n">
        <v>77.8</v>
      </c>
      <c r="DH23" t="n">
        <v>84.90000000000001</v>
      </c>
      <c r="DI23" t="n">
        <v>99.3</v>
      </c>
      <c r="DJ23" t="n">
        <v>47.5</v>
      </c>
      <c r="DK23" t="n">
        <v>51</v>
      </c>
      <c r="DL23" t="n">
        <v>58.5</v>
      </c>
      <c r="DM23" t="n">
        <v>62.8</v>
      </c>
      <c r="DN23" t="n">
        <v>0</v>
      </c>
      <c r="DO23" t="n">
        <v>0</v>
      </c>
      <c r="DP23" t="n">
        <v>0</v>
      </c>
      <c r="DQ23" t="n">
        <v>0</v>
      </c>
      <c r="DR23" t="n">
        <v>0</v>
      </c>
      <c r="DS23" t="n">
        <v>0</v>
      </c>
      <c r="DT23" t="n">
        <v>0</v>
      </c>
      <c r="DU23" t="n">
        <v>0</v>
      </c>
      <c r="DV23" t="inlineStr">
        <is>
          <t>(10 PA SRECs)</t>
        </is>
      </c>
    </row>
    <row r="24">
      <c r="A24" t="inlineStr">
        <is>
          <t>CT RECs CLASS 1 - ICE FUTURES ENERGY DIV</t>
        </is>
      </c>
      <c r="B24" t="n">
        <v>230110</v>
      </c>
      <c r="C24" s="1" t="n">
        <v>44936</v>
      </c>
      <c r="D24" t="inlineStr">
        <is>
          <t>0063DK</t>
        </is>
      </c>
      <c r="E24" t="inlineStr">
        <is>
          <t>IFED</t>
        </is>
      </c>
      <c r="F24" t="inlineStr">
        <is>
          <t>01</t>
        </is>
      </c>
      <c r="G24" t="inlineStr">
        <is>
          <t xml:space="preserve">006 </t>
        </is>
      </c>
      <c r="H24" t="n">
        <v>13240</v>
      </c>
      <c r="I24" s="17" t="n">
        <v>2481</v>
      </c>
      <c r="J24" s="17" t="n">
        <v>1410</v>
      </c>
      <c r="K24" t="n">
        <v>119</v>
      </c>
      <c r="L24" t="n">
        <v>10640</v>
      </c>
      <c r="M24" t="n">
        <v>11711</v>
      </c>
      <c r="N24" t="n">
        <v>13240</v>
      </c>
      <c r="O24" t="n">
        <v>13240</v>
      </c>
      <c r="P24" t="n">
        <v>0</v>
      </c>
      <c r="Q24" t="n">
        <v>0</v>
      </c>
      <c r="R24" t="n">
        <v>13240</v>
      </c>
      <c r="S24" t="n">
        <v>2481</v>
      </c>
      <c r="T24" t="n">
        <v>1410</v>
      </c>
      <c r="U24" t="n">
        <v>119</v>
      </c>
      <c r="V24" t="n">
        <v>10640</v>
      </c>
      <c r="W24" t="n">
        <v>11711</v>
      </c>
      <c r="X24" t="n">
        <v>13240</v>
      </c>
      <c r="Y24" t="n">
        <v>13240</v>
      </c>
      <c r="Z24" t="n">
        <v>0</v>
      </c>
      <c r="AA24" t="n">
        <v>0</v>
      </c>
      <c r="AB24" t="n">
        <v>0</v>
      </c>
      <c r="AC24" t="n">
        <v>0</v>
      </c>
      <c r="AD24" t="n">
        <v>0</v>
      </c>
      <c r="AE24" t="n">
        <v>0</v>
      </c>
      <c r="AF24" t="n">
        <v>0</v>
      </c>
      <c r="AG24" t="n">
        <v>0</v>
      </c>
      <c r="AH24" t="n">
        <v>0</v>
      </c>
      <c r="AI24" t="n">
        <v>0</v>
      </c>
      <c r="AJ24" t="n">
        <v>0</v>
      </c>
      <c r="AK24" t="n">
        <v>0</v>
      </c>
      <c r="AL24" t="n">
        <v>0</v>
      </c>
      <c r="AM24" t="n">
        <v>0</v>
      </c>
      <c r="AN24" t="n">
        <v>0</v>
      </c>
      <c r="AO24" t="n">
        <v>0</v>
      </c>
      <c r="AP24" t="n">
        <v>0</v>
      </c>
      <c r="AQ24" t="n">
        <v>0</v>
      </c>
      <c r="AR24" t="n">
        <v>0</v>
      </c>
      <c r="AS24" t="n">
        <v>0</v>
      </c>
      <c r="AT24" t="n">
        <v>0</v>
      </c>
      <c r="AU24" t="n">
        <v>0</v>
      </c>
      <c r="AV24" t="n">
        <v>100</v>
      </c>
      <c r="AW24" t="n">
        <v>18.7</v>
      </c>
      <c r="AX24" t="n">
        <v>10.6</v>
      </c>
      <c r="AY24" t="n">
        <v>0.9</v>
      </c>
      <c r="AZ24" t="n">
        <v>80.40000000000001</v>
      </c>
      <c r="BA24" t="n">
        <v>88.5</v>
      </c>
      <c r="BB24" t="n">
        <v>100</v>
      </c>
      <c r="BC24" t="n">
        <v>100</v>
      </c>
      <c r="BD24" t="n">
        <v>0</v>
      </c>
      <c r="BE24" t="n">
        <v>0</v>
      </c>
      <c r="BF24" t="n">
        <v>100</v>
      </c>
      <c r="BG24" t="n">
        <v>18.7</v>
      </c>
      <c r="BH24" t="n">
        <v>10.6</v>
      </c>
      <c r="BI24" t="n">
        <v>0.9</v>
      </c>
      <c r="BJ24" t="n">
        <v>80.40000000000001</v>
      </c>
      <c r="BK24" t="n">
        <v>88.5</v>
      </c>
      <c r="BL24" t="n">
        <v>100</v>
      </c>
      <c r="BM24" t="n">
        <v>100</v>
      </c>
      <c r="BN24" t="n">
        <v>0</v>
      </c>
      <c r="BO24" t="n">
        <v>0</v>
      </c>
      <c r="BP24" t="n">
        <v>0</v>
      </c>
      <c r="BQ24" t="n">
        <v>0</v>
      </c>
      <c r="BR24" t="n">
        <v>0</v>
      </c>
      <c r="BS24" t="n">
        <v>0</v>
      </c>
      <c r="BT24" t="n">
        <v>0</v>
      </c>
      <c r="BU24" t="n">
        <v>0</v>
      </c>
      <c r="BV24" t="n">
        <v>0</v>
      </c>
      <c r="BW24" t="n">
        <v>0</v>
      </c>
      <c r="BX24" t="n">
        <v>0</v>
      </c>
      <c r="BY24" t="n">
        <v>0</v>
      </c>
      <c r="BZ24" t="n">
        <v>23</v>
      </c>
      <c r="CA24" t="n">
        <v>2</v>
      </c>
      <c r="CB24" t="n">
        <v>3</v>
      </c>
      <c r="CC24" t="n">
        <v>2</v>
      </c>
      <c r="CD24" t="n">
        <v>8</v>
      </c>
      <c r="CE24" t="n">
        <v>11</v>
      </c>
      <c r="CF24" t="n">
        <v>10</v>
      </c>
      <c r="CG24" t="n">
        <v>16</v>
      </c>
      <c r="CH24" t="n">
        <v>23</v>
      </c>
      <c r="CI24" t="n">
        <v>2</v>
      </c>
      <c r="CJ24" t="n">
        <v>3</v>
      </c>
      <c r="CK24" t="n">
        <v>2</v>
      </c>
      <c r="CL24" t="n">
        <v>8</v>
      </c>
      <c r="CM24" t="n">
        <v>11</v>
      </c>
      <c r="CN24" t="n">
        <v>10</v>
      </c>
      <c r="CO24" t="n">
        <v>16</v>
      </c>
      <c r="CP24" t="n">
        <v>0</v>
      </c>
      <c r="CQ24" t="n">
        <v>0</v>
      </c>
      <c r="CR24" t="n">
        <v>0</v>
      </c>
      <c r="CS24" t="n">
        <v>0</v>
      </c>
      <c r="CT24" t="n">
        <v>0</v>
      </c>
      <c r="CU24" t="n">
        <v>0</v>
      </c>
      <c r="CV24" t="n">
        <v>0</v>
      </c>
      <c r="CW24" t="n">
        <v>0</v>
      </c>
      <c r="CX24" t="n">
        <v>86.5</v>
      </c>
      <c r="CY24" t="n">
        <v>63.2</v>
      </c>
      <c r="CZ24" t="n">
        <v>99.2</v>
      </c>
      <c r="DA24" t="n">
        <v>86.8</v>
      </c>
      <c r="DB24" t="n">
        <v>86</v>
      </c>
      <c r="DC24" t="n">
        <v>61.8</v>
      </c>
      <c r="DD24" t="n">
        <v>97.09999999999999</v>
      </c>
      <c r="DE24" t="n">
        <v>85.2</v>
      </c>
      <c r="DF24" t="n">
        <v>86.5</v>
      </c>
      <c r="DG24" t="n">
        <v>63.2</v>
      </c>
      <c r="DH24" t="n">
        <v>99.2</v>
      </c>
      <c r="DI24" t="n">
        <v>86.8</v>
      </c>
      <c r="DJ24" t="n">
        <v>86</v>
      </c>
      <c r="DK24" t="n">
        <v>61.8</v>
      </c>
      <c r="DL24" t="n">
        <v>97.09999999999999</v>
      </c>
      <c r="DM24" t="n">
        <v>85.2</v>
      </c>
      <c r="DN24" t="n">
        <v>0</v>
      </c>
      <c r="DO24" t="n">
        <v>0</v>
      </c>
      <c r="DP24" t="n">
        <v>0</v>
      </c>
      <c r="DQ24" t="n">
        <v>0</v>
      </c>
      <c r="DR24" t="n">
        <v>0</v>
      </c>
      <c r="DS24" t="n">
        <v>0</v>
      </c>
      <c r="DT24" t="n">
        <v>0</v>
      </c>
      <c r="DU24" t="n">
        <v>0</v>
      </c>
      <c r="DV24" t="inlineStr">
        <is>
          <t>100 MWh of Class 1 Renewable Energy Cert</t>
        </is>
      </c>
    </row>
    <row r="25">
      <c r="A25" t="inlineStr">
        <is>
          <t>CT RECs CLASS 1 - ICE FUTURES ENERGY DIV</t>
        </is>
      </c>
      <c r="B25" t="n">
        <v>230103</v>
      </c>
      <c r="C25" s="1" t="n">
        <v>44929</v>
      </c>
      <c r="D25" t="inlineStr">
        <is>
          <t>0063DK</t>
        </is>
      </c>
      <c r="E25" t="inlineStr">
        <is>
          <t>IFED</t>
        </is>
      </c>
      <c r="F25" t="inlineStr">
        <is>
          <t>01</t>
        </is>
      </c>
      <c r="G25" t="inlineStr">
        <is>
          <t xml:space="preserve">006 </t>
        </is>
      </c>
      <c r="H25" t="n">
        <v>13240</v>
      </c>
      <c r="I25" s="17" t="n">
        <v>2481</v>
      </c>
      <c r="J25" s="17" t="n">
        <v>1410</v>
      </c>
      <c r="K25" t="n">
        <v>119</v>
      </c>
      <c r="L25" t="n">
        <v>10640</v>
      </c>
      <c r="M25" t="n">
        <v>11711</v>
      </c>
      <c r="N25" t="n">
        <v>13240</v>
      </c>
      <c r="O25" t="n">
        <v>13240</v>
      </c>
      <c r="P25" t="n">
        <v>0</v>
      </c>
      <c r="Q25" t="n">
        <v>0</v>
      </c>
      <c r="R25" t="n">
        <v>13240</v>
      </c>
      <c r="S25" t="n">
        <v>2481</v>
      </c>
      <c r="T25" t="n">
        <v>1410</v>
      </c>
      <c r="U25" t="n">
        <v>119</v>
      </c>
      <c r="V25" t="n">
        <v>10640</v>
      </c>
      <c r="W25" t="n">
        <v>11711</v>
      </c>
      <c r="X25" t="n">
        <v>13240</v>
      </c>
      <c r="Y25" t="n">
        <v>13240</v>
      </c>
      <c r="Z25" t="n">
        <v>0</v>
      </c>
      <c r="AA25" t="n">
        <v>0</v>
      </c>
      <c r="AB25" t="n">
        <v>0</v>
      </c>
      <c r="AC25" t="n">
        <v>0</v>
      </c>
      <c r="AD25" t="n">
        <v>0</v>
      </c>
      <c r="AE25" t="n">
        <v>0</v>
      </c>
      <c r="AF25" t="n">
        <v>0</v>
      </c>
      <c r="AG25" t="n">
        <v>0</v>
      </c>
      <c r="AH25" t="n">
        <v>0</v>
      </c>
      <c r="AI25" t="n">
        <v>0</v>
      </c>
      <c r="AJ25" t="n">
        <v>0</v>
      </c>
      <c r="AK25" t="n">
        <v>0</v>
      </c>
      <c r="AL25" t="n">
        <v>0</v>
      </c>
      <c r="AM25" t="n">
        <v>0</v>
      </c>
      <c r="AN25" t="n">
        <v>0</v>
      </c>
      <c r="AO25" t="n">
        <v>0</v>
      </c>
      <c r="AP25" t="n">
        <v>0</v>
      </c>
      <c r="AQ25" t="n">
        <v>0</v>
      </c>
      <c r="AR25" t="n">
        <v>0</v>
      </c>
      <c r="AS25" t="n">
        <v>0</v>
      </c>
      <c r="AT25" t="n">
        <v>0</v>
      </c>
      <c r="AU25" t="n">
        <v>0</v>
      </c>
      <c r="AV25" t="n">
        <v>100</v>
      </c>
      <c r="AW25" t="n">
        <v>18.7</v>
      </c>
      <c r="AX25" t="n">
        <v>10.6</v>
      </c>
      <c r="AY25" t="n">
        <v>0.9</v>
      </c>
      <c r="AZ25" t="n">
        <v>80.40000000000001</v>
      </c>
      <c r="BA25" t="n">
        <v>88.5</v>
      </c>
      <c r="BB25" t="n">
        <v>100</v>
      </c>
      <c r="BC25" t="n">
        <v>100</v>
      </c>
      <c r="BD25" t="n">
        <v>0</v>
      </c>
      <c r="BE25" t="n">
        <v>0</v>
      </c>
      <c r="BF25" t="n">
        <v>100</v>
      </c>
      <c r="BG25" t="n">
        <v>18.7</v>
      </c>
      <c r="BH25" t="n">
        <v>10.6</v>
      </c>
      <c r="BI25" t="n">
        <v>0.9</v>
      </c>
      <c r="BJ25" t="n">
        <v>80.40000000000001</v>
      </c>
      <c r="BK25" t="n">
        <v>88.5</v>
      </c>
      <c r="BL25" t="n">
        <v>100</v>
      </c>
      <c r="BM25" t="n">
        <v>100</v>
      </c>
      <c r="BN25" t="n">
        <v>0</v>
      </c>
      <c r="BO25" t="n">
        <v>0</v>
      </c>
      <c r="BP25" t="n">
        <v>0</v>
      </c>
      <c r="BQ25" t="n">
        <v>0</v>
      </c>
      <c r="BR25" t="n">
        <v>0</v>
      </c>
      <c r="BS25" t="n">
        <v>0</v>
      </c>
      <c r="BT25" t="n">
        <v>0</v>
      </c>
      <c r="BU25" t="n">
        <v>0</v>
      </c>
      <c r="BV25" t="n">
        <v>0</v>
      </c>
      <c r="BW25" t="n">
        <v>0</v>
      </c>
      <c r="BX25" t="n">
        <v>0</v>
      </c>
      <c r="BY25" t="n">
        <v>0</v>
      </c>
      <c r="BZ25" t="n">
        <v>23</v>
      </c>
      <c r="CA25" t="n">
        <v>2</v>
      </c>
      <c r="CB25" t="n">
        <v>3</v>
      </c>
      <c r="CC25" t="n">
        <v>2</v>
      </c>
      <c r="CD25" t="n">
        <v>8</v>
      </c>
      <c r="CE25" t="n">
        <v>11</v>
      </c>
      <c r="CF25" t="n">
        <v>10</v>
      </c>
      <c r="CG25" t="n">
        <v>16</v>
      </c>
      <c r="CH25" t="n">
        <v>23</v>
      </c>
      <c r="CI25" t="n">
        <v>2</v>
      </c>
      <c r="CJ25" t="n">
        <v>3</v>
      </c>
      <c r="CK25" t="n">
        <v>2</v>
      </c>
      <c r="CL25" t="n">
        <v>8</v>
      </c>
      <c r="CM25" t="n">
        <v>11</v>
      </c>
      <c r="CN25" t="n">
        <v>10</v>
      </c>
      <c r="CO25" t="n">
        <v>16</v>
      </c>
      <c r="CP25" t="n">
        <v>0</v>
      </c>
      <c r="CQ25" t="n">
        <v>0</v>
      </c>
      <c r="CR25" t="n">
        <v>0</v>
      </c>
      <c r="CS25" t="n">
        <v>0</v>
      </c>
      <c r="CT25" t="n">
        <v>0</v>
      </c>
      <c r="CU25" t="n">
        <v>0</v>
      </c>
      <c r="CV25" t="n">
        <v>0</v>
      </c>
      <c r="CW25" t="n">
        <v>0</v>
      </c>
      <c r="CX25" t="n">
        <v>86.5</v>
      </c>
      <c r="CY25" t="n">
        <v>63.2</v>
      </c>
      <c r="CZ25" t="n">
        <v>99.2</v>
      </c>
      <c r="DA25" t="n">
        <v>86.8</v>
      </c>
      <c r="DB25" t="n">
        <v>86</v>
      </c>
      <c r="DC25" t="n">
        <v>61.8</v>
      </c>
      <c r="DD25" t="n">
        <v>97.09999999999999</v>
      </c>
      <c r="DE25" t="n">
        <v>85.2</v>
      </c>
      <c r="DF25" t="n">
        <v>86.5</v>
      </c>
      <c r="DG25" t="n">
        <v>63.2</v>
      </c>
      <c r="DH25" t="n">
        <v>99.2</v>
      </c>
      <c r="DI25" t="n">
        <v>86.8</v>
      </c>
      <c r="DJ25" t="n">
        <v>86</v>
      </c>
      <c r="DK25" t="n">
        <v>61.8</v>
      </c>
      <c r="DL25" t="n">
        <v>97.09999999999999</v>
      </c>
      <c r="DM25" t="n">
        <v>85.2</v>
      </c>
      <c r="DN25" t="n">
        <v>0</v>
      </c>
      <c r="DO25" t="n">
        <v>0</v>
      </c>
      <c r="DP25" t="n">
        <v>0</v>
      </c>
      <c r="DQ25" t="n">
        <v>0</v>
      </c>
      <c r="DR25" t="n">
        <v>0</v>
      </c>
      <c r="DS25" t="n">
        <v>0</v>
      </c>
      <c r="DT25" t="n">
        <v>0</v>
      </c>
      <c r="DU25" t="n">
        <v>0</v>
      </c>
      <c r="DV25" t="inlineStr">
        <is>
          <t>100 MWh of Class 1 Renewable Energy Cert</t>
        </is>
      </c>
    </row>
    <row r="26">
      <c r="A26" t="inlineStr">
        <is>
          <t>MASS COMPLIANCE RECs CLASS 1 - ICE FUTURES ENERGY DIV</t>
        </is>
      </c>
      <c r="B26" t="n">
        <v>230110</v>
      </c>
      <c r="C26" s="1" t="n">
        <v>44936</v>
      </c>
      <c r="D26" t="inlineStr">
        <is>
          <t>0063DL</t>
        </is>
      </c>
      <c r="E26" t="inlineStr">
        <is>
          <t>IFED</t>
        </is>
      </c>
      <c r="F26" t="inlineStr">
        <is>
          <t>01</t>
        </is>
      </c>
      <c r="G26" t="inlineStr">
        <is>
          <t xml:space="preserve">006 </t>
        </is>
      </c>
      <c r="H26" t="n">
        <v>12102</v>
      </c>
      <c r="I26" s="17" t="n">
        <v>510</v>
      </c>
      <c r="J26" s="17" t="n">
        <v>3050</v>
      </c>
      <c r="K26" t="n">
        <v>490</v>
      </c>
      <c r="L26" t="n">
        <v>11102</v>
      </c>
      <c r="M26" t="n">
        <v>8562</v>
      </c>
      <c r="N26" t="n">
        <v>12102</v>
      </c>
      <c r="O26" t="n">
        <v>12102</v>
      </c>
      <c r="P26" t="n">
        <v>0</v>
      </c>
      <c r="Q26" t="n">
        <v>0</v>
      </c>
      <c r="R26" t="n">
        <v>12102</v>
      </c>
      <c r="S26" t="n">
        <v>510</v>
      </c>
      <c r="T26" t="n">
        <v>3050</v>
      </c>
      <c r="U26" t="n">
        <v>490</v>
      </c>
      <c r="V26" t="n">
        <v>11102</v>
      </c>
      <c r="W26" t="n">
        <v>8562</v>
      </c>
      <c r="X26" t="n">
        <v>12102</v>
      </c>
      <c r="Y26" t="n">
        <v>12102</v>
      </c>
      <c r="Z26" t="n">
        <v>0</v>
      </c>
      <c r="AA26" t="n">
        <v>0</v>
      </c>
      <c r="AB26" t="n">
        <v>0</v>
      </c>
      <c r="AC26" t="n">
        <v>0</v>
      </c>
      <c r="AD26" t="n">
        <v>0</v>
      </c>
      <c r="AE26" t="n">
        <v>0</v>
      </c>
      <c r="AF26" t="n">
        <v>0</v>
      </c>
      <c r="AG26" t="n">
        <v>0</v>
      </c>
      <c r="AH26" t="n">
        <v>0</v>
      </c>
      <c r="AI26" t="n">
        <v>0</v>
      </c>
      <c r="AJ26" t="n">
        <v>0</v>
      </c>
      <c r="AK26" t="n">
        <v>0</v>
      </c>
      <c r="AL26" t="n">
        <v>100</v>
      </c>
      <c r="AM26" t="n">
        <v>0</v>
      </c>
      <c r="AN26" t="n">
        <v>0</v>
      </c>
      <c r="AO26" t="n">
        <v>0</v>
      </c>
      <c r="AP26" t="n">
        <v>100</v>
      </c>
      <c r="AQ26" t="n">
        <v>100</v>
      </c>
      <c r="AR26" t="n">
        <v>100</v>
      </c>
      <c r="AS26" t="n">
        <v>100</v>
      </c>
      <c r="AT26" t="n">
        <v>0</v>
      </c>
      <c r="AU26" t="n">
        <v>0</v>
      </c>
      <c r="AV26" t="n">
        <v>100</v>
      </c>
      <c r="AW26" t="n">
        <v>4.2</v>
      </c>
      <c r="AX26" t="n">
        <v>25.2</v>
      </c>
      <c r="AY26" t="n">
        <v>4</v>
      </c>
      <c r="AZ26" t="n">
        <v>91.7</v>
      </c>
      <c r="BA26" t="n">
        <v>70.7</v>
      </c>
      <c r="BB26" t="n">
        <v>100</v>
      </c>
      <c r="BC26" t="n">
        <v>100</v>
      </c>
      <c r="BD26" t="n">
        <v>0</v>
      </c>
      <c r="BE26" t="n">
        <v>0</v>
      </c>
      <c r="BF26" t="n">
        <v>100</v>
      </c>
      <c r="BG26" t="n">
        <v>4.2</v>
      </c>
      <c r="BH26" t="n">
        <v>25.2</v>
      </c>
      <c r="BI26" t="n">
        <v>4</v>
      </c>
      <c r="BJ26" t="n">
        <v>91.7</v>
      </c>
      <c r="BK26" t="n">
        <v>70.7</v>
      </c>
      <c r="BL26" t="n">
        <v>100</v>
      </c>
      <c r="BM26" t="n">
        <v>100</v>
      </c>
      <c r="BN26" t="n">
        <v>0</v>
      </c>
      <c r="BO26" t="n">
        <v>0</v>
      </c>
      <c r="BP26" t="n">
        <v>0</v>
      </c>
      <c r="BQ26" t="n">
        <v>0</v>
      </c>
      <c r="BR26" t="n">
        <v>0</v>
      </c>
      <c r="BS26" t="n">
        <v>0</v>
      </c>
      <c r="BT26" t="n">
        <v>0</v>
      </c>
      <c r="BU26" t="n">
        <v>0</v>
      </c>
      <c r="BV26" t="n">
        <v>0</v>
      </c>
      <c r="BW26" t="n">
        <v>0</v>
      </c>
      <c r="BX26" t="n">
        <v>0</v>
      </c>
      <c r="BY26" t="n">
        <v>0</v>
      </c>
      <c r="BZ26" t="n">
        <v>23</v>
      </c>
      <c r="CA26" t="n">
        <v>2</v>
      </c>
      <c r="CB26" t="n">
        <v>3</v>
      </c>
      <c r="CC26" t="n">
        <v>2</v>
      </c>
      <c r="CD26" t="n">
        <v>11</v>
      </c>
      <c r="CE26" t="n">
        <v>11</v>
      </c>
      <c r="CF26" t="n">
        <v>14</v>
      </c>
      <c r="CG26" t="n">
        <v>15</v>
      </c>
      <c r="CH26" t="n">
        <v>23</v>
      </c>
      <c r="CI26" t="n">
        <v>2</v>
      </c>
      <c r="CJ26" t="n">
        <v>3</v>
      </c>
      <c r="CK26" t="n">
        <v>2</v>
      </c>
      <c r="CL26" t="n">
        <v>11</v>
      </c>
      <c r="CM26" t="n">
        <v>11</v>
      </c>
      <c r="CN26" t="n">
        <v>14</v>
      </c>
      <c r="CO26" t="n">
        <v>15</v>
      </c>
      <c r="CP26" t="n">
        <v>0</v>
      </c>
      <c r="CQ26" t="n">
        <v>0</v>
      </c>
      <c r="CR26" t="n">
        <v>0</v>
      </c>
      <c r="CS26" t="n">
        <v>0</v>
      </c>
      <c r="CT26" t="n">
        <v>0</v>
      </c>
      <c r="CU26" t="n">
        <v>0</v>
      </c>
      <c r="CV26" t="n">
        <v>0</v>
      </c>
      <c r="CW26" t="n">
        <v>0</v>
      </c>
      <c r="CX26" t="n">
        <v>82.40000000000001</v>
      </c>
      <c r="CY26" t="n">
        <v>68.5</v>
      </c>
      <c r="CZ26" t="n">
        <v>93.90000000000001</v>
      </c>
      <c r="DA26" t="n">
        <v>91.8</v>
      </c>
      <c r="DB26" t="n">
        <v>82.40000000000001</v>
      </c>
      <c r="DC26" t="n">
        <v>67.2</v>
      </c>
      <c r="DD26" t="n">
        <v>91.09999999999999</v>
      </c>
      <c r="DE26" t="n">
        <v>88.5</v>
      </c>
      <c r="DF26" t="n">
        <v>82.40000000000001</v>
      </c>
      <c r="DG26" t="n">
        <v>68.5</v>
      </c>
      <c r="DH26" t="n">
        <v>93.90000000000001</v>
      </c>
      <c r="DI26" t="n">
        <v>91.8</v>
      </c>
      <c r="DJ26" t="n">
        <v>82.40000000000001</v>
      </c>
      <c r="DK26" t="n">
        <v>67.2</v>
      </c>
      <c r="DL26" t="n">
        <v>91.09999999999999</v>
      </c>
      <c r="DM26" t="n">
        <v>88.5</v>
      </c>
      <c r="DN26" t="n">
        <v>0</v>
      </c>
      <c r="DO26" t="n">
        <v>0</v>
      </c>
      <c r="DP26" t="n">
        <v>0</v>
      </c>
      <c r="DQ26" t="n">
        <v>0</v>
      </c>
      <c r="DR26" t="n">
        <v>0</v>
      </c>
      <c r="DS26" t="n">
        <v>0</v>
      </c>
      <c r="DT26" t="n">
        <v>0</v>
      </c>
      <c r="DU26" t="n">
        <v>0</v>
      </c>
      <c r="DV26" t="inlineStr">
        <is>
          <t>100 MWh of Class 1 Renewable Energy Cert</t>
        </is>
      </c>
    </row>
    <row r="27">
      <c r="A27" t="inlineStr">
        <is>
          <t>MASS COMPLIANCE RECs CLASS 1 - ICE FUTURES ENERGY DIV</t>
        </is>
      </c>
      <c r="B27" t="n">
        <v>230103</v>
      </c>
      <c r="C27" s="1" t="n">
        <v>44929</v>
      </c>
      <c r="D27" t="inlineStr">
        <is>
          <t>0063DL</t>
        </is>
      </c>
      <c r="E27" t="inlineStr">
        <is>
          <t>IFED</t>
        </is>
      </c>
      <c r="F27" t="inlineStr">
        <is>
          <t>01</t>
        </is>
      </c>
      <c r="G27" t="inlineStr">
        <is>
          <t xml:space="preserve">006 </t>
        </is>
      </c>
      <c r="H27" t="n">
        <v>12002</v>
      </c>
      <c r="I27" s="17" t="n">
        <v>510</v>
      </c>
      <c r="J27" s="17" t="n">
        <v>3050</v>
      </c>
      <c r="K27" t="n">
        <v>490</v>
      </c>
      <c r="L27" t="n">
        <v>11002</v>
      </c>
      <c r="M27" t="n">
        <v>8462</v>
      </c>
      <c r="N27" t="n">
        <v>12002</v>
      </c>
      <c r="O27" t="n">
        <v>12002</v>
      </c>
      <c r="P27" t="n">
        <v>0</v>
      </c>
      <c r="Q27" t="n">
        <v>0</v>
      </c>
      <c r="R27" t="n">
        <v>12002</v>
      </c>
      <c r="S27" t="n">
        <v>510</v>
      </c>
      <c r="T27" t="n">
        <v>3050</v>
      </c>
      <c r="U27" t="n">
        <v>490</v>
      </c>
      <c r="V27" t="n">
        <v>11002</v>
      </c>
      <c r="W27" t="n">
        <v>8462</v>
      </c>
      <c r="X27" t="n">
        <v>12002</v>
      </c>
      <c r="Y27" t="n">
        <v>12002</v>
      </c>
      <c r="Z27" t="n">
        <v>0</v>
      </c>
      <c r="AA27" t="n">
        <v>0</v>
      </c>
      <c r="AB27" t="n">
        <v>0</v>
      </c>
      <c r="AC27" t="n">
        <v>0</v>
      </c>
      <c r="AD27" t="n">
        <v>0</v>
      </c>
      <c r="AE27" t="n">
        <v>0</v>
      </c>
      <c r="AF27" t="n">
        <v>0</v>
      </c>
      <c r="AG27" t="n">
        <v>0</v>
      </c>
      <c r="AH27" t="n">
        <v>0</v>
      </c>
      <c r="AI27" t="n">
        <v>0</v>
      </c>
      <c r="AJ27" t="n">
        <v>0</v>
      </c>
      <c r="AK27" t="n">
        <v>0</v>
      </c>
      <c r="AL27" t="n">
        <v>0</v>
      </c>
      <c r="AM27" t="n">
        <v>0</v>
      </c>
      <c r="AN27" t="n">
        <v>0</v>
      </c>
      <c r="AO27" t="n">
        <v>0</v>
      </c>
      <c r="AP27" t="n">
        <v>0</v>
      </c>
      <c r="AQ27" t="n">
        <v>0</v>
      </c>
      <c r="AR27" t="n">
        <v>0</v>
      </c>
      <c r="AS27" t="n">
        <v>0</v>
      </c>
      <c r="AT27" t="n">
        <v>0</v>
      </c>
      <c r="AU27" t="n">
        <v>0</v>
      </c>
      <c r="AV27" t="n">
        <v>100</v>
      </c>
      <c r="AW27" t="n">
        <v>4.2</v>
      </c>
      <c r="AX27" t="n">
        <v>25.4</v>
      </c>
      <c r="AY27" t="n">
        <v>4.1</v>
      </c>
      <c r="AZ27" t="n">
        <v>91.7</v>
      </c>
      <c r="BA27" t="n">
        <v>70.5</v>
      </c>
      <c r="BB27" t="n">
        <v>100</v>
      </c>
      <c r="BC27" t="n">
        <v>100</v>
      </c>
      <c r="BD27" t="n">
        <v>0</v>
      </c>
      <c r="BE27" t="n">
        <v>0</v>
      </c>
      <c r="BF27" t="n">
        <v>100</v>
      </c>
      <c r="BG27" t="n">
        <v>4.2</v>
      </c>
      <c r="BH27" t="n">
        <v>25.4</v>
      </c>
      <c r="BI27" t="n">
        <v>4.1</v>
      </c>
      <c r="BJ27" t="n">
        <v>91.7</v>
      </c>
      <c r="BK27" t="n">
        <v>70.5</v>
      </c>
      <c r="BL27" t="n">
        <v>100</v>
      </c>
      <c r="BM27" t="n">
        <v>100</v>
      </c>
      <c r="BN27" t="n">
        <v>0</v>
      </c>
      <c r="BO27" t="n">
        <v>0</v>
      </c>
      <c r="BP27" t="n">
        <v>0</v>
      </c>
      <c r="BQ27" t="n">
        <v>0</v>
      </c>
      <c r="BR27" t="n">
        <v>0</v>
      </c>
      <c r="BS27" t="n">
        <v>0</v>
      </c>
      <c r="BT27" t="n">
        <v>0</v>
      </c>
      <c r="BU27" t="n">
        <v>0</v>
      </c>
      <c r="BV27" t="n">
        <v>0</v>
      </c>
      <c r="BW27" t="n">
        <v>0</v>
      </c>
      <c r="BX27" t="n">
        <v>0</v>
      </c>
      <c r="BY27" t="n">
        <v>0</v>
      </c>
      <c r="BZ27" t="n">
        <v>23</v>
      </c>
      <c r="CA27" t="n">
        <v>2</v>
      </c>
      <c r="CB27" t="n">
        <v>3</v>
      </c>
      <c r="CC27" t="n">
        <v>2</v>
      </c>
      <c r="CD27" t="n">
        <v>11</v>
      </c>
      <c r="CE27" t="n">
        <v>11</v>
      </c>
      <c r="CF27" t="n">
        <v>14</v>
      </c>
      <c r="CG27" t="n">
        <v>15</v>
      </c>
      <c r="CH27" t="n">
        <v>23</v>
      </c>
      <c r="CI27" t="n">
        <v>2</v>
      </c>
      <c r="CJ27" t="n">
        <v>3</v>
      </c>
      <c r="CK27" t="n">
        <v>2</v>
      </c>
      <c r="CL27" t="n">
        <v>11</v>
      </c>
      <c r="CM27" t="n">
        <v>11</v>
      </c>
      <c r="CN27" t="n">
        <v>14</v>
      </c>
      <c r="CO27" t="n">
        <v>15</v>
      </c>
      <c r="CP27" t="n">
        <v>0</v>
      </c>
      <c r="CQ27" t="n">
        <v>0</v>
      </c>
      <c r="CR27" t="n">
        <v>0</v>
      </c>
      <c r="CS27" t="n">
        <v>0</v>
      </c>
      <c r="CT27" t="n">
        <v>0</v>
      </c>
      <c r="CU27" t="n">
        <v>0</v>
      </c>
      <c r="CV27" t="n">
        <v>0</v>
      </c>
      <c r="CW27" t="n">
        <v>0</v>
      </c>
      <c r="CX27" t="n">
        <v>82.2</v>
      </c>
      <c r="CY27" t="n">
        <v>68.2</v>
      </c>
      <c r="CZ27" t="n">
        <v>93.90000000000001</v>
      </c>
      <c r="DA27" t="n">
        <v>91.7</v>
      </c>
      <c r="DB27" t="n">
        <v>82.2</v>
      </c>
      <c r="DC27" t="n">
        <v>67</v>
      </c>
      <c r="DD27" t="n">
        <v>91</v>
      </c>
      <c r="DE27" t="n">
        <v>88.40000000000001</v>
      </c>
      <c r="DF27" t="n">
        <v>82.2</v>
      </c>
      <c r="DG27" t="n">
        <v>68.2</v>
      </c>
      <c r="DH27" t="n">
        <v>93.90000000000001</v>
      </c>
      <c r="DI27" t="n">
        <v>91.7</v>
      </c>
      <c r="DJ27" t="n">
        <v>82.2</v>
      </c>
      <c r="DK27" t="n">
        <v>67</v>
      </c>
      <c r="DL27" t="n">
        <v>91</v>
      </c>
      <c r="DM27" t="n">
        <v>88.40000000000001</v>
      </c>
      <c r="DN27" t="n">
        <v>0</v>
      </c>
      <c r="DO27" t="n">
        <v>0</v>
      </c>
      <c r="DP27" t="n">
        <v>0</v>
      </c>
      <c r="DQ27" t="n">
        <v>0</v>
      </c>
      <c r="DR27" t="n">
        <v>0</v>
      </c>
      <c r="DS27" t="n">
        <v>0</v>
      </c>
      <c r="DT27" t="n">
        <v>0</v>
      </c>
      <c r="DU27" t="n">
        <v>0</v>
      </c>
      <c r="DV27" t="inlineStr">
        <is>
          <t>100 MWh of Class 1 Renewable Energy Cert</t>
        </is>
      </c>
    </row>
    <row r="28">
      <c r="A28" t="inlineStr">
        <is>
          <t>MARYLAND COMPLIANCE REC TIER1 - ICE FUTURES ENERGY DIV</t>
        </is>
      </c>
      <c r="B28" t="n">
        <v>230110</v>
      </c>
      <c r="C28" s="1" t="n">
        <v>44936</v>
      </c>
      <c r="D28" t="inlineStr">
        <is>
          <t>0063DM</t>
        </is>
      </c>
      <c r="E28" t="inlineStr">
        <is>
          <t>IFED</t>
        </is>
      </c>
      <c r="F28" t="inlineStr">
        <is>
          <t>01</t>
        </is>
      </c>
      <c r="G28" t="inlineStr">
        <is>
          <t xml:space="preserve">006 </t>
        </is>
      </c>
      <c r="H28" t="n">
        <v>43432</v>
      </c>
      <c r="I28" s="17" t="n">
        <v>8752</v>
      </c>
      <c r="J28" s="17" t="n">
        <v>27505</v>
      </c>
      <c r="K28" t="n">
        <v>0</v>
      </c>
      <c r="L28" t="n">
        <v>34680</v>
      </c>
      <c r="M28" t="n">
        <v>15927</v>
      </c>
      <c r="N28" t="n">
        <v>43432</v>
      </c>
      <c r="O28" t="n">
        <v>43432</v>
      </c>
      <c r="P28" t="n">
        <v>0</v>
      </c>
      <c r="Q28" t="n">
        <v>0</v>
      </c>
      <c r="R28" t="n">
        <v>43432</v>
      </c>
      <c r="S28" t="n">
        <v>8752</v>
      </c>
      <c r="T28" t="n">
        <v>27505</v>
      </c>
      <c r="U28" t="n">
        <v>0</v>
      </c>
      <c r="V28" t="n">
        <v>34680</v>
      </c>
      <c r="W28" t="n">
        <v>15927</v>
      </c>
      <c r="X28" t="n">
        <v>43432</v>
      </c>
      <c r="Y28" t="n">
        <v>43432</v>
      </c>
      <c r="Z28" t="n">
        <v>0</v>
      </c>
      <c r="AA28" t="n">
        <v>0</v>
      </c>
      <c r="AB28" t="n">
        <v>0</v>
      </c>
      <c r="AC28" t="n">
        <v>0</v>
      </c>
      <c r="AD28" t="n">
        <v>0</v>
      </c>
      <c r="AE28" t="n">
        <v>0</v>
      </c>
      <c r="AF28" t="n">
        <v>0</v>
      </c>
      <c r="AG28" t="n">
        <v>0</v>
      </c>
      <c r="AH28" t="n">
        <v>0</v>
      </c>
      <c r="AI28" t="n">
        <v>0</v>
      </c>
      <c r="AJ28" t="n">
        <v>0</v>
      </c>
      <c r="AK28" t="n">
        <v>0</v>
      </c>
      <c r="AL28" t="n">
        <v>578</v>
      </c>
      <c r="AM28" t="n">
        <v>0</v>
      </c>
      <c r="AN28" t="n">
        <v>-23</v>
      </c>
      <c r="AO28" t="n">
        <v>0</v>
      </c>
      <c r="AP28" t="n">
        <v>578</v>
      </c>
      <c r="AQ28" t="n">
        <v>601</v>
      </c>
      <c r="AR28" t="n">
        <v>578</v>
      </c>
      <c r="AS28" t="n">
        <v>578</v>
      </c>
      <c r="AT28" t="n">
        <v>0</v>
      </c>
      <c r="AU28" t="n">
        <v>0</v>
      </c>
      <c r="AV28" t="n">
        <v>100</v>
      </c>
      <c r="AW28" t="n">
        <v>20.2</v>
      </c>
      <c r="AX28" t="n">
        <v>63.3</v>
      </c>
      <c r="AY28" t="n">
        <v>0</v>
      </c>
      <c r="AZ28" t="n">
        <v>79.8</v>
      </c>
      <c r="BA28" t="n">
        <v>36.7</v>
      </c>
      <c r="BB28" t="n">
        <v>100</v>
      </c>
      <c r="BC28" t="n">
        <v>100</v>
      </c>
      <c r="BD28" t="n">
        <v>0</v>
      </c>
      <c r="BE28" t="n">
        <v>0</v>
      </c>
      <c r="BF28" t="n">
        <v>100</v>
      </c>
      <c r="BG28" t="n">
        <v>20.2</v>
      </c>
      <c r="BH28" t="n">
        <v>63.3</v>
      </c>
      <c r="BI28" t="n">
        <v>0</v>
      </c>
      <c r="BJ28" t="n">
        <v>79.8</v>
      </c>
      <c r="BK28" t="n">
        <v>36.7</v>
      </c>
      <c r="BL28" t="n">
        <v>100</v>
      </c>
      <c r="BM28" t="n">
        <v>100</v>
      </c>
      <c r="BN28" t="n">
        <v>0</v>
      </c>
      <c r="BO28" t="n">
        <v>0</v>
      </c>
      <c r="BP28" t="n">
        <v>0</v>
      </c>
      <c r="BQ28" t="n">
        <v>0</v>
      </c>
      <c r="BR28" t="n">
        <v>0</v>
      </c>
      <c r="BS28" t="n">
        <v>0</v>
      </c>
      <c r="BT28" t="n">
        <v>0</v>
      </c>
      <c r="BU28" t="n">
        <v>0</v>
      </c>
      <c r="BV28" t="n">
        <v>0</v>
      </c>
      <c r="BW28" t="n">
        <v>0</v>
      </c>
      <c r="BX28" t="n">
        <v>0</v>
      </c>
      <c r="BY28" t="n">
        <v>0</v>
      </c>
      <c r="BZ28" t="n">
        <v>33</v>
      </c>
      <c r="CA28" t="n">
        <v>5</v>
      </c>
      <c r="CB28" t="n">
        <v>5</v>
      </c>
      <c r="CC28" t="n">
        <v>0</v>
      </c>
      <c r="CD28" t="n">
        <v>17</v>
      </c>
      <c r="CE28" t="n">
        <v>14</v>
      </c>
      <c r="CF28" t="n">
        <v>22</v>
      </c>
      <c r="CG28" t="n">
        <v>19</v>
      </c>
      <c r="CH28" t="n">
        <v>33</v>
      </c>
      <c r="CI28" t="n">
        <v>5</v>
      </c>
      <c r="CJ28" t="n">
        <v>5</v>
      </c>
      <c r="CK28" t="n">
        <v>0</v>
      </c>
      <c r="CL28" t="n">
        <v>17</v>
      </c>
      <c r="CM28" t="n">
        <v>14</v>
      </c>
      <c r="CN28" t="n">
        <v>22</v>
      </c>
      <c r="CO28" t="n">
        <v>19</v>
      </c>
      <c r="CP28" t="n">
        <v>0</v>
      </c>
      <c r="CQ28" t="n">
        <v>0</v>
      </c>
      <c r="CR28" t="n">
        <v>0</v>
      </c>
      <c r="CS28" t="n">
        <v>0</v>
      </c>
      <c r="CT28" t="n">
        <v>0</v>
      </c>
      <c r="CU28" t="n">
        <v>0</v>
      </c>
      <c r="CV28" t="n">
        <v>0</v>
      </c>
      <c r="CW28" t="n">
        <v>0</v>
      </c>
      <c r="CX28" t="n">
        <v>54.3</v>
      </c>
      <c r="CY28" t="n">
        <v>74.90000000000001</v>
      </c>
      <c r="CZ28" t="n">
        <v>76.5</v>
      </c>
      <c r="DA28" t="n">
        <v>91.5</v>
      </c>
      <c r="DB28" t="n">
        <v>53.1</v>
      </c>
      <c r="DC28" t="n">
        <v>70</v>
      </c>
      <c r="DD28" t="n">
        <v>73.7</v>
      </c>
      <c r="DE28" t="n">
        <v>85.09999999999999</v>
      </c>
      <c r="DF28" t="n">
        <v>54.3</v>
      </c>
      <c r="DG28" t="n">
        <v>74.90000000000001</v>
      </c>
      <c r="DH28" t="n">
        <v>76.5</v>
      </c>
      <c r="DI28" t="n">
        <v>91.5</v>
      </c>
      <c r="DJ28" t="n">
        <v>53.1</v>
      </c>
      <c r="DK28" t="n">
        <v>70</v>
      </c>
      <c r="DL28" t="n">
        <v>73.7</v>
      </c>
      <c r="DM28" t="n">
        <v>85.09999999999999</v>
      </c>
      <c r="DN28" t="n">
        <v>0</v>
      </c>
      <c r="DO28" t="n">
        <v>0</v>
      </c>
      <c r="DP28" t="n">
        <v>0</v>
      </c>
      <c r="DQ28" t="n">
        <v>0</v>
      </c>
      <c r="DR28" t="n">
        <v>0</v>
      </c>
      <c r="DS28" t="n">
        <v>0</v>
      </c>
      <c r="DT28" t="n">
        <v>0</v>
      </c>
      <c r="DU28" t="n">
        <v>0</v>
      </c>
      <c r="DV28" t="inlineStr">
        <is>
          <t>(100 Tier 1 RECs)</t>
        </is>
      </c>
    </row>
    <row r="29">
      <c r="A29" t="inlineStr">
        <is>
          <t>MARYLAND COMPLIANCE REC TIER1 - ICE FUTURES ENERGY DIV</t>
        </is>
      </c>
      <c r="B29" t="n">
        <v>230103</v>
      </c>
      <c r="C29" s="1" t="n">
        <v>44929</v>
      </c>
      <c r="D29" t="inlineStr">
        <is>
          <t>0063DM</t>
        </is>
      </c>
      <c r="E29" t="inlineStr">
        <is>
          <t>IFED</t>
        </is>
      </c>
      <c r="F29" t="inlineStr">
        <is>
          <t>01</t>
        </is>
      </c>
      <c r="G29" t="inlineStr">
        <is>
          <t xml:space="preserve">006 </t>
        </is>
      </c>
      <c r="H29" t="n">
        <v>42854</v>
      </c>
      <c r="I29" s="17" t="n">
        <v>8752</v>
      </c>
      <c r="J29" s="17" t="n">
        <v>27528</v>
      </c>
      <c r="K29" t="n">
        <v>0</v>
      </c>
      <c r="L29" t="n">
        <v>34102</v>
      </c>
      <c r="M29" t="n">
        <v>15326</v>
      </c>
      <c r="N29" t="n">
        <v>42854</v>
      </c>
      <c r="O29" t="n">
        <v>42854</v>
      </c>
      <c r="P29" t="n">
        <v>0</v>
      </c>
      <c r="Q29" t="n">
        <v>0</v>
      </c>
      <c r="R29" t="n">
        <v>42854</v>
      </c>
      <c r="S29" t="n">
        <v>8752</v>
      </c>
      <c r="T29" t="n">
        <v>27528</v>
      </c>
      <c r="U29" t="n">
        <v>0</v>
      </c>
      <c r="V29" t="n">
        <v>34102</v>
      </c>
      <c r="W29" t="n">
        <v>15326</v>
      </c>
      <c r="X29" t="n">
        <v>42854</v>
      </c>
      <c r="Y29" t="n">
        <v>42854</v>
      </c>
      <c r="Z29" t="n">
        <v>0</v>
      </c>
      <c r="AA29" t="n">
        <v>0</v>
      </c>
      <c r="AB29" t="n">
        <v>0</v>
      </c>
      <c r="AC29" t="n">
        <v>0</v>
      </c>
      <c r="AD29" t="n">
        <v>0</v>
      </c>
      <c r="AE29" t="n">
        <v>0</v>
      </c>
      <c r="AF29" t="n">
        <v>0</v>
      </c>
      <c r="AG29" t="n">
        <v>0</v>
      </c>
      <c r="AH29" t="n">
        <v>0</v>
      </c>
      <c r="AI29" t="n">
        <v>0</v>
      </c>
      <c r="AJ29" t="n">
        <v>0</v>
      </c>
      <c r="AK29" t="n">
        <v>0</v>
      </c>
      <c r="AL29" t="n">
        <v>818</v>
      </c>
      <c r="AM29" t="n">
        <v>0</v>
      </c>
      <c r="AN29" t="n">
        <v>357</v>
      </c>
      <c r="AO29" t="n">
        <v>0</v>
      </c>
      <c r="AP29" t="n">
        <v>818</v>
      </c>
      <c r="AQ29" t="n">
        <v>461</v>
      </c>
      <c r="AR29" t="n">
        <v>818</v>
      </c>
      <c r="AS29" t="n">
        <v>818</v>
      </c>
      <c r="AT29" t="n">
        <v>0</v>
      </c>
      <c r="AU29" t="n">
        <v>0</v>
      </c>
      <c r="AV29" t="n">
        <v>100</v>
      </c>
      <c r="AW29" t="n">
        <v>20.4</v>
      </c>
      <c r="AX29" t="n">
        <v>64.2</v>
      </c>
      <c r="AY29" t="n">
        <v>0</v>
      </c>
      <c r="AZ29" t="n">
        <v>79.59999999999999</v>
      </c>
      <c r="BA29" t="n">
        <v>35.8</v>
      </c>
      <c r="BB29" t="n">
        <v>100</v>
      </c>
      <c r="BC29" t="n">
        <v>100</v>
      </c>
      <c r="BD29" t="n">
        <v>0</v>
      </c>
      <c r="BE29" t="n">
        <v>0</v>
      </c>
      <c r="BF29" t="n">
        <v>100</v>
      </c>
      <c r="BG29" t="n">
        <v>20.4</v>
      </c>
      <c r="BH29" t="n">
        <v>64.2</v>
      </c>
      <c r="BI29" t="n">
        <v>0</v>
      </c>
      <c r="BJ29" t="n">
        <v>79.59999999999999</v>
      </c>
      <c r="BK29" t="n">
        <v>35.8</v>
      </c>
      <c r="BL29" t="n">
        <v>100</v>
      </c>
      <c r="BM29" t="n">
        <v>100</v>
      </c>
      <c r="BN29" t="n">
        <v>0</v>
      </c>
      <c r="BO29" t="n">
        <v>0</v>
      </c>
      <c r="BP29" t="n">
        <v>0</v>
      </c>
      <c r="BQ29" t="n">
        <v>0</v>
      </c>
      <c r="BR29" t="n">
        <v>0</v>
      </c>
      <c r="BS29" t="n">
        <v>0</v>
      </c>
      <c r="BT29" t="n">
        <v>0</v>
      </c>
      <c r="BU29" t="n">
        <v>0</v>
      </c>
      <c r="BV29" t="n">
        <v>0</v>
      </c>
      <c r="BW29" t="n">
        <v>0</v>
      </c>
      <c r="BX29" t="n">
        <v>0</v>
      </c>
      <c r="BY29" t="n">
        <v>0</v>
      </c>
      <c r="BZ29" t="n">
        <v>33</v>
      </c>
      <c r="CA29" t="n">
        <v>5</v>
      </c>
      <c r="CB29" t="n">
        <v>5</v>
      </c>
      <c r="CC29" t="n">
        <v>0</v>
      </c>
      <c r="CD29" t="n">
        <v>16</v>
      </c>
      <c r="CE29" t="n">
        <v>14</v>
      </c>
      <c r="CF29" t="n">
        <v>21</v>
      </c>
      <c r="CG29" t="n">
        <v>19</v>
      </c>
      <c r="CH29" t="n">
        <v>33</v>
      </c>
      <c r="CI29" t="n">
        <v>5</v>
      </c>
      <c r="CJ29" t="n">
        <v>5</v>
      </c>
      <c r="CK29" t="n">
        <v>0</v>
      </c>
      <c r="CL29" t="n">
        <v>16</v>
      </c>
      <c r="CM29" t="n">
        <v>14</v>
      </c>
      <c r="CN29" t="n">
        <v>21</v>
      </c>
      <c r="CO29" t="n">
        <v>19</v>
      </c>
      <c r="CP29" t="n">
        <v>0</v>
      </c>
      <c r="CQ29" t="n">
        <v>0</v>
      </c>
      <c r="CR29" t="n">
        <v>0</v>
      </c>
      <c r="CS29" t="n">
        <v>0</v>
      </c>
      <c r="CT29" t="n">
        <v>0</v>
      </c>
      <c r="CU29" t="n">
        <v>0</v>
      </c>
      <c r="CV29" t="n">
        <v>0</v>
      </c>
      <c r="CW29" t="n">
        <v>0</v>
      </c>
      <c r="CX29" t="n">
        <v>54.3</v>
      </c>
      <c r="CY29" t="n">
        <v>75.09999999999999</v>
      </c>
      <c r="CZ29" t="n">
        <v>76.7</v>
      </c>
      <c r="DA29" t="n">
        <v>91.40000000000001</v>
      </c>
      <c r="DB29" t="n">
        <v>53.1</v>
      </c>
      <c r="DC29" t="n">
        <v>69.7</v>
      </c>
      <c r="DD29" t="n">
        <v>73.90000000000001</v>
      </c>
      <c r="DE29" t="n">
        <v>84.90000000000001</v>
      </c>
      <c r="DF29" t="n">
        <v>54.3</v>
      </c>
      <c r="DG29" t="n">
        <v>75.09999999999999</v>
      </c>
      <c r="DH29" t="n">
        <v>76.7</v>
      </c>
      <c r="DI29" t="n">
        <v>91.40000000000001</v>
      </c>
      <c r="DJ29" t="n">
        <v>53.1</v>
      </c>
      <c r="DK29" t="n">
        <v>69.7</v>
      </c>
      <c r="DL29" t="n">
        <v>73.90000000000001</v>
      </c>
      <c r="DM29" t="n">
        <v>84.90000000000001</v>
      </c>
      <c r="DN29" t="n">
        <v>0</v>
      </c>
      <c r="DO29" t="n">
        <v>0</v>
      </c>
      <c r="DP29" t="n">
        <v>0</v>
      </c>
      <c r="DQ29" t="n">
        <v>0</v>
      </c>
      <c r="DR29" t="n">
        <v>0</v>
      </c>
      <c r="DS29" t="n">
        <v>0</v>
      </c>
      <c r="DT29" t="n">
        <v>0</v>
      </c>
      <c r="DU29" t="n">
        <v>0</v>
      </c>
      <c r="DV29" t="inlineStr">
        <is>
          <t>(100 Tier 1 RECs)</t>
        </is>
      </c>
    </row>
    <row r="30">
      <c r="A30" t="inlineStr">
        <is>
          <t>MARYLAND SOLAR REC - ICE FUTURES ENERGY DIV</t>
        </is>
      </c>
      <c r="B30" t="n">
        <v>230110</v>
      </c>
      <c r="C30" s="1" t="n">
        <v>44936</v>
      </c>
      <c r="D30" t="inlineStr">
        <is>
          <t>0063DN</t>
        </is>
      </c>
      <c r="E30" t="inlineStr">
        <is>
          <t>IFED</t>
        </is>
      </c>
      <c r="F30" t="inlineStr">
        <is>
          <t>01</t>
        </is>
      </c>
      <c r="G30" t="inlineStr">
        <is>
          <t xml:space="preserve">006 </t>
        </is>
      </c>
      <c r="H30" t="n">
        <v>38181</v>
      </c>
      <c r="I30" s="17" t="n">
        <v>11360</v>
      </c>
      <c r="J30" s="17" t="n">
        <v>12507</v>
      </c>
      <c r="K30" t="n">
        <v>1550</v>
      </c>
      <c r="L30" t="n">
        <v>25271</v>
      </c>
      <c r="M30" t="n">
        <v>24124</v>
      </c>
      <c r="N30" t="n">
        <v>38181</v>
      </c>
      <c r="O30" t="n">
        <v>38181</v>
      </c>
      <c r="P30" t="n">
        <v>0</v>
      </c>
      <c r="Q30" t="n">
        <v>0</v>
      </c>
      <c r="R30" t="n">
        <v>38181</v>
      </c>
      <c r="S30" t="n">
        <v>11360</v>
      </c>
      <c r="T30" t="n">
        <v>12507</v>
      </c>
      <c r="U30" t="n">
        <v>1550</v>
      </c>
      <c r="V30" t="n">
        <v>25271</v>
      </c>
      <c r="W30" t="n">
        <v>24124</v>
      </c>
      <c r="X30" t="n">
        <v>38181</v>
      </c>
      <c r="Y30" t="n">
        <v>38181</v>
      </c>
      <c r="Z30" t="n">
        <v>0</v>
      </c>
      <c r="AA30" t="n">
        <v>0</v>
      </c>
      <c r="AB30" t="n">
        <v>0</v>
      </c>
      <c r="AC30" t="n">
        <v>0</v>
      </c>
      <c r="AD30" t="n">
        <v>0</v>
      </c>
      <c r="AE30" t="n">
        <v>0</v>
      </c>
      <c r="AF30" t="n">
        <v>0</v>
      </c>
      <c r="AG30" t="n">
        <v>0</v>
      </c>
      <c r="AH30" t="n">
        <v>0</v>
      </c>
      <c r="AI30" t="n">
        <v>0</v>
      </c>
      <c r="AJ30" t="n">
        <v>0</v>
      </c>
      <c r="AK30" t="n">
        <v>0</v>
      </c>
      <c r="AL30" t="n">
        <v>0</v>
      </c>
      <c r="AM30" t="n">
        <v>0</v>
      </c>
      <c r="AN30" t="n">
        <v>0</v>
      </c>
      <c r="AO30" t="n">
        <v>0</v>
      </c>
      <c r="AP30" t="n">
        <v>0</v>
      </c>
      <c r="AQ30" t="n">
        <v>0</v>
      </c>
      <c r="AR30" t="n">
        <v>0</v>
      </c>
      <c r="AS30" t="n">
        <v>0</v>
      </c>
      <c r="AT30" t="n">
        <v>0</v>
      </c>
      <c r="AU30" t="n">
        <v>0</v>
      </c>
      <c r="AV30" t="n">
        <v>100</v>
      </c>
      <c r="AW30" t="n">
        <v>29.8</v>
      </c>
      <c r="AX30" t="n">
        <v>32.8</v>
      </c>
      <c r="AY30" t="n">
        <v>4.1</v>
      </c>
      <c r="AZ30" t="n">
        <v>66.2</v>
      </c>
      <c r="BA30" t="n">
        <v>63.2</v>
      </c>
      <c r="BB30" t="n">
        <v>100</v>
      </c>
      <c r="BC30" t="n">
        <v>100</v>
      </c>
      <c r="BD30" t="n">
        <v>0</v>
      </c>
      <c r="BE30" t="n">
        <v>0</v>
      </c>
      <c r="BF30" t="n">
        <v>100</v>
      </c>
      <c r="BG30" t="n">
        <v>29.8</v>
      </c>
      <c r="BH30" t="n">
        <v>32.8</v>
      </c>
      <c r="BI30" t="n">
        <v>4.1</v>
      </c>
      <c r="BJ30" t="n">
        <v>66.2</v>
      </c>
      <c r="BK30" t="n">
        <v>63.2</v>
      </c>
      <c r="BL30" t="n">
        <v>100</v>
      </c>
      <c r="BM30" t="n">
        <v>100</v>
      </c>
      <c r="BN30" t="n">
        <v>0</v>
      </c>
      <c r="BO30" t="n">
        <v>0</v>
      </c>
      <c r="BP30" t="n">
        <v>0</v>
      </c>
      <c r="BQ30" t="n">
        <v>0</v>
      </c>
      <c r="BR30" t="n">
        <v>0</v>
      </c>
      <c r="BS30" t="n">
        <v>0</v>
      </c>
      <c r="BT30" t="n">
        <v>0</v>
      </c>
      <c r="BU30" t="n">
        <v>0</v>
      </c>
      <c r="BV30" t="n">
        <v>0</v>
      </c>
      <c r="BW30" t="n">
        <v>0</v>
      </c>
      <c r="BX30" t="n">
        <v>0</v>
      </c>
      <c r="BY30" t="n">
        <v>0</v>
      </c>
      <c r="BZ30" t="n">
        <v>25</v>
      </c>
      <c r="CA30" t="n">
        <v>6</v>
      </c>
      <c r="CB30" t="n">
        <v>2</v>
      </c>
      <c r="CC30" t="n">
        <v>1</v>
      </c>
      <c r="CD30" t="n">
        <v>14</v>
      </c>
      <c r="CE30" t="n">
        <v>7</v>
      </c>
      <c r="CF30" t="n">
        <v>20</v>
      </c>
      <c r="CG30" t="n">
        <v>10</v>
      </c>
      <c r="CH30" t="n">
        <v>25</v>
      </c>
      <c r="CI30" t="n">
        <v>6</v>
      </c>
      <c r="CJ30" t="n">
        <v>2</v>
      </c>
      <c r="CK30" t="n">
        <v>1</v>
      </c>
      <c r="CL30" t="n">
        <v>14</v>
      </c>
      <c r="CM30" t="n">
        <v>7</v>
      </c>
      <c r="CN30" t="n">
        <v>20</v>
      </c>
      <c r="CO30" t="n">
        <v>10</v>
      </c>
      <c r="CP30" t="n">
        <v>0</v>
      </c>
      <c r="CQ30" t="n">
        <v>0</v>
      </c>
      <c r="CR30" t="n">
        <v>0</v>
      </c>
      <c r="CS30" t="n">
        <v>0</v>
      </c>
      <c r="CT30" t="n">
        <v>0</v>
      </c>
      <c r="CU30" t="n">
        <v>0</v>
      </c>
      <c r="CV30" t="n">
        <v>0</v>
      </c>
      <c r="CW30" t="n">
        <v>0</v>
      </c>
      <c r="CX30" t="n">
        <v>39.2</v>
      </c>
      <c r="CY30" t="n">
        <v>75.5</v>
      </c>
      <c r="CZ30" t="n">
        <v>69.5</v>
      </c>
      <c r="DA30" t="n">
        <v>99.3</v>
      </c>
      <c r="DB30" t="n">
        <v>37.8</v>
      </c>
      <c r="DC30" t="n">
        <v>73.2</v>
      </c>
      <c r="DD30" t="n">
        <v>62.6</v>
      </c>
      <c r="DE30" t="n">
        <v>78.90000000000001</v>
      </c>
      <c r="DF30" t="n">
        <v>39.2</v>
      </c>
      <c r="DG30" t="n">
        <v>75.5</v>
      </c>
      <c r="DH30" t="n">
        <v>69.5</v>
      </c>
      <c r="DI30" t="n">
        <v>99.3</v>
      </c>
      <c r="DJ30" t="n">
        <v>37.8</v>
      </c>
      <c r="DK30" t="n">
        <v>73.2</v>
      </c>
      <c r="DL30" t="n">
        <v>62.6</v>
      </c>
      <c r="DM30" t="n">
        <v>78.90000000000001</v>
      </c>
      <c r="DN30" t="n">
        <v>0</v>
      </c>
      <c r="DO30" t="n">
        <v>0</v>
      </c>
      <c r="DP30" t="n">
        <v>0</v>
      </c>
      <c r="DQ30" t="n">
        <v>0</v>
      </c>
      <c r="DR30" t="n">
        <v>0</v>
      </c>
      <c r="DS30" t="n">
        <v>0</v>
      </c>
      <c r="DT30" t="n">
        <v>0</v>
      </c>
      <c r="DU30" t="n">
        <v>0</v>
      </c>
      <c r="DV30" t="inlineStr">
        <is>
          <t>(10 SRECs)</t>
        </is>
      </c>
    </row>
    <row r="31">
      <c r="A31" t="inlineStr">
        <is>
          <t>MARYLAND SOLAR REC - ICE FUTURES ENERGY DIV</t>
        </is>
      </c>
      <c r="B31" t="n">
        <v>230103</v>
      </c>
      <c r="C31" s="1" t="n">
        <v>44929</v>
      </c>
      <c r="D31" t="inlineStr">
        <is>
          <t>0063DN</t>
        </is>
      </c>
      <c r="E31" t="inlineStr">
        <is>
          <t>IFED</t>
        </is>
      </c>
      <c r="F31" t="inlineStr">
        <is>
          <t>01</t>
        </is>
      </c>
      <c r="G31" t="inlineStr">
        <is>
          <t xml:space="preserve">006 </t>
        </is>
      </c>
      <c r="H31" t="n">
        <v>38181</v>
      </c>
      <c r="I31" s="17" t="n">
        <v>11360</v>
      </c>
      <c r="J31" s="17" t="n">
        <v>12507</v>
      </c>
      <c r="K31" t="n">
        <v>1550</v>
      </c>
      <c r="L31" t="n">
        <v>25271</v>
      </c>
      <c r="M31" t="n">
        <v>24124</v>
      </c>
      <c r="N31" t="n">
        <v>38181</v>
      </c>
      <c r="O31" t="n">
        <v>38181</v>
      </c>
      <c r="P31" t="n">
        <v>0</v>
      </c>
      <c r="Q31" t="n">
        <v>0</v>
      </c>
      <c r="R31" t="n">
        <v>38181</v>
      </c>
      <c r="S31" t="n">
        <v>11360</v>
      </c>
      <c r="T31" t="n">
        <v>12507</v>
      </c>
      <c r="U31" t="n">
        <v>1550</v>
      </c>
      <c r="V31" t="n">
        <v>25271</v>
      </c>
      <c r="W31" t="n">
        <v>24124</v>
      </c>
      <c r="X31" t="n">
        <v>38181</v>
      </c>
      <c r="Y31" t="n">
        <v>38181</v>
      </c>
      <c r="Z31" t="n">
        <v>0</v>
      </c>
      <c r="AA31" t="n">
        <v>0</v>
      </c>
      <c r="AB31" t="n">
        <v>0</v>
      </c>
      <c r="AC31" t="n">
        <v>0</v>
      </c>
      <c r="AD31" t="n">
        <v>0</v>
      </c>
      <c r="AE31" t="n">
        <v>0</v>
      </c>
      <c r="AF31" t="n">
        <v>0</v>
      </c>
      <c r="AG31" t="n">
        <v>0</v>
      </c>
      <c r="AH31" t="n">
        <v>0</v>
      </c>
      <c r="AI31" t="n">
        <v>0</v>
      </c>
      <c r="AJ31" t="n">
        <v>0</v>
      </c>
      <c r="AK31" t="n">
        <v>0</v>
      </c>
      <c r="AL31" t="n">
        <v>0</v>
      </c>
      <c r="AM31" t="n">
        <v>0</v>
      </c>
      <c r="AN31" t="n">
        <v>-50</v>
      </c>
      <c r="AO31" t="n">
        <v>0</v>
      </c>
      <c r="AP31" t="n">
        <v>0</v>
      </c>
      <c r="AQ31" t="n">
        <v>50</v>
      </c>
      <c r="AR31" t="n">
        <v>0</v>
      </c>
      <c r="AS31" t="n">
        <v>0</v>
      </c>
      <c r="AT31" t="n">
        <v>0</v>
      </c>
      <c r="AU31" t="n">
        <v>0</v>
      </c>
      <c r="AV31" t="n">
        <v>100</v>
      </c>
      <c r="AW31" t="n">
        <v>29.8</v>
      </c>
      <c r="AX31" t="n">
        <v>32.8</v>
      </c>
      <c r="AY31" t="n">
        <v>4.1</v>
      </c>
      <c r="AZ31" t="n">
        <v>66.2</v>
      </c>
      <c r="BA31" t="n">
        <v>63.2</v>
      </c>
      <c r="BB31" t="n">
        <v>100</v>
      </c>
      <c r="BC31" t="n">
        <v>100</v>
      </c>
      <c r="BD31" t="n">
        <v>0</v>
      </c>
      <c r="BE31" t="n">
        <v>0</v>
      </c>
      <c r="BF31" t="n">
        <v>100</v>
      </c>
      <c r="BG31" t="n">
        <v>29.8</v>
      </c>
      <c r="BH31" t="n">
        <v>32.8</v>
      </c>
      <c r="BI31" t="n">
        <v>4.1</v>
      </c>
      <c r="BJ31" t="n">
        <v>66.2</v>
      </c>
      <c r="BK31" t="n">
        <v>63.2</v>
      </c>
      <c r="BL31" t="n">
        <v>100</v>
      </c>
      <c r="BM31" t="n">
        <v>100</v>
      </c>
      <c r="BN31" t="n">
        <v>0</v>
      </c>
      <c r="BO31" t="n">
        <v>0</v>
      </c>
      <c r="BP31" t="n">
        <v>0</v>
      </c>
      <c r="BQ31" t="n">
        <v>0</v>
      </c>
      <c r="BR31" t="n">
        <v>0</v>
      </c>
      <c r="BS31" t="n">
        <v>0</v>
      </c>
      <c r="BT31" t="n">
        <v>0</v>
      </c>
      <c r="BU31" t="n">
        <v>0</v>
      </c>
      <c r="BV31" t="n">
        <v>0</v>
      </c>
      <c r="BW31" t="n">
        <v>0</v>
      </c>
      <c r="BX31" t="n">
        <v>0</v>
      </c>
      <c r="BY31" t="n">
        <v>0</v>
      </c>
      <c r="BZ31" t="n">
        <v>25</v>
      </c>
      <c r="CA31" t="n">
        <v>6</v>
      </c>
      <c r="CB31" t="n">
        <v>2</v>
      </c>
      <c r="CC31" t="n">
        <v>1</v>
      </c>
      <c r="CD31" t="n">
        <v>14</v>
      </c>
      <c r="CE31" t="n">
        <v>7</v>
      </c>
      <c r="CF31" t="n">
        <v>20</v>
      </c>
      <c r="CG31" t="n">
        <v>10</v>
      </c>
      <c r="CH31" t="n">
        <v>25</v>
      </c>
      <c r="CI31" t="n">
        <v>6</v>
      </c>
      <c r="CJ31" t="n">
        <v>2</v>
      </c>
      <c r="CK31" t="n">
        <v>1</v>
      </c>
      <c r="CL31" t="n">
        <v>14</v>
      </c>
      <c r="CM31" t="n">
        <v>7</v>
      </c>
      <c r="CN31" t="n">
        <v>20</v>
      </c>
      <c r="CO31" t="n">
        <v>10</v>
      </c>
      <c r="CP31" t="n">
        <v>0</v>
      </c>
      <c r="CQ31" t="n">
        <v>0</v>
      </c>
      <c r="CR31" t="n">
        <v>0</v>
      </c>
      <c r="CS31" t="n">
        <v>0</v>
      </c>
      <c r="CT31" t="n">
        <v>0</v>
      </c>
      <c r="CU31" t="n">
        <v>0</v>
      </c>
      <c r="CV31" t="n">
        <v>0</v>
      </c>
      <c r="CW31" t="n">
        <v>0</v>
      </c>
      <c r="CX31" t="n">
        <v>39.2</v>
      </c>
      <c r="CY31" t="n">
        <v>75.5</v>
      </c>
      <c r="CZ31" t="n">
        <v>69.5</v>
      </c>
      <c r="DA31" t="n">
        <v>99.3</v>
      </c>
      <c r="DB31" t="n">
        <v>37.8</v>
      </c>
      <c r="DC31" t="n">
        <v>73.2</v>
      </c>
      <c r="DD31" t="n">
        <v>62.6</v>
      </c>
      <c r="DE31" t="n">
        <v>78.90000000000001</v>
      </c>
      <c r="DF31" t="n">
        <v>39.2</v>
      </c>
      <c r="DG31" t="n">
        <v>75.5</v>
      </c>
      <c r="DH31" t="n">
        <v>69.5</v>
      </c>
      <c r="DI31" t="n">
        <v>99.3</v>
      </c>
      <c r="DJ31" t="n">
        <v>37.8</v>
      </c>
      <c r="DK31" t="n">
        <v>73.2</v>
      </c>
      <c r="DL31" t="n">
        <v>62.6</v>
      </c>
      <c r="DM31" t="n">
        <v>78.90000000000001</v>
      </c>
      <c r="DN31" t="n">
        <v>0</v>
      </c>
      <c r="DO31" t="n">
        <v>0</v>
      </c>
      <c r="DP31" t="n">
        <v>0</v>
      </c>
      <c r="DQ31" t="n">
        <v>0</v>
      </c>
      <c r="DR31" t="n">
        <v>0</v>
      </c>
      <c r="DS31" t="n">
        <v>0</v>
      </c>
      <c r="DT31" t="n">
        <v>0</v>
      </c>
      <c r="DU31" t="n">
        <v>0</v>
      </c>
      <c r="DV31" t="inlineStr">
        <is>
          <t>(10 SRECs)</t>
        </is>
      </c>
    </row>
    <row r="32">
      <c r="A32" t="inlineStr">
        <is>
          <t>NEPOOL DUAL RECs CLASS 1 - ICE FUTURES ENERGY DIV</t>
        </is>
      </c>
      <c r="B32" t="n">
        <v>230110</v>
      </c>
      <c r="C32" s="1" t="n">
        <v>44936</v>
      </c>
      <c r="D32" t="inlineStr">
        <is>
          <t>0063DQ</t>
        </is>
      </c>
      <c r="E32" t="inlineStr">
        <is>
          <t>IFED</t>
        </is>
      </c>
      <c r="F32" t="inlineStr">
        <is>
          <t>01</t>
        </is>
      </c>
      <c r="G32" t="inlineStr">
        <is>
          <t xml:space="preserve">006 </t>
        </is>
      </c>
      <c r="H32" t="n">
        <v>25191</v>
      </c>
      <c r="I32" s="17" t="n">
        <v>1295</v>
      </c>
      <c r="J32" s="17" t="n">
        <v>6140</v>
      </c>
      <c r="K32" t="n">
        <v>1060</v>
      </c>
      <c r="L32" t="n">
        <v>22836</v>
      </c>
      <c r="M32" t="n">
        <v>17991</v>
      </c>
      <c r="N32" t="n">
        <v>25191</v>
      </c>
      <c r="O32" t="n">
        <v>25191</v>
      </c>
      <c r="P32" t="n">
        <v>0</v>
      </c>
      <c r="Q32" t="n">
        <v>0</v>
      </c>
      <c r="R32" t="n">
        <v>25191</v>
      </c>
      <c r="S32" t="n">
        <v>1295</v>
      </c>
      <c r="T32" t="n">
        <v>6140</v>
      </c>
      <c r="U32" t="n">
        <v>1060</v>
      </c>
      <c r="V32" t="n">
        <v>22836</v>
      </c>
      <c r="W32" t="n">
        <v>17991</v>
      </c>
      <c r="X32" t="n">
        <v>25191</v>
      </c>
      <c r="Y32" t="n">
        <v>25191</v>
      </c>
      <c r="Z32" t="n">
        <v>0</v>
      </c>
      <c r="AA32" t="n">
        <v>0</v>
      </c>
      <c r="AB32" t="n">
        <v>0</v>
      </c>
      <c r="AC32" t="n">
        <v>0</v>
      </c>
      <c r="AD32" t="n">
        <v>0</v>
      </c>
      <c r="AE32" t="n">
        <v>0</v>
      </c>
      <c r="AF32" t="n">
        <v>0</v>
      </c>
      <c r="AG32" t="n">
        <v>0</v>
      </c>
      <c r="AH32" t="n">
        <v>0</v>
      </c>
      <c r="AI32" t="n">
        <v>0</v>
      </c>
      <c r="AJ32" t="n">
        <v>0</v>
      </c>
      <c r="AK32" t="n">
        <v>0</v>
      </c>
      <c r="AL32" t="n">
        <v>100</v>
      </c>
      <c r="AM32" t="n">
        <v>0</v>
      </c>
      <c r="AN32" t="n">
        <v>100</v>
      </c>
      <c r="AO32" t="n">
        <v>0</v>
      </c>
      <c r="AP32" t="n">
        <v>100</v>
      </c>
      <c r="AQ32" t="n">
        <v>0</v>
      </c>
      <c r="AR32" t="n">
        <v>100</v>
      </c>
      <c r="AS32" t="n">
        <v>100</v>
      </c>
      <c r="AT32" t="n">
        <v>0</v>
      </c>
      <c r="AU32" t="n">
        <v>0</v>
      </c>
      <c r="AV32" t="n">
        <v>100</v>
      </c>
      <c r="AW32" t="n">
        <v>5.1</v>
      </c>
      <c r="AX32" t="n">
        <v>24.4</v>
      </c>
      <c r="AY32" t="n">
        <v>4.2</v>
      </c>
      <c r="AZ32" t="n">
        <v>90.7</v>
      </c>
      <c r="BA32" t="n">
        <v>71.40000000000001</v>
      </c>
      <c r="BB32" t="n">
        <v>100</v>
      </c>
      <c r="BC32" t="n">
        <v>100</v>
      </c>
      <c r="BD32" t="n">
        <v>0</v>
      </c>
      <c r="BE32" t="n">
        <v>0</v>
      </c>
      <c r="BF32" t="n">
        <v>100</v>
      </c>
      <c r="BG32" t="n">
        <v>5.1</v>
      </c>
      <c r="BH32" t="n">
        <v>24.4</v>
      </c>
      <c r="BI32" t="n">
        <v>4.2</v>
      </c>
      <c r="BJ32" t="n">
        <v>90.7</v>
      </c>
      <c r="BK32" t="n">
        <v>71.40000000000001</v>
      </c>
      <c r="BL32" t="n">
        <v>100</v>
      </c>
      <c r="BM32" t="n">
        <v>100</v>
      </c>
      <c r="BN32" t="n">
        <v>0</v>
      </c>
      <c r="BO32" t="n">
        <v>0</v>
      </c>
      <c r="BP32" t="n">
        <v>0</v>
      </c>
      <c r="BQ32" t="n">
        <v>0</v>
      </c>
      <c r="BR32" t="n">
        <v>0</v>
      </c>
      <c r="BS32" t="n">
        <v>0</v>
      </c>
      <c r="BT32" t="n">
        <v>0</v>
      </c>
      <c r="BU32" t="n">
        <v>0</v>
      </c>
      <c r="BV32" t="n">
        <v>0</v>
      </c>
      <c r="BW32" t="n">
        <v>0</v>
      </c>
      <c r="BX32" t="n">
        <v>0</v>
      </c>
      <c r="BY32" t="n">
        <v>0</v>
      </c>
      <c r="BZ32" t="n">
        <v>21</v>
      </c>
      <c r="CA32" t="n">
        <v>1</v>
      </c>
      <c r="CB32" t="n">
        <v>4</v>
      </c>
      <c r="CC32" t="n">
        <v>2</v>
      </c>
      <c r="CD32" t="n">
        <v>12</v>
      </c>
      <c r="CE32" t="n">
        <v>8</v>
      </c>
      <c r="CF32" t="n">
        <v>14</v>
      </c>
      <c r="CG32" t="n">
        <v>13</v>
      </c>
      <c r="CH32" t="n">
        <v>21</v>
      </c>
      <c r="CI32" t="n">
        <v>1</v>
      </c>
      <c r="CJ32" t="n">
        <v>4</v>
      </c>
      <c r="CK32" t="n">
        <v>2</v>
      </c>
      <c r="CL32" t="n">
        <v>12</v>
      </c>
      <c r="CM32" t="n">
        <v>8</v>
      </c>
      <c r="CN32" t="n">
        <v>14</v>
      </c>
      <c r="CO32" t="n">
        <v>13</v>
      </c>
      <c r="CP32" t="n">
        <v>0</v>
      </c>
      <c r="CQ32" t="n">
        <v>0</v>
      </c>
      <c r="CR32" t="n">
        <v>0</v>
      </c>
      <c r="CS32" t="n">
        <v>0</v>
      </c>
      <c r="CT32" t="n">
        <v>0</v>
      </c>
      <c r="CU32" t="n">
        <v>0</v>
      </c>
      <c r="CV32" t="n">
        <v>0</v>
      </c>
      <c r="CW32" t="n">
        <v>0</v>
      </c>
      <c r="CX32" t="n">
        <v>62.3</v>
      </c>
      <c r="CY32" t="n">
        <v>79.5</v>
      </c>
      <c r="CZ32" t="n">
        <v>88</v>
      </c>
      <c r="DA32" t="n">
        <v>95.90000000000001</v>
      </c>
      <c r="DB32" t="n">
        <v>62.3</v>
      </c>
      <c r="DC32" t="n">
        <v>76.8</v>
      </c>
      <c r="DD32" t="n">
        <v>81.7</v>
      </c>
      <c r="DE32" t="n">
        <v>86.8</v>
      </c>
      <c r="DF32" t="n">
        <v>62.3</v>
      </c>
      <c r="DG32" t="n">
        <v>79.5</v>
      </c>
      <c r="DH32" t="n">
        <v>88</v>
      </c>
      <c r="DI32" t="n">
        <v>95.90000000000001</v>
      </c>
      <c r="DJ32" t="n">
        <v>62.3</v>
      </c>
      <c r="DK32" t="n">
        <v>76.8</v>
      </c>
      <c r="DL32" t="n">
        <v>81.7</v>
      </c>
      <c r="DM32" t="n">
        <v>86.8</v>
      </c>
      <c r="DN32" t="n">
        <v>0</v>
      </c>
      <c r="DO32" t="n">
        <v>0</v>
      </c>
      <c r="DP32" t="n">
        <v>0</v>
      </c>
      <c r="DQ32" t="n">
        <v>0</v>
      </c>
      <c r="DR32" t="n">
        <v>0</v>
      </c>
      <c r="DS32" t="n">
        <v>0</v>
      </c>
      <c r="DT32" t="n">
        <v>0</v>
      </c>
      <c r="DU32" t="n">
        <v>0</v>
      </c>
      <c r="DV32" t="inlineStr">
        <is>
          <t>100 MWh of Class 1 Renewable Energy Cert</t>
        </is>
      </c>
    </row>
    <row r="33">
      <c r="A33" t="inlineStr">
        <is>
          <t>NEPOOL DUAL RECs CLASS 1 - ICE FUTURES ENERGY DIV</t>
        </is>
      </c>
      <c r="B33" t="n">
        <v>230103</v>
      </c>
      <c r="C33" s="1" t="n">
        <v>44929</v>
      </c>
      <c r="D33" t="inlineStr">
        <is>
          <t>0063DQ</t>
        </is>
      </c>
      <c r="E33" t="inlineStr">
        <is>
          <t>IFED</t>
        </is>
      </c>
      <c r="F33" t="inlineStr">
        <is>
          <t>01</t>
        </is>
      </c>
      <c r="G33" t="inlineStr">
        <is>
          <t xml:space="preserve">006 </t>
        </is>
      </c>
      <c r="H33" t="n">
        <v>25091</v>
      </c>
      <c r="I33" s="17" t="n">
        <v>1295</v>
      </c>
      <c r="J33" s="17" t="n">
        <v>6040</v>
      </c>
      <c r="K33" t="n">
        <v>1060</v>
      </c>
      <c r="L33" t="n">
        <v>22736</v>
      </c>
      <c r="M33" t="n">
        <v>17991</v>
      </c>
      <c r="N33" t="n">
        <v>25091</v>
      </c>
      <c r="O33" t="n">
        <v>25091</v>
      </c>
      <c r="P33" t="n">
        <v>0</v>
      </c>
      <c r="Q33" t="n">
        <v>0</v>
      </c>
      <c r="R33" t="n">
        <v>25091</v>
      </c>
      <c r="S33" t="n">
        <v>1295</v>
      </c>
      <c r="T33" t="n">
        <v>6040</v>
      </c>
      <c r="U33" t="n">
        <v>1060</v>
      </c>
      <c r="V33" t="n">
        <v>22736</v>
      </c>
      <c r="W33" t="n">
        <v>17991</v>
      </c>
      <c r="X33" t="n">
        <v>25091</v>
      </c>
      <c r="Y33" t="n">
        <v>25091</v>
      </c>
      <c r="Z33" t="n">
        <v>0</v>
      </c>
      <c r="AA33" t="n">
        <v>0</v>
      </c>
      <c r="AB33" t="n">
        <v>0</v>
      </c>
      <c r="AC33" t="n">
        <v>0</v>
      </c>
      <c r="AD33" t="n">
        <v>0</v>
      </c>
      <c r="AE33" t="n">
        <v>0</v>
      </c>
      <c r="AF33" t="n">
        <v>0</v>
      </c>
      <c r="AG33" t="n">
        <v>0</v>
      </c>
      <c r="AH33" t="n">
        <v>0</v>
      </c>
      <c r="AI33" t="n">
        <v>0</v>
      </c>
      <c r="AJ33" t="n">
        <v>0</v>
      </c>
      <c r="AK33" t="n">
        <v>0</v>
      </c>
      <c r="AL33" t="n">
        <v>195</v>
      </c>
      <c r="AM33" t="n">
        <v>0</v>
      </c>
      <c r="AN33" t="n">
        <v>0</v>
      </c>
      <c r="AO33" t="n">
        <v>0</v>
      </c>
      <c r="AP33" t="n">
        <v>195</v>
      </c>
      <c r="AQ33" t="n">
        <v>195</v>
      </c>
      <c r="AR33" t="n">
        <v>195</v>
      </c>
      <c r="AS33" t="n">
        <v>195</v>
      </c>
      <c r="AT33" t="n">
        <v>0</v>
      </c>
      <c r="AU33" t="n">
        <v>0</v>
      </c>
      <c r="AV33" t="n">
        <v>100</v>
      </c>
      <c r="AW33" t="n">
        <v>5.2</v>
      </c>
      <c r="AX33" t="n">
        <v>24.1</v>
      </c>
      <c r="AY33" t="n">
        <v>4.2</v>
      </c>
      <c r="AZ33" t="n">
        <v>90.59999999999999</v>
      </c>
      <c r="BA33" t="n">
        <v>71.7</v>
      </c>
      <c r="BB33" t="n">
        <v>100</v>
      </c>
      <c r="BC33" t="n">
        <v>100</v>
      </c>
      <c r="BD33" t="n">
        <v>0</v>
      </c>
      <c r="BE33" t="n">
        <v>0</v>
      </c>
      <c r="BF33" t="n">
        <v>100</v>
      </c>
      <c r="BG33" t="n">
        <v>5.2</v>
      </c>
      <c r="BH33" t="n">
        <v>24.1</v>
      </c>
      <c r="BI33" t="n">
        <v>4.2</v>
      </c>
      <c r="BJ33" t="n">
        <v>90.59999999999999</v>
      </c>
      <c r="BK33" t="n">
        <v>71.7</v>
      </c>
      <c r="BL33" t="n">
        <v>100</v>
      </c>
      <c r="BM33" t="n">
        <v>100</v>
      </c>
      <c r="BN33" t="n">
        <v>0</v>
      </c>
      <c r="BO33" t="n">
        <v>0</v>
      </c>
      <c r="BP33" t="n">
        <v>0</v>
      </c>
      <c r="BQ33" t="n">
        <v>0</v>
      </c>
      <c r="BR33" t="n">
        <v>0</v>
      </c>
      <c r="BS33" t="n">
        <v>0</v>
      </c>
      <c r="BT33" t="n">
        <v>0</v>
      </c>
      <c r="BU33" t="n">
        <v>0</v>
      </c>
      <c r="BV33" t="n">
        <v>0</v>
      </c>
      <c r="BW33" t="n">
        <v>0</v>
      </c>
      <c r="BX33" t="n">
        <v>0</v>
      </c>
      <c r="BY33" t="n">
        <v>0</v>
      </c>
      <c r="BZ33" t="n">
        <v>21</v>
      </c>
      <c r="CA33" t="n">
        <v>1</v>
      </c>
      <c r="CB33" t="n">
        <v>4</v>
      </c>
      <c r="CC33" t="n">
        <v>2</v>
      </c>
      <c r="CD33" t="n">
        <v>12</v>
      </c>
      <c r="CE33" t="n">
        <v>8</v>
      </c>
      <c r="CF33" t="n">
        <v>14</v>
      </c>
      <c r="CG33" t="n">
        <v>13</v>
      </c>
      <c r="CH33" t="n">
        <v>21</v>
      </c>
      <c r="CI33" t="n">
        <v>1</v>
      </c>
      <c r="CJ33" t="n">
        <v>4</v>
      </c>
      <c r="CK33" t="n">
        <v>2</v>
      </c>
      <c r="CL33" t="n">
        <v>12</v>
      </c>
      <c r="CM33" t="n">
        <v>8</v>
      </c>
      <c r="CN33" t="n">
        <v>14</v>
      </c>
      <c r="CO33" t="n">
        <v>13</v>
      </c>
      <c r="CP33" t="n">
        <v>0</v>
      </c>
      <c r="CQ33" t="n">
        <v>0</v>
      </c>
      <c r="CR33" t="n">
        <v>0</v>
      </c>
      <c r="CS33" t="n">
        <v>0</v>
      </c>
      <c r="CT33" t="n">
        <v>0</v>
      </c>
      <c r="CU33" t="n">
        <v>0</v>
      </c>
      <c r="CV33" t="n">
        <v>0</v>
      </c>
      <c r="CW33" t="n">
        <v>0</v>
      </c>
      <c r="CX33" t="n">
        <v>62.6</v>
      </c>
      <c r="CY33" t="n">
        <v>79.8</v>
      </c>
      <c r="CZ33" t="n">
        <v>88.3</v>
      </c>
      <c r="DA33" t="n">
        <v>96.3</v>
      </c>
      <c r="DB33" t="n">
        <v>62.6</v>
      </c>
      <c r="DC33" t="n">
        <v>77.09999999999999</v>
      </c>
      <c r="DD33" t="n">
        <v>82</v>
      </c>
      <c r="DE33" t="n">
        <v>86.7</v>
      </c>
      <c r="DF33" t="n">
        <v>62.6</v>
      </c>
      <c r="DG33" t="n">
        <v>79.8</v>
      </c>
      <c r="DH33" t="n">
        <v>88.3</v>
      </c>
      <c r="DI33" t="n">
        <v>96.3</v>
      </c>
      <c r="DJ33" t="n">
        <v>62.6</v>
      </c>
      <c r="DK33" t="n">
        <v>77.09999999999999</v>
      </c>
      <c r="DL33" t="n">
        <v>82</v>
      </c>
      <c r="DM33" t="n">
        <v>86.7</v>
      </c>
      <c r="DN33" t="n">
        <v>0</v>
      </c>
      <c r="DO33" t="n">
        <v>0</v>
      </c>
      <c r="DP33" t="n">
        <v>0</v>
      </c>
      <c r="DQ33" t="n">
        <v>0</v>
      </c>
      <c r="DR33" t="n">
        <v>0</v>
      </c>
      <c r="DS33" t="n">
        <v>0</v>
      </c>
      <c r="DT33" t="n">
        <v>0</v>
      </c>
      <c r="DU33" t="n">
        <v>0</v>
      </c>
      <c r="DV33" t="inlineStr">
        <is>
          <t>100 MWh of Class 1 Renewable Energy Cert</t>
        </is>
      </c>
    </row>
    <row r="34">
      <c r="A34" t="inlineStr">
        <is>
          <t>PA COMPLIANCE AECs TIER1 - ICE FUTURES ENERGY DIV</t>
        </is>
      </c>
      <c r="B34" t="n">
        <v>230110</v>
      </c>
      <c r="C34" s="1" t="n">
        <v>44936</v>
      </c>
      <c r="D34" t="inlineStr">
        <is>
          <t>0063DT</t>
        </is>
      </c>
      <c r="E34" t="inlineStr">
        <is>
          <t>IFED</t>
        </is>
      </c>
      <c r="F34" t="inlineStr">
        <is>
          <t>01</t>
        </is>
      </c>
      <c r="G34" t="inlineStr">
        <is>
          <t xml:space="preserve">006 </t>
        </is>
      </c>
      <c r="H34" t="n">
        <v>20197</v>
      </c>
      <c r="I34" s="17" t="n">
        <v>3115</v>
      </c>
      <c r="J34" s="17" t="n">
        <v>6281</v>
      </c>
      <c r="K34" t="n">
        <v>781</v>
      </c>
      <c r="L34" t="n">
        <v>16301</v>
      </c>
      <c r="M34" t="n">
        <v>13135</v>
      </c>
      <c r="N34" t="n">
        <v>20197</v>
      </c>
      <c r="O34" t="n">
        <v>20197</v>
      </c>
      <c r="P34" t="n">
        <v>0</v>
      </c>
      <c r="Q34" t="n">
        <v>0</v>
      </c>
      <c r="R34" t="n">
        <v>20197</v>
      </c>
      <c r="S34" t="n">
        <v>3115</v>
      </c>
      <c r="T34" t="n">
        <v>6281</v>
      </c>
      <c r="U34" t="n">
        <v>781</v>
      </c>
      <c r="V34" t="n">
        <v>16301</v>
      </c>
      <c r="W34" t="n">
        <v>13135</v>
      </c>
      <c r="X34" t="n">
        <v>20197</v>
      </c>
      <c r="Y34" t="n">
        <v>20197</v>
      </c>
      <c r="Z34" t="n">
        <v>0</v>
      </c>
      <c r="AA34" t="n">
        <v>0</v>
      </c>
      <c r="AB34" t="n">
        <v>0</v>
      </c>
      <c r="AC34" t="n">
        <v>0</v>
      </c>
      <c r="AD34" t="n">
        <v>0</v>
      </c>
      <c r="AE34" t="n">
        <v>0</v>
      </c>
      <c r="AF34" t="n">
        <v>0</v>
      </c>
      <c r="AG34" t="n">
        <v>0</v>
      </c>
      <c r="AH34" t="n">
        <v>0</v>
      </c>
      <c r="AI34" t="n">
        <v>0</v>
      </c>
      <c r="AJ34" t="n">
        <v>0</v>
      </c>
      <c r="AK34" t="n">
        <v>0</v>
      </c>
      <c r="AL34" t="n">
        <v>0</v>
      </c>
      <c r="AM34" t="n">
        <v>0</v>
      </c>
      <c r="AN34" t="n">
        <v>0</v>
      </c>
      <c r="AO34" t="n">
        <v>0</v>
      </c>
      <c r="AP34" t="n">
        <v>0</v>
      </c>
      <c r="AQ34" t="n">
        <v>0</v>
      </c>
      <c r="AR34" t="n">
        <v>0</v>
      </c>
      <c r="AS34" t="n">
        <v>0</v>
      </c>
      <c r="AT34" t="n">
        <v>0</v>
      </c>
      <c r="AU34" t="n">
        <v>0</v>
      </c>
      <c r="AV34" t="n">
        <v>100</v>
      </c>
      <c r="AW34" t="n">
        <v>15.4</v>
      </c>
      <c r="AX34" t="n">
        <v>31.1</v>
      </c>
      <c r="AY34" t="n">
        <v>3.9</v>
      </c>
      <c r="AZ34" t="n">
        <v>80.7</v>
      </c>
      <c r="BA34" t="n">
        <v>65</v>
      </c>
      <c r="BB34" t="n">
        <v>100</v>
      </c>
      <c r="BC34" t="n">
        <v>100</v>
      </c>
      <c r="BD34" t="n">
        <v>0</v>
      </c>
      <c r="BE34" t="n">
        <v>0</v>
      </c>
      <c r="BF34" t="n">
        <v>100</v>
      </c>
      <c r="BG34" t="n">
        <v>15.4</v>
      </c>
      <c r="BH34" t="n">
        <v>31.1</v>
      </c>
      <c r="BI34" t="n">
        <v>3.9</v>
      </c>
      <c r="BJ34" t="n">
        <v>80.7</v>
      </c>
      <c r="BK34" t="n">
        <v>65</v>
      </c>
      <c r="BL34" t="n">
        <v>100</v>
      </c>
      <c r="BM34" t="n">
        <v>100</v>
      </c>
      <c r="BN34" t="n">
        <v>0</v>
      </c>
      <c r="BO34" t="n">
        <v>0</v>
      </c>
      <c r="BP34" t="n">
        <v>0</v>
      </c>
      <c r="BQ34" t="n">
        <v>0</v>
      </c>
      <c r="BR34" t="n">
        <v>0</v>
      </c>
      <c r="BS34" t="n">
        <v>0</v>
      </c>
      <c r="BT34" t="n">
        <v>0</v>
      </c>
      <c r="BU34" t="n">
        <v>0</v>
      </c>
      <c r="BV34" t="n">
        <v>0</v>
      </c>
      <c r="BW34" t="n">
        <v>0</v>
      </c>
      <c r="BX34" t="n">
        <v>0</v>
      </c>
      <c r="BY34" t="n">
        <v>0</v>
      </c>
      <c r="BZ34" t="n">
        <v>23</v>
      </c>
      <c r="CA34" t="n">
        <v>4</v>
      </c>
      <c r="CB34" t="n">
        <v>1</v>
      </c>
      <c r="CC34" t="n">
        <v>2</v>
      </c>
      <c r="CD34" t="n">
        <v>11</v>
      </c>
      <c r="CE34" t="n">
        <v>10</v>
      </c>
      <c r="CF34" t="n">
        <v>16</v>
      </c>
      <c r="CG34" t="n">
        <v>12</v>
      </c>
      <c r="CH34" t="n">
        <v>23</v>
      </c>
      <c r="CI34" t="n">
        <v>4</v>
      </c>
      <c r="CJ34" t="n">
        <v>1</v>
      </c>
      <c r="CK34" t="n">
        <v>2</v>
      </c>
      <c r="CL34" t="n">
        <v>11</v>
      </c>
      <c r="CM34" t="n">
        <v>10</v>
      </c>
      <c r="CN34" t="n">
        <v>16</v>
      </c>
      <c r="CO34" t="n">
        <v>12</v>
      </c>
      <c r="CP34" t="n">
        <v>0</v>
      </c>
      <c r="CQ34" t="n">
        <v>0</v>
      </c>
      <c r="CR34" t="n">
        <v>0</v>
      </c>
      <c r="CS34" t="n">
        <v>0</v>
      </c>
      <c r="CT34" t="n">
        <v>0</v>
      </c>
      <c r="CU34" t="n">
        <v>0</v>
      </c>
      <c r="CV34" t="n">
        <v>0</v>
      </c>
      <c r="CW34" t="n">
        <v>0</v>
      </c>
      <c r="CX34" t="n">
        <v>56.4</v>
      </c>
      <c r="CY34" t="n">
        <v>80.2</v>
      </c>
      <c r="CZ34" t="n">
        <v>79.8</v>
      </c>
      <c r="DA34" t="n">
        <v>94.7</v>
      </c>
      <c r="DB34" t="n">
        <v>56.2</v>
      </c>
      <c r="DC34" t="n">
        <v>77.09999999999999</v>
      </c>
      <c r="DD34" t="n">
        <v>77.09999999999999</v>
      </c>
      <c r="DE34" t="n">
        <v>90.90000000000001</v>
      </c>
      <c r="DF34" t="n">
        <v>56.4</v>
      </c>
      <c r="DG34" t="n">
        <v>80.2</v>
      </c>
      <c r="DH34" t="n">
        <v>79.8</v>
      </c>
      <c r="DI34" t="n">
        <v>94.7</v>
      </c>
      <c r="DJ34" t="n">
        <v>56.2</v>
      </c>
      <c r="DK34" t="n">
        <v>77.09999999999999</v>
      </c>
      <c r="DL34" t="n">
        <v>77.09999999999999</v>
      </c>
      <c r="DM34" t="n">
        <v>90.90000000000001</v>
      </c>
      <c r="DN34" t="n">
        <v>0</v>
      </c>
      <c r="DO34" t="n">
        <v>0</v>
      </c>
      <c r="DP34" t="n">
        <v>0</v>
      </c>
      <c r="DQ34" t="n">
        <v>0</v>
      </c>
      <c r="DR34" t="n">
        <v>0</v>
      </c>
      <c r="DS34" t="n">
        <v>0</v>
      </c>
      <c r="DT34" t="n">
        <v>0</v>
      </c>
      <c r="DU34" t="n">
        <v>0</v>
      </c>
      <c r="DV34" t="inlineStr">
        <is>
          <t>(100 AECs)</t>
        </is>
      </c>
    </row>
    <row r="35">
      <c r="A35" t="inlineStr">
        <is>
          <t>PA COMPLIANCE AECs TIER1 - ICE FUTURES ENERGY DIV</t>
        </is>
      </c>
      <c r="B35" t="n">
        <v>230103</v>
      </c>
      <c r="C35" s="1" t="n">
        <v>44929</v>
      </c>
      <c r="D35" t="inlineStr">
        <is>
          <t>0063DT</t>
        </is>
      </c>
      <c r="E35" t="inlineStr">
        <is>
          <t>IFED</t>
        </is>
      </c>
      <c r="F35" t="inlineStr">
        <is>
          <t>01</t>
        </is>
      </c>
      <c r="G35" t="inlineStr">
        <is>
          <t xml:space="preserve">006 </t>
        </is>
      </c>
      <c r="H35" t="n">
        <v>20197</v>
      </c>
      <c r="I35" s="17" t="n">
        <v>3115</v>
      </c>
      <c r="J35" s="17" t="n">
        <v>6281</v>
      </c>
      <c r="K35" t="n">
        <v>781</v>
      </c>
      <c r="L35" t="n">
        <v>16301</v>
      </c>
      <c r="M35" t="n">
        <v>13135</v>
      </c>
      <c r="N35" t="n">
        <v>20197</v>
      </c>
      <c r="O35" t="n">
        <v>20197</v>
      </c>
      <c r="P35" t="n">
        <v>0</v>
      </c>
      <c r="Q35" t="n">
        <v>0</v>
      </c>
      <c r="R35" t="n">
        <v>20197</v>
      </c>
      <c r="S35" t="n">
        <v>3115</v>
      </c>
      <c r="T35" t="n">
        <v>6281</v>
      </c>
      <c r="U35" t="n">
        <v>781</v>
      </c>
      <c r="V35" t="n">
        <v>16301</v>
      </c>
      <c r="W35" t="n">
        <v>13135</v>
      </c>
      <c r="X35" t="n">
        <v>20197</v>
      </c>
      <c r="Y35" t="n">
        <v>20197</v>
      </c>
      <c r="Z35" t="n">
        <v>0</v>
      </c>
      <c r="AA35" t="n">
        <v>0</v>
      </c>
      <c r="AB35" t="n">
        <v>0</v>
      </c>
      <c r="AC35" t="n">
        <v>0</v>
      </c>
      <c r="AD35" t="n">
        <v>0</v>
      </c>
      <c r="AE35" t="n">
        <v>0</v>
      </c>
      <c r="AF35" t="n">
        <v>0</v>
      </c>
      <c r="AG35" t="n">
        <v>0</v>
      </c>
      <c r="AH35" t="n">
        <v>0</v>
      </c>
      <c r="AI35" t="n">
        <v>0</v>
      </c>
      <c r="AJ35" t="n">
        <v>0</v>
      </c>
      <c r="AK35" t="n">
        <v>0</v>
      </c>
      <c r="AL35" t="n">
        <v>421</v>
      </c>
      <c r="AM35" t="n">
        <v>0</v>
      </c>
      <c r="AN35" t="n">
        <v>53</v>
      </c>
      <c r="AO35" t="n">
        <v>0</v>
      </c>
      <c r="AP35" t="n">
        <v>421</v>
      </c>
      <c r="AQ35" t="n">
        <v>368</v>
      </c>
      <c r="AR35" t="n">
        <v>421</v>
      </c>
      <c r="AS35" t="n">
        <v>421</v>
      </c>
      <c r="AT35" t="n">
        <v>0</v>
      </c>
      <c r="AU35" t="n">
        <v>0</v>
      </c>
      <c r="AV35" t="n">
        <v>100</v>
      </c>
      <c r="AW35" t="n">
        <v>15.4</v>
      </c>
      <c r="AX35" t="n">
        <v>31.1</v>
      </c>
      <c r="AY35" t="n">
        <v>3.9</v>
      </c>
      <c r="AZ35" t="n">
        <v>80.7</v>
      </c>
      <c r="BA35" t="n">
        <v>65</v>
      </c>
      <c r="BB35" t="n">
        <v>100</v>
      </c>
      <c r="BC35" t="n">
        <v>100</v>
      </c>
      <c r="BD35" t="n">
        <v>0</v>
      </c>
      <c r="BE35" t="n">
        <v>0</v>
      </c>
      <c r="BF35" t="n">
        <v>100</v>
      </c>
      <c r="BG35" t="n">
        <v>15.4</v>
      </c>
      <c r="BH35" t="n">
        <v>31.1</v>
      </c>
      <c r="BI35" t="n">
        <v>3.9</v>
      </c>
      <c r="BJ35" t="n">
        <v>80.7</v>
      </c>
      <c r="BK35" t="n">
        <v>65</v>
      </c>
      <c r="BL35" t="n">
        <v>100</v>
      </c>
      <c r="BM35" t="n">
        <v>100</v>
      </c>
      <c r="BN35" t="n">
        <v>0</v>
      </c>
      <c r="BO35" t="n">
        <v>0</v>
      </c>
      <c r="BP35" t="n">
        <v>0</v>
      </c>
      <c r="BQ35" t="n">
        <v>0</v>
      </c>
      <c r="BR35" t="n">
        <v>0</v>
      </c>
      <c r="BS35" t="n">
        <v>0</v>
      </c>
      <c r="BT35" t="n">
        <v>0</v>
      </c>
      <c r="BU35" t="n">
        <v>0</v>
      </c>
      <c r="BV35" t="n">
        <v>0</v>
      </c>
      <c r="BW35" t="n">
        <v>0</v>
      </c>
      <c r="BX35" t="n">
        <v>0</v>
      </c>
      <c r="BY35" t="n">
        <v>0</v>
      </c>
      <c r="BZ35" t="n">
        <v>23</v>
      </c>
      <c r="CA35" t="n">
        <v>4</v>
      </c>
      <c r="CB35" t="n">
        <v>1</v>
      </c>
      <c r="CC35" t="n">
        <v>2</v>
      </c>
      <c r="CD35" t="n">
        <v>11</v>
      </c>
      <c r="CE35" t="n">
        <v>10</v>
      </c>
      <c r="CF35" t="n">
        <v>16</v>
      </c>
      <c r="CG35" t="n">
        <v>12</v>
      </c>
      <c r="CH35" t="n">
        <v>23</v>
      </c>
      <c r="CI35" t="n">
        <v>4</v>
      </c>
      <c r="CJ35" t="n">
        <v>1</v>
      </c>
      <c r="CK35" t="n">
        <v>2</v>
      </c>
      <c r="CL35" t="n">
        <v>11</v>
      </c>
      <c r="CM35" t="n">
        <v>10</v>
      </c>
      <c r="CN35" t="n">
        <v>16</v>
      </c>
      <c r="CO35" t="n">
        <v>12</v>
      </c>
      <c r="CP35" t="n">
        <v>0</v>
      </c>
      <c r="CQ35" t="n">
        <v>0</v>
      </c>
      <c r="CR35" t="n">
        <v>0</v>
      </c>
      <c r="CS35" t="n">
        <v>0</v>
      </c>
      <c r="CT35" t="n">
        <v>0</v>
      </c>
      <c r="CU35" t="n">
        <v>0</v>
      </c>
      <c r="CV35" t="n">
        <v>0</v>
      </c>
      <c r="CW35" t="n">
        <v>0</v>
      </c>
      <c r="CX35" t="n">
        <v>56.4</v>
      </c>
      <c r="CY35" t="n">
        <v>80.2</v>
      </c>
      <c r="CZ35" t="n">
        <v>79.8</v>
      </c>
      <c r="DA35" t="n">
        <v>94.7</v>
      </c>
      <c r="DB35" t="n">
        <v>56.2</v>
      </c>
      <c r="DC35" t="n">
        <v>77.09999999999999</v>
      </c>
      <c r="DD35" t="n">
        <v>77.09999999999999</v>
      </c>
      <c r="DE35" t="n">
        <v>90.90000000000001</v>
      </c>
      <c r="DF35" t="n">
        <v>56.4</v>
      </c>
      <c r="DG35" t="n">
        <v>80.2</v>
      </c>
      <c r="DH35" t="n">
        <v>79.8</v>
      </c>
      <c r="DI35" t="n">
        <v>94.7</v>
      </c>
      <c r="DJ35" t="n">
        <v>56.2</v>
      </c>
      <c r="DK35" t="n">
        <v>77.09999999999999</v>
      </c>
      <c r="DL35" t="n">
        <v>77.09999999999999</v>
      </c>
      <c r="DM35" t="n">
        <v>90.90000000000001</v>
      </c>
      <c r="DN35" t="n">
        <v>0</v>
      </c>
      <c r="DO35" t="n">
        <v>0</v>
      </c>
      <c r="DP35" t="n">
        <v>0</v>
      </c>
      <c r="DQ35" t="n">
        <v>0</v>
      </c>
      <c r="DR35" t="n">
        <v>0</v>
      </c>
      <c r="DS35" t="n">
        <v>0</v>
      </c>
      <c r="DT35" t="n">
        <v>0</v>
      </c>
      <c r="DU35" t="n">
        <v>0</v>
      </c>
      <c r="DV35" t="inlineStr">
        <is>
          <t>(100 AECs)</t>
        </is>
      </c>
    </row>
    <row r="36">
      <c r="A36" t="inlineStr">
        <is>
          <t>CALIF CARBON 23 - ICE FUTURES ENERGY DIV</t>
        </is>
      </c>
      <c r="B36" t="n">
        <v>230110</v>
      </c>
      <c r="C36" s="1" t="n">
        <v>44936</v>
      </c>
      <c r="D36" t="inlineStr">
        <is>
          <t>0063DX</t>
        </is>
      </c>
      <c r="E36" t="inlineStr">
        <is>
          <t>IFED</t>
        </is>
      </c>
      <c r="F36" t="inlineStr">
        <is>
          <t>01</t>
        </is>
      </c>
      <c r="G36" t="inlineStr">
        <is>
          <t xml:space="preserve">006 </t>
        </is>
      </c>
      <c r="H36" t="n">
        <v>192633</v>
      </c>
      <c r="I36" s="17" t="n">
        <v>122465</v>
      </c>
      <c r="J36" s="17" t="n">
        <v>72925</v>
      </c>
      <c r="K36" t="n">
        <v>23593</v>
      </c>
      <c r="L36" t="n">
        <v>46209</v>
      </c>
      <c r="M36" t="n">
        <v>91914</v>
      </c>
      <c r="N36" t="n">
        <v>192267</v>
      </c>
      <c r="O36" t="n">
        <v>188432</v>
      </c>
      <c r="P36" t="n">
        <v>366</v>
      </c>
      <c r="Q36" t="n">
        <v>4201</v>
      </c>
      <c r="R36" t="n">
        <v>192633</v>
      </c>
      <c r="S36" t="n">
        <v>122465</v>
      </c>
      <c r="T36" t="n">
        <v>72925</v>
      </c>
      <c r="U36" t="n">
        <v>23593</v>
      </c>
      <c r="V36" t="n">
        <v>46209</v>
      </c>
      <c r="W36" t="n">
        <v>91914</v>
      </c>
      <c r="X36" t="n">
        <v>192267</v>
      </c>
      <c r="Y36" t="n">
        <v>188432</v>
      </c>
      <c r="Z36" t="n">
        <v>366</v>
      </c>
      <c r="AA36" t="n">
        <v>4201</v>
      </c>
      <c r="AB36" t="n">
        <v>0</v>
      </c>
      <c r="AC36" t="n">
        <v>0</v>
      </c>
      <c r="AD36" t="n">
        <v>0</v>
      </c>
      <c r="AE36" t="n">
        <v>0</v>
      </c>
      <c r="AF36" t="n">
        <v>0</v>
      </c>
      <c r="AG36" t="n">
        <v>0</v>
      </c>
      <c r="AH36" t="n">
        <v>0</v>
      </c>
      <c r="AI36" t="n">
        <v>0</v>
      </c>
      <c r="AJ36" t="n">
        <v>0</v>
      </c>
      <c r="AK36" t="n">
        <v>0</v>
      </c>
      <c r="AL36" t="n">
        <v>-560</v>
      </c>
      <c r="AM36" t="n">
        <v>-317</v>
      </c>
      <c r="AN36" t="n">
        <v>467</v>
      </c>
      <c r="AO36" t="n">
        <v>297</v>
      </c>
      <c r="AP36" t="n">
        <v>-717</v>
      </c>
      <c r="AQ36" t="n">
        <v>-5467</v>
      </c>
      <c r="AR36" t="n">
        <v>-737</v>
      </c>
      <c r="AS36" t="n">
        <v>-4703</v>
      </c>
      <c r="AT36" t="n">
        <v>177</v>
      </c>
      <c r="AU36" t="n">
        <v>4143</v>
      </c>
      <c r="AV36" t="n">
        <v>100</v>
      </c>
      <c r="AW36" t="n">
        <v>63.6</v>
      </c>
      <c r="AX36" t="n">
        <v>37.9</v>
      </c>
      <c r="AY36" t="n">
        <v>12.2</v>
      </c>
      <c r="AZ36" t="n">
        <v>24</v>
      </c>
      <c r="BA36" t="n">
        <v>47.7</v>
      </c>
      <c r="BB36" t="n">
        <v>99.8</v>
      </c>
      <c r="BC36" t="n">
        <v>97.8</v>
      </c>
      <c r="BD36" t="n">
        <v>0.2</v>
      </c>
      <c r="BE36" t="n">
        <v>2.2</v>
      </c>
      <c r="BF36" t="n">
        <v>100</v>
      </c>
      <c r="BG36" t="n">
        <v>63.6</v>
      </c>
      <c r="BH36" t="n">
        <v>37.9</v>
      </c>
      <c r="BI36" t="n">
        <v>12.2</v>
      </c>
      <c r="BJ36" t="n">
        <v>24</v>
      </c>
      <c r="BK36" t="n">
        <v>47.7</v>
      </c>
      <c r="BL36" t="n">
        <v>99.8</v>
      </c>
      <c r="BM36" t="n">
        <v>97.8</v>
      </c>
      <c r="BN36" t="n">
        <v>0.2</v>
      </c>
      <c r="BO36" t="n">
        <v>2.2</v>
      </c>
      <c r="BP36" t="n">
        <v>0</v>
      </c>
      <c r="BQ36" t="n">
        <v>0</v>
      </c>
      <c r="BR36" t="n">
        <v>0</v>
      </c>
      <c r="BS36" t="n">
        <v>0</v>
      </c>
      <c r="BT36" t="n">
        <v>0</v>
      </c>
      <c r="BU36" t="n">
        <v>0</v>
      </c>
      <c r="BV36" t="n">
        <v>0</v>
      </c>
      <c r="BW36" t="n">
        <v>0</v>
      </c>
      <c r="BX36" t="n">
        <v>0</v>
      </c>
      <c r="BY36" t="n">
        <v>0</v>
      </c>
      <c r="BZ36" t="n">
        <v>116</v>
      </c>
      <c r="CA36" t="n">
        <v>61</v>
      </c>
      <c r="CB36" t="n">
        <v>23</v>
      </c>
      <c r="CC36" t="n">
        <v>14</v>
      </c>
      <c r="CD36" t="n">
        <v>22</v>
      </c>
      <c r="CE36" t="n">
        <v>18</v>
      </c>
      <c r="CF36" t="n">
        <v>87</v>
      </c>
      <c r="CG36" t="n">
        <v>51</v>
      </c>
      <c r="CH36" t="n">
        <v>116</v>
      </c>
      <c r="CI36" t="n">
        <v>61</v>
      </c>
      <c r="CJ36" t="n">
        <v>23</v>
      </c>
      <c r="CK36" t="n">
        <v>14</v>
      </c>
      <c r="CL36" t="n">
        <v>22</v>
      </c>
      <c r="CM36" t="n">
        <v>18</v>
      </c>
      <c r="CN36" t="n">
        <v>87</v>
      </c>
      <c r="CO36" t="n">
        <v>51</v>
      </c>
      <c r="CP36" t="n">
        <v>0</v>
      </c>
      <c r="CQ36" t="n">
        <v>0</v>
      </c>
      <c r="CR36" t="n">
        <v>0</v>
      </c>
      <c r="CS36" t="n">
        <v>0</v>
      </c>
      <c r="CT36" t="n">
        <v>0</v>
      </c>
      <c r="CU36" t="n">
        <v>0</v>
      </c>
      <c r="CV36" t="n">
        <v>0</v>
      </c>
      <c r="CW36" t="n">
        <v>0</v>
      </c>
      <c r="CX36" t="n">
        <v>35.9</v>
      </c>
      <c r="CY36" t="n">
        <v>30.1</v>
      </c>
      <c r="CZ36" t="n">
        <v>56.7</v>
      </c>
      <c r="DA36" t="n">
        <v>50.4</v>
      </c>
      <c r="DB36" t="n">
        <v>30.3</v>
      </c>
      <c r="DC36" t="n">
        <v>29.9</v>
      </c>
      <c r="DD36" t="n">
        <v>48</v>
      </c>
      <c r="DE36" t="n">
        <v>48.4</v>
      </c>
      <c r="DF36" t="n">
        <v>35.9</v>
      </c>
      <c r="DG36" t="n">
        <v>30.1</v>
      </c>
      <c r="DH36" t="n">
        <v>56.7</v>
      </c>
      <c r="DI36" t="n">
        <v>50.4</v>
      </c>
      <c r="DJ36" t="n">
        <v>30.3</v>
      </c>
      <c r="DK36" t="n">
        <v>29.9</v>
      </c>
      <c r="DL36" t="n">
        <v>48</v>
      </c>
      <c r="DM36" t="n">
        <v>48.4</v>
      </c>
      <c r="DN36" t="n">
        <v>0</v>
      </c>
      <c r="DO36" t="n">
        <v>0</v>
      </c>
      <c r="DP36" t="n">
        <v>0</v>
      </c>
      <c r="DQ36" t="n">
        <v>0</v>
      </c>
      <c r="DR36" t="n">
        <v>0</v>
      </c>
      <c r="DS36" t="n">
        <v>0</v>
      </c>
      <c r="DT36" t="n">
        <v>0</v>
      </c>
      <c r="DU36" t="n">
        <v>0</v>
      </c>
      <c r="DV36" t="inlineStr">
        <is>
          <t>1,000 California carbon allowances</t>
        </is>
      </c>
    </row>
    <row r="37">
      <c r="A37" t="inlineStr">
        <is>
          <t>CALIF CARBON 23 - ICE FUTURES ENERGY DIV</t>
        </is>
      </c>
      <c r="B37" t="n">
        <v>230103</v>
      </c>
      <c r="C37" s="1" t="n">
        <v>44929</v>
      </c>
      <c r="D37" t="inlineStr">
        <is>
          <t>0063DX</t>
        </is>
      </c>
      <c r="E37" t="inlineStr">
        <is>
          <t>IFED</t>
        </is>
      </c>
      <c r="F37" t="inlineStr">
        <is>
          <t>01</t>
        </is>
      </c>
      <c r="G37" t="inlineStr">
        <is>
          <t xml:space="preserve">006 </t>
        </is>
      </c>
      <c r="H37" t="n">
        <v>193193</v>
      </c>
      <c r="I37" s="17" t="n">
        <v>122782</v>
      </c>
      <c r="J37" s="17" t="n">
        <v>72458</v>
      </c>
      <c r="K37" t="n">
        <v>23296</v>
      </c>
      <c r="L37" t="n">
        <v>46926</v>
      </c>
      <c r="M37" t="n">
        <v>97381</v>
      </c>
      <c r="N37" t="n">
        <v>193004</v>
      </c>
      <c r="O37" t="n">
        <v>193135</v>
      </c>
      <c r="P37" t="n">
        <v>189</v>
      </c>
      <c r="Q37" t="n">
        <v>58</v>
      </c>
      <c r="R37" t="n">
        <v>193193</v>
      </c>
      <c r="S37" t="n">
        <v>122782</v>
      </c>
      <c r="T37" t="n">
        <v>72458</v>
      </c>
      <c r="U37" t="n">
        <v>23296</v>
      </c>
      <c r="V37" t="n">
        <v>46926</v>
      </c>
      <c r="W37" t="n">
        <v>97381</v>
      </c>
      <c r="X37" t="n">
        <v>193004</v>
      </c>
      <c r="Y37" t="n">
        <v>193135</v>
      </c>
      <c r="Z37" t="n">
        <v>189</v>
      </c>
      <c r="AA37" t="n">
        <v>58</v>
      </c>
      <c r="AB37" t="n">
        <v>0</v>
      </c>
      <c r="AC37" t="n">
        <v>0</v>
      </c>
      <c r="AD37" t="n">
        <v>0</v>
      </c>
      <c r="AE37" t="n">
        <v>0</v>
      </c>
      <c r="AF37" t="n">
        <v>0</v>
      </c>
      <c r="AG37" t="n">
        <v>0</v>
      </c>
      <c r="AH37" t="n">
        <v>0</v>
      </c>
      <c r="AI37" t="n">
        <v>0</v>
      </c>
      <c r="AJ37" t="n">
        <v>0</v>
      </c>
      <c r="AK37" t="n">
        <v>0</v>
      </c>
      <c r="AL37" t="n">
        <v>580</v>
      </c>
      <c r="AM37" t="n">
        <v>1107</v>
      </c>
      <c r="AN37" t="n">
        <v>13</v>
      </c>
      <c r="AO37" t="n">
        <v>77</v>
      </c>
      <c r="AP37" t="n">
        <v>-632</v>
      </c>
      <c r="AQ37" t="n">
        <v>433</v>
      </c>
      <c r="AR37" t="n">
        <v>552</v>
      </c>
      <c r="AS37" t="n">
        <v>523</v>
      </c>
      <c r="AT37" t="n">
        <v>28</v>
      </c>
      <c r="AU37" t="n">
        <v>57</v>
      </c>
      <c r="AV37" t="n">
        <v>100</v>
      </c>
      <c r="AW37" t="n">
        <v>63.6</v>
      </c>
      <c r="AX37" t="n">
        <v>37.5</v>
      </c>
      <c r="AY37" t="n">
        <v>12.1</v>
      </c>
      <c r="AZ37" t="n">
        <v>24.3</v>
      </c>
      <c r="BA37" t="n">
        <v>50.4</v>
      </c>
      <c r="BB37" t="n">
        <v>99.90000000000001</v>
      </c>
      <c r="BC37" t="n">
        <v>100</v>
      </c>
      <c r="BD37" t="n">
        <v>0.1</v>
      </c>
      <c r="BE37" t="n">
        <v>0</v>
      </c>
      <c r="BF37" t="n">
        <v>100</v>
      </c>
      <c r="BG37" t="n">
        <v>63.6</v>
      </c>
      <c r="BH37" t="n">
        <v>37.5</v>
      </c>
      <c r="BI37" t="n">
        <v>12.1</v>
      </c>
      <c r="BJ37" t="n">
        <v>24.3</v>
      </c>
      <c r="BK37" t="n">
        <v>50.4</v>
      </c>
      <c r="BL37" t="n">
        <v>99.90000000000001</v>
      </c>
      <c r="BM37" t="n">
        <v>100</v>
      </c>
      <c r="BN37" t="n">
        <v>0.1</v>
      </c>
      <c r="BO37" t="n">
        <v>0</v>
      </c>
      <c r="BP37" t="n">
        <v>0</v>
      </c>
      <c r="BQ37" t="n">
        <v>0</v>
      </c>
      <c r="BR37" t="n">
        <v>0</v>
      </c>
      <c r="BS37" t="n">
        <v>0</v>
      </c>
      <c r="BT37" t="n">
        <v>0</v>
      </c>
      <c r="BU37" t="n">
        <v>0</v>
      </c>
      <c r="BV37" t="n">
        <v>0</v>
      </c>
      <c r="BW37" t="n">
        <v>0</v>
      </c>
      <c r="BX37" t="n">
        <v>0</v>
      </c>
      <c r="BY37" t="n">
        <v>0</v>
      </c>
      <c r="BZ37" t="n">
        <v>112</v>
      </c>
      <c r="CA37" t="n">
        <v>61</v>
      </c>
      <c r="CB37" t="n">
        <v>20</v>
      </c>
      <c r="CC37" t="n">
        <v>12</v>
      </c>
      <c r="CD37" t="n">
        <v>22</v>
      </c>
      <c r="CE37" t="n">
        <v>16</v>
      </c>
      <c r="CF37" t="n">
        <v>85</v>
      </c>
      <c r="CG37" t="n">
        <v>46</v>
      </c>
      <c r="CH37" t="n">
        <v>112</v>
      </c>
      <c r="CI37" t="n">
        <v>61</v>
      </c>
      <c r="CJ37" t="n">
        <v>20</v>
      </c>
      <c r="CK37" t="n">
        <v>12</v>
      </c>
      <c r="CL37" t="n">
        <v>22</v>
      </c>
      <c r="CM37" t="n">
        <v>16</v>
      </c>
      <c r="CN37" t="n">
        <v>85</v>
      </c>
      <c r="CO37" t="n">
        <v>46</v>
      </c>
      <c r="CP37" t="n">
        <v>0</v>
      </c>
      <c r="CQ37" t="n">
        <v>0</v>
      </c>
      <c r="CR37" t="n">
        <v>0</v>
      </c>
      <c r="CS37" t="n">
        <v>0</v>
      </c>
      <c r="CT37" t="n">
        <v>0</v>
      </c>
      <c r="CU37" t="n">
        <v>0</v>
      </c>
      <c r="CV37" t="n">
        <v>0</v>
      </c>
      <c r="CW37" t="n">
        <v>0</v>
      </c>
      <c r="CX37" t="n">
        <v>35.8</v>
      </c>
      <c r="CY37" t="n">
        <v>30.9</v>
      </c>
      <c r="CZ37" t="n">
        <v>56.6</v>
      </c>
      <c r="DA37" t="n">
        <v>51</v>
      </c>
      <c r="DB37" t="n">
        <v>30.2</v>
      </c>
      <c r="DC37" t="n">
        <v>29.9</v>
      </c>
      <c r="DD37" t="n">
        <v>47.9</v>
      </c>
      <c r="DE37" t="n">
        <v>48.3</v>
      </c>
      <c r="DF37" t="n">
        <v>35.8</v>
      </c>
      <c r="DG37" t="n">
        <v>30.9</v>
      </c>
      <c r="DH37" t="n">
        <v>56.6</v>
      </c>
      <c r="DI37" t="n">
        <v>51</v>
      </c>
      <c r="DJ37" t="n">
        <v>30.2</v>
      </c>
      <c r="DK37" t="n">
        <v>29.9</v>
      </c>
      <c r="DL37" t="n">
        <v>47.9</v>
      </c>
      <c r="DM37" t="n">
        <v>48.3</v>
      </c>
      <c r="DN37" t="n">
        <v>0</v>
      </c>
      <c r="DO37" t="n">
        <v>0</v>
      </c>
      <c r="DP37" t="n">
        <v>0</v>
      </c>
      <c r="DQ37" t="n">
        <v>0</v>
      </c>
      <c r="DR37" t="n">
        <v>0</v>
      </c>
      <c r="DS37" t="n">
        <v>0</v>
      </c>
      <c r="DT37" t="n">
        <v>0</v>
      </c>
      <c r="DU37" t="n">
        <v>0</v>
      </c>
      <c r="DV37" t="inlineStr">
        <is>
          <t>1,000 California carbon allowances</t>
        </is>
      </c>
    </row>
    <row r="38">
      <c r="A38" t="inlineStr">
        <is>
          <t>RGGI V2022-ICE - ICE FUTURES ENERGY DIV</t>
        </is>
      </c>
      <c r="B38" t="n">
        <v>230110</v>
      </c>
      <c r="C38" s="1" t="n">
        <v>44936</v>
      </c>
      <c r="D38" t="inlineStr">
        <is>
          <t>0063DZ</t>
        </is>
      </c>
      <c r="E38" t="inlineStr">
        <is>
          <t>IFED</t>
        </is>
      </c>
      <c r="F38" t="inlineStr">
        <is>
          <t>01</t>
        </is>
      </c>
      <c r="G38" t="inlineStr">
        <is>
          <t xml:space="preserve">006 </t>
        </is>
      </c>
      <c r="H38" t="n">
        <v>21723</v>
      </c>
      <c r="I38" s="17" t="n">
        <v>308</v>
      </c>
      <c r="J38" s="17" t="n">
        <v>4428</v>
      </c>
      <c r="K38" t="n">
        <v>0</v>
      </c>
      <c r="L38" t="n">
        <v>21390</v>
      </c>
      <c r="M38" t="n">
        <v>17287</v>
      </c>
      <c r="N38" t="n">
        <v>21698</v>
      </c>
      <c r="O38" t="n">
        <v>21715</v>
      </c>
      <c r="P38" t="n">
        <v>25</v>
      </c>
      <c r="Q38" t="n">
        <v>8</v>
      </c>
      <c r="R38" t="n">
        <v>21723</v>
      </c>
      <c r="S38" t="n">
        <v>308</v>
      </c>
      <c r="T38" t="n">
        <v>4428</v>
      </c>
      <c r="U38" t="n">
        <v>0</v>
      </c>
      <c r="V38" t="n">
        <v>21390</v>
      </c>
      <c r="W38" t="n">
        <v>17287</v>
      </c>
      <c r="X38" t="n">
        <v>21698</v>
      </c>
      <c r="Y38" t="n">
        <v>21715</v>
      </c>
      <c r="Z38" t="n">
        <v>25</v>
      </c>
      <c r="AA38" t="n">
        <v>8</v>
      </c>
      <c r="AB38" t="n">
        <v>0</v>
      </c>
      <c r="AC38" t="n">
        <v>0</v>
      </c>
      <c r="AD38" t="n">
        <v>0</v>
      </c>
      <c r="AE38" t="n">
        <v>0</v>
      </c>
      <c r="AF38" t="n">
        <v>0</v>
      </c>
      <c r="AG38" t="n">
        <v>0</v>
      </c>
      <c r="AH38" t="n">
        <v>0</v>
      </c>
      <c r="AI38" t="n">
        <v>0</v>
      </c>
      <c r="AJ38" t="n">
        <v>0</v>
      </c>
      <c r="AK38" t="n">
        <v>0</v>
      </c>
      <c r="AL38" t="n">
        <v>21</v>
      </c>
      <c r="AM38" t="n">
        <v>0</v>
      </c>
      <c r="AN38" t="n">
        <v>0</v>
      </c>
      <c r="AO38" t="n">
        <v>0</v>
      </c>
      <c r="AP38" t="n">
        <v>0</v>
      </c>
      <c r="AQ38" t="n">
        <v>21</v>
      </c>
      <c r="AR38" t="n">
        <v>0</v>
      </c>
      <c r="AS38" t="n">
        <v>21</v>
      </c>
      <c r="AT38" t="n">
        <v>21</v>
      </c>
      <c r="AU38" t="n">
        <v>0</v>
      </c>
      <c r="AV38" t="n">
        <v>100</v>
      </c>
      <c r="AW38" t="n">
        <v>1.4</v>
      </c>
      <c r="AX38" t="n">
        <v>20.4</v>
      </c>
      <c r="AY38" t="n">
        <v>0</v>
      </c>
      <c r="AZ38" t="n">
        <v>98.5</v>
      </c>
      <c r="BA38" t="n">
        <v>79.59999999999999</v>
      </c>
      <c r="BB38" t="n">
        <v>99.90000000000001</v>
      </c>
      <c r="BC38" t="n">
        <v>100</v>
      </c>
      <c r="BD38" t="n">
        <v>0.1</v>
      </c>
      <c r="BE38" t="n">
        <v>0</v>
      </c>
      <c r="BF38" t="n">
        <v>100</v>
      </c>
      <c r="BG38" t="n">
        <v>1.4</v>
      </c>
      <c r="BH38" t="n">
        <v>20.4</v>
      </c>
      <c r="BI38" t="n">
        <v>0</v>
      </c>
      <c r="BJ38" t="n">
        <v>98.5</v>
      </c>
      <c r="BK38" t="n">
        <v>79.59999999999999</v>
      </c>
      <c r="BL38" t="n">
        <v>99.90000000000001</v>
      </c>
      <c r="BM38" t="n">
        <v>100</v>
      </c>
      <c r="BN38" t="n">
        <v>0.1</v>
      </c>
      <c r="BO38" t="n">
        <v>0</v>
      </c>
      <c r="BP38" t="n">
        <v>0</v>
      </c>
      <c r="BQ38" t="n">
        <v>0</v>
      </c>
      <c r="BR38" t="n">
        <v>0</v>
      </c>
      <c r="BS38" t="n">
        <v>0</v>
      </c>
      <c r="BT38" t="n">
        <v>0</v>
      </c>
      <c r="BU38" t="n">
        <v>0</v>
      </c>
      <c r="BV38" t="n">
        <v>0</v>
      </c>
      <c r="BW38" t="n">
        <v>0</v>
      </c>
      <c r="BX38" t="n">
        <v>0</v>
      </c>
      <c r="BY38" t="n">
        <v>0</v>
      </c>
      <c r="BZ38" t="n">
        <v>21</v>
      </c>
      <c r="CA38" t="n">
        <v>2</v>
      </c>
      <c r="CB38" t="n">
        <v>3</v>
      </c>
      <c r="CC38" t="n">
        <v>0</v>
      </c>
      <c r="CD38" t="n">
        <v>7</v>
      </c>
      <c r="CE38" t="n">
        <v>9</v>
      </c>
      <c r="CF38" t="n">
        <v>9</v>
      </c>
      <c r="CG38" t="n">
        <v>12</v>
      </c>
      <c r="CH38" t="n">
        <v>21</v>
      </c>
      <c r="CI38" t="n">
        <v>2</v>
      </c>
      <c r="CJ38" t="n">
        <v>3</v>
      </c>
      <c r="CK38" t="n">
        <v>0</v>
      </c>
      <c r="CL38" t="n">
        <v>7</v>
      </c>
      <c r="CM38" t="n">
        <v>9</v>
      </c>
      <c r="CN38" t="n">
        <v>9</v>
      </c>
      <c r="CO38" t="n">
        <v>12</v>
      </c>
      <c r="CP38" t="n">
        <v>0</v>
      </c>
      <c r="CQ38" t="n">
        <v>0</v>
      </c>
      <c r="CR38" t="n">
        <v>0</v>
      </c>
      <c r="CS38" t="n">
        <v>0</v>
      </c>
      <c r="CT38" t="n">
        <v>0</v>
      </c>
      <c r="CU38" t="n">
        <v>0</v>
      </c>
      <c r="CV38" t="n">
        <v>0</v>
      </c>
      <c r="CW38" t="n">
        <v>0</v>
      </c>
      <c r="CX38" t="n">
        <v>86.40000000000001</v>
      </c>
      <c r="CY38" t="n">
        <v>92.7</v>
      </c>
      <c r="CZ38" t="n">
        <v>99.40000000000001</v>
      </c>
      <c r="DA38" t="n">
        <v>98.3</v>
      </c>
      <c r="DB38" t="n">
        <v>86.40000000000001</v>
      </c>
      <c r="DC38" t="n">
        <v>92.7</v>
      </c>
      <c r="DD38" t="n">
        <v>99.40000000000001</v>
      </c>
      <c r="DE38" t="n">
        <v>98.3</v>
      </c>
      <c r="DF38" t="n">
        <v>86.40000000000001</v>
      </c>
      <c r="DG38" t="n">
        <v>92.7</v>
      </c>
      <c r="DH38" t="n">
        <v>99.40000000000001</v>
      </c>
      <c r="DI38" t="n">
        <v>98.3</v>
      </c>
      <c r="DJ38" t="n">
        <v>86.40000000000001</v>
      </c>
      <c r="DK38" t="n">
        <v>92.7</v>
      </c>
      <c r="DL38" t="n">
        <v>99.40000000000001</v>
      </c>
      <c r="DM38" t="n">
        <v>98.3</v>
      </c>
      <c r="DN38" t="n">
        <v>0</v>
      </c>
      <c r="DO38" t="n">
        <v>0</v>
      </c>
      <c r="DP38" t="n">
        <v>0</v>
      </c>
      <c r="DQ38" t="n">
        <v>0</v>
      </c>
      <c r="DR38" t="n">
        <v>0</v>
      </c>
      <c r="DS38" t="n">
        <v>0</v>
      </c>
      <c r="DT38" t="n">
        <v>0</v>
      </c>
      <c r="DU38" t="n">
        <v>0</v>
      </c>
      <c r="DV38" t="inlineStr">
        <is>
          <t>1,000 RGGI CO2 Allowances</t>
        </is>
      </c>
    </row>
    <row r="39">
      <c r="A39" t="inlineStr">
        <is>
          <t>RGGI V2022-ICE - ICE FUTURES ENERGY DIV</t>
        </is>
      </c>
      <c r="B39" t="n">
        <v>230103</v>
      </c>
      <c r="C39" s="1" t="n">
        <v>44929</v>
      </c>
      <c r="D39" t="inlineStr">
        <is>
          <t>0063DZ</t>
        </is>
      </c>
      <c r="E39" t="inlineStr">
        <is>
          <t>IFED</t>
        </is>
      </c>
      <c r="F39" t="inlineStr">
        <is>
          <t>01</t>
        </is>
      </c>
      <c r="G39" t="inlineStr">
        <is>
          <t xml:space="preserve">006 </t>
        </is>
      </c>
      <c r="H39" t="n">
        <v>21702</v>
      </c>
      <c r="I39" s="17" t="n">
        <v>308</v>
      </c>
      <c r="J39" s="17" t="n">
        <v>4428</v>
      </c>
      <c r="K39" t="n">
        <v>0</v>
      </c>
      <c r="L39" t="n">
        <v>21390</v>
      </c>
      <c r="M39" t="n">
        <v>17266</v>
      </c>
      <c r="N39" t="n">
        <v>21698</v>
      </c>
      <c r="O39" t="n">
        <v>21694</v>
      </c>
      <c r="P39" t="n">
        <v>4</v>
      </c>
      <c r="Q39" t="n">
        <v>8</v>
      </c>
      <c r="R39" t="n">
        <v>21702</v>
      </c>
      <c r="S39" t="n">
        <v>308</v>
      </c>
      <c r="T39" t="n">
        <v>4428</v>
      </c>
      <c r="U39" t="n">
        <v>0</v>
      </c>
      <c r="V39" t="n">
        <v>21390</v>
      </c>
      <c r="W39" t="n">
        <v>17266</v>
      </c>
      <c r="X39" t="n">
        <v>21698</v>
      </c>
      <c r="Y39" t="n">
        <v>21694</v>
      </c>
      <c r="Z39" t="n">
        <v>4</v>
      </c>
      <c r="AA39" t="n">
        <v>8</v>
      </c>
      <c r="AB39" t="n">
        <v>0</v>
      </c>
      <c r="AC39" t="n">
        <v>0</v>
      </c>
      <c r="AD39" t="n">
        <v>0</v>
      </c>
      <c r="AE39" t="n">
        <v>0</v>
      </c>
      <c r="AF39" t="n">
        <v>0</v>
      </c>
      <c r="AG39" t="n">
        <v>0</v>
      </c>
      <c r="AH39" t="n">
        <v>0</v>
      </c>
      <c r="AI39" t="n">
        <v>0</v>
      </c>
      <c r="AJ39" t="n">
        <v>0</v>
      </c>
      <c r="AK39" t="n">
        <v>0</v>
      </c>
      <c r="AL39" t="n">
        <v>0</v>
      </c>
      <c r="AM39" t="n">
        <v>0</v>
      </c>
      <c r="AN39" t="n">
        <v>0</v>
      </c>
      <c r="AO39" t="n">
        <v>0</v>
      </c>
      <c r="AP39" t="n">
        <v>0</v>
      </c>
      <c r="AQ39" t="n">
        <v>0</v>
      </c>
      <c r="AR39" t="n">
        <v>0</v>
      </c>
      <c r="AS39" t="n">
        <v>0</v>
      </c>
      <c r="AT39" t="n">
        <v>0</v>
      </c>
      <c r="AU39" t="n">
        <v>0</v>
      </c>
      <c r="AV39" t="n">
        <v>100</v>
      </c>
      <c r="AW39" t="n">
        <v>1.4</v>
      </c>
      <c r="AX39" t="n">
        <v>20.4</v>
      </c>
      <c r="AY39" t="n">
        <v>0</v>
      </c>
      <c r="AZ39" t="n">
        <v>98.59999999999999</v>
      </c>
      <c r="BA39" t="n">
        <v>79.59999999999999</v>
      </c>
      <c r="BB39" t="n">
        <v>100</v>
      </c>
      <c r="BC39" t="n">
        <v>100</v>
      </c>
      <c r="BD39" t="n">
        <v>0</v>
      </c>
      <c r="BE39" t="n">
        <v>0</v>
      </c>
      <c r="BF39" t="n">
        <v>100</v>
      </c>
      <c r="BG39" t="n">
        <v>1.4</v>
      </c>
      <c r="BH39" t="n">
        <v>20.4</v>
      </c>
      <c r="BI39" t="n">
        <v>0</v>
      </c>
      <c r="BJ39" t="n">
        <v>98.59999999999999</v>
      </c>
      <c r="BK39" t="n">
        <v>79.59999999999999</v>
      </c>
      <c r="BL39" t="n">
        <v>100</v>
      </c>
      <c r="BM39" t="n">
        <v>100</v>
      </c>
      <c r="BN39" t="n">
        <v>0</v>
      </c>
      <c r="BO39" t="n">
        <v>0</v>
      </c>
      <c r="BP39" t="n">
        <v>0</v>
      </c>
      <c r="BQ39" t="n">
        <v>0</v>
      </c>
      <c r="BR39" t="n">
        <v>0</v>
      </c>
      <c r="BS39" t="n">
        <v>0</v>
      </c>
      <c r="BT39" t="n">
        <v>0</v>
      </c>
      <c r="BU39" t="n">
        <v>0</v>
      </c>
      <c r="BV39" t="n">
        <v>0</v>
      </c>
      <c r="BW39" t="n">
        <v>0</v>
      </c>
      <c r="BX39" t="n">
        <v>0</v>
      </c>
      <c r="BY39" t="n">
        <v>0</v>
      </c>
      <c r="BZ39" t="n">
        <v>21</v>
      </c>
      <c r="CA39" t="n">
        <v>2</v>
      </c>
      <c r="CB39" t="n">
        <v>3</v>
      </c>
      <c r="CC39" t="n">
        <v>0</v>
      </c>
      <c r="CD39" t="n">
        <v>7</v>
      </c>
      <c r="CE39" t="n">
        <v>9</v>
      </c>
      <c r="CF39" t="n">
        <v>9</v>
      </c>
      <c r="CG39" t="n">
        <v>12</v>
      </c>
      <c r="CH39" t="n">
        <v>21</v>
      </c>
      <c r="CI39" t="n">
        <v>2</v>
      </c>
      <c r="CJ39" t="n">
        <v>3</v>
      </c>
      <c r="CK39" t="n">
        <v>0</v>
      </c>
      <c r="CL39" t="n">
        <v>7</v>
      </c>
      <c r="CM39" t="n">
        <v>9</v>
      </c>
      <c r="CN39" t="n">
        <v>9</v>
      </c>
      <c r="CO39" t="n">
        <v>12</v>
      </c>
      <c r="CP39" t="n">
        <v>0</v>
      </c>
      <c r="CQ39" t="n">
        <v>0</v>
      </c>
      <c r="CR39" t="n">
        <v>0</v>
      </c>
      <c r="CS39" t="n">
        <v>0</v>
      </c>
      <c r="CT39" t="n">
        <v>0</v>
      </c>
      <c r="CU39" t="n">
        <v>0</v>
      </c>
      <c r="CV39" t="n">
        <v>0</v>
      </c>
      <c r="CW39" t="n">
        <v>0</v>
      </c>
      <c r="CX39" t="n">
        <v>86.5</v>
      </c>
      <c r="CY39" t="n">
        <v>92.8</v>
      </c>
      <c r="CZ39" t="n">
        <v>99.5</v>
      </c>
      <c r="DA39" t="n">
        <v>98.40000000000001</v>
      </c>
      <c r="DB39" t="n">
        <v>86.5</v>
      </c>
      <c r="DC39" t="n">
        <v>92.8</v>
      </c>
      <c r="DD39" t="n">
        <v>99.5</v>
      </c>
      <c r="DE39" t="n">
        <v>98.40000000000001</v>
      </c>
      <c r="DF39" t="n">
        <v>86.5</v>
      </c>
      <c r="DG39" t="n">
        <v>92.8</v>
      </c>
      <c r="DH39" t="n">
        <v>99.5</v>
      </c>
      <c r="DI39" t="n">
        <v>98.40000000000001</v>
      </c>
      <c r="DJ39" t="n">
        <v>86.5</v>
      </c>
      <c r="DK39" t="n">
        <v>92.8</v>
      </c>
      <c r="DL39" t="n">
        <v>99.5</v>
      </c>
      <c r="DM39" t="n">
        <v>98.40000000000001</v>
      </c>
      <c r="DN39" t="n">
        <v>0</v>
      </c>
      <c r="DO39" t="n">
        <v>0</v>
      </c>
      <c r="DP39" t="n">
        <v>0</v>
      </c>
      <c r="DQ39" t="n">
        <v>0</v>
      </c>
      <c r="DR39" t="n">
        <v>0</v>
      </c>
      <c r="DS39" t="n">
        <v>0</v>
      </c>
      <c r="DT39" t="n">
        <v>0</v>
      </c>
      <c r="DU39" t="n">
        <v>0</v>
      </c>
      <c r="DV39" t="inlineStr">
        <is>
          <t>1,000 RGGI CO2 Allowances</t>
        </is>
      </c>
    </row>
    <row r="40">
      <c r="A40" t="inlineStr">
        <is>
          <t>CALIF CARBON ALLOWANCE V2024 - ICE FUTURES ENERGY DIV</t>
        </is>
      </c>
      <c r="B40" t="n">
        <v>230110</v>
      </c>
      <c r="C40" s="1" t="n">
        <v>44936</v>
      </c>
      <c r="D40" t="inlineStr">
        <is>
          <t>0063E2</t>
        </is>
      </c>
      <c r="E40" t="inlineStr">
        <is>
          <t>IFED</t>
        </is>
      </c>
      <c r="F40" t="inlineStr">
        <is>
          <t>01</t>
        </is>
      </c>
      <c r="G40" t="inlineStr">
        <is>
          <t xml:space="preserve">006 </t>
        </is>
      </c>
      <c r="H40" t="n">
        <v>19840</v>
      </c>
      <c r="I40" s="17" t="n">
        <v>3806</v>
      </c>
      <c r="J40" s="17" t="n">
        <v>2837</v>
      </c>
      <c r="K40" t="n">
        <v>0</v>
      </c>
      <c r="L40" t="n">
        <v>15999</v>
      </c>
      <c r="M40" t="n">
        <v>16989</v>
      </c>
      <c r="N40" t="n">
        <v>19805</v>
      </c>
      <c r="O40" t="n">
        <v>19826</v>
      </c>
      <c r="P40" t="n">
        <v>35</v>
      </c>
      <c r="Q40" t="n">
        <v>14</v>
      </c>
      <c r="R40" t="n">
        <v>19840</v>
      </c>
      <c r="S40" t="n">
        <v>3806</v>
      </c>
      <c r="T40" t="n">
        <v>2837</v>
      </c>
      <c r="U40" t="n">
        <v>0</v>
      </c>
      <c r="V40" t="n">
        <v>15999</v>
      </c>
      <c r="W40" t="n">
        <v>16989</v>
      </c>
      <c r="X40" t="n">
        <v>19805</v>
      </c>
      <c r="Y40" t="n">
        <v>19826</v>
      </c>
      <c r="Z40" t="n">
        <v>35</v>
      </c>
      <c r="AA40" t="n">
        <v>14</v>
      </c>
      <c r="AB40" t="n">
        <v>0</v>
      </c>
      <c r="AC40" t="n">
        <v>0</v>
      </c>
      <c r="AD40" t="n">
        <v>0</v>
      </c>
      <c r="AE40" t="n">
        <v>0</v>
      </c>
      <c r="AF40" t="n">
        <v>0</v>
      </c>
      <c r="AG40" t="n">
        <v>0</v>
      </c>
      <c r="AH40" t="n">
        <v>0</v>
      </c>
      <c r="AI40" t="n">
        <v>0</v>
      </c>
      <c r="AJ40" t="n">
        <v>0</v>
      </c>
      <c r="AK40" t="n">
        <v>0</v>
      </c>
      <c r="AL40" t="n">
        <v>2</v>
      </c>
      <c r="AM40" t="n">
        <v>0</v>
      </c>
      <c r="AN40" t="n">
        <v>13</v>
      </c>
      <c r="AO40" t="n">
        <v>0</v>
      </c>
      <c r="AP40" t="n">
        <v>0</v>
      </c>
      <c r="AQ40" t="n">
        <v>1</v>
      </c>
      <c r="AR40" t="n">
        <v>0</v>
      </c>
      <c r="AS40" t="n">
        <v>14</v>
      </c>
      <c r="AT40" t="n">
        <v>2</v>
      </c>
      <c r="AU40" t="n">
        <v>-12</v>
      </c>
      <c r="AV40" t="n">
        <v>100</v>
      </c>
      <c r="AW40" t="n">
        <v>19.2</v>
      </c>
      <c r="AX40" t="n">
        <v>14.3</v>
      </c>
      <c r="AY40" t="n">
        <v>0</v>
      </c>
      <c r="AZ40" t="n">
        <v>80.59999999999999</v>
      </c>
      <c r="BA40" t="n">
        <v>85.59999999999999</v>
      </c>
      <c r="BB40" t="n">
        <v>99.8</v>
      </c>
      <c r="BC40" t="n">
        <v>99.90000000000001</v>
      </c>
      <c r="BD40" t="n">
        <v>0.2</v>
      </c>
      <c r="BE40" t="n">
        <v>0.1</v>
      </c>
      <c r="BF40" t="n">
        <v>100</v>
      </c>
      <c r="BG40" t="n">
        <v>19.2</v>
      </c>
      <c r="BH40" t="n">
        <v>14.3</v>
      </c>
      <c r="BI40" t="n">
        <v>0</v>
      </c>
      <c r="BJ40" t="n">
        <v>80.59999999999999</v>
      </c>
      <c r="BK40" t="n">
        <v>85.59999999999999</v>
      </c>
      <c r="BL40" t="n">
        <v>99.8</v>
      </c>
      <c r="BM40" t="n">
        <v>99.90000000000001</v>
      </c>
      <c r="BN40" t="n">
        <v>0.2</v>
      </c>
      <c r="BO40" t="n">
        <v>0.1</v>
      </c>
      <c r="BP40" t="n">
        <v>0</v>
      </c>
      <c r="BQ40" t="n">
        <v>0</v>
      </c>
      <c r="BR40" t="n">
        <v>0</v>
      </c>
      <c r="BS40" t="n">
        <v>0</v>
      </c>
      <c r="BT40" t="n">
        <v>0</v>
      </c>
      <c r="BU40" t="n">
        <v>0</v>
      </c>
      <c r="BV40" t="n">
        <v>0</v>
      </c>
      <c r="BW40" t="n">
        <v>0</v>
      </c>
      <c r="BX40" t="n">
        <v>0</v>
      </c>
      <c r="BY40" t="n">
        <v>0</v>
      </c>
      <c r="BZ40" t="n">
        <v>22</v>
      </c>
      <c r="CA40" t="n">
        <v>6</v>
      </c>
      <c r="CB40" t="n">
        <v>5</v>
      </c>
      <c r="CC40" t="n">
        <v>0</v>
      </c>
      <c r="CD40" t="n">
        <v>4</v>
      </c>
      <c r="CE40" t="n">
        <v>7</v>
      </c>
      <c r="CF40" t="n">
        <v>10</v>
      </c>
      <c r="CG40" t="n">
        <v>12</v>
      </c>
      <c r="CH40" t="n">
        <v>22</v>
      </c>
      <c r="CI40" t="n">
        <v>6</v>
      </c>
      <c r="CJ40" t="n">
        <v>5</v>
      </c>
      <c r="CK40" t="n">
        <v>0</v>
      </c>
      <c r="CL40" t="n">
        <v>4</v>
      </c>
      <c r="CM40" t="n">
        <v>7</v>
      </c>
      <c r="CN40" t="n">
        <v>10</v>
      </c>
      <c r="CO40" t="n">
        <v>12</v>
      </c>
      <c r="CP40" t="n">
        <v>0</v>
      </c>
      <c r="CQ40" t="n">
        <v>0</v>
      </c>
      <c r="CR40" t="n">
        <v>0</v>
      </c>
      <c r="CS40" t="n">
        <v>0</v>
      </c>
      <c r="CT40" t="n">
        <v>0</v>
      </c>
      <c r="CU40" t="n">
        <v>0</v>
      </c>
      <c r="CV40" t="n">
        <v>0</v>
      </c>
      <c r="CW40" t="n">
        <v>0</v>
      </c>
      <c r="CX40" t="n">
        <v>88.90000000000001</v>
      </c>
      <c r="CY40" t="n">
        <v>81.2</v>
      </c>
      <c r="CZ40" t="n">
        <v>98.7</v>
      </c>
      <c r="DA40" t="n">
        <v>95</v>
      </c>
      <c r="DB40" t="n">
        <v>88.90000000000001</v>
      </c>
      <c r="DC40" t="n">
        <v>81.2</v>
      </c>
      <c r="DD40" t="n">
        <v>98.7</v>
      </c>
      <c r="DE40" t="n">
        <v>95</v>
      </c>
      <c r="DF40" t="n">
        <v>88.90000000000001</v>
      </c>
      <c r="DG40" t="n">
        <v>81.2</v>
      </c>
      <c r="DH40" t="n">
        <v>98.7</v>
      </c>
      <c r="DI40" t="n">
        <v>95</v>
      </c>
      <c r="DJ40" t="n">
        <v>88.90000000000001</v>
      </c>
      <c r="DK40" t="n">
        <v>81.2</v>
      </c>
      <c r="DL40" t="n">
        <v>98.7</v>
      </c>
      <c r="DM40" t="n">
        <v>95</v>
      </c>
      <c r="DN40" t="n">
        <v>0</v>
      </c>
      <c r="DO40" t="n">
        <v>0</v>
      </c>
      <c r="DP40" t="n">
        <v>0</v>
      </c>
      <c r="DQ40" t="n">
        <v>0</v>
      </c>
      <c r="DR40" t="n">
        <v>0</v>
      </c>
      <c r="DS40" t="n">
        <v>0</v>
      </c>
      <c r="DT40" t="n">
        <v>0</v>
      </c>
      <c r="DU40" t="n">
        <v>0</v>
      </c>
      <c r="DV40" t="inlineStr">
        <is>
          <t>1,000 California carbon allowances</t>
        </is>
      </c>
    </row>
    <row r="41">
      <c r="A41" t="inlineStr">
        <is>
          <t>CALIF CARBON ALLOWANCE V2024 - ICE FUTURES ENERGY DIV</t>
        </is>
      </c>
      <c r="B41" t="n">
        <v>230103</v>
      </c>
      <c r="C41" s="1" t="n">
        <v>44929</v>
      </c>
      <c r="D41" t="inlineStr">
        <is>
          <t>0063E2</t>
        </is>
      </c>
      <c r="E41" t="inlineStr">
        <is>
          <t>IFED</t>
        </is>
      </c>
      <c r="F41" t="inlineStr">
        <is>
          <t>01</t>
        </is>
      </c>
      <c r="G41" t="inlineStr">
        <is>
          <t xml:space="preserve">006 </t>
        </is>
      </c>
      <c r="H41" t="n">
        <v>19838</v>
      </c>
      <c r="I41" s="17" t="n">
        <v>3806</v>
      </c>
      <c r="J41" s="17" t="n">
        <v>2824</v>
      </c>
      <c r="K41" t="n">
        <v>0</v>
      </c>
      <c r="L41" t="n">
        <v>15999</v>
      </c>
      <c r="M41" t="n">
        <v>16988</v>
      </c>
      <c r="N41" t="n">
        <v>19805</v>
      </c>
      <c r="O41" t="n">
        <v>19812</v>
      </c>
      <c r="P41" t="n">
        <v>33</v>
      </c>
      <c r="Q41" t="n">
        <v>26</v>
      </c>
      <c r="R41" t="n">
        <v>19838</v>
      </c>
      <c r="S41" t="n">
        <v>3806</v>
      </c>
      <c r="T41" t="n">
        <v>2824</v>
      </c>
      <c r="U41" t="n">
        <v>0</v>
      </c>
      <c r="V41" t="n">
        <v>15999</v>
      </c>
      <c r="W41" t="n">
        <v>16988</v>
      </c>
      <c r="X41" t="n">
        <v>19805</v>
      </c>
      <c r="Y41" t="n">
        <v>19812</v>
      </c>
      <c r="Z41" t="n">
        <v>33</v>
      </c>
      <c r="AA41" t="n">
        <v>26</v>
      </c>
      <c r="AB41" t="n">
        <v>0</v>
      </c>
      <c r="AC41" t="n">
        <v>0</v>
      </c>
      <c r="AD41" t="n">
        <v>0</v>
      </c>
      <c r="AE41" t="n">
        <v>0</v>
      </c>
      <c r="AF41" t="n">
        <v>0</v>
      </c>
      <c r="AG41" t="n">
        <v>0</v>
      </c>
      <c r="AH41" t="n">
        <v>0</v>
      </c>
      <c r="AI41" t="n">
        <v>0</v>
      </c>
      <c r="AJ41" t="n">
        <v>0</v>
      </c>
      <c r="AK41" t="n">
        <v>0</v>
      </c>
      <c r="AL41" t="n">
        <v>178</v>
      </c>
      <c r="AM41" t="n">
        <v>-13</v>
      </c>
      <c r="AN41" t="n">
        <v>25</v>
      </c>
      <c r="AO41" t="n">
        <v>0</v>
      </c>
      <c r="AP41" t="n">
        <v>191</v>
      </c>
      <c r="AQ41" t="n">
        <v>151</v>
      </c>
      <c r="AR41" t="n">
        <v>178</v>
      </c>
      <c r="AS41" t="n">
        <v>176</v>
      </c>
      <c r="AT41" t="n">
        <v>0</v>
      </c>
      <c r="AU41" t="n">
        <v>2</v>
      </c>
      <c r="AV41" t="n">
        <v>100</v>
      </c>
      <c r="AW41" t="n">
        <v>19.2</v>
      </c>
      <c r="AX41" t="n">
        <v>14.2</v>
      </c>
      <c r="AY41" t="n">
        <v>0</v>
      </c>
      <c r="AZ41" t="n">
        <v>80.59999999999999</v>
      </c>
      <c r="BA41" t="n">
        <v>85.59999999999999</v>
      </c>
      <c r="BB41" t="n">
        <v>99.8</v>
      </c>
      <c r="BC41" t="n">
        <v>99.90000000000001</v>
      </c>
      <c r="BD41" t="n">
        <v>0.2</v>
      </c>
      <c r="BE41" t="n">
        <v>0.1</v>
      </c>
      <c r="BF41" t="n">
        <v>100</v>
      </c>
      <c r="BG41" t="n">
        <v>19.2</v>
      </c>
      <c r="BH41" t="n">
        <v>14.2</v>
      </c>
      <c r="BI41" t="n">
        <v>0</v>
      </c>
      <c r="BJ41" t="n">
        <v>80.59999999999999</v>
      </c>
      <c r="BK41" t="n">
        <v>85.59999999999999</v>
      </c>
      <c r="BL41" t="n">
        <v>99.8</v>
      </c>
      <c r="BM41" t="n">
        <v>99.90000000000001</v>
      </c>
      <c r="BN41" t="n">
        <v>0.2</v>
      </c>
      <c r="BO41" t="n">
        <v>0.1</v>
      </c>
      <c r="BP41" t="n">
        <v>0</v>
      </c>
      <c r="BQ41" t="n">
        <v>0</v>
      </c>
      <c r="BR41" t="n">
        <v>0</v>
      </c>
      <c r="BS41" t="n">
        <v>0</v>
      </c>
      <c r="BT41" t="n">
        <v>0</v>
      </c>
      <c r="BU41" t="n">
        <v>0</v>
      </c>
      <c r="BV41" t="n">
        <v>0</v>
      </c>
      <c r="BW41" t="n">
        <v>0</v>
      </c>
      <c r="BX41" t="n">
        <v>0</v>
      </c>
      <c r="BY41" t="n">
        <v>0</v>
      </c>
      <c r="BZ41" t="n">
        <v>22</v>
      </c>
      <c r="CA41" t="n">
        <v>6</v>
      </c>
      <c r="CB41" t="n">
        <v>5</v>
      </c>
      <c r="CC41" t="n">
        <v>0</v>
      </c>
      <c r="CD41" t="n">
        <v>4</v>
      </c>
      <c r="CE41" t="n">
        <v>7</v>
      </c>
      <c r="CF41" t="n">
        <v>10</v>
      </c>
      <c r="CG41" t="n">
        <v>12</v>
      </c>
      <c r="CH41" t="n">
        <v>22</v>
      </c>
      <c r="CI41" t="n">
        <v>6</v>
      </c>
      <c r="CJ41" t="n">
        <v>5</v>
      </c>
      <c r="CK41" t="n">
        <v>0</v>
      </c>
      <c r="CL41" t="n">
        <v>4</v>
      </c>
      <c r="CM41" t="n">
        <v>7</v>
      </c>
      <c r="CN41" t="n">
        <v>10</v>
      </c>
      <c r="CO41" t="n">
        <v>12</v>
      </c>
      <c r="CP41" t="n">
        <v>0</v>
      </c>
      <c r="CQ41" t="n">
        <v>0</v>
      </c>
      <c r="CR41" t="n">
        <v>0</v>
      </c>
      <c r="CS41" t="n">
        <v>0</v>
      </c>
      <c r="CT41" t="n">
        <v>0</v>
      </c>
      <c r="CU41" t="n">
        <v>0</v>
      </c>
      <c r="CV41" t="n">
        <v>0</v>
      </c>
      <c r="CW41" t="n">
        <v>0</v>
      </c>
      <c r="CX41" t="n">
        <v>88.90000000000001</v>
      </c>
      <c r="CY41" t="n">
        <v>81.2</v>
      </c>
      <c r="CZ41" t="n">
        <v>98.7</v>
      </c>
      <c r="DA41" t="n">
        <v>94.90000000000001</v>
      </c>
      <c r="DB41" t="n">
        <v>88.90000000000001</v>
      </c>
      <c r="DC41" t="n">
        <v>81.2</v>
      </c>
      <c r="DD41" t="n">
        <v>98.7</v>
      </c>
      <c r="DE41" t="n">
        <v>94.90000000000001</v>
      </c>
      <c r="DF41" t="n">
        <v>88.90000000000001</v>
      </c>
      <c r="DG41" t="n">
        <v>81.2</v>
      </c>
      <c r="DH41" t="n">
        <v>98.7</v>
      </c>
      <c r="DI41" t="n">
        <v>94.90000000000001</v>
      </c>
      <c r="DJ41" t="n">
        <v>88.90000000000001</v>
      </c>
      <c r="DK41" t="n">
        <v>81.2</v>
      </c>
      <c r="DL41" t="n">
        <v>98.7</v>
      </c>
      <c r="DM41" t="n">
        <v>94.90000000000001</v>
      </c>
      <c r="DN41" t="n">
        <v>0</v>
      </c>
      <c r="DO41" t="n">
        <v>0</v>
      </c>
      <c r="DP41" t="n">
        <v>0</v>
      </c>
      <c r="DQ41" t="n">
        <v>0</v>
      </c>
      <c r="DR41" t="n">
        <v>0</v>
      </c>
      <c r="DS41" t="n">
        <v>0</v>
      </c>
      <c r="DT41" t="n">
        <v>0</v>
      </c>
      <c r="DU41" t="n">
        <v>0</v>
      </c>
      <c r="DV41" t="inlineStr">
        <is>
          <t>1,000 California carbon allowances</t>
        </is>
      </c>
    </row>
    <row r="42">
      <c r="A42" t="inlineStr">
        <is>
          <t>RGGI V2023 - ICE FUTURES ENERGY DIV</t>
        </is>
      </c>
      <c r="B42" t="n">
        <v>230110</v>
      </c>
      <c r="C42" s="1" t="n">
        <v>44936</v>
      </c>
      <c r="D42" t="inlineStr">
        <is>
          <t>0063E6</t>
        </is>
      </c>
      <c r="E42" t="inlineStr">
        <is>
          <t>IFED</t>
        </is>
      </c>
      <c r="F42" t="inlineStr">
        <is>
          <t>01</t>
        </is>
      </c>
      <c r="G42" t="inlineStr">
        <is>
          <t xml:space="preserve">006 </t>
        </is>
      </c>
      <c r="H42" t="n">
        <v>43910</v>
      </c>
      <c r="I42" s="17" t="n">
        <v>13483</v>
      </c>
      <c r="J42" s="17" t="n">
        <v>14540</v>
      </c>
      <c r="K42" t="n">
        <v>198</v>
      </c>
      <c r="L42" t="n">
        <v>30177</v>
      </c>
      <c r="M42" t="n">
        <v>29145</v>
      </c>
      <c r="N42" t="n">
        <v>43858</v>
      </c>
      <c r="O42" t="n">
        <v>43883</v>
      </c>
      <c r="P42" t="n">
        <v>52</v>
      </c>
      <c r="Q42" t="n">
        <v>27</v>
      </c>
      <c r="R42" t="n">
        <v>43910</v>
      </c>
      <c r="S42" t="n">
        <v>13483</v>
      </c>
      <c r="T42" t="n">
        <v>14540</v>
      </c>
      <c r="U42" t="n">
        <v>198</v>
      </c>
      <c r="V42" t="n">
        <v>30177</v>
      </c>
      <c r="W42" t="n">
        <v>29145</v>
      </c>
      <c r="X42" t="n">
        <v>43858</v>
      </c>
      <c r="Y42" t="n">
        <v>43883</v>
      </c>
      <c r="Z42" t="n">
        <v>52</v>
      </c>
      <c r="AA42" t="n">
        <v>27</v>
      </c>
      <c r="AB42" t="n">
        <v>0</v>
      </c>
      <c r="AC42" t="n">
        <v>0</v>
      </c>
      <c r="AD42" t="n">
        <v>0</v>
      </c>
      <c r="AE42" t="n">
        <v>0</v>
      </c>
      <c r="AF42" t="n">
        <v>0</v>
      </c>
      <c r="AG42" t="n">
        <v>0</v>
      </c>
      <c r="AH42" t="n">
        <v>0</v>
      </c>
      <c r="AI42" t="n">
        <v>0</v>
      </c>
      <c r="AJ42" t="n">
        <v>0</v>
      </c>
      <c r="AK42" t="n">
        <v>0</v>
      </c>
      <c r="AL42" t="n">
        <v>5152</v>
      </c>
      <c r="AM42" t="n">
        <v>14</v>
      </c>
      <c r="AN42" t="n">
        <v>268</v>
      </c>
      <c r="AO42" t="n">
        <v>0</v>
      </c>
      <c r="AP42" t="n">
        <v>5139</v>
      </c>
      <c r="AQ42" t="n">
        <v>4903</v>
      </c>
      <c r="AR42" t="n">
        <v>5153</v>
      </c>
      <c r="AS42" t="n">
        <v>5171</v>
      </c>
      <c r="AT42" t="n">
        <v>-1</v>
      </c>
      <c r="AU42" t="n">
        <v>-19</v>
      </c>
      <c r="AV42" t="n">
        <v>100</v>
      </c>
      <c r="AW42" t="n">
        <v>30.7</v>
      </c>
      <c r="AX42" t="n">
        <v>33.1</v>
      </c>
      <c r="AY42" t="n">
        <v>0.5</v>
      </c>
      <c r="AZ42" t="n">
        <v>68.7</v>
      </c>
      <c r="BA42" t="n">
        <v>66.40000000000001</v>
      </c>
      <c r="BB42" t="n">
        <v>99.90000000000001</v>
      </c>
      <c r="BC42" t="n">
        <v>99.90000000000001</v>
      </c>
      <c r="BD42" t="n">
        <v>0.1</v>
      </c>
      <c r="BE42" t="n">
        <v>0.1</v>
      </c>
      <c r="BF42" t="n">
        <v>100</v>
      </c>
      <c r="BG42" t="n">
        <v>30.7</v>
      </c>
      <c r="BH42" t="n">
        <v>33.1</v>
      </c>
      <c r="BI42" t="n">
        <v>0.5</v>
      </c>
      <c r="BJ42" t="n">
        <v>68.7</v>
      </c>
      <c r="BK42" t="n">
        <v>66.40000000000001</v>
      </c>
      <c r="BL42" t="n">
        <v>99.90000000000001</v>
      </c>
      <c r="BM42" t="n">
        <v>99.90000000000001</v>
      </c>
      <c r="BN42" t="n">
        <v>0.1</v>
      </c>
      <c r="BO42" t="n">
        <v>0.1</v>
      </c>
      <c r="BP42" t="n">
        <v>0</v>
      </c>
      <c r="BQ42" t="n">
        <v>0</v>
      </c>
      <c r="BR42" t="n">
        <v>0</v>
      </c>
      <c r="BS42" t="n">
        <v>0</v>
      </c>
      <c r="BT42" t="n">
        <v>0</v>
      </c>
      <c r="BU42" t="n">
        <v>0</v>
      </c>
      <c r="BV42" t="n">
        <v>0</v>
      </c>
      <c r="BW42" t="n">
        <v>0</v>
      </c>
      <c r="BX42" t="n">
        <v>0</v>
      </c>
      <c r="BY42" t="n">
        <v>0</v>
      </c>
      <c r="BZ42" t="n">
        <v>45</v>
      </c>
      <c r="CA42" t="n">
        <v>15</v>
      </c>
      <c r="CB42" t="n">
        <v>10</v>
      </c>
      <c r="CC42" t="n">
        <v>2</v>
      </c>
      <c r="CD42" t="n">
        <v>16</v>
      </c>
      <c r="CE42" t="n">
        <v>7</v>
      </c>
      <c r="CF42" t="n">
        <v>32</v>
      </c>
      <c r="CG42" t="n">
        <v>18</v>
      </c>
      <c r="CH42" t="n">
        <v>45</v>
      </c>
      <c r="CI42" t="n">
        <v>15</v>
      </c>
      <c r="CJ42" t="n">
        <v>10</v>
      </c>
      <c r="CK42" t="n">
        <v>2</v>
      </c>
      <c r="CL42" t="n">
        <v>16</v>
      </c>
      <c r="CM42" t="n">
        <v>7</v>
      </c>
      <c r="CN42" t="n">
        <v>32</v>
      </c>
      <c r="CO42" t="n">
        <v>18</v>
      </c>
      <c r="CP42" t="n">
        <v>0</v>
      </c>
      <c r="CQ42" t="n">
        <v>0</v>
      </c>
      <c r="CR42" t="n">
        <v>0</v>
      </c>
      <c r="CS42" t="n">
        <v>0</v>
      </c>
      <c r="CT42" t="n">
        <v>0</v>
      </c>
      <c r="CU42" t="n">
        <v>0</v>
      </c>
      <c r="CV42" t="n">
        <v>0</v>
      </c>
      <c r="CW42" t="n">
        <v>0</v>
      </c>
      <c r="CX42" t="n">
        <v>43.7</v>
      </c>
      <c r="CY42" t="n">
        <v>75.8</v>
      </c>
      <c r="CZ42" t="n">
        <v>67.09999999999999</v>
      </c>
      <c r="DA42" t="n">
        <v>94.90000000000001</v>
      </c>
      <c r="DB42" t="n">
        <v>40.3</v>
      </c>
      <c r="DC42" t="n">
        <v>73.8</v>
      </c>
      <c r="DD42" t="n">
        <v>61.8</v>
      </c>
      <c r="DE42" t="n">
        <v>85.5</v>
      </c>
      <c r="DF42" t="n">
        <v>43.7</v>
      </c>
      <c r="DG42" t="n">
        <v>75.8</v>
      </c>
      <c r="DH42" t="n">
        <v>67.09999999999999</v>
      </c>
      <c r="DI42" t="n">
        <v>94.90000000000001</v>
      </c>
      <c r="DJ42" t="n">
        <v>40.3</v>
      </c>
      <c r="DK42" t="n">
        <v>73.8</v>
      </c>
      <c r="DL42" t="n">
        <v>61.8</v>
      </c>
      <c r="DM42" t="n">
        <v>85.5</v>
      </c>
      <c r="DN42" t="n">
        <v>0</v>
      </c>
      <c r="DO42" t="n">
        <v>0</v>
      </c>
      <c r="DP42" t="n">
        <v>0</v>
      </c>
      <c r="DQ42" t="n">
        <v>0</v>
      </c>
      <c r="DR42" t="n">
        <v>0</v>
      </c>
      <c r="DS42" t="n">
        <v>0</v>
      </c>
      <c r="DT42" t="n">
        <v>0</v>
      </c>
      <c r="DU42" t="n">
        <v>0</v>
      </c>
      <c r="DV42" t="inlineStr">
        <is>
          <t>1,000 RGGI CO2 Allowances</t>
        </is>
      </c>
    </row>
    <row r="43">
      <c r="A43" t="inlineStr">
        <is>
          <t>RGGI V2023 - ICE FUTURES ENERGY DIV</t>
        </is>
      </c>
      <c r="B43" t="n">
        <v>230103</v>
      </c>
      <c r="C43" s="1" t="n">
        <v>44929</v>
      </c>
      <c r="D43" t="inlineStr">
        <is>
          <t>0063E6</t>
        </is>
      </c>
      <c r="E43" t="inlineStr">
        <is>
          <t>IFED</t>
        </is>
      </c>
      <c r="F43" t="inlineStr">
        <is>
          <t>01</t>
        </is>
      </c>
      <c r="G43" t="inlineStr">
        <is>
          <t xml:space="preserve">006 </t>
        </is>
      </c>
      <c r="H43" t="n">
        <v>38758</v>
      </c>
      <c r="I43" s="17" t="n">
        <v>13469</v>
      </c>
      <c r="J43" s="17" t="n">
        <v>14272</v>
      </c>
      <c r="K43" t="n">
        <v>198</v>
      </c>
      <c r="L43" t="n">
        <v>25038</v>
      </c>
      <c r="M43" t="n">
        <v>24242</v>
      </c>
      <c r="N43" t="n">
        <v>38705</v>
      </c>
      <c r="O43" t="n">
        <v>38712</v>
      </c>
      <c r="P43" t="n">
        <v>53</v>
      </c>
      <c r="Q43" t="n">
        <v>46</v>
      </c>
      <c r="R43" t="n">
        <v>38758</v>
      </c>
      <c r="S43" t="n">
        <v>13469</v>
      </c>
      <c r="T43" t="n">
        <v>14272</v>
      </c>
      <c r="U43" t="n">
        <v>198</v>
      </c>
      <c r="V43" t="n">
        <v>25038</v>
      </c>
      <c r="W43" t="n">
        <v>24242</v>
      </c>
      <c r="X43" t="n">
        <v>38705</v>
      </c>
      <c r="Y43" t="n">
        <v>38712</v>
      </c>
      <c r="Z43" t="n">
        <v>53</v>
      </c>
      <c r="AA43" t="n">
        <v>46</v>
      </c>
      <c r="AB43" t="n">
        <v>0</v>
      </c>
      <c r="AC43" t="n">
        <v>0</v>
      </c>
      <c r="AD43" t="n">
        <v>0</v>
      </c>
      <c r="AE43" t="n">
        <v>0</v>
      </c>
      <c r="AF43" t="n">
        <v>0</v>
      </c>
      <c r="AG43" t="n">
        <v>0</v>
      </c>
      <c r="AH43" t="n">
        <v>0</v>
      </c>
      <c r="AI43" t="n">
        <v>0</v>
      </c>
      <c r="AJ43" t="n">
        <v>0</v>
      </c>
      <c r="AK43" t="n">
        <v>0</v>
      </c>
      <c r="AL43" t="n">
        <v>-403</v>
      </c>
      <c r="AM43" t="n">
        <v>-176</v>
      </c>
      <c r="AN43" t="n">
        <v>-429</v>
      </c>
      <c r="AO43" t="n">
        <v>0</v>
      </c>
      <c r="AP43" t="n">
        <v>-218</v>
      </c>
      <c r="AQ43" t="n">
        <v>-9</v>
      </c>
      <c r="AR43" t="n">
        <v>-394</v>
      </c>
      <c r="AS43" t="n">
        <v>-438</v>
      </c>
      <c r="AT43" t="n">
        <v>-9</v>
      </c>
      <c r="AU43" t="n">
        <v>35</v>
      </c>
      <c r="AV43" t="n">
        <v>100</v>
      </c>
      <c r="AW43" t="n">
        <v>34.8</v>
      </c>
      <c r="AX43" t="n">
        <v>36.8</v>
      </c>
      <c r="AY43" t="n">
        <v>0.5</v>
      </c>
      <c r="AZ43" t="n">
        <v>64.59999999999999</v>
      </c>
      <c r="BA43" t="n">
        <v>62.5</v>
      </c>
      <c r="BB43" t="n">
        <v>99.90000000000001</v>
      </c>
      <c r="BC43" t="n">
        <v>99.90000000000001</v>
      </c>
      <c r="BD43" t="n">
        <v>0.1</v>
      </c>
      <c r="BE43" t="n">
        <v>0.1</v>
      </c>
      <c r="BF43" t="n">
        <v>100</v>
      </c>
      <c r="BG43" t="n">
        <v>34.8</v>
      </c>
      <c r="BH43" t="n">
        <v>36.8</v>
      </c>
      <c r="BI43" t="n">
        <v>0.5</v>
      </c>
      <c r="BJ43" t="n">
        <v>64.59999999999999</v>
      </c>
      <c r="BK43" t="n">
        <v>62.5</v>
      </c>
      <c r="BL43" t="n">
        <v>99.90000000000001</v>
      </c>
      <c r="BM43" t="n">
        <v>99.90000000000001</v>
      </c>
      <c r="BN43" t="n">
        <v>0.1</v>
      </c>
      <c r="BO43" t="n">
        <v>0.1</v>
      </c>
      <c r="BP43" t="n">
        <v>0</v>
      </c>
      <c r="BQ43" t="n">
        <v>0</v>
      </c>
      <c r="BR43" t="n">
        <v>0</v>
      </c>
      <c r="BS43" t="n">
        <v>0</v>
      </c>
      <c r="BT43" t="n">
        <v>0</v>
      </c>
      <c r="BU43" t="n">
        <v>0</v>
      </c>
      <c r="BV43" t="n">
        <v>0</v>
      </c>
      <c r="BW43" t="n">
        <v>0</v>
      </c>
      <c r="BX43" t="n">
        <v>0</v>
      </c>
      <c r="BY43" t="n">
        <v>0</v>
      </c>
      <c r="BZ43" t="n">
        <v>41</v>
      </c>
      <c r="CA43" t="n">
        <v>15</v>
      </c>
      <c r="CB43" t="n">
        <v>8</v>
      </c>
      <c r="CC43" t="n">
        <v>2</v>
      </c>
      <c r="CD43" t="n">
        <v>15</v>
      </c>
      <c r="CE43" t="n">
        <v>4</v>
      </c>
      <c r="CF43" t="n">
        <v>31</v>
      </c>
      <c r="CG43" t="n">
        <v>13</v>
      </c>
      <c r="CH43" t="n">
        <v>41</v>
      </c>
      <c r="CI43" t="n">
        <v>15</v>
      </c>
      <c r="CJ43" t="n">
        <v>8</v>
      </c>
      <c r="CK43" t="n">
        <v>2</v>
      </c>
      <c r="CL43" t="n">
        <v>15</v>
      </c>
      <c r="CM43" t="n">
        <v>4</v>
      </c>
      <c r="CN43" t="n">
        <v>31</v>
      </c>
      <c r="CO43" t="n">
        <v>13</v>
      </c>
      <c r="CP43" t="n">
        <v>0</v>
      </c>
      <c r="CQ43" t="n">
        <v>0</v>
      </c>
      <c r="CR43" t="n">
        <v>0</v>
      </c>
      <c r="CS43" t="n">
        <v>0</v>
      </c>
      <c r="CT43" t="n">
        <v>0</v>
      </c>
      <c r="CU43" t="n">
        <v>0</v>
      </c>
      <c r="CV43" t="n">
        <v>0</v>
      </c>
      <c r="CW43" t="n">
        <v>0</v>
      </c>
      <c r="CX43" t="n">
        <v>46.3</v>
      </c>
      <c r="CY43" t="n">
        <v>83.5</v>
      </c>
      <c r="CZ43" t="n">
        <v>73.09999999999999</v>
      </c>
      <c r="DA43" t="n">
        <v>97.59999999999999</v>
      </c>
      <c r="DB43" t="n">
        <v>45.9</v>
      </c>
      <c r="DC43" t="n">
        <v>83.5</v>
      </c>
      <c r="DD43" t="n">
        <v>72.40000000000001</v>
      </c>
      <c r="DE43" t="n">
        <v>97.59999999999999</v>
      </c>
      <c r="DF43" t="n">
        <v>46.3</v>
      </c>
      <c r="DG43" t="n">
        <v>83.5</v>
      </c>
      <c r="DH43" t="n">
        <v>73.09999999999999</v>
      </c>
      <c r="DI43" t="n">
        <v>97.59999999999999</v>
      </c>
      <c r="DJ43" t="n">
        <v>45.9</v>
      </c>
      <c r="DK43" t="n">
        <v>83.5</v>
      </c>
      <c r="DL43" t="n">
        <v>72.40000000000001</v>
      </c>
      <c r="DM43" t="n">
        <v>97.59999999999999</v>
      </c>
      <c r="DN43" t="n">
        <v>0</v>
      </c>
      <c r="DO43" t="n">
        <v>0</v>
      </c>
      <c r="DP43" t="n">
        <v>0</v>
      </c>
      <c r="DQ43" t="n">
        <v>0</v>
      </c>
      <c r="DR43" t="n">
        <v>0</v>
      </c>
      <c r="DS43" t="n">
        <v>0</v>
      </c>
      <c r="DT43" t="n">
        <v>0</v>
      </c>
      <c r="DU43" t="n">
        <v>0</v>
      </c>
      <c r="DV43" t="inlineStr">
        <is>
          <t>1,000 RGGI CO2 Allowances</t>
        </is>
      </c>
    </row>
    <row r="44">
      <c r="A44" t="inlineStr">
        <is>
          <t>CBL NATURE GLOBAL EMISSIONS - NEW YORK MERCANTILE EXCHANGE</t>
        </is>
      </c>
      <c r="B44" t="n">
        <v>230110</v>
      </c>
      <c r="C44" s="1" t="n">
        <v>44936</v>
      </c>
      <c r="D44" t="inlineStr">
        <is>
          <t>00665T</t>
        </is>
      </c>
      <c r="E44" t="inlineStr">
        <is>
          <t>NYME</t>
        </is>
      </c>
      <c r="F44" t="inlineStr">
        <is>
          <t>01</t>
        </is>
      </c>
      <c r="G44" t="inlineStr">
        <is>
          <t xml:space="preserve">006 </t>
        </is>
      </c>
      <c r="H44" t="n">
        <v>13672</v>
      </c>
      <c r="I44" s="17" t="n">
        <v>6702</v>
      </c>
      <c r="J44" s="17" t="n">
        <v>2944</v>
      </c>
      <c r="K44" t="n">
        <v>1627</v>
      </c>
      <c r="L44" t="n">
        <v>5185</v>
      </c>
      <c r="M44" t="n">
        <v>9010</v>
      </c>
      <c r="N44" t="n">
        <v>13514</v>
      </c>
      <c r="O44" t="n">
        <v>13581</v>
      </c>
      <c r="P44" t="n">
        <v>158</v>
      </c>
      <c r="Q44" t="n">
        <v>91</v>
      </c>
      <c r="R44" t="n">
        <v>13672</v>
      </c>
      <c r="S44" t="n">
        <v>6702</v>
      </c>
      <c r="T44" t="n">
        <v>2944</v>
      </c>
      <c r="U44" t="n">
        <v>1627</v>
      </c>
      <c r="V44" t="n">
        <v>5185</v>
      </c>
      <c r="W44" t="n">
        <v>9010</v>
      </c>
      <c r="X44" t="n">
        <v>13514</v>
      </c>
      <c r="Y44" t="n">
        <v>13581</v>
      </c>
      <c r="Z44" t="n">
        <v>158</v>
      </c>
      <c r="AA44" t="n">
        <v>91</v>
      </c>
      <c r="AB44" t="n">
        <v>0</v>
      </c>
      <c r="AC44" t="n">
        <v>0</v>
      </c>
      <c r="AD44" t="n">
        <v>0</v>
      </c>
      <c r="AE44" t="n">
        <v>0</v>
      </c>
      <c r="AF44" t="n">
        <v>0</v>
      </c>
      <c r="AG44" t="n">
        <v>0</v>
      </c>
      <c r="AH44" t="n">
        <v>0</v>
      </c>
      <c r="AI44" t="n">
        <v>0</v>
      </c>
      <c r="AJ44" t="n">
        <v>0</v>
      </c>
      <c r="AK44" t="n">
        <v>0</v>
      </c>
      <c r="AL44" t="n">
        <v>528</v>
      </c>
      <c r="AM44" t="n">
        <v>431</v>
      </c>
      <c r="AN44" t="n">
        <v>437</v>
      </c>
      <c r="AO44" t="n">
        <v>-64</v>
      </c>
      <c r="AP44" t="n">
        <v>136</v>
      </c>
      <c r="AQ44" t="n">
        <v>138</v>
      </c>
      <c r="AR44" t="n">
        <v>503</v>
      </c>
      <c r="AS44" t="n">
        <v>511</v>
      </c>
      <c r="AT44" t="n">
        <v>25</v>
      </c>
      <c r="AU44" t="n">
        <v>17</v>
      </c>
      <c r="AV44" t="n">
        <v>100</v>
      </c>
      <c r="AW44" t="n">
        <v>49</v>
      </c>
      <c r="AX44" t="n">
        <v>21.5</v>
      </c>
      <c r="AY44" t="n">
        <v>11.9</v>
      </c>
      <c r="AZ44" t="n">
        <v>37.9</v>
      </c>
      <c r="BA44" t="n">
        <v>65.90000000000001</v>
      </c>
      <c r="BB44" t="n">
        <v>98.8</v>
      </c>
      <c r="BC44" t="n">
        <v>99.3</v>
      </c>
      <c r="BD44" t="n">
        <v>1.2</v>
      </c>
      <c r="BE44" t="n">
        <v>0.7</v>
      </c>
      <c r="BF44" t="n">
        <v>100</v>
      </c>
      <c r="BG44" t="n">
        <v>49</v>
      </c>
      <c r="BH44" t="n">
        <v>21.5</v>
      </c>
      <c r="BI44" t="n">
        <v>11.9</v>
      </c>
      <c r="BJ44" t="n">
        <v>37.9</v>
      </c>
      <c r="BK44" t="n">
        <v>65.90000000000001</v>
      </c>
      <c r="BL44" t="n">
        <v>98.8</v>
      </c>
      <c r="BM44" t="n">
        <v>99.3</v>
      </c>
      <c r="BN44" t="n">
        <v>1.2</v>
      </c>
      <c r="BO44" t="n">
        <v>0.7</v>
      </c>
      <c r="BP44" t="n">
        <v>0</v>
      </c>
      <c r="BQ44" t="n">
        <v>0</v>
      </c>
      <c r="BR44" t="n">
        <v>0</v>
      </c>
      <c r="BS44" t="n">
        <v>0</v>
      </c>
      <c r="BT44" t="n">
        <v>0</v>
      </c>
      <c r="BU44" t="n">
        <v>0</v>
      </c>
      <c r="BV44" t="n">
        <v>0</v>
      </c>
      <c r="BW44" t="n">
        <v>0</v>
      </c>
      <c r="BX44" t="n">
        <v>0</v>
      </c>
      <c r="BY44" t="n">
        <v>0</v>
      </c>
      <c r="BZ44" t="n">
        <v>56</v>
      </c>
      <c r="CA44" t="n">
        <v>21</v>
      </c>
      <c r="CB44" t="n">
        <v>12</v>
      </c>
      <c r="CC44" t="n">
        <v>10</v>
      </c>
      <c r="CD44" t="n">
        <v>17</v>
      </c>
      <c r="CE44" t="n">
        <v>16</v>
      </c>
      <c r="CF44" t="n">
        <v>44</v>
      </c>
      <c r="CG44" t="n">
        <v>33</v>
      </c>
      <c r="CH44" t="n">
        <v>56</v>
      </c>
      <c r="CI44" t="n">
        <v>21</v>
      </c>
      <c r="CJ44" t="n">
        <v>12</v>
      </c>
      <c r="CK44" t="n">
        <v>10</v>
      </c>
      <c r="CL44" t="n">
        <v>17</v>
      </c>
      <c r="CM44" t="n">
        <v>16</v>
      </c>
      <c r="CN44" t="n">
        <v>44</v>
      </c>
      <c r="CO44" t="n">
        <v>33</v>
      </c>
      <c r="CP44" t="n">
        <v>0</v>
      </c>
      <c r="CQ44" t="n">
        <v>0</v>
      </c>
      <c r="CR44" t="n">
        <v>0</v>
      </c>
      <c r="CS44" t="n">
        <v>0</v>
      </c>
      <c r="CT44" t="n">
        <v>0</v>
      </c>
      <c r="CU44" t="n">
        <v>0</v>
      </c>
      <c r="CV44" t="n">
        <v>0</v>
      </c>
      <c r="CW44" t="n">
        <v>0</v>
      </c>
      <c r="CX44" t="n">
        <v>32.3</v>
      </c>
      <c r="CY44" t="n">
        <v>38.8</v>
      </c>
      <c r="CZ44" t="n">
        <v>51.7</v>
      </c>
      <c r="DA44" t="n">
        <v>59.9</v>
      </c>
      <c r="DB44" t="n">
        <v>32.3</v>
      </c>
      <c r="DC44" t="n">
        <v>32.2</v>
      </c>
      <c r="DD44" t="n">
        <v>47.3</v>
      </c>
      <c r="DE44" t="n">
        <v>48.9</v>
      </c>
      <c r="DF44" t="n">
        <v>32.3</v>
      </c>
      <c r="DG44" t="n">
        <v>38.8</v>
      </c>
      <c r="DH44" t="n">
        <v>51.7</v>
      </c>
      <c r="DI44" t="n">
        <v>59.9</v>
      </c>
      <c r="DJ44" t="n">
        <v>32.3</v>
      </c>
      <c r="DK44" t="n">
        <v>32.2</v>
      </c>
      <c r="DL44" t="n">
        <v>47.3</v>
      </c>
      <c r="DM44" t="n">
        <v>48.9</v>
      </c>
      <c r="DN44" t="n">
        <v>0</v>
      </c>
      <c r="DO44" t="n">
        <v>0</v>
      </c>
      <c r="DP44" t="n">
        <v>0</v>
      </c>
      <c r="DQ44" t="n">
        <v>0</v>
      </c>
      <c r="DR44" t="n">
        <v>0</v>
      </c>
      <c r="DS44" t="n">
        <v>0</v>
      </c>
      <c r="DT44" t="n">
        <v>0</v>
      </c>
      <c r="DU44" t="n">
        <v>0</v>
      </c>
      <c r="DV44" t="inlineStr">
        <is>
          <t>(CONTRACTS OF 1,000 ENVIRONMENTAL OFFSET</t>
        </is>
      </c>
    </row>
    <row r="45">
      <c r="A45" t="inlineStr">
        <is>
          <t>CBL NATURE GLOBAL EMISSIONS - NEW YORK MERCANTILE EXCHANGE</t>
        </is>
      </c>
      <c r="B45" t="n">
        <v>230103</v>
      </c>
      <c r="C45" s="1" t="n">
        <v>44929</v>
      </c>
      <c r="D45" t="inlineStr">
        <is>
          <t>00665T</t>
        </is>
      </c>
      <c r="E45" t="inlineStr">
        <is>
          <t>NYME</t>
        </is>
      </c>
      <c r="F45" t="inlineStr">
        <is>
          <t>01</t>
        </is>
      </c>
      <c r="G45" t="inlineStr">
        <is>
          <t xml:space="preserve">006 </t>
        </is>
      </c>
      <c r="H45" t="n">
        <v>13144</v>
      </c>
      <c r="I45" s="17" t="n">
        <v>6271</v>
      </c>
      <c r="J45" s="17" t="n">
        <v>2507</v>
      </c>
      <c r="K45" t="n">
        <v>1691</v>
      </c>
      <c r="L45" t="n">
        <v>5049</v>
      </c>
      <c r="M45" t="n">
        <v>8872</v>
      </c>
      <c r="N45" t="n">
        <v>13011</v>
      </c>
      <c r="O45" t="n">
        <v>13070</v>
      </c>
      <c r="P45" t="n">
        <v>133</v>
      </c>
      <c r="Q45" t="n">
        <v>74</v>
      </c>
      <c r="R45" t="n">
        <v>13144</v>
      </c>
      <c r="S45" t="n">
        <v>6271</v>
      </c>
      <c r="T45" t="n">
        <v>2507</v>
      </c>
      <c r="U45" t="n">
        <v>1691</v>
      </c>
      <c r="V45" t="n">
        <v>5049</v>
      </c>
      <c r="W45" t="n">
        <v>8872</v>
      </c>
      <c r="X45" t="n">
        <v>13011</v>
      </c>
      <c r="Y45" t="n">
        <v>13070</v>
      </c>
      <c r="Z45" t="n">
        <v>133</v>
      </c>
      <c r="AA45" t="n">
        <v>74</v>
      </c>
      <c r="AB45" t="n">
        <v>0</v>
      </c>
      <c r="AC45" t="n">
        <v>0</v>
      </c>
      <c r="AD45" t="n">
        <v>0</v>
      </c>
      <c r="AE45" t="n">
        <v>0</v>
      </c>
      <c r="AF45" t="n">
        <v>0</v>
      </c>
      <c r="AG45" t="n">
        <v>0</v>
      </c>
      <c r="AH45" t="n">
        <v>0</v>
      </c>
      <c r="AI45" t="n">
        <v>0</v>
      </c>
      <c r="AJ45" t="n">
        <v>0</v>
      </c>
      <c r="AK45" t="n">
        <v>0</v>
      </c>
      <c r="AL45" t="n">
        <v>-2987</v>
      </c>
      <c r="AM45" t="n">
        <v>-928</v>
      </c>
      <c r="AN45" t="n">
        <v>265</v>
      </c>
      <c r="AO45" t="n">
        <v>-1098</v>
      </c>
      <c r="AP45" t="n">
        <v>-944</v>
      </c>
      <c r="AQ45" t="n">
        <v>-2169</v>
      </c>
      <c r="AR45" t="n">
        <v>-2970</v>
      </c>
      <c r="AS45" t="n">
        <v>-3002</v>
      </c>
      <c r="AT45" t="n">
        <v>-17</v>
      </c>
      <c r="AU45" t="n">
        <v>15</v>
      </c>
      <c r="AV45" t="n">
        <v>100</v>
      </c>
      <c r="AW45" t="n">
        <v>47.7</v>
      </c>
      <c r="AX45" t="n">
        <v>19.1</v>
      </c>
      <c r="AY45" t="n">
        <v>12.9</v>
      </c>
      <c r="AZ45" t="n">
        <v>38.4</v>
      </c>
      <c r="BA45" t="n">
        <v>67.5</v>
      </c>
      <c r="BB45" t="n">
        <v>99</v>
      </c>
      <c r="BC45" t="n">
        <v>99.40000000000001</v>
      </c>
      <c r="BD45" t="n">
        <v>1</v>
      </c>
      <c r="BE45" t="n">
        <v>0.6</v>
      </c>
      <c r="BF45" t="n">
        <v>100</v>
      </c>
      <c r="BG45" t="n">
        <v>47.7</v>
      </c>
      <c r="BH45" t="n">
        <v>19.1</v>
      </c>
      <c r="BI45" t="n">
        <v>12.9</v>
      </c>
      <c r="BJ45" t="n">
        <v>38.4</v>
      </c>
      <c r="BK45" t="n">
        <v>67.5</v>
      </c>
      <c r="BL45" t="n">
        <v>99</v>
      </c>
      <c r="BM45" t="n">
        <v>99.40000000000001</v>
      </c>
      <c r="BN45" t="n">
        <v>1</v>
      </c>
      <c r="BO45" t="n">
        <v>0.6</v>
      </c>
      <c r="BP45" t="n">
        <v>0</v>
      </c>
      <c r="BQ45" t="n">
        <v>0</v>
      </c>
      <c r="BR45" t="n">
        <v>0</v>
      </c>
      <c r="BS45" t="n">
        <v>0</v>
      </c>
      <c r="BT45" t="n">
        <v>0</v>
      </c>
      <c r="BU45" t="n">
        <v>0</v>
      </c>
      <c r="BV45" t="n">
        <v>0</v>
      </c>
      <c r="BW45" t="n">
        <v>0</v>
      </c>
      <c r="BX45" t="n">
        <v>0</v>
      </c>
      <c r="BY45" t="n">
        <v>0</v>
      </c>
      <c r="BZ45" t="n">
        <v>55</v>
      </c>
      <c r="CA45" t="n">
        <v>21</v>
      </c>
      <c r="CB45" t="n">
        <v>12</v>
      </c>
      <c r="CC45" t="n">
        <v>7</v>
      </c>
      <c r="CD45" t="n">
        <v>16</v>
      </c>
      <c r="CE45" t="n">
        <v>17</v>
      </c>
      <c r="CF45" t="n">
        <v>41</v>
      </c>
      <c r="CG45" t="n">
        <v>32</v>
      </c>
      <c r="CH45" t="n">
        <v>55</v>
      </c>
      <c r="CI45" t="n">
        <v>21</v>
      </c>
      <c r="CJ45" t="n">
        <v>12</v>
      </c>
      <c r="CK45" t="n">
        <v>7</v>
      </c>
      <c r="CL45" t="n">
        <v>16</v>
      </c>
      <c r="CM45" t="n">
        <v>17</v>
      </c>
      <c r="CN45" t="n">
        <v>41</v>
      </c>
      <c r="CO45" t="n">
        <v>32</v>
      </c>
      <c r="CP45" t="n">
        <v>0</v>
      </c>
      <c r="CQ45" t="n">
        <v>0</v>
      </c>
      <c r="CR45" t="n">
        <v>0</v>
      </c>
      <c r="CS45" t="n">
        <v>0</v>
      </c>
      <c r="CT45" t="n">
        <v>0</v>
      </c>
      <c r="CU45" t="n">
        <v>0</v>
      </c>
      <c r="CV45" t="n">
        <v>0</v>
      </c>
      <c r="CW45" t="n">
        <v>0</v>
      </c>
      <c r="CX45" t="n">
        <v>33.9</v>
      </c>
      <c r="CY45" t="n">
        <v>37.6</v>
      </c>
      <c r="CZ45" t="n">
        <v>52.6</v>
      </c>
      <c r="DA45" t="n">
        <v>61</v>
      </c>
      <c r="DB45" t="n">
        <v>33.6</v>
      </c>
      <c r="DC45" t="n">
        <v>30.7</v>
      </c>
      <c r="DD45" t="n">
        <v>46.6</v>
      </c>
      <c r="DE45" t="n">
        <v>48.6</v>
      </c>
      <c r="DF45" t="n">
        <v>33.9</v>
      </c>
      <c r="DG45" t="n">
        <v>37.6</v>
      </c>
      <c r="DH45" t="n">
        <v>52.6</v>
      </c>
      <c r="DI45" t="n">
        <v>61</v>
      </c>
      <c r="DJ45" t="n">
        <v>33.6</v>
      </c>
      <c r="DK45" t="n">
        <v>30.7</v>
      </c>
      <c r="DL45" t="n">
        <v>46.6</v>
      </c>
      <c r="DM45" t="n">
        <v>48.6</v>
      </c>
      <c r="DN45" t="n">
        <v>0</v>
      </c>
      <c r="DO45" t="n">
        <v>0</v>
      </c>
      <c r="DP45" t="n">
        <v>0</v>
      </c>
      <c r="DQ45" t="n">
        <v>0</v>
      </c>
      <c r="DR45" t="n">
        <v>0</v>
      </c>
      <c r="DS45" t="n">
        <v>0</v>
      </c>
      <c r="DT45" t="n">
        <v>0</v>
      </c>
      <c r="DU45" t="n">
        <v>0</v>
      </c>
      <c r="DV45" t="inlineStr">
        <is>
          <t>(CONTRACTS OF 1,000 ENVIRONMENTAL OFFSET</t>
        </is>
      </c>
    </row>
    <row r="46">
      <c r="A46" t="inlineStr">
        <is>
          <t>TX GREEN-E REC V23 FRONT HALF - NODAL EXCHANGE</t>
        </is>
      </c>
      <c r="B46" t="n">
        <v>230110</v>
      </c>
      <c r="C46" s="1" t="n">
        <v>44936</v>
      </c>
      <c r="D46" t="inlineStr">
        <is>
          <t>006NFG</t>
        </is>
      </c>
      <c r="E46" t="inlineStr">
        <is>
          <t>NODX</t>
        </is>
      </c>
      <c r="F46" t="inlineStr">
        <is>
          <t>01</t>
        </is>
      </c>
      <c r="G46" t="inlineStr">
        <is>
          <t xml:space="preserve">006 </t>
        </is>
      </c>
      <c r="H46" t="n">
        <v>5671</v>
      </c>
      <c r="I46" s="17" t="n">
        <v>686</v>
      </c>
      <c r="J46" s="17" t="n">
        <v>1541</v>
      </c>
      <c r="K46" t="n">
        <v>0</v>
      </c>
      <c r="L46" t="n">
        <v>4968</v>
      </c>
      <c r="M46" t="n">
        <v>4118</v>
      </c>
      <c r="N46" t="n">
        <v>5654</v>
      </c>
      <c r="O46" t="n">
        <v>5659</v>
      </c>
      <c r="P46" t="n">
        <v>17</v>
      </c>
      <c r="Q46" t="n">
        <v>12</v>
      </c>
      <c r="R46" t="n">
        <v>5671</v>
      </c>
      <c r="S46" t="n">
        <v>686</v>
      </c>
      <c r="T46" t="n">
        <v>1541</v>
      </c>
      <c r="U46" t="n">
        <v>0</v>
      </c>
      <c r="V46" t="n">
        <v>4968</v>
      </c>
      <c r="W46" t="n">
        <v>4118</v>
      </c>
      <c r="X46" t="n">
        <v>5654</v>
      </c>
      <c r="Y46" t="n">
        <v>5659</v>
      </c>
      <c r="Z46" t="n">
        <v>17</v>
      </c>
      <c r="AA46" t="n">
        <v>12</v>
      </c>
      <c r="AB46" t="n">
        <v>0</v>
      </c>
      <c r="AC46" t="n">
        <v>0</v>
      </c>
      <c r="AD46" t="n">
        <v>0</v>
      </c>
      <c r="AE46" t="n">
        <v>0</v>
      </c>
      <c r="AF46" t="n">
        <v>0</v>
      </c>
      <c r="AG46" t="n">
        <v>0</v>
      </c>
      <c r="AH46" t="n">
        <v>0</v>
      </c>
      <c r="AI46" t="n">
        <v>0</v>
      </c>
      <c r="AJ46" t="n">
        <v>0</v>
      </c>
      <c r="AK46" t="n">
        <v>0</v>
      </c>
      <c r="AL46" t="n">
        <v>50</v>
      </c>
      <c r="AM46" t="n">
        <v>50</v>
      </c>
      <c r="AN46" t="n">
        <v>0</v>
      </c>
      <c r="AO46" t="n">
        <v>0</v>
      </c>
      <c r="AP46" t="n">
        <v>0</v>
      </c>
      <c r="AQ46" t="n">
        <v>50</v>
      </c>
      <c r="AR46" t="n">
        <v>50</v>
      </c>
      <c r="AS46" t="n">
        <v>50</v>
      </c>
      <c r="AT46" t="n">
        <v>0</v>
      </c>
      <c r="AU46" t="n">
        <v>0</v>
      </c>
      <c r="AV46" t="n">
        <v>100</v>
      </c>
      <c r="AW46" t="n">
        <v>12.1</v>
      </c>
      <c r="AX46" t="n">
        <v>27.2</v>
      </c>
      <c r="AY46" t="n">
        <v>0</v>
      </c>
      <c r="AZ46" t="n">
        <v>87.59999999999999</v>
      </c>
      <c r="BA46" t="n">
        <v>72.59999999999999</v>
      </c>
      <c r="BB46" t="n">
        <v>99.7</v>
      </c>
      <c r="BC46" t="n">
        <v>99.8</v>
      </c>
      <c r="BD46" t="n">
        <v>0.3</v>
      </c>
      <c r="BE46" t="n">
        <v>0.2</v>
      </c>
      <c r="BF46" t="n">
        <v>100</v>
      </c>
      <c r="BG46" t="n">
        <v>12.1</v>
      </c>
      <c r="BH46" t="n">
        <v>27.2</v>
      </c>
      <c r="BI46" t="n">
        <v>0</v>
      </c>
      <c r="BJ46" t="n">
        <v>87.59999999999999</v>
      </c>
      <c r="BK46" t="n">
        <v>72.59999999999999</v>
      </c>
      <c r="BL46" t="n">
        <v>99.7</v>
      </c>
      <c r="BM46" t="n">
        <v>99.8</v>
      </c>
      <c r="BN46" t="n">
        <v>0.3</v>
      </c>
      <c r="BO46" t="n">
        <v>0.2</v>
      </c>
      <c r="BP46" t="n">
        <v>0</v>
      </c>
      <c r="BQ46" t="n">
        <v>0</v>
      </c>
      <c r="BR46" t="n">
        <v>0</v>
      </c>
      <c r="BS46" t="n">
        <v>0</v>
      </c>
      <c r="BT46" t="n">
        <v>0</v>
      </c>
      <c r="BU46" t="n">
        <v>0</v>
      </c>
      <c r="BV46" t="n">
        <v>0</v>
      </c>
      <c r="BW46" t="n">
        <v>0</v>
      </c>
      <c r="BX46" t="n">
        <v>0</v>
      </c>
      <c r="BY46" t="n">
        <v>0</v>
      </c>
      <c r="BZ46" t="n">
        <v>28</v>
      </c>
      <c r="CA46" t="n">
        <v>5</v>
      </c>
      <c r="CB46" t="n">
        <v>6</v>
      </c>
      <c r="CC46" t="n">
        <v>0</v>
      </c>
      <c r="CD46" t="n">
        <v>10</v>
      </c>
      <c r="CE46" t="n">
        <v>9</v>
      </c>
      <c r="CF46" t="n">
        <v>15</v>
      </c>
      <c r="CG46" t="n">
        <v>15</v>
      </c>
      <c r="CH46" t="n">
        <v>28</v>
      </c>
      <c r="CI46" t="n">
        <v>5</v>
      </c>
      <c r="CJ46" t="n">
        <v>6</v>
      </c>
      <c r="CK46" t="n">
        <v>0</v>
      </c>
      <c r="CL46" t="n">
        <v>10</v>
      </c>
      <c r="CM46" t="n">
        <v>9</v>
      </c>
      <c r="CN46" t="n">
        <v>15</v>
      </c>
      <c r="CO46" t="n">
        <v>15</v>
      </c>
      <c r="CP46" t="n">
        <v>0</v>
      </c>
      <c r="CQ46" t="n">
        <v>0</v>
      </c>
      <c r="CR46" t="n">
        <v>0</v>
      </c>
      <c r="CS46" t="n">
        <v>0</v>
      </c>
      <c r="CT46" t="n">
        <v>0</v>
      </c>
      <c r="CU46" t="n">
        <v>0</v>
      </c>
      <c r="CV46" t="n">
        <v>0</v>
      </c>
      <c r="CW46" t="n">
        <v>0</v>
      </c>
      <c r="CX46" t="n">
        <v>58.3</v>
      </c>
      <c r="CY46" t="n">
        <v>68.40000000000001</v>
      </c>
      <c r="CZ46" t="n">
        <v>86.2</v>
      </c>
      <c r="DA46" t="n">
        <v>86.3</v>
      </c>
      <c r="DB46" t="n">
        <v>55.6</v>
      </c>
      <c r="DC46" t="n">
        <v>68.40000000000001</v>
      </c>
      <c r="DD46" t="n">
        <v>83.40000000000001</v>
      </c>
      <c r="DE46" t="n">
        <v>86.3</v>
      </c>
      <c r="DF46" t="n">
        <v>58.3</v>
      </c>
      <c r="DG46" t="n">
        <v>68.40000000000001</v>
      </c>
      <c r="DH46" t="n">
        <v>86.2</v>
      </c>
      <c r="DI46" t="n">
        <v>86.3</v>
      </c>
      <c r="DJ46" t="n">
        <v>55.6</v>
      </c>
      <c r="DK46" t="n">
        <v>68.40000000000001</v>
      </c>
      <c r="DL46" t="n">
        <v>83.40000000000001</v>
      </c>
      <c r="DM46" t="n">
        <v>86.3</v>
      </c>
      <c r="DN46" t="n">
        <v>0</v>
      </c>
      <c r="DO46" t="n">
        <v>0</v>
      </c>
      <c r="DP46" t="n">
        <v>0</v>
      </c>
      <c r="DQ46" t="n">
        <v>0</v>
      </c>
      <c r="DR46" t="n">
        <v>0</v>
      </c>
      <c r="DS46" t="n">
        <v>0</v>
      </c>
      <c r="DT46" t="n">
        <v>0</v>
      </c>
      <c r="DU46" t="n">
        <v>0</v>
      </c>
      <c r="DV46" t="inlineStr">
        <is>
          <t>1000 Texas Green-e RECs</t>
        </is>
      </c>
    </row>
    <row r="47">
      <c r="A47" t="inlineStr">
        <is>
          <t>TX GREEN-E REC V23 FRONT HALF - NODAL EXCHANGE</t>
        </is>
      </c>
      <c r="B47" t="n">
        <v>230103</v>
      </c>
      <c r="C47" s="1" t="n">
        <v>44929</v>
      </c>
      <c r="D47" t="inlineStr">
        <is>
          <t>006NFG</t>
        </is>
      </c>
      <c r="E47" t="inlineStr">
        <is>
          <t>NODX</t>
        </is>
      </c>
      <c r="F47" t="inlineStr">
        <is>
          <t>01</t>
        </is>
      </c>
      <c r="G47" t="inlineStr">
        <is>
          <t xml:space="preserve">006 </t>
        </is>
      </c>
      <c r="H47" t="n">
        <v>5621</v>
      </c>
      <c r="I47" s="17" t="n">
        <v>636</v>
      </c>
      <c r="J47" s="17" t="n">
        <v>1541</v>
      </c>
      <c r="K47" t="n">
        <v>0</v>
      </c>
      <c r="L47" t="n">
        <v>4968</v>
      </c>
      <c r="M47" t="n">
        <v>4068</v>
      </c>
      <c r="N47" t="n">
        <v>5604</v>
      </c>
      <c r="O47" t="n">
        <v>5609</v>
      </c>
      <c r="P47" t="n">
        <v>17</v>
      </c>
      <c r="Q47" t="n">
        <v>12</v>
      </c>
      <c r="R47" t="n">
        <v>5621</v>
      </c>
      <c r="S47" t="n">
        <v>636</v>
      </c>
      <c r="T47" t="n">
        <v>1541</v>
      </c>
      <c r="U47" t="n">
        <v>0</v>
      </c>
      <c r="V47" t="n">
        <v>4968</v>
      </c>
      <c r="W47" t="n">
        <v>4068</v>
      </c>
      <c r="X47" t="n">
        <v>5604</v>
      </c>
      <c r="Y47" t="n">
        <v>5609</v>
      </c>
      <c r="Z47" t="n">
        <v>17</v>
      </c>
      <c r="AA47" t="n">
        <v>12</v>
      </c>
      <c r="AB47" t="n">
        <v>0</v>
      </c>
      <c r="AC47" t="n">
        <v>0</v>
      </c>
      <c r="AD47" t="n">
        <v>0</v>
      </c>
      <c r="AE47" t="n">
        <v>0</v>
      </c>
      <c r="AF47" t="n">
        <v>0</v>
      </c>
      <c r="AG47" t="n">
        <v>0</v>
      </c>
      <c r="AH47" t="n">
        <v>0</v>
      </c>
      <c r="AI47" t="n">
        <v>0</v>
      </c>
      <c r="AJ47" t="n">
        <v>0</v>
      </c>
      <c r="AK47" t="n">
        <v>0</v>
      </c>
      <c r="AL47" t="n">
        <v>71</v>
      </c>
      <c r="AM47" t="n">
        <v>0</v>
      </c>
      <c r="AN47" t="n">
        <v>0</v>
      </c>
      <c r="AO47" t="n">
        <v>0</v>
      </c>
      <c r="AP47" t="n">
        <v>71</v>
      </c>
      <c r="AQ47" t="n">
        <v>71</v>
      </c>
      <c r="AR47" t="n">
        <v>71</v>
      </c>
      <c r="AS47" t="n">
        <v>71</v>
      </c>
      <c r="AT47" t="n">
        <v>0</v>
      </c>
      <c r="AU47" t="n">
        <v>0</v>
      </c>
      <c r="AV47" t="n">
        <v>100</v>
      </c>
      <c r="AW47" t="n">
        <v>11.3</v>
      </c>
      <c r="AX47" t="n">
        <v>27.4</v>
      </c>
      <c r="AY47" t="n">
        <v>0</v>
      </c>
      <c r="AZ47" t="n">
        <v>88.40000000000001</v>
      </c>
      <c r="BA47" t="n">
        <v>72.40000000000001</v>
      </c>
      <c r="BB47" t="n">
        <v>99.7</v>
      </c>
      <c r="BC47" t="n">
        <v>99.8</v>
      </c>
      <c r="BD47" t="n">
        <v>0.3</v>
      </c>
      <c r="BE47" t="n">
        <v>0.2</v>
      </c>
      <c r="BF47" t="n">
        <v>100</v>
      </c>
      <c r="BG47" t="n">
        <v>11.3</v>
      </c>
      <c r="BH47" t="n">
        <v>27.4</v>
      </c>
      <c r="BI47" t="n">
        <v>0</v>
      </c>
      <c r="BJ47" t="n">
        <v>88.40000000000001</v>
      </c>
      <c r="BK47" t="n">
        <v>72.40000000000001</v>
      </c>
      <c r="BL47" t="n">
        <v>99.7</v>
      </c>
      <c r="BM47" t="n">
        <v>99.8</v>
      </c>
      <c r="BN47" t="n">
        <v>0.3</v>
      </c>
      <c r="BO47" t="n">
        <v>0.2</v>
      </c>
      <c r="BP47" t="n">
        <v>0</v>
      </c>
      <c r="BQ47" t="n">
        <v>0</v>
      </c>
      <c r="BR47" t="n">
        <v>0</v>
      </c>
      <c r="BS47" t="n">
        <v>0</v>
      </c>
      <c r="BT47" t="n">
        <v>0</v>
      </c>
      <c r="BU47" t="n">
        <v>0</v>
      </c>
      <c r="BV47" t="n">
        <v>0</v>
      </c>
      <c r="BW47" t="n">
        <v>0</v>
      </c>
      <c r="BX47" t="n">
        <v>0</v>
      </c>
      <c r="BY47" t="n">
        <v>0</v>
      </c>
      <c r="BZ47" t="n">
        <v>29</v>
      </c>
      <c r="CA47" t="n">
        <v>5</v>
      </c>
      <c r="CB47" t="n">
        <v>6</v>
      </c>
      <c r="CC47" t="n">
        <v>0</v>
      </c>
      <c r="CD47" t="n">
        <v>10</v>
      </c>
      <c r="CE47" t="n">
        <v>10</v>
      </c>
      <c r="CF47" t="n">
        <v>15</v>
      </c>
      <c r="CG47" t="n">
        <v>16</v>
      </c>
      <c r="CH47" t="n">
        <v>29</v>
      </c>
      <c r="CI47" t="n">
        <v>5</v>
      </c>
      <c r="CJ47" t="n">
        <v>6</v>
      </c>
      <c r="CK47" t="n">
        <v>0</v>
      </c>
      <c r="CL47" t="n">
        <v>10</v>
      </c>
      <c r="CM47" t="n">
        <v>10</v>
      </c>
      <c r="CN47" t="n">
        <v>15</v>
      </c>
      <c r="CO47" t="n">
        <v>16</v>
      </c>
      <c r="CP47" t="n">
        <v>0</v>
      </c>
      <c r="CQ47" t="n">
        <v>0</v>
      </c>
      <c r="CR47" t="n">
        <v>0</v>
      </c>
      <c r="CS47" t="n">
        <v>0</v>
      </c>
      <c r="CT47" t="n">
        <v>0</v>
      </c>
      <c r="CU47" t="n">
        <v>0</v>
      </c>
      <c r="CV47" t="n">
        <v>0</v>
      </c>
      <c r="CW47" t="n">
        <v>0</v>
      </c>
      <c r="CX47" t="n">
        <v>58.8</v>
      </c>
      <c r="CY47" t="n">
        <v>69</v>
      </c>
      <c r="CZ47" t="n">
        <v>87</v>
      </c>
      <c r="DA47" t="n">
        <v>86.59999999999999</v>
      </c>
      <c r="DB47" t="n">
        <v>56.1</v>
      </c>
      <c r="DC47" t="n">
        <v>69</v>
      </c>
      <c r="DD47" t="n">
        <v>84.09999999999999</v>
      </c>
      <c r="DE47" t="n">
        <v>86.59999999999999</v>
      </c>
      <c r="DF47" t="n">
        <v>58.8</v>
      </c>
      <c r="DG47" t="n">
        <v>69</v>
      </c>
      <c r="DH47" t="n">
        <v>87</v>
      </c>
      <c r="DI47" t="n">
        <v>86.59999999999999</v>
      </c>
      <c r="DJ47" t="n">
        <v>56.1</v>
      </c>
      <c r="DK47" t="n">
        <v>69</v>
      </c>
      <c r="DL47" t="n">
        <v>84.09999999999999</v>
      </c>
      <c r="DM47" t="n">
        <v>86.59999999999999</v>
      </c>
      <c r="DN47" t="n">
        <v>0</v>
      </c>
      <c r="DO47" t="n">
        <v>0</v>
      </c>
      <c r="DP47" t="n">
        <v>0</v>
      </c>
      <c r="DQ47" t="n">
        <v>0</v>
      </c>
      <c r="DR47" t="n">
        <v>0</v>
      </c>
      <c r="DS47" t="n">
        <v>0</v>
      </c>
      <c r="DT47" t="n">
        <v>0</v>
      </c>
      <c r="DU47" t="n">
        <v>0</v>
      </c>
      <c r="DV47" t="inlineStr">
        <is>
          <t>1000 Texas Green-e RECs</t>
        </is>
      </c>
    </row>
    <row r="48">
      <c r="A48" t="inlineStr">
        <is>
          <t>TX GREEN-E REC V24 FRONT HALF - NODAL EXCHANGE</t>
        </is>
      </c>
      <c r="B48" t="n">
        <v>230110</v>
      </c>
      <c r="C48" s="1" t="n">
        <v>44936</v>
      </c>
      <c r="D48" t="inlineStr">
        <is>
          <t>006NFH</t>
        </is>
      </c>
      <c r="E48" t="inlineStr">
        <is>
          <t>NODX</t>
        </is>
      </c>
      <c r="F48" t="inlineStr">
        <is>
          <t>01</t>
        </is>
      </c>
      <c r="G48" t="inlineStr">
        <is>
          <t xml:space="preserve">006 </t>
        </is>
      </c>
      <c r="H48" t="n">
        <v>5822</v>
      </c>
      <c r="I48" s="17" t="n">
        <v>595</v>
      </c>
      <c r="J48" s="17" t="n">
        <v>1028</v>
      </c>
      <c r="K48" t="n">
        <v>0</v>
      </c>
      <c r="L48" t="n">
        <v>4958</v>
      </c>
      <c r="M48" t="n">
        <v>4562</v>
      </c>
      <c r="N48" t="n">
        <v>5553</v>
      </c>
      <c r="O48" t="n">
        <v>5590</v>
      </c>
      <c r="P48" t="n">
        <v>269</v>
      </c>
      <c r="Q48" t="n">
        <v>232</v>
      </c>
      <c r="R48" t="n">
        <v>5822</v>
      </c>
      <c r="S48" t="n">
        <v>595</v>
      </c>
      <c r="T48" t="n">
        <v>1028</v>
      </c>
      <c r="U48" t="n">
        <v>0</v>
      </c>
      <c r="V48" t="n">
        <v>4958</v>
      </c>
      <c r="W48" t="n">
        <v>4562</v>
      </c>
      <c r="X48" t="n">
        <v>5553</v>
      </c>
      <c r="Y48" t="n">
        <v>5590</v>
      </c>
      <c r="Z48" t="n">
        <v>269</v>
      </c>
      <c r="AA48" t="n">
        <v>232</v>
      </c>
      <c r="AB48" t="n">
        <v>0</v>
      </c>
      <c r="AC48" t="n">
        <v>0</v>
      </c>
      <c r="AD48" t="n">
        <v>0</v>
      </c>
      <c r="AE48" t="n">
        <v>0</v>
      </c>
      <c r="AF48" t="n">
        <v>0</v>
      </c>
      <c r="AG48" t="n">
        <v>0</v>
      </c>
      <c r="AH48" t="n">
        <v>0</v>
      </c>
      <c r="AI48" t="n">
        <v>0</v>
      </c>
      <c r="AJ48" t="n">
        <v>0</v>
      </c>
      <c r="AK48" t="n">
        <v>0</v>
      </c>
      <c r="AL48" t="n">
        <v>57</v>
      </c>
      <c r="AM48" t="n">
        <v>50</v>
      </c>
      <c r="AN48" t="n">
        <v>0</v>
      </c>
      <c r="AO48" t="n">
        <v>0</v>
      </c>
      <c r="AP48" t="n">
        <v>-13</v>
      </c>
      <c r="AQ48" t="n">
        <v>58</v>
      </c>
      <c r="AR48" t="n">
        <v>37</v>
      </c>
      <c r="AS48" t="n">
        <v>58</v>
      </c>
      <c r="AT48" t="n">
        <v>20</v>
      </c>
      <c r="AU48" t="n">
        <v>-1</v>
      </c>
      <c r="AV48" t="n">
        <v>100</v>
      </c>
      <c r="AW48" t="n">
        <v>10.2</v>
      </c>
      <c r="AX48" t="n">
        <v>17.7</v>
      </c>
      <c r="AY48" t="n">
        <v>0</v>
      </c>
      <c r="AZ48" t="n">
        <v>85.2</v>
      </c>
      <c r="BA48" t="n">
        <v>78.40000000000001</v>
      </c>
      <c r="BB48" t="n">
        <v>95.40000000000001</v>
      </c>
      <c r="BC48" t="n">
        <v>96</v>
      </c>
      <c r="BD48" t="n">
        <v>4.6</v>
      </c>
      <c r="BE48" t="n">
        <v>4</v>
      </c>
      <c r="BF48" t="n">
        <v>100</v>
      </c>
      <c r="BG48" t="n">
        <v>10.2</v>
      </c>
      <c r="BH48" t="n">
        <v>17.7</v>
      </c>
      <c r="BI48" t="n">
        <v>0</v>
      </c>
      <c r="BJ48" t="n">
        <v>85.2</v>
      </c>
      <c r="BK48" t="n">
        <v>78.40000000000001</v>
      </c>
      <c r="BL48" t="n">
        <v>95.40000000000001</v>
      </c>
      <c r="BM48" t="n">
        <v>96</v>
      </c>
      <c r="BN48" t="n">
        <v>4.6</v>
      </c>
      <c r="BO48" t="n">
        <v>4</v>
      </c>
      <c r="BP48" t="n">
        <v>0</v>
      </c>
      <c r="BQ48" t="n">
        <v>0</v>
      </c>
      <c r="BR48" t="n">
        <v>0</v>
      </c>
      <c r="BS48" t="n">
        <v>0</v>
      </c>
      <c r="BT48" t="n">
        <v>0</v>
      </c>
      <c r="BU48" t="n">
        <v>0</v>
      </c>
      <c r="BV48" t="n">
        <v>0</v>
      </c>
      <c r="BW48" t="n">
        <v>0</v>
      </c>
      <c r="BX48" t="n">
        <v>0</v>
      </c>
      <c r="BY48" t="n">
        <v>0</v>
      </c>
      <c r="BZ48" t="n">
        <v>31</v>
      </c>
      <c r="CA48" t="n">
        <v>5</v>
      </c>
      <c r="CB48" t="n">
        <v>7</v>
      </c>
      <c r="CC48" t="n">
        <v>0</v>
      </c>
      <c r="CD48" t="n">
        <v>10</v>
      </c>
      <c r="CE48" t="n">
        <v>11</v>
      </c>
      <c r="CF48" t="n">
        <v>15</v>
      </c>
      <c r="CG48" t="n">
        <v>18</v>
      </c>
      <c r="CH48" t="n">
        <v>31</v>
      </c>
      <c r="CI48" t="n">
        <v>5</v>
      </c>
      <c r="CJ48" t="n">
        <v>7</v>
      </c>
      <c r="CK48" t="n">
        <v>0</v>
      </c>
      <c r="CL48" t="n">
        <v>10</v>
      </c>
      <c r="CM48" t="n">
        <v>11</v>
      </c>
      <c r="CN48" t="n">
        <v>15</v>
      </c>
      <c r="CO48" t="n">
        <v>18</v>
      </c>
      <c r="CP48" t="n">
        <v>0</v>
      </c>
      <c r="CQ48" t="n">
        <v>0</v>
      </c>
      <c r="CR48" t="n">
        <v>0</v>
      </c>
      <c r="CS48" t="n">
        <v>0</v>
      </c>
      <c r="CT48" t="n">
        <v>0</v>
      </c>
      <c r="CU48" t="n">
        <v>0</v>
      </c>
      <c r="CV48" t="n">
        <v>0</v>
      </c>
      <c r="CW48" t="n">
        <v>0</v>
      </c>
      <c r="CX48" t="n">
        <v>72</v>
      </c>
      <c r="CY48" t="n">
        <v>63.2</v>
      </c>
      <c r="CZ48" t="n">
        <v>86.8</v>
      </c>
      <c r="DA48" t="n">
        <v>79.5</v>
      </c>
      <c r="DB48" t="n">
        <v>69.40000000000001</v>
      </c>
      <c r="DC48" t="n">
        <v>63.2</v>
      </c>
      <c r="DD48" t="n">
        <v>83.5</v>
      </c>
      <c r="DE48" t="n">
        <v>79.5</v>
      </c>
      <c r="DF48" t="n">
        <v>72</v>
      </c>
      <c r="DG48" t="n">
        <v>63.2</v>
      </c>
      <c r="DH48" t="n">
        <v>86.8</v>
      </c>
      <c r="DI48" t="n">
        <v>79.5</v>
      </c>
      <c r="DJ48" t="n">
        <v>69.40000000000001</v>
      </c>
      <c r="DK48" t="n">
        <v>63.2</v>
      </c>
      <c r="DL48" t="n">
        <v>83.5</v>
      </c>
      <c r="DM48" t="n">
        <v>79.5</v>
      </c>
      <c r="DN48" t="n">
        <v>0</v>
      </c>
      <c r="DO48" t="n">
        <v>0</v>
      </c>
      <c r="DP48" t="n">
        <v>0</v>
      </c>
      <c r="DQ48" t="n">
        <v>0</v>
      </c>
      <c r="DR48" t="n">
        <v>0</v>
      </c>
      <c r="DS48" t="n">
        <v>0</v>
      </c>
      <c r="DT48" t="n">
        <v>0</v>
      </c>
      <c r="DU48" t="n">
        <v>0</v>
      </c>
      <c r="DV48" t="inlineStr">
        <is>
          <t>1000 Texas Green-e RECs</t>
        </is>
      </c>
    </row>
    <row r="49">
      <c r="A49" t="inlineStr">
        <is>
          <t>TX GREEN-E REC V24 FRONT HALF - NODAL EXCHANGE</t>
        </is>
      </c>
      <c r="B49" t="n">
        <v>230103</v>
      </c>
      <c r="C49" s="1" t="n">
        <v>44929</v>
      </c>
      <c r="D49" t="inlineStr">
        <is>
          <t>006NFH</t>
        </is>
      </c>
      <c r="E49" t="inlineStr">
        <is>
          <t>NODX</t>
        </is>
      </c>
      <c r="F49" t="inlineStr">
        <is>
          <t>01</t>
        </is>
      </c>
      <c r="G49" t="inlineStr">
        <is>
          <t xml:space="preserve">006 </t>
        </is>
      </c>
      <c r="H49" t="n">
        <v>5765</v>
      </c>
      <c r="I49" s="17" t="n">
        <v>545</v>
      </c>
      <c r="J49" s="17" t="n">
        <v>1028</v>
      </c>
      <c r="K49" t="n">
        <v>0</v>
      </c>
      <c r="L49" t="n">
        <v>4971</v>
      </c>
      <c r="M49" t="n">
        <v>4504</v>
      </c>
      <c r="N49" t="n">
        <v>5516</v>
      </c>
      <c r="O49" t="n">
        <v>5532</v>
      </c>
      <c r="P49" t="n">
        <v>249</v>
      </c>
      <c r="Q49" t="n">
        <v>233</v>
      </c>
      <c r="R49" t="n">
        <v>5765</v>
      </c>
      <c r="S49" t="n">
        <v>545</v>
      </c>
      <c r="T49" t="n">
        <v>1028</v>
      </c>
      <c r="U49" t="n">
        <v>0</v>
      </c>
      <c r="V49" t="n">
        <v>4971</v>
      </c>
      <c r="W49" t="n">
        <v>4504</v>
      </c>
      <c r="X49" t="n">
        <v>5516</v>
      </c>
      <c r="Y49" t="n">
        <v>5532</v>
      </c>
      <c r="Z49" t="n">
        <v>249</v>
      </c>
      <c r="AA49" t="n">
        <v>233</v>
      </c>
      <c r="AB49" t="n">
        <v>0</v>
      </c>
      <c r="AC49" t="n">
        <v>0</v>
      </c>
      <c r="AD49" t="n">
        <v>0</v>
      </c>
      <c r="AE49" t="n">
        <v>0</v>
      </c>
      <c r="AF49" t="n">
        <v>0</v>
      </c>
      <c r="AG49" t="n">
        <v>0</v>
      </c>
      <c r="AH49" t="n">
        <v>0</v>
      </c>
      <c r="AI49" t="n">
        <v>0</v>
      </c>
      <c r="AJ49" t="n">
        <v>0</v>
      </c>
      <c r="AK49" t="n">
        <v>0</v>
      </c>
      <c r="AL49" t="n">
        <v>10</v>
      </c>
      <c r="AM49" t="n">
        <v>0</v>
      </c>
      <c r="AN49" t="n">
        <v>0</v>
      </c>
      <c r="AO49" t="n">
        <v>0</v>
      </c>
      <c r="AP49" t="n">
        <v>10</v>
      </c>
      <c r="AQ49" t="n">
        <v>10</v>
      </c>
      <c r="AR49" t="n">
        <v>10</v>
      </c>
      <c r="AS49" t="n">
        <v>10</v>
      </c>
      <c r="AT49" t="n">
        <v>0</v>
      </c>
      <c r="AU49" t="n">
        <v>0</v>
      </c>
      <c r="AV49" t="n">
        <v>100</v>
      </c>
      <c r="AW49" t="n">
        <v>9.5</v>
      </c>
      <c r="AX49" t="n">
        <v>17.8</v>
      </c>
      <c r="AY49" t="n">
        <v>0</v>
      </c>
      <c r="AZ49" t="n">
        <v>86.2</v>
      </c>
      <c r="BA49" t="n">
        <v>78.09999999999999</v>
      </c>
      <c r="BB49" t="n">
        <v>95.7</v>
      </c>
      <c r="BC49" t="n">
        <v>96</v>
      </c>
      <c r="BD49" t="n">
        <v>4.3</v>
      </c>
      <c r="BE49" t="n">
        <v>4</v>
      </c>
      <c r="BF49" t="n">
        <v>100</v>
      </c>
      <c r="BG49" t="n">
        <v>9.5</v>
      </c>
      <c r="BH49" t="n">
        <v>17.8</v>
      </c>
      <c r="BI49" t="n">
        <v>0</v>
      </c>
      <c r="BJ49" t="n">
        <v>86.2</v>
      </c>
      <c r="BK49" t="n">
        <v>78.09999999999999</v>
      </c>
      <c r="BL49" t="n">
        <v>95.7</v>
      </c>
      <c r="BM49" t="n">
        <v>96</v>
      </c>
      <c r="BN49" t="n">
        <v>4.3</v>
      </c>
      <c r="BO49" t="n">
        <v>4</v>
      </c>
      <c r="BP49" t="n">
        <v>0</v>
      </c>
      <c r="BQ49" t="n">
        <v>0</v>
      </c>
      <c r="BR49" t="n">
        <v>0</v>
      </c>
      <c r="BS49" t="n">
        <v>0</v>
      </c>
      <c r="BT49" t="n">
        <v>0</v>
      </c>
      <c r="BU49" t="n">
        <v>0</v>
      </c>
      <c r="BV49" t="n">
        <v>0</v>
      </c>
      <c r="BW49" t="n">
        <v>0</v>
      </c>
      <c r="BX49" t="n">
        <v>0</v>
      </c>
      <c r="BY49" t="n">
        <v>0</v>
      </c>
      <c r="BZ49" t="n">
        <v>30</v>
      </c>
      <c r="CA49" t="n">
        <v>5</v>
      </c>
      <c r="CB49" t="n">
        <v>7</v>
      </c>
      <c r="CC49" t="n">
        <v>0</v>
      </c>
      <c r="CD49" t="n">
        <v>10</v>
      </c>
      <c r="CE49" t="n">
        <v>10</v>
      </c>
      <c r="CF49" t="n">
        <v>15</v>
      </c>
      <c r="CG49" t="n">
        <v>17</v>
      </c>
      <c r="CH49" t="n">
        <v>30</v>
      </c>
      <c r="CI49" t="n">
        <v>5</v>
      </c>
      <c r="CJ49" t="n">
        <v>7</v>
      </c>
      <c r="CK49" t="n">
        <v>0</v>
      </c>
      <c r="CL49" t="n">
        <v>10</v>
      </c>
      <c r="CM49" t="n">
        <v>10</v>
      </c>
      <c r="CN49" t="n">
        <v>15</v>
      </c>
      <c r="CO49" t="n">
        <v>17</v>
      </c>
      <c r="CP49" t="n">
        <v>0</v>
      </c>
      <c r="CQ49" t="n">
        <v>0</v>
      </c>
      <c r="CR49" t="n">
        <v>0</v>
      </c>
      <c r="CS49" t="n">
        <v>0</v>
      </c>
      <c r="CT49" t="n">
        <v>0</v>
      </c>
      <c r="CU49" t="n">
        <v>0</v>
      </c>
      <c r="CV49" t="n">
        <v>0</v>
      </c>
      <c r="CW49" t="n">
        <v>0</v>
      </c>
      <c r="CX49" t="n">
        <v>72.7</v>
      </c>
      <c r="CY49" t="n">
        <v>68</v>
      </c>
      <c r="CZ49" t="n">
        <v>87</v>
      </c>
      <c r="DA49" t="n">
        <v>81.90000000000001</v>
      </c>
      <c r="DB49" t="n">
        <v>70.09999999999999</v>
      </c>
      <c r="DC49" t="n">
        <v>68</v>
      </c>
      <c r="DD49" t="n">
        <v>84.40000000000001</v>
      </c>
      <c r="DE49" t="n">
        <v>81.90000000000001</v>
      </c>
      <c r="DF49" t="n">
        <v>72.7</v>
      </c>
      <c r="DG49" t="n">
        <v>68</v>
      </c>
      <c r="DH49" t="n">
        <v>87</v>
      </c>
      <c r="DI49" t="n">
        <v>81.90000000000001</v>
      </c>
      <c r="DJ49" t="n">
        <v>70.09999999999999</v>
      </c>
      <c r="DK49" t="n">
        <v>68</v>
      </c>
      <c r="DL49" t="n">
        <v>84.40000000000001</v>
      </c>
      <c r="DM49" t="n">
        <v>81.90000000000001</v>
      </c>
      <c r="DN49" t="n">
        <v>0</v>
      </c>
      <c r="DO49" t="n">
        <v>0</v>
      </c>
      <c r="DP49" t="n">
        <v>0</v>
      </c>
      <c r="DQ49" t="n">
        <v>0</v>
      </c>
      <c r="DR49" t="n">
        <v>0</v>
      </c>
      <c r="DS49" t="n">
        <v>0</v>
      </c>
      <c r="DT49" t="n">
        <v>0</v>
      </c>
      <c r="DU49" t="n">
        <v>0</v>
      </c>
      <c r="DV49" t="inlineStr">
        <is>
          <t>1000 Texas Green-e RECs</t>
        </is>
      </c>
    </row>
    <row r="50">
      <c r="A50" t="inlineStr">
        <is>
          <t>TX GREEN-E REC V25 FRONT HALF - NODAL EXCHANGE</t>
        </is>
      </c>
      <c r="B50" t="n">
        <v>230110</v>
      </c>
      <c r="C50" s="1" t="n">
        <v>44936</v>
      </c>
      <c r="D50" t="inlineStr">
        <is>
          <t>006NFJ</t>
        </is>
      </c>
      <c r="E50" t="inlineStr">
        <is>
          <t>NODX</t>
        </is>
      </c>
      <c r="F50" t="inlineStr">
        <is>
          <t>01</t>
        </is>
      </c>
      <c r="G50" t="inlineStr">
        <is>
          <t xml:space="preserve">006 </t>
        </is>
      </c>
      <c r="H50" t="n">
        <v>3787</v>
      </c>
      <c r="I50" s="17" t="n">
        <v>472</v>
      </c>
      <c r="J50" s="17" t="n">
        <v>1045</v>
      </c>
      <c r="K50" t="n">
        <v>75</v>
      </c>
      <c r="L50" t="n">
        <v>3173</v>
      </c>
      <c r="M50" t="n">
        <v>2647</v>
      </c>
      <c r="N50" t="n">
        <v>3720</v>
      </c>
      <c r="O50" t="n">
        <v>3767</v>
      </c>
      <c r="P50" t="n">
        <v>67</v>
      </c>
      <c r="Q50" t="n">
        <v>20</v>
      </c>
      <c r="R50" t="n">
        <v>3787</v>
      </c>
      <c r="S50" t="n">
        <v>472</v>
      </c>
      <c r="T50" t="n">
        <v>1045</v>
      </c>
      <c r="U50" t="n">
        <v>75</v>
      </c>
      <c r="V50" t="n">
        <v>3173</v>
      </c>
      <c r="W50" t="n">
        <v>2647</v>
      </c>
      <c r="X50" t="n">
        <v>3720</v>
      </c>
      <c r="Y50" t="n">
        <v>3767</v>
      </c>
      <c r="Z50" t="n">
        <v>67</v>
      </c>
      <c r="AA50" t="n">
        <v>20</v>
      </c>
      <c r="AB50" t="n">
        <v>0</v>
      </c>
      <c r="AC50" t="n">
        <v>0</v>
      </c>
      <c r="AD50" t="n">
        <v>0</v>
      </c>
      <c r="AE50" t="n">
        <v>0</v>
      </c>
      <c r="AF50" t="n">
        <v>0</v>
      </c>
      <c r="AG50" t="n">
        <v>0</v>
      </c>
      <c r="AH50" t="n">
        <v>0</v>
      </c>
      <c r="AI50" t="n">
        <v>0</v>
      </c>
      <c r="AJ50" t="n">
        <v>0</v>
      </c>
      <c r="AK50" t="n">
        <v>0</v>
      </c>
      <c r="AL50" t="n">
        <v>5</v>
      </c>
      <c r="AM50" t="n">
        <v>0</v>
      </c>
      <c r="AN50" t="n">
        <v>0</v>
      </c>
      <c r="AO50" t="n">
        <v>0</v>
      </c>
      <c r="AP50" t="n">
        <v>-25</v>
      </c>
      <c r="AQ50" t="n">
        <v>5</v>
      </c>
      <c r="AR50" t="n">
        <v>-25</v>
      </c>
      <c r="AS50" t="n">
        <v>5</v>
      </c>
      <c r="AT50" t="n">
        <v>30</v>
      </c>
      <c r="AU50" t="n">
        <v>0</v>
      </c>
      <c r="AV50" t="n">
        <v>100</v>
      </c>
      <c r="AW50" t="n">
        <v>12.5</v>
      </c>
      <c r="AX50" t="n">
        <v>27.6</v>
      </c>
      <c r="AY50" t="n">
        <v>2</v>
      </c>
      <c r="AZ50" t="n">
        <v>83.8</v>
      </c>
      <c r="BA50" t="n">
        <v>69.90000000000001</v>
      </c>
      <c r="BB50" t="n">
        <v>98.2</v>
      </c>
      <c r="BC50" t="n">
        <v>99.5</v>
      </c>
      <c r="BD50" t="n">
        <v>1.8</v>
      </c>
      <c r="BE50" t="n">
        <v>0.5</v>
      </c>
      <c r="BF50" t="n">
        <v>100</v>
      </c>
      <c r="BG50" t="n">
        <v>12.5</v>
      </c>
      <c r="BH50" t="n">
        <v>27.6</v>
      </c>
      <c r="BI50" t="n">
        <v>2</v>
      </c>
      <c r="BJ50" t="n">
        <v>83.8</v>
      </c>
      <c r="BK50" t="n">
        <v>69.90000000000001</v>
      </c>
      <c r="BL50" t="n">
        <v>98.2</v>
      </c>
      <c r="BM50" t="n">
        <v>99.5</v>
      </c>
      <c r="BN50" t="n">
        <v>1.8</v>
      </c>
      <c r="BO50" t="n">
        <v>0.5</v>
      </c>
      <c r="BP50" t="n">
        <v>0</v>
      </c>
      <c r="BQ50" t="n">
        <v>0</v>
      </c>
      <c r="BR50" t="n">
        <v>0</v>
      </c>
      <c r="BS50" t="n">
        <v>0</v>
      </c>
      <c r="BT50" t="n">
        <v>0</v>
      </c>
      <c r="BU50" t="n">
        <v>0</v>
      </c>
      <c r="BV50" t="n">
        <v>0</v>
      </c>
      <c r="BW50" t="n">
        <v>0</v>
      </c>
      <c r="BX50" t="n">
        <v>0</v>
      </c>
      <c r="BY50" t="n">
        <v>0</v>
      </c>
      <c r="BZ50" t="n">
        <v>30</v>
      </c>
      <c r="CA50" t="n">
        <v>6</v>
      </c>
      <c r="CB50" t="n">
        <v>7</v>
      </c>
      <c r="CC50" t="n">
        <v>1</v>
      </c>
      <c r="CD50" t="n">
        <v>10</v>
      </c>
      <c r="CE50" t="n">
        <v>8</v>
      </c>
      <c r="CF50" t="n">
        <v>16</v>
      </c>
      <c r="CG50" t="n">
        <v>16</v>
      </c>
      <c r="CH50" t="n">
        <v>30</v>
      </c>
      <c r="CI50" t="n">
        <v>6</v>
      </c>
      <c r="CJ50" t="n">
        <v>7</v>
      </c>
      <c r="CK50" t="n">
        <v>1</v>
      </c>
      <c r="CL50" t="n">
        <v>10</v>
      </c>
      <c r="CM50" t="n">
        <v>8</v>
      </c>
      <c r="CN50" t="n">
        <v>16</v>
      </c>
      <c r="CO50" t="n">
        <v>16</v>
      </c>
      <c r="CP50" t="n">
        <v>0</v>
      </c>
      <c r="CQ50" t="n">
        <v>0</v>
      </c>
      <c r="CR50" t="n">
        <v>0</v>
      </c>
      <c r="CS50" t="n">
        <v>0</v>
      </c>
      <c r="CT50" t="n">
        <v>0</v>
      </c>
      <c r="CU50" t="n">
        <v>0</v>
      </c>
      <c r="CV50" t="n">
        <v>0</v>
      </c>
      <c r="CW50" t="n">
        <v>0</v>
      </c>
      <c r="CX50" t="n">
        <v>72.2</v>
      </c>
      <c r="CY50" t="n">
        <v>56.1</v>
      </c>
      <c r="CZ50" t="n">
        <v>86.7</v>
      </c>
      <c r="DA50" t="n">
        <v>83.2</v>
      </c>
      <c r="DB50" t="n">
        <v>72.2</v>
      </c>
      <c r="DC50" t="n">
        <v>56.1</v>
      </c>
      <c r="DD50" t="n">
        <v>85.8</v>
      </c>
      <c r="DE50" t="n">
        <v>83.2</v>
      </c>
      <c r="DF50" t="n">
        <v>72.2</v>
      </c>
      <c r="DG50" t="n">
        <v>56.1</v>
      </c>
      <c r="DH50" t="n">
        <v>86.7</v>
      </c>
      <c r="DI50" t="n">
        <v>83.2</v>
      </c>
      <c r="DJ50" t="n">
        <v>72.2</v>
      </c>
      <c r="DK50" t="n">
        <v>56.1</v>
      </c>
      <c r="DL50" t="n">
        <v>85.8</v>
      </c>
      <c r="DM50" t="n">
        <v>83.2</v>
      </c>
      <c r="DN50" t="n">
        <v>0</v>
      </c>
      <c r="DO50" t="n">
        <v>0</v>
      </c>
      <c r="DP50" t="n">
        <v>0</v>
      </c>
      <c r="DQ50" t="n">
        <v>0</v>
      </c>
      <c r="DR50" t="n">
        <v>0</v>
      </c>
      <c r="DS50" t="n">
        <v>0</v>
      </c>
      <c r="DT50" t="n">
        <v>0</v>
      </c>
      <c r="DU50" t="n">
        <v>0</v>
      </c>
      <c r="DV50" t="inlineStr">
        <is>
          <t>1000 Texas Green-e RECs</t>
        </is>
      </c>
    </row>
    <row r="51">
      <c r="A51" t="inlineStr">
        <is>
          <t>TX GREEN-E REC V25 FRONT HALF - NODAL EXCHANGE</t>
        </is>
      </c>
      <c r="B51" t="n">
        <v>230103</v>
      </c>
      <c r="C51" s="1" t="n">
        <v>44929</v>
      </c>
      <c r="D51" t="inlineStr">
        <is>
          <t>006NFJ</t>
        </is>
      </c>
      <c r="E51" t="inlineStr">
        <is>
          <t>NODX</t>
        </is>
      </c>
      <c r="F51" t="inlineStr">
        <is>
          <t>01</t>
        </is>
      </c>
      <c r="G51" t="inlineStr">
        <is>
          <t xml:space="preserve">006 </t>
        </is>
      </c>
      <c r="H51" t="n">
        <v>3782</v>
      </c>
      <c r="I51" s="17" t="n">
        <v>472</v>
      </c>
      <c r="J51" s="17" t="n">
        <v>1045</v>
      </c>
      <c r="K51" t="n">
        <v>75</v>
      </c>
      <c r="L51" t="n">
        <v>3198</v>
      </c>
      <c r="M51" t="n">
        <v>2642</v>
      </c>
      <c r="N51" t="n">
        <v>3745</v>
      </c>
      <c r="O51" t="n">
        <v>3762</v>
      </c>
      <c r="P51" t="n">
        <v>37</v>
      </c>
      <c r="Q51" t="n">
        <v>20</v>
      </c>
      <c r="R51" t="n">
        <v>3782</v>
      </c>
      <c r="S51" t="n">
        <v>472</v>
      </c>
      <c r="T51" t="n">
        <v>1045</v>
      </c>
      <c r="U51" t="n">
        <v>75</v>
      </c>
      <c r="V51" t="n">
        <v>3198</v>
      </c>
      <c r="W51" t="n">
        <v>2642</v>
      </c>
      <c r="X51" t="n">
        <v>3745</v>
      </c>
      <c r="Y51" t="n">
        <v>3762</v>
      </c>
      <c r="Z51" t="n">
        <v>37</v>
      </c>
      <c r="AA51" t="n">
        <v>20</v>
      </c>
      <c r="AB51" t="n">
        <v>0</v>
      </c>
      <c r="AC51" t="n">
        <v>0</v>
      </c>
      <c r="AD51" t="n">
        <v>0</v>
      </c>
      <c r="AE51" t="n">
        <v>0</v>
      </c>
      <c r="AF51" t="n">
        <v>0</v>
      </c>
      <c r="AG51" t="n">
        <v>0</v>
      </c>
      <c r="AH51" t="n">
        <v>0</v>
      </c>
      <c r="AI51" t="n">
        <v>0</v>
      </c>
      <c r="AJ51" t="n">
        <v>0</v>
      </c>
      <c r="AK51" t="n">
        <v>0</v>
      </c>
      <c r="AL51" t="n">
        <v>-25</v>
      </c>
      <c r="AM51" t="n">
        <v>0</v>
      </c>
      <c r="AN51" t="n">
        <v>0</v>
      </c>
      <c r="AO51" t="n">
        <v>0</v>
      </c>
      <c r="AP51" t="n">
        <v>-25</v>
      </c>
      <c r="AQ51" t="n">
        <v>-25</v>
      </c>
      <c r="AR51" t="n">
        <v>-25</v>
      </c>
      <c r="AS51" t="n">
        <v>-25</v>
      </c>
      <c r="AT51" t="n">
        <v>0</v>
      </c>
      <c r="AU51" t="n">
        <v>0</v>
      </c>
      <c r="AV51" t="n">
        <v>100</v>
      </c>
      <c r="AW51" t="n">
        <v>12.5</v>
      </c>
      <c r="AX51" t="n">
        <v>27.6</v>
      </c>
      <c r="AY51" t="n">
        <v>2</v>
      </c>
      <c r="AZ51" t="n">
        <v>84.59999999999999</v>
      </c>
      <c r="BA51" t="n">
        <v>69.90000000000001</v>
      </c>
      <c r="BB51" t="n">
        <v>99</v>
      </c>
      <c r="BC51" t="n">
        <v>99.5</v>
      </c>
      <c r="BD51" t="n">
        <v>1</v>
      </c>
      <c r="BE51" t="n">
        <v>0.5</v>
      </c>
      <c r="BF51" t="n">
        <v>100</v>
      </c>
      <c r="BG51" t="n">
        <v>12.5</v>
      </c>
      <c r="BH51" t="n">
        <v>27.6</v>
      </c>
      <c r="BI51" t="n">
        <v>2</v>
      </c>
      <c r="BJ51" t="n">
        <v>84.59999999999999</v>
      </c>
      <c r="BK51" t="n">
        <v>69.90000000000001</v>
      </c>
      <c r="BL51" t="n">
        <v>99</v>
      </c>
      <c r="BM51" t="n">
        <v>99.5</v>
      </c>
      <c r="BN51" t="n">
        <v>1</v>
      </c>
      <c r="BO51" t="n">
        <v>0.5</v>
      </c>
      <c r="BP51" t="n">
        <v>0</v>
      </c>
      <c r="BQ51" t="n">
        <v>0</v>
      </c>
      <c r="BR51" t="n">
        <v>0</v>
      </c>
      <c r="BS51" t="n">
        <v>0</v>
      </c>
      <c r="BT51" t="n">
        <v>0</v>
      </c>
      <c r="BU51" t="n">
        <v>0</v>
      </c>
      <c r="BV51" t="n">
        <v>0</v>
      </c>
      <c r="BW51" t="n">
        <v>0</v>
      </c>
      <c r="BX51" t="n">
        <v>0</v>
      </c>
      <c r="BY51" t="n">
        <v>0</v>
      </c>
      <c r="BZ51" t="n">
        <v>30</v>
      </c>
      <c r="CA51" t="n">
        <v>6</v>
      </c>
      <c r="CB51" t="n">
        <v>7</v>
      </c>
      <c r="CC51" t="n">
        <v>1</v>
      </c>
      <c r="CD51" t="n">
        <v>11</v>
      </c>
      <c r="CE51" t="n">
        <v>7</v>
      </c>
      <c r="CF51" t="n">
        <v>17</v>
      </c>
      <c r="CG51" t="n">
        <v>15</v>
      </c>
      <c r="CH51" t="n">
        <v>30</v>
      </c>
      <c r="CI51" t="n">
        <v>6</v>
      </c>
      <c r="CJ51" t="n">
        <v>7</v>
      </c>
      <c r="CK51" t="n">
        <v>1</v>
      </c>
      <c r="CL51" t="n">
        <v>11</v>
      </c>
      <c r="CM51" t="n">
        <v>7</v>
      </c>
      <c r="CN51" t="n">
        <v>17</v>
      </c>
      <c r="CO51" t="n">
        <v>15</v>
      </c>
      <c r="CP51" t="n">
        <v>0</v>
      </c>
      <c r="CQ51" t="n">
        <v>0</v>
      </c>
      <c r="CR51" t="n">
        <v>0</v>
      </c>
      <c r="CS51" t="n">
        <v>0</v>
      </c>
      <c r="CT51" t="n">
        <v>0</v>
      </c>
      <c r="CU51" t="n">
        <v>0</v>
      </c>
      <c r="CV51" t="n">
        <v>0</v>
      </c>
      <c r="CW51" t="n">
        <v>0</v>
      </c>
      <c r="CX51" t="n">
        <v>72.2</v>
      </c>
      <c r="CY51" t="n">
        <v>56.9</v>
      </c>
      <c r="CZ51" t="n">
        <v>86.7</v>
      </c>
      <c r="DA51" t="n">
        <v>84.5</v>
      </c>
      <c r="DB51" t="n">
        <v>72.2</v>
      </c>
      <c r="DC51" t="n">
        <v>56.9</v>
      </c>
      <c r="DD51" t="n">
        <v>85.7</v>
      </c>
      <c r="DE51" t="n">
        <v>84.5</v>
      </c>
      <c r="DF51" t="n">
        <v>72.2</v>
      </c>
      <c r="DG51" t="n">
        <v>56.9</v>
      </c>
      <c r="DH51" t="n">
        <v>86.7</v>
      </c>
      <c r="DI51" t="n">
        <v>84.5</v>
      </c>
      <c r="DJ51" t="n">
        <v>72.2</v>
      </c>
      <c r="DK51" t="n">
        <v>56.9</v>
      </c>
      <c r="DL51" t="n">
        <v>85.7</v>
      </c>
      <c r="DM51" t="n">
        <v>84.5</v>
      </c>
      <c r="DN51" t="n">
        <v>0</v>
      </c>
      <c r="DO51" t="n">
        <v>0</v>
      </c>
      <c r="DP51" t="n">
        <v>0</v>
      </c>
      <c r="DQ51" t="n">
        <v>0</v>
      </c>
      <c r="DR51" t="n">
        <v>0</v>
      </c>
      <c r="DS51" t="n">
        <v>0</v>
      </c>
      <c r="DT51" t="n">
        <v>0</v>
      </c>
      <c r="DU51" t="n">
        <v>0</v>
      </c>
      <c r="DV51" t="inlineStr">
        <is>
          <t>1000 Texas Green-e RECs</t>
        </is>
      </c>
    </row>
    <row r="52">
      <c r="A52" t="inlineStr">
        <is>
          <t>TX GREEN-E REC V22 BACK HALF - NODAL EXCHANGE</t>
        </is>
      </c>
      <c r="B52" t="n">
        <v>230110</v>
      </c>
      <c r="C52" s="1" t="n">
        <v>44936</v>
      </c>
      <c r="D52" t="inlineStr">
        <is>
          <t>006NG1</t>
        </is>
      </c>
      <c r="E52" t="inlineStr">
        <is>
          <t>NODX</t>
        </is>
      </c>
      <c r="F52" t="inlineStr">
        <is>
          <t>01</t>
        </is>
      </c>
      <c r="G52" t="inlineStr">
        <is>
          <t xml:space="preserve">006 </t>
        </is>
      </c>
      <c r="H52" t="n">
        <v>3947</v>
      </c>
      <c r="I52" s="17" t="n">
        <v>297</v>
      </c>
      <c r="J52" s="17" t="n">
        <v>2099</v>
      </c>
      <c r="K52" t="n">
        <v>35</v>
      </c>
      <c r="L52" t="n">
        <v>3580</v>
      </c>
      <c r="M52" t="n">
        <v>1782</v>
      </c>
      <c r="N52" t="n">
        <v>3912</v>
      </c>
      <c r="O52" t="n">
        <v>3916</v>
      </c>
      <c r="P52" t="n">
        <v>35</v>
      </c>
      <c r="Q52" t="n">
        <v>31</v>
      </c>
      <c r="R52" t="n">
        <v>3947</v>
      </c>
      <c r="S52" t="n">
        <v>297</v>
      </c>
      <c r="T52" t="n">
        <v>2099</v>
      </c>
      <c r="U52" t="n">
        <v>35</v>
      </c>
      <c r="V52" t="n">
        <v>3580</v>
      </c>
      <c r="W52" t="n">
        <v>1782</v>
      </c>
      <c r="X52" t="n">
        <v>3912</v>
      </c>
      <c r="Y52" t="n">
        <v>3916</v>
      </c>
      <c r="Z52" t="n">
        <v>35</v>
      </c>
      <c r="AA52" t="n">
        <v>31</v>
      </c>
      <c r="AB52" t="n">
        <v>0</v>
      </c>
      <c r="AC52" t="n">
        <v>0</v>
      </c>
      <c r="AD52" t="n">
        <v>0</v>
      </c>
      <c r="AE52" t="n">
        <v>0</v>
      </c>
      <c r="AF52" t="n">
        <v>0</v>
      </c>
      <c r="AG52" t="n">
        <v>0</v>
      </c>
      <c r="AH52" t="n">
        <v>0</v>
      </c>
      <c r="AI52" t="n">
        <v>0</v>
      </c>
      <c r="AJ52" t="n">
        <v>0</v>
      </c>
      <c r="AK52" t="n">
        <v>0</v>
      </c>
      <c r="AL52" t="n">
        <v>0</v>
      </c>
      <c r="AM52" t="n">
        <v>0</v>
      </c>
      <c r="AN52" t="n">
        <v>0</v>
      </c>
      <c r="AO52" t="n">
        <v>0</v>
      </c>
      <c r="AP52" t="n">
        <v>0</v>
      </c>
      <c r="AQ52" t="n">
        <v>0</v>
      </c>
      <c r="AR52" t="n">
        <v>0</v>
      </c>
      <c r="AS52" t="n">
        <v>0</v>
      </c>
      <c r="AT52" t="n">
        <v>0</v>
      </c>
      <c r="AU52" t="n">
        <v>0</v>
      </c>
      <c r="AV52" t="n">
        <v>100</v>
      </c>
      <c r="AW52" t="n">
        <v>7.5</v>
      </c>
      <c r="AX52" t="n">
        <v>53.2</v>
      </c>
      <c r="AY52" t="n">
        <v>0.9</v>
      </c>
      <c r="AZ52" t="n">
        <v>90.7</v>
      </c>
      <c r="BA52" t="n">
        <v>45.1</v>
      </c>
      <c r="BB52" t="n">
        <v>99.09999999999999</v>
      </c>
      <c r="BC52" t="n">
        <v>99.2</v>
      </c>
      <c r="BD52" t="n">
        <v>0.9</v>
      </c>
      <c r="BE52" t="n">
        <v>0.8</v>
      </c>
      <c r="BF52" t="n">
        <v>100</v>
      </c>
      <c r="BG52" t="n">
        <v>7.5</v>
      </c>
      <c r="BH52" t="n">
        <v>53.2</v>
      </c>
      <c r="BI52" t="n">
        <v>0.9</v>
      </c>
      <c r="BJ52" t="n">
        <v>90.7</v>
      </c>
      <c r="BK52" t="n">
        <v>45.1</v>
      </c>
      <c r="BL52" t="n">
        <v>99.09999999999999</v>
      </c>
      <c r="BM52" t="n">
        <v>99.2</v>
      </c>
      <c r="BN52" t="n">
        <v>0.9</v>
      </c>
      <c r="BO52" t="n">
        <v>0.8</v>
      </c>
      <c r="BP52" t="n">
        <v>0</v>
      </c>
      <c r="BQ52" t="n">
        <v>0</v>
      </c>
      <c r="BR52" t="n">
        <v>0</v>
      </c>
      <c r="BS52" t="n">
        <v>0</v>
      </c>
      <c r="BT52" t="n">
        <v>0</v>
      </c>
      <c r="BU52" t="n">
        <v>0</v>
      </c>
      <c r="BV52" t="n">
        <v>0</v>
      </c>
      <c r="BW52" t="n">
        <v>0</v>
      </c>
      <c r="BX52" t="n">
        <v>0</v>
      </c>
      <c r="BY52" t="n">
        <v>0</v>
      </c>
      <c r="BZ52" t="n">
        <v>23</v>
      </c>
      <c r="CA52" t="n">
        <v>4</v>
      </c>
      <c r="CB52" t="n">
        <v>5</v>
      </c>
      <c r="CC52" t="n">
        <v>2</v>
      </c>
      <c r="CD52" t="n">
        <v>11</v>
      </c>
      <c r="CE52" t="n">
        <v>7</v>
      </c>
      <c r="CF52" t="n">
        <v>16</v>
      </c>
      <c r="CG52" t="n">
        <v>13</v>
      </c>
      <c r="CH52" t="n">
        <v>23</v>
      </c>
      <c r="CI52" t="n">
        <v>4</v>
      </c>
      <c r="CJ52" t="n">
        <v>5</v>
      </c>
      <c r="CK52" t="n">
        <v>2</v>
      </c>
      <c r="CL52" t="n">
        <v>11</v>
      </c>
      <c r="CM52" t="n">
        <v>7</v>
      </c>
      <c r="CN52" t="n">
        <v>16</v>
      </c>
      <c r="CO52" t="n">
        <v>13</v>
      </c>
      <c r="CP52" t="n">
        <v>0</v>
      </c>
      <c r="CQ52" t="n">
        <v>0</v>
      </c>
      <c r="CR52" t="n">
        <v>0</v>
      </c>
      <c r="CS52" t="n">
        <v>0</v>
      </c>
      <c r="CT52" t="n">
        <v>0</v>
      </c>
      <c r="CU52" t="n">
        <v>0</v>
      </c>
      <c r="CV52" t="n">
        <v>0</v>
      </c>
      <c r="CW52" t="n">
        <v>0</v>
      </c>
      <c r="CX52" t="n">
        <v>63.2</v>
      </c>
      <c r="CY52" t="n">
        <v>68.90000000000001</v>
      </c>
      <c r="CZ52" t="n">
        <v>86.90000000000001</v>
      </c>
      <c r="DA52" t="n">
        <v>90.5</v>
      </c>
      <c r="DB52" t="n">
        <v>59.4</v>
      </c>
      <c r="DC52" t="n">
        <v>68.7</v>
      </c>
      <c r="DD52" t="n">
        <v>83.09999999999999</v>
      </c>
      <c r="DE52" t="n">
        <v>88.3</v>
      </c>
      <c r="DF52" t="n">
        <v>63.2</v>
      </c>
      <c r="DG52" t="n">
        <v>68.90000000000001</v>
      </c>
      <c r="DH52" t="n">
        <v>86.90000000000001</v>
      </c>
      <c r="DI52" t="n">
        <v>90.5</v>
      </c>
      <c r="DJ52" t="n">
        <v>59.4</v>
      </c>
      <c r="DK52" t="n">
        <v>68.7</v>
      </c>
      <c r="DL52" t="n">
        <v>83.09999999999999</v>
      </c>
      <c r="DM52" t="n">
        <v>88.3</v>
      </c>
      <c r="DN52" t="n">
        <v>0</v>
      </c>
      <c r="DO52" t="n">
        <v>0</v>
      </c>
      <c r="DP52" t="n">
        <v>0</v>
      </c>
      <c r="DQ52" t="n">
        <v>0</v>
      </c>
      <c r="DR52" t="n">
        <v>0</v>
      </c>
      <c r="DS52" t="n">
        <v>0</v>
      </c>
      <c r="DT52" t="n">
        <v>0</v>
      </c>
      <c r="DU52" t="n">
        <v>0</v>
      </c>
      <c r="DV52" t="inlineStr">
        <is>
          <t>1000 Texas Green-e RECs</t>
        </is>
      </c>
    </row>
    <row r="53">
      <c r="A53" t="inlineStr">
        <is>
          <t>TX GREEN-E REC V22 BACK HALF - NODAL EXCHANGE</t>
        </is>
      </c>
      <c r="B53" t="n">
        <v>230103</v>
      </c>
      <c r="C53" s="1" t="n">
        <v>44929</v>
      </c>
      <c r="D53" t="inlineStr">
        <is>
          <t>006NG1</t>
        </is>
      </c>
      <c r="E53" t="inlineStr">
        <is>
          <t>NODX</t>
        </is>
      </c>
      <c r="F53" t="inlineStr">
        <is>
          <t>01</t>
        </is>
      </c>
      <c r="G53" t="inlineStr">
        <is>
          <t xml:space="preserve">006 </t>
        </is>
      </c>
      <c r="H53" t="n">
        <v>3947</v>
      </c>
      <c r="I53" s="17" t="n">
        <v>297</v>
      </c>
      <c r="J53" s="17" t="n">
        <v>2099</v>
      </c>
      <c r="K53" t="n">
        <v>35</v>
      </c>
      <c r="L53" t="n">
        <v>3580</v>
      </c>
      <c r="M53" t="n">
        <v>1782</v>
      </c>
      <c r="N53" t="n">
        <v>3912</v>
      </c>
      <c r="O53" t="n">
        <v>3916</v>
      </c>
      <c r="P53" t="n">
        <v>35</v>
      </c>
      <c r="Q53" t="n">
        <v>31</v>
      </c>
      <c r="R53" t="n">
        <v>3947</v>
      </c>
      <c r="S53" t="n">
        <v>297</v>
      </c>
      <c r="T53" t="n">
        <v>2099</v>
      </c>
      <c r="U53" t="n">
        <v>35</v>
      </c>
      <c r="V53" t="n">
        <v>3580</v>
      </c>
      <c r="W53" t="n">
        <v>1782</v>
      </c>
      <c r="X53" t="n">
        <v>3912</v>
      </c>
      <c r="Y53" t="n">
        <v>3916</v>
      </c>
      <c r="Z53" t="n">
        <v>35</v>
      </c>
      <c r="AA53" t="n">
        <v>31</v>
      </c>
      <c r="AB53" t="n">
        <v>0</v>
      </c>
      <c r="AC53" t="n">
        <v>0</v>
      </c>
      <c r="AD53" t="n">
        <v>0</v>
      </c>
      <c r="AE53" t="n">
        <v>0</v>
      </c>
      <c r="AF53" t="n">
        <v>0</v>
      </c>
      <c r="AG53" t="n">
        <v>0</v>
      </c>
      <c r="AH53" t="n">
        <v>0</v>
      </c>
      <c r="AI53" t="n">
        <v>0</v>
      </c>
      <c r="AJ53" t="n">
        <v>0</v>
      </c>
      <c r="AK53" t="n">
        <v>0</v>
      </c>
      <c r="AL53" t="n">
        <v>0</v>
      </c>
      <c r="AM53" t="n">
        <v>0</v>
      </c>
      <c r="AN53" t="n">
        <v>0</v>
      </c>
      <c r="AO53" t="n">
        <v>0</v>
      </c>
      <c r="AP53" t="n">
        <v>0</v>
      </c>
      <c r="AQ53" t="n">
        <v>0</v>
      </c>
      <c r="AR53" t="n">
        <v>0</v>
      </c>
      <c r="AS53" t="n">
        <v>0</v>
      </c>
      <c r="AT53" t="n">
        <v>0</v>
      </c>
      <c r="AU53" t="n">
        <v>0</v>
      </c>
      <c r="AV53" t="n">
        <v>100</v>
      </c>
      <c r="AW53" t="n">
        <v>7.5</v>
      </c>
      <c r="AX53" t="n">
        <v>53.2</v>
      </c>
      <c r="AY53" t="n">
        <v>0.9</v>
      </c>
      <c r="AZ53" t="n">
        <v>90.7</v>
      </c>
      <c r="BA53" t="n">
        <v>45.1</v>
      </c>
      <c r="BB53" t="n">
        <v>99.09999999999999</v>
      </c>
      <c r="BC53" t="n">
        <v>99.2</v>
      </c>
      <c r="BD53" t="n">
        <v>0.9</v>
      </c>
      <c r="BE53" t="n">
        <v>0.8</v>
      </c>
      <c r="BF53" t="n">
        <v>100</v>
      </c>
      <c r="BG53" t="n">
        <v>7.5</v>
      </c>
      <c r="BH53" t="n">
        <v>53.2</v>
      </c>
      <c r="BI53" t="n">
        <v>0.9</v>
      </c>
      <c r="BJ53" t="n">
        <v>90.7</v>
      </c>
      <c r="BK53" t="n">
        <v>45.1</v>
      </c>
      <c r="BL53" t="n">
        <v>99.09999999999999</v>
      </c>
      <c r="BM53" t="n">
        <v>99.2</v>
      </c>
      <c r="BN53" t="n">
        <v>0.9</v>
      </c>
      <c r="BO53" t="n">
        <v>0.8</v>
      </c>
      <c r="BP53" t="n">
        <v>0</v>
      </c>
      <c r="BQ53" t="n">
        <v>0</v>
      </c>
      <c r="BR53" t="n">
        <v>0</v>
      </c>
      <c r="BS53" t="n">
        <v>0</v>
      </c>
      <c r="BT53" t="n">
        <v>0</v>
      </c>
      <c r="BU53" t="n">
        <v>0</v>
      </c>
      <c r="BV53" t="n">
        <v>0</v>
      </c>
      <c r="BW53" t="n">
        <v>0</v>
      </c>
      <c r="BX53" t="n">
        <v>0</v>
      </c>
      <c r="BY53" t="n">
        <v>0</v>
      </c>
      <c r="BZ53" t="n">
        <v>23</v>
      </c>
      <c r="CA53" t="n">
        <v>4</v>
      </c>
      <c r="CB53" t="n">
        <v>5</v>
      </c>
      <c r="CC53" t="n">
        <v>2</v>
      </c>
      <c r="CD53" t="n">
        <v>11</v>
      </c>
      <c r="CE53" t="n">
        <v>7</v>
      </c>
      <c r="CF53" t="n">
        <v>16</v>
      </c>
      <c r="CG53" t="n">
        <v>13</v>
      </c>
      <c r="CH53" t="n">
        <v>23</v>
      </c>
      <c r="CI53" t="n">
        <v>4</v>
      </c>
      <c r="CJ53" t="n">
        <v>5</v>
      </c>
      <c r="CK53" t="n">
        <v>2</v>
      </c>
      <c r="CL53" t="n">
        <v>11</v>
      </c>
      <c r="CM53" t="n">
        <v>7</v>
      </c>
      <c r="CN53" t="n">
        <v>16</v>
      </c>
      <c r="CO53" t="n">
        <v>13</v>
      </c>
      <c r="CP53" t="n">
        <v>0</v>
      </c>
      <c r="CQ53" t="n">
        <v>0</v>
      </c>
      <c r="CR53" t="n">
        <v>0</v>
      </c>
      <c r="CS53" t="n">
        <v>0</v>
      </c>
      <c r="CT53" t="n">
        <v>0</v>
      </c>
      <c r="CU53" t="n">
        <v>0</v>
      </c>
      <c r="CV53" t="n">
        <v>0</v>
      </c>
      <c r="CW53" t="n">
        <v>0</v>
      </c>
      <c r="CX53" t="n">
        <v>63.2</v>
      </c>
      <c r="CY53" t="n">
        <v>71.7</v>
      </c>
      <c r="CZ53" t="n">
        <v>86.90000000000001</v>
      </c>
      <c r="DA53" t="n">
        <v>90.5</v>
      </c>
      <c r="DB53" t="n">
        <v>59.4</v>
      </c>
      <c r="DC53" t="n">
        <v>69.59999999999999</v>
      </c>
      <c r="DD53" t="n">
        <v>83.09999999999999</v>
      </c>
      <c r="DE53" t="n">
        <v>88.3</v>
      </c>
      <c r="DF53" t="n">
        <v>63.2</v>
      </c>
      <c r="DG53" t="n">
        <v>71.7</v>
      </c>
      <c r="DH53" t="n">
        <v>86.90000000000001</v>
      </c>
      <c r="DI53" t="n">
        <v>90.5</v>
      </c>
      <c r="DJ53" t="n">
        <v>59.4</v>
      </c>
      <c r="DK53" t="n">
        <v>69.59999999999999</v>
      </c>
      <c r="DL53" t="n">
        <v>83.09999999999999</v>
      </c>
      <c r="DM53" t="n">
        <v>88.3</v>
      </c>
      <c r="DN53" t="n">
        <v>0</v>
      </c>
      <c r="DO53" t="n">
        <v>0</v>
      </c>
      <c r="DP53" t="n">
        <v>0</v>
      </c>
      <c r="DQ53" t="n">
        <v>0</v>
      </c>
      <c r="DR53" t="n">
        <v>0</v>
      </c>
      <c r="DS53" t="n">
        <v>0</v>
      </c>
      <c r="DT53" t="n">
        <v>0</v>
      </c>
      <c r="DU53" t="n">
        <v>0</v>
      </c>
      <c r="DV53" t="inlineStr">
        <is>
          <t>1000 Texas Green-e RECs</t>
        </is>
      </c>
    </row>
    <row r="54">
      <c r="A54" t="inlineStr">
        <is>
          <t>TX GREEN-E REC V23 BACK HALF - NODAL EXCHANGE</t>
        </is>
      </c>
      <c r="B54" t="n">
        <v>230110</v>
      </c>
      <c r="C54" s="1" t="n">
        <v>44936</v>
      </c>
      <c r="D54" t="inlineStr">
        <is>
          <t>006NG2</t>
        </is>
      </c>
      <c r="E54" t="inlineStr">
        <is>
          <t>NODX</t>
        </is>
      </c>
      <c r="F54" t="inlineStr">
        <is>
          <t>01</t>
        </is>
      </c>
      <c r="G54" t="inlineStr">
        <is>
          <t xml:space="preserve">006 </t>
        </is>
      </c>
      <c r="H54" t="n">
        <v>4626</v>
      </c>
      <c r="I54" s="17" t="n">
        <v>87</v>
      </c>
      <c r="J54" s="17" t="n">
        <v>1720</v>
      </c>
      <c r="K54" t="n">
        <v>0</v>
      </c>
      <c r="L54" t="n">
        <v>4502</v>
      </c>
      <c r="M54" t="n">
        <v>2856</v>
      </c>
      <c r="N54" t="n">
        <v>4589</v>
      </c>
      <c r="O54" t="n">
        <v>4576</v>
      </c>
      <c r="P54" t="n">
        <v>37</v>
      </c>
      <c r="Q54" t="n">
        <v>50</v>
      </c>
      <c r="R54" t="n">
        <v>4626</v>
      </c>
      <c r="S54" t="n">
        <v>87</v>
      </c>
      <c r="T54" t="n">
        <v>1720</v>
      </c>
      <c r="U54" t="n">
        <v>0</v>
      </c>
      <c r="V54" t="n">
        <v>4502</v>
      </c>
      <c r="W54" t="n">
        <v>2856</v>
      </c>
      <c r="X54" t="n">
        <v>4589</v>
      </c>
      <c r="Y54" t="n">
        <v>4576</v>
      </c>
      <c r="Z54" t="n">
        <v>37</v>
      </c>
      <c r="AA54" t="n">
        <v>50</v>
      </c>
      <c r="AB54" t="n">
        <v>0</v>
      </c>
      <c r="AC54" t="n">
        <v>0</v>
      </c>
      <c r="AD54" t="n">
        <v>0</v>
      </c>
      <c r="AE54" t="n">
        <v>0</v>
      </c>
      <c r="AF54" t="n">
        <v>0</v>
      </c>
      <c r="AG54" t="n">
        <v>0</v>
      </c>
      <c r="AH54" t="n">
        <v>0</v>
      </c>
      <c r="AI54" t="n">
        <v>0</v>
      </c>
      <c r="AJ54" t="n">
        <v>0</v>
      </c>
      <c r="AK54" t="n">
        <v>0</v>
      </c>
      <c r="AL54" t="n">
        <v>50</v>
      </c>
      <c r="AM54" t="n">
        <v>0</v>
      </c>
      <c r="AN54" t="n">
        <v>55</v>
      </c>
      <c r="AO54" t="n">
        <v>0</v>
      </c>
      <c r="AP54" t="n">
        <v>50</v>
      </c>
      <c r="AQ54" t="n">
        <v>-5</v>
      </c>
      <c r="AR54" t="n">
        <v>50</v>
      </c>
      <c r="AS54" t="n">
        <v>50</v>
      </c>
      <c r="AT54" t="n">
        <v>0</v>
      </c>
      <c r="AU54" t="n">
        <v>0</v>
      </c>
      <c r="AV54" t="n">
        <v>100</v>
      </c>
      <c r="AW54" t="n">
        <v>1.9</v>
      </c>
      <c r="AX54" t="n">
        <v>37.2</v>
      </c>
      <c r="AY54" t="n">
        <v>0</v>
      </c>
      <c r="AZ54" t="n">
        <v>97.3</v>
      </c>
      <c r="BA54" t="n">
        <v>61.7</v>
      </c>
      <c r="BB54" t="n">
        <v>99.2</v>
      </c>
      <c r="BC54" t="n">
        <v>98.90000000000001</v>
      </c>
      <c r="BD54" t="n">
        <v>0.8</v>
      </c>
      <c r="BE54" t="n">
        <v>1.1</v>
      </c>
      <c r="BF54" t="n">
        <v>100</v>
      </c>
      <c r="BG54" t="n">
        <v>1.9</v>
      </c>
      <c r="BH54" t="n">
        <v>37.2</v>
      </c>
      <c r="BI54" t="n">
        <v>0</v>
      </c>
      <c r="BJ54" t="n">
        <v>97.3</v>
      </c>
      <c r="BK54" t="n">
        <v>61.7</v>
      </c>
      <c r="BL54" t="n">
        <v>99.2</v>
      </c>
      <c r="BM54" t="n">
        <v>98.90000000000001</v>
      </c>
      <c r="BN54" t="n">
        <v>0.8</v>
      </c>
      <c r="BO54" t="n">
        <v>1.1</v>
      </c>
      <c r="BP54" t="n">
        <v>0</v>
      </c>
      <c r="BQ54" t="n">
        <v>0</v>
      </c>
      <c r="BR54" t="n">
        <v>0</v>
      </c>
      <c r="BS54" t="n">
        <v>0</v>
      </c>
      <c r="BT54" t="n">
        <v>0</v>
      </c>
      <c r="BU54" t="n">
        <v>0</v>
      </c>
      <c r="BV54" t="n">
        <v>0</v>
      </c>
      <c r="BW54" t="n">
        <v>0</v>
      </c>
      <c r="BX54" t="n">
        <v>0</v>
      </c>
      <c r="BY54" t="n">
        <v>0</v>
      </c>
      <c r="BZ54" t="n">
        <v>27</v>
      </c>
      <c r="CA54" t="n">
        <v>2</v>
      </c>
      <c r="CB54" t="n">
        <v>6</v>
      </c>
      <c r="CC54" t="n">
        <v>0</v>
      </c>
      <c r="CD54" t="n">
        <v>12</v>
      </c>
      <c r="CE54" t="n">
        <v>12</v>
      </c>
      <c r="CF54" t="n">
        <v>14</v>
      </c>
      <c r="CG54" t="n">
        <v>18</v>
      </c>
      <c r="CH54" t="n">
        <v>27</v>
      </c>
      <c r="CI54" t="n">
        <v>2</v>
      </c>
      <c r="CJ54" t="n">
        <v>6</v>
      </c>
      <c r="CK54" t="n">
        <v>0</v>
      </c>
      <c r="CL54" t="n">
        <v>12</v>
      </c>
      <c r="CM54" t="n">
        <v>12</v>
      </c>
      <c r="CN54" t="n">
        <v>14</v>
      </c>
      <c r="CO54" t="n">
        <v>18</v>
      </c>
      <c r="CP54" t="n">
        <v>0</v>
      </c>
      <c r="CQ54" t="n">
        <v>0</v>
      </c>
      <c r="CR54" t="n">
        <v>0</v>
      </c>
      <c r="CS54" t="n">
        <v>0</v>
      </c>
      <c r="CT54" t="n">
        <v>0</v>
      </c>
      <c r="CU54" t="n">
        <v>0</v>
      </c>
      <c r="CV54" t="n">
        <v>0</v>
      </c>
      <c r="CW54" t="n">
        <v>0</v>
      </c>
      <c r="CX54" t="n">
        <v>78.40000000000001</v>
      </c>
      <c r="CY54" t="n">
        <v>58.4</v>
      </c>
      <c r="CZ54" t="n">
        <v>93.59999999999999</v>
      </c>
      <c r="DA54" t="n">
        <v>82.09999999999999</v>
      </c>
      <c r="DB54" t="n">
        <v>77.3</v>
      </c>
      <c r="DC54" t="n">
        <v>57.9</v>
      </c>
      <c r="DD54" t="n">
        <v>87.7</v>
      </c>
      <c r="DE54" t="n">
        <v>78.90000000000001</v>
      </c>
      <c r="DF54" t="n">
        <v>78.40000000000001</v>
      </c>
      <c r="DG54" t="n">
        <v>58.4</v>
      </c>
      <c r="DH54" t="n">
        <v>93.59999999999999</v>
      </c>
      <c r="DI54" t="n">
        <v>82.09999999999999</v>
      </c>
      <c r="DJ54" t="n">
        <v>77.3</v>
      </c>
      <c r="DK54" t="n">
        <v>57.9</v>
      </c>
      <c r="DL54" t="n">
        <v>87.7</v>
      </c>
      <c r="DM54" t="n">
        <v>78.90000000000001</v>
      </c>
      <c r="DN54" t="n">
        <v>0</v>
      </c>
      <c r="DO54" t="n">
        <v>0</v>
      </c>
      <c r="DP54" t="n">
        <v>0</v>
      </c>
      <c r="DQ54" t="n">
        <v>0</v>
      </c>
      <c r="DR54" t="n">
        <v>0</v>
      </c>
      <c r="DS54" t="n">
        <v>0</v>
      </c>
      <c r="DT54" t="n">
        <v>0</v>
      </c>
      <c r="DU54" t="n">
        <v>0</v>
      </c>
      <c r="DV54" t="inlineStr">
        <is>
          <t>1000 Texas Green-e RECs</t>
        </is>
      </c>
    </row>
    <row r="55">
      <c r="A55" t="inlineStr">
        <is>
          <t>TX GREEN-E REC V23 BACK HALF - NODAL EXCHANGE</t>
        </is>
      </c>
      <c r="B55" t="n">
        <v>230103</v>
      </c>
      <c r="C55" s="1" t="n">
        <v>44929</v>
      </c>
      <c r="D55" t="inlineStr">
        <is>
          <t>006NG2</t>
        </is>
      </c>
      <c r="E55" t="inlineStr">
        <is>
          <t>NODX</t>
        </is>
      </c>
      <c r="F55" t="inlineStr">
        <is>
          <t>01</t>
        </is>
      </c>
      <c r="G55" t="inlineStr">
        <is>
          <t xml:space="preserve">006 </t>
        </is>
      </c>
      <c r="H55" t="n">
        <v>4576</v>
      </c>
      <c r="I55" s="17" t="n">
        <v>87</v>
      </c>
      <c r="J55" s="17" t="n">
        <v>1665</v>
      </c>
      <c r="K55" t="n">
        <v>0</v>
      </c>
      <c r="L55" t="n">
        <v>4452</v>
      </c>
      <c r="M55" t="n">
        <v>2861</v>
      </c>
      <c r="N55" t="n">
        <v>4539</v>
      </c>
      <c r="O55" t="n">
        <v>4526</v>
      </c>
      <c r="P55" t="n">
        <v>37</v>
      </c>
      <c r="Q55" t="n">
        <v>50</v>
      </c>
      <c r="R55" t="n">
        <v>4576</v>
      </c>
      <c r="S55" t="n">
        <v>87</v>
      </c>
      <c r="T55" t="n">
        <v>1665</v>
      </c>
      <c r="U55" t="n">
        <v>0</v>
      </c>
      <c r="V55" t="n">
        <v>4452</v>
      </c>
      <c r="W55" t="n">
        <v>2861</v>
      </c>
      <c r="X55" t="n">
        <v>4539</v>
      </c>
      <c r="Y55" t="n">
        <v>4526</v>
      </c>
      <c r="Z55" t="n">
        <v>37</v>
      </c>
      <c r="AA55" t="n">
        <v>50</v>
      </c>
      <c r="AB55" t="n">
        <v>0</v>
      </c>
      <c r="AC55" t="n">
        <v>0</v>
      </c>
      <c r="AD55" t="n">
        <v>0</v>
      </c>
      <c r="AE55" t="n">
        <v>0</v>
      </c>
      <c r="AF55" t="n">
        <v>0</v>
      </c>
      <c r="AG55" t="n">
        <v>0</v>
      </c>
      <c r="AH55" t="n">
        <v>0</v>
      </c>
      <c r="AI55" t="n">
        <v>0</v>
      </c>
      <c r="AJ55" t="n">
        <v>0</v>
      </c>
      <c r="AK55" t="n">
        <v>0</v>
      </c>
      <c r="AL55" t="n">
        <v>160</v>
      </c>
      <c r="AM55" t="n">
        <v>0</v>
      </c>
      <c r="AN55" t="n">
        <v>0</v>
      </c>
      <c r="AO55" t="n">
        <v>0</v>
      </c>
      <c r="AP55" t="n">
        <v>160</v>
      </c>
      <c r="AQ55" t="n">
        <v>160</v>
      </c>
      <c r="AR55" t="n">
        <v>160</v>
      </c>
      <c r="AS55" t="n">
        <v>160</v>
      </c>
      <c r="AT55" t="n">
        <v>0</v>
      </c>
      <c r="AU55" t="n">
        <v>0</v>
      </c>
      <c r="AV55" t="n">
        <v>100</v>
      </c>
      <c r="AW55" t="n">
        <v>1.9</v>
      </c>
      <c r="AX55" t="n">
        <v>36.4</v>
      </c>
      <c r="AY55" t="n">
        <v>0</v>
      </c>
      <c r="AZ55" t="n">
        <v>97.3</v>
      </c>
      <c r="BA55" t="n">
        <v>62.5</v>
      </c>
      <c r="BB55" t="n">
        <v>99.2</v>
      </c>
      <c r="BC55" t="n">
        <v>98.90000000000001</v>
      </c>
      <c r="BD55" t="n">
        <v>0.8</v>
      </c>
      <c r="BE55" t="n">
        <v>1.1</v>
      </c>
      <c r="BF55" t="n">
        <v>100</v>
      </c>
      <c r="BG55" t="n">
        <v>1.9</v>
      </c>
      <c r="BH55" t="n">
        <v>36.4</v>
      </c>
      <c r="BI55" t="n">
        <v>0</v>
      </c>
      <c r="BJ55" t="n">
        <v>97.3</v>
      </c>
      <c r="BK55" t="n">
        <v>62.5</v>
      </c>
      <c r="BL55" t="n">
        <v>99.2</v>
      </c>
      <c r="BM55" t="n">
        <v>98.90000000000001</v>
      </c>
      <c r="BN55" t="n">
        <v>0.8</v>
      </c>
      <c r="BO55" t="n">
        <v>1.1</v>
      </c>
      <c r="BP55" t="n">
        <v>0</v>
      </c>
      <c r="BQ55" t="n">
        <v>0</v>
      </c>
      <c r="BR55" t="n">
        <v>0</v>
      </c>
      <c r="BS55" t="n">
        <v>0</v>
      </c>
      <c r="BT55" t="n">
        <v>0</v>
      </c>
      <c r="BU55" t="n">
        <v>0</v>
      </c>
      <c r="BV55" t="n">
        <v>0</v>
      </c>
      <c r="BW55" t="n">
        <v>0</v>
      </c>
      <c r="BX55" t="n">
        <v>0</v>
      </c>
      <c r="BY55" t="n">
        <v>0</v>
      </c>
      <c r="BZ55" t="n">
        <v>27</v>
      </c>
      <c r="CA55" t="n">
        <v>2</v>
      </c>
      <c r="CB55" t="n">
        <v>6</v>
      </c>
      <c r="CC55" t="n">
        <v>0</v>
      </c>
      <c r="CD55" t="n">
        <v>12</v>
      </c>
      <c r="CE55" t="n">
        <v>12</v>
      </c>
      <c r="CF55" t="n">
        <v>14</v>
      </c>
      <c r="CG55" t="n">
        <v>18</v>
      </c>
      <c r="CH55" t="n">
        <v>27</v>
      </c>
      <c r="CI55" t="n">
        <v>2</v>
      </c>
      <c r="CJ55" t="n">
        <v>6</v>
      </c>
      <c r="CK55" t="n">
        <v>0</v>
      </c>
      <c r="CL55" t="n">
        <v>12</v>
      </c>
      <c r="CM55" t="n">
        <v>12</v>
      </c>
      <c r="CN55" t="n">
        <v>14</v>
      </c>
      <c r="CO55" t="n">
        <v>18</v>
      </c>
      <c r="CP55" t="n">
        <v>0</v>
      </c>
      <c r="CQ55" t="n">
        <v>0</v>
      </c>
      <c r="CR55" t="n">
        <v>0</v>
      </c>
      <c r="CS55" t="n">
        <v>0</v>
      </c>
      <c r="CT55" t="n">
        <v>0</v>
      </c>
      <c r="CU55" t="n">
        <v>0</v>
      </c>
      <c r="CV55" t="n">
        <v>0</v>
      </c>
      <c r="CW55" t="n">
        <v>0</v>
      </c>
      <c r="CX55" t="n">
        <v>78.09999999999999</v>
      </c>
      <c r="CY55" t="n">
        <v>58</v>
      </c>
      <c r="CZ55" t="n">
        <v>93.59999999999999</v>
      </c>
      <c r="DA55" t="n">
        <v>81.40000000000001</v>
      </c>
      <c r="DB55" t="n">
        <v>77.09999999999999</v>
      </c>
      <c r="DC55" t="n">
        <v>58</v>
      </c>
      <c r="DD55" t="n">
        <v>87.09999999999999</v>
      </c>
      <c r="DE55" t="n">
        <v>78.09999999999999</v>
      </c>
      <c r="DF55" t="n">
        <v>78.09999999999999</v>
      </c>
      <c r="DG55" t="n">
        <v>58</v>
      </c>
      <c r="DH55" t="n">
        <v>93.59999999999999</v>
      </c>
      <c r="DI55" t="n">
        <v>81.40000000000001</v>
      </c>
      <c r="DJ55" t="n">
        <v>77.09999999999999</v>
      </c>
      <c r="DK55" t="n">
        <v>58</v>
      </c>
      <c r="DL55" t="n">
        <v>87.09999999999999</v>
      </c>
      <c r="DM55" t="n">
        <v>78.09999999999999</v>
      </c>
      <c r="DN55" t="n">
        <v>0</v>
      </c>
      <c r="DO55" t="n">
        <v>0</v>
      </c>
      <c r="DP55" t="n">
        <v>0</v>
      </c>
      <c r="DQ55" t="n">
        <v>0</v>
      </c>
      <c r="DR55" t="n">
        <v>0</v>
      </c>
      <c r="DS55" t="n">
        <v>0</v>
      </c>
      <c r="DT55" t="n">
        <v>0</v>
      </c>
      <c r="DU55" t="n">
        <v>0</v>
      </c>
      <c r="DV55" t="inlineStr">
        <is>
          <t>1000 Texas Green-e RECs</t>
        </is>
      </c>
    </row>
    <row r="56">
      <c r="A56" t="inlineStr">
        <is>
          <t>TX GREEN-E REC V24 BACK HALF - NODAL EXCHANGE</t>
        </is>
      </c>
      <c r="B56" t="n">
        <v>230110</v>
      </c>
      <c r="C56" s="1" t="n">
        <v>44936</v>
      </c>
      <c r="D56" t="inlineStr">
        <is>
          <t>006NG3</t>
        </is>
      </c>
      <c r="E56" t="inlineStr">
        <is>
          <t>NODX</t>
        </is>
      </c>
      <c r="F56" t="inlineStr">
        <is>
          <t>01</t>
        </is>
      </c>
      <c r="G56" t="inlineStr">
        <is>
          <t xml:space="preserve">006 </t>
        </is>
      </c>
      <c r="H56" t="n">
        <v>4177</v>
      </c>
      <c r="I56" s="17" t="n">
        <v>565</v>
      </c>
      <c r="J56" s="17" t="n">
        <v>1104</v>
      </c>
      <c r="K56" t="n">
        <v>0</v>
      </c>
      <c r="L56" t="n">
        <v>3345</v>
      </c>
      <c r="M56" t="n">
        <v>2818</v>
      </c>
      <c r="N56" t="n">
        <v>3910</v>
      </c>
      <c r="O56" t="n">
        <v>3922</v>
      </c>
      <c r="P56" t="n">
        <v>267</v>
      </c>
      <c r="Q56" t="n">
        <v>255</v>
      </c>
      <c r="R56" t="n">
        <v>4177</v>
      </c>
      <c r="S56" t="n">
        <v>565</v>
      </c>
      <c r="T56" t="n">
        <v>1104</v>
      </c>
      <c r="U56" t="n">
        <v>0</v>
      </c>
      <c r="V56" t="n">
        <v>3345</v>
      </c>
      <c r="W56" t="n">
        <v>2818</v>
      </c>
      <c r="X56" t="n">
        <v>3910</v>
      </c>
      <c r="Y56" t="n">
        <v>3922</v>
      </c>
      <c r="Z56" t="n">
        <v>267</v>
      </c>
      <c r="AA56" t="n">
        <v>255</v>
      </c>
      <c r="AB56" t="n">
        <v>0</v>
      </c>
      <c r="AC56" t="n">
        <v>0</v>
      </c>
      <c r="AD56" t="n">
        <v>0</v>
      </c>
      <c r="AE56" t="n">
        <v>0</v>
      </c>
      <c r="AF56" t="n">
        <v>0</v>
      </c>
      <c r="AG56" t="n">
        <v>0</v>
      </c>
      <c r="AH56" t="n">
        <v>0</v>
      </c>
      <c r="AI56" t="n">
        <v>0</v>
      </c>
      <c r="AJ56" t="n">
        <v>0</v>
      </c>
      <c r="AK56" t="n">
        <v>0</v>
      </c>
      <c r="AL56" t="n">
        <v>0</v>
      </c>
      <c r="AM56" t="n">
        <v>0</v>
      </c>
      <c r="AN56" t="n">
        <v>0</v>
      </c>
      <c r="AO56" t="n">
        <v>0</v>
      </c>
      <c r="AP56" t="n">
        <v>0</v>
      </c>
      <c r="AQ56" t="n">
        <v>0</v>
      </c>
      <c r="AR56" t="n">
        <v>0</v>
      </c>
      <c r="AS56" t="n">
        <v>0</v>
      </c>
      <c r="AT56" t="n">
        <v>0</v>
      </c>
      <c r="AU56" t="n">
        <v>0</v>
      </c>
      <c r="AV56" t="n">
        <v>100</v>
      </c>
      <c r="AW56" t="n">
        <v>13.5</v>
      </c>
      <c r="AX56" t="n">
        <v>26.4</v>
      </c>
      <c r="AY56" t="n">
        <v>0</v>
      </c>
      <c r="AZ56" t="n">
        <v>80.09999999999999</v>
      </c>
      <c r="BA56" t="n">
        <v>67.5</v>
      </c>
      <c r="BB56" t="n">
        <v>93.59999999999999</v>
      </c>
      <c r="BC56" t="n">
        <v>93.90000000000001</v>
      </c>
      <c r="BD56" t="n">
        <v>6.4</v>
      </c>
      <c r="BE56" t="n">
        <v>6.1</v>
      </c>
      <c r="BF56" t="n">
        <v>100</v>
      </c>
      <c r="BG56" t="n">
        <v>13.5</v>
      </c>
      <c r="BH56" t="n">
        <v>26.4</v>
      </c>
      <c r="BI56" t="n">
        <v>0</v>
      </c>
      <c r="BJ56" t="n">
        <v>80.09999999999999</v>
      </c>
      <c r="BK56" t="n">
        <v>67.5</v>
      </c>
      <c r="BL56" t="n">
        <v>93.59999999999999</v>
      </c>
      <c r="BM56" t="n">
        <v>93.90000000000001</v>
      </c>
      <c r="BN56" t="n">
        <v>6.4</v>
      </c>
      <c r="BO56" t="n">
        <v>6.1</v>
      </c>
      <c r="BP56" t="n">
        <v>0</v>
      </c>
      <c r="BQ56" t="n">
        <v>0</v>
      </c>
      <c r="BR56" t="n">
        <v>0</v>
      </c>
      <c r="BS56" t="n">
        <v>0</v>
      </c>
      <c r="BT56" t="n">
        <v>0</v>
      </c>
      <c r="BU56" t="n">
        <v>0</v>
      </c>
      <c r="BV56" t="n">
        <v>0</v>
      </c>
      <c r="BW56" t="n">
        <v>0</v>
      </c>
      <c r="BX56" t="n">
        <v>0</v>
      </c>
      <c r="BY56" t="n">
        <v>0</v>
      </c>
      <c r="BZ56" t="n">
        <v>26</v>
      </c>
      <c r="CA56" t="n">
        <v>3</v>
      </c>
      <c r="CB56" t="n">
        <v>8</v>
      </c>
      <c r="CC56" t="n">
        <v>0</v>
      </c>
      <c r="CD56" t="n">
        <v>8</v>
      </c>
      <c r="CE56" t="n">
        <v>9</v>
      </c>
      <c r="CF56" t="n">
        <v>11</v>
      </c>
      <c r="CG56" t="n">
        <v>17</v>
      </c>
      <c r="CH56" t="n">
        <v>26</v>
      </c>
      <c r="CI56" t="n">
        <v>3</v>
      </c>
      <c r="CJ56" t="n">
        <v>8</v>
      </c>
      <c r="CK56" t="n">
        <v>0</v>
      </c>
      <c r="CL56" t="n">
        <v>8</v>
      </c>
      <c r="CM56" t="n">
        <v>9</v>
      </c>
      <c r="CN56" t="n">
        <v>11</v>
      </c>
      <c r="CO56" t="n">
        <v>17</v>
      </c>
      <c r="CP56" t="n">
        <v>0</v>
      </c>
      <c r="CQ56" t="n">
        <v>0</v>
      </c>
      <c r="CR56" t="n">
        <v>0</v>
      </c>
      <c r="CS56" t="n">
        <v>0</v>
      </c>
      <c r="CT56" t="n">
        <v>0</v>
      </c>
      <c r="CU56" t="n">
        <v>0</v>
      </c>
      <c r="CV56" t="n">
        <v>0</v>
      </c>
      <c r="CW56" t="n">
        <v>0</v>
      </c>
      <c r="CX56" t="n">
        <v>67</v>
      </c>
      <c r="CY56" t="n">
        <v>55.9</v>
      </c>
      <c r="CZ56" t="n">
        <v>87.3</v>
      </c>
      <c r="DA56" t="n">
        <v>77.59999999999999</v>
      </c>
      <c r="DB56" t="n">
        <v>65.8</v>
      </c>
      <c r="DC56" t="n">
        <v>55.9</v>
      </c>
      <c r="DD56" t="n">
        <v>85.59999999999999</v>
      </c>
      <c r="DE56" t="n">
        <v>76.8</v>
      </c>
      <c r="DF56" t="n">
        <v>67</v>
      </c>
      <c r="DG56" t="n">
        <v>55.9</v>
      </c>
      <c r="DH56" t="n">
        <v>87.3</v>
      </c>
      <c r="DI56" t="n">
        <v>77.59999999999999</v>
      </c>
      <c r="DJ56" t="n">
        <v>65.8</v>
      </c>
      <c r="DK56" t="n">
        <v>55.9</v>
      </c>
      <c r="DL56" t="n">
        <v>85.59999999999999</v>
      </c>
      <c r="DM56" t="n">
        <v>76.8</v>
      </c>
      <c r="DN56" t="n">
        <v>0</v>
      </c>
      <c r="DO56" t="n">
        <v>0</v>
      </c>
      <c r="DP56" t="n">
        <v>0</v>
      </c>
      <c r="DQ56" t="n">
        <v>0</v>
      </c>
      <c r="DR56" t="n">
        <v>0</v>
      </c>
      <c r="DS56" t="n">
        <v>0</v>
      </c>
      <c r="DT56" t="n">
        <v>0</v>
      </c>
      <c r="DU56" t="n">
        <v>0</v>
      </c>
      <c r="DV56" t="inlineStr">
        <is>
          <t>1000 Texas Green-e RECs</t>
        </is>
      </c>
    </row>
    <row r="57">
      <c r="A57" t="inlineStr">
        <is>
          <t>TX GREEN-E REC V24 BACK HALF - NODAL EXCHANGE</t>
        </is>
      </c>
      <c r="B57" t="n">
        <v>230103</v>
      </c>
      <c r="C57" s="1" t="n">
        <v>44929</v>
      </c>
      <c r="D57" t="inlineStr">
        <is>
          <t>006NG3</t>
        </is>
      </c>
      <c r="E57" t="inlineStr">
        <is>
          <t>NODX</t>
        </is>
      </c>
      <c r="F57" t="inlineStr">
        <is>
          <t>01</t>
        </is>
      </c>
      <c r="G57" t="inlineStr">
        <is>
          <t xml:space="preserve">006 </t>
        </is>
      </c>
      <c r="H57" t="n">
        <v>4177</v>
      </c>
      <c r="I57" s="17" t="n">
        <v>565</v>
      </c>
      <c r="J57" s="17" t="n">
        <v>1104</v>
      </c>
      <c r="K57" t="n">
        <v>0</v>
      </c>
      <c r="L57" t="n">
        <v>3345</v>
      </c>
      <c r="M57" t="n">
        <v>2818</v>
      </c>
      <c r="N57" t="n">
        <v>3910</v>
      </c>
      <c r="O57" t="n">
        <v>3922</v>
      </c>
      <c r="P57" t="n">
        <v>267</v>
      </c>
      <c r="Q57" t="n">
        <v>255</v>
      </c>
      <c r="R57" t="n">
        <v>4177</v>
      </c>
      <c r="S57" t="n">
        <v>565</v>
      </c>
      <c r="T57" t="n">
        <v>1104</v>
      </c>
      <c r="U57" t="n">
        <v>0</v>
      </c>
      <c r="V57" t="n">
        <v>3345</v>
      </c>
      <c r="W57" t="n">
        <v>2818</v>
      </c>
      <c r="X57" t="n">
        <v>3910</v>
      </c>
      <c r="Y57" t="n">
        <v>3922</v>
      </c>
      <c r="Z57" t="n">
        <v>267</v>
      </c>
      <c r="AA57" t="n">
        <v>255</v>
      </c>
      <c r="AB57" t="n">
        <v>0</v>
      </c>
      <c r="AC57" t="n">
        <v>0</v>
      </c>
      <c r="AD57" t="n">
        <v>0</v>
      </c>
      <c r="AE57" t="n">
        <v>0</v>
      </c>
      <c r="AF57" t="n">
        <v>0</v>
      </c>
      <c r="AG57" t="n">
        <v>0</v>
      </c>
      <c r="AH57" t="n">
        <v>0</v>
      </c>
      <c r="AI57" t="n">
        <v>0</v>
      </c>
      <c r="AJ57" t="n">
        <v>0</v>
      </c>
      <c r="AK57" t="n">
        <v>0</v>
      </c>
      <c r="AL57" t="n">
        <v>5</v>
      </c>
      <c r="AM57" t="n">
        <v>0</v>
      </c>
      <c r="AN57" t="n">
        <v>0</v>
      </c>
      <c r="AO57" t="n">
        <v>0</v>
      </c>
      <c r="AP57" t="n">
        <v>5</v>
      </c>
      <c r="AQ57" t="n">
        <v>0</v>
      </c>
      <c r="AR57" t="n">
        <v>5</v>
      </c>
      <c r="AS57" t="n">
        <v>0</v>
      </c>
      <c r="AT57" t="n">
        <v>0</v>
      </c>
      <c r="AU57" t="n">
        <v>5</v>
      </c>
      <c r="AV57" t="n">
        <v>100</v>
      </c>
      <c r="AW57" t="n">
        <v>13.5</v>
      </c>
      <c r="AX57" t="n">
        <v>26.4</v>
      </c>
      <c r="AY57" t="n">
        <v>0</v>
      </c>
      <c r="AZ57" t="n">
        <v>80.09999999999999</v>
      </c>
      <c r="BA57" t="n">
        <v>67.5</v>
      </c>
      <c r="BB57" t="n">
        <v>93.59999999999999</v>
      </c>
      <c r="BC57" t="n">
        <v>93.90000000000001</v>
      </c>
      <c r="BD57" t="n">
        <v>6.4</v>
      </c>
      <c r="BE57" t="n">
        <v>6.1</v>
      </c>
      <c r="BF57" t="n">
        <v>100</v>
      </c>
      <c r="BG57" t="n">
        <v>13.5</v>
      </c>
      <c r="BH57" t="n">
        <v>26.4</v>
      </c>
      <c r="BI57" t="n">
        <v>0</v>
      </c>
      <c r="BJ57" t="n">
        <v>80.09999999999999</v>
      </c>
      <c r="BK57" t="n">
        <v>67.5</v>
      </c>
      <c r="BL57" t="n">
        <v>93.59999999999999</v>
      </c>
      <c r="BM57" t="n">
        <v>93.90000000000001</v>
      </c>
      <c r="BN57" t="n">
        <v>6.4</v>
      </c>
      <c r="BO57" t="n">
        <v>6.1</v>
      </c>
      <c r="BP57" t="n">
        <v>0</v>
      </c>
      <c r="BQ57" t="n">
        <v>0</v>
      </c>
      <c r="BR57" t="n">
        <v>0</v>
      </c>
      <c r="BS57" t="n">
        <v>0</v>
      </c>
      <c r="BT57" t="n">
        <v>0</v>
      </c>
      <c r="BU57" t="n">
        <v>0</v>
      </c>
      <c r="BV57" t="n">
        <v>0</v>
      </c>
      <c r="BW57" t="n">
        <v>0</v>
      </c>
      <c r="BX57" t="n">
        <v>0</v>
      </c>
      <c r="BY57" t="n">
        <v>0</v>
      </c>
      <c r="BZ57" t="n">
        <v>26</v>
      </c>
      <c r="CA57" t="n">
        <v>3</v>
      </c>
      <c r="CB57" t="n">
        <v>8</v>
      </c>
      <c r="CC57" t="n">
        <v>0</v>
      </c>
      <c r="CD57" t="n">
        <v>8</v>
      </c>
      <c r="CE57" t="n">
        <v>9</v>
      </c>
      <c r="CF57" t="n">
        <v>11</v>
      </c>
      <c r="CG57" t="n">
        <v>17</v>
      </c>
      <c r="CH57" t="n">
        <v>26</v>
      </c>
      <c r="CI57" t="n">
        <v>3</v>
      </c>
      <c r="CJ57" t="n">
        <v>8</v>
      </c>
      <c r="CK57" t="n">
        <v>0</v>
      </c>
      <c r="CL57" t="n">
        <v>8</v>
      </c>
      <c r="CM57" t="n">
        <v>9</v>
      </c>
      <c r="CN57" t="n">
        <v>11</v>
      </c>
      <c r="CO57" t="n">
        <v>17</v>
      </c>
      <c r="CP57" t="n">
        <v>0</v>
      </c>
      <c r="CQ57" t="n">
        <v>0</v>
      </c>
      <c r="CR57" t="n">
        <v>0</v>
      </c>
      <c r="CS57" t="n">
        <v>0</v>
      </c>
      <c r="CT57" t="n">
        <v>0</v>
      </c>
      <c r="CU57" t="n">
        <v>0</v>
      </c>
      <c r="CV57" t="n">
        <v>0</v>
      </c>
      <c r="CW57" t="n">
        <v>0</v>
      </c>
      <c r="CX57" t="n">
        <v>67</v>
      </c>
      <c r="CY57" t="n">
        <v>55.3</v>
      </c>
      <c r="CZ57" t="n">
        <v>87.3</v>
      </c>
      <c r="DA57" t="n">
        <v>77.59999999999999</v>
      </c>
      <c r="DB57" t="n">
        <v>65.8</v>
      </c>
      <c r="DC57" t="n">
        <v>55.3</v>
      </c>
      <c r="DD57" t="n">
        <v>85.59999999999999</v>
      </c>
      <c r="DE57" t="n">
        <v>76.2</v>
      </c>
      <c r="DF57" t="n">
        <v>67</v>
      </c>
      <c r="DG57" t="n">
        <v>55.3</v>
      </c>
      <c r="DH57" t="n">
        <v>87.3</v>
      </c>
      <c r="DI57" t="n">
        <v>77.59999999999999</v>
      </c>
      <c r="DJ57" t="n">
        <v>65.8</v>
      </c>
      <c r="DK57" t="n">
        <v>55.3</v>
      </c>
      <c r="DL57" t="n">
        <v>85.59999999999999</v>
      </c>
      <c r="DM57" t="n">
        <v>76.2</v>
      </c>
      <c r="DN57" t="n">
        <v>0</v>
      </c>
      <c r="DO57" t="n">
        <v>0</v>
      </c>
      <c r="DP57" t="n">
        <v>0</v>
      </c>
      <c r="DQ57" t="n">
        <v>0</v>
      </c>
      <c r="DR57" t="n">
        <v>0</v>
      </c>
      <c r="DS57" t="n">
        <v>0</v>
      </c>
      <c r="DT57" t="n">
        <v>0</v>
      </c>
      <c r="DU57" t="n">
        <v>0</v>
      </c>
      <c r="DV57" t="inlineStr">
        <is>
          <t>1000 Texas Green-e RECs</t>
        </is>
      </c>
    </row>
    <row r="58">
      <c r="A58" t="inlineStr">
        <is>
          <t>TX GREEN-E REC V25 BACK HALF - NODAL EXCHANGE</t>
        </is>
      </c>
      <c r="B58" t="n">
        <v>230110</v>
      </c>
      <c r="C58" s="1" t="n">
        <v>44936</v>
      </c>
      <c r="D58" t="inlineStr">
        <is>
          <t>006NG4</t>
        </is>
      </c>
      <c r="E58" t="inlineStr">
        <is>
          <t>NODX</t>
        </is>
      </c>
      <c r="F58" t="inlineStr">
        <is>
          <t>01</t>
        </is>
      </c>
      <c r="G58" t="inlineStr">
        <is>
          <t xml:space="preserve">006 </t>
        </is>
      </c>
      <c r="H58" t="n">
        <v>3693</v>
      </c>
      <c r="I58" s="17" t="n">
        <v>543</v>
      </c>
      <c r="J58" s="17" t="n">
        <v>1020</v>
      </c>
      <c r="K58" t="n">
        <v>75</v>
      </c>
      <c r="L58" t="n">
        <v>2998</v>
      </c>
      <c r="M58" t="n">
        <v>2528</v>
      </c>
      <c r="N58" t="n">
        <v>3616</v>
      </c>
      <c r="O58" t="n">
        <v>3623</v>
      </c>
      <c r="P58" t="n">
        <v>77</v>
      </c>
      <c r="Q58" t="n">
        <v>70</v>
      </c>
      <c r="R58" t="n">
        <v>3693</v>
      </c>
      <c r="S58" t="n">
        <v>543</v>
      </c>
      <c r="T58" t="n">
        <v>1020</v>
      </c>
      <c r="U58" t="n">
        <v>75</v>
      </c>
      <c r="V58" t="n">
        <v>2998</v>
      </c>
      <c r="W58" t="n">
        <v>2528</v>
      </c>
      <c r="X58" t="n">
        <v>3616</v>
      </c>
      <c r="Y58" t="n">
        <v>3623</v>
      </c>
      <c r="Z58" t="n">
        <v>77</v>
      </c>
      <c r="AA58" t="n">
        <v>70</v>
      </c>
      <c r="AB58" t="n">
        <v>0</v>
      </c>
      <c r="AC58" t="n">
        <v>0</v>
      </c>
      <c r="AD58" t="n">
        <v>0</v>
      </c>
      <c r="AE58" t="n">
        <v>0</v>
      </c>
      <c r="AF58" t="n">
        <v>0</v>
      </c>
      <c r="AG58" t="n">
        <v>0</v>
      </c>
      <c r="AH58" t="n">
        <v>0</v>
      </c>
      <c r="AI58" t="n">
        <v>0</v>
      </c>
      <c r="AJ58" t="n">
        <v>0</v>
      </c>
      <c r="AK58" t="n">
        <v>0</v>
      </c>
      <c r="AL58" t="n">
        <v>5</v>
      </c>
      <c r="AM58" t="n">
        <v>0</v>
      </c>
      <c r="AN58" t="n">
        <v>0</v>
      </c>
      <c r="AO58" t="n">
        <v>0</v>
      </c>
      <c r="AP58" t="n">
        <v>5</v>
      </c>
      <c r="AQ58" t="n">
        <v>5</v>
      </c>
      <c r="AR58" t="n">
        <v>5</v>
      </c>
      <c r="AS58" t="n">
        <v>5</v>
      </c>
      <c r="AT58" t="n">
        <v>0</v>
      </c>
      <c r="AU58" t="n">
        <v>0</v>
      </c>
      <c r="AV58" t="n">
        <v>100</v>
      </c>
      <c r="AW58" t="n">
        <v>14.7</v>
      </c>
      <c r="AX58" t="n">
        <v>27.6</v>
      </c>
      <c r="AY58" t="n">
        <v>2</v>
      </c>
      <c r="AZ58" t="n">
        <v>81.2</v>
      </c>
      <c r="BA58" t="n">
        <v>68.5</v>
      </c>
      <c r="BB58" t="n">
        <v>97.90000000000001</v>
      </c>
      <c r="BC58" t="n">
        <v>98.09999999999999</v>
      </c>
      <c r="BD58" t="n">
        <v>2.1</v>
      </c>
      <c r="BE58" t="n">
        <v>1.9</v>
      </c>
      <c r="BF58" t="n">
        <v>100</v>
      </c>
      <c r="BG58" t="n">
        <v>14.7</v>
      </c>
      <c r="BH58" t="n">
        <v>27.6</v>
      </c>
      <c r="BI58" t="n">
        <v>2</v>
      </c>
      <c r="BJ58" t="n">
        <v>81.2</v>
      </c>
      <c r="BK58" t="n">
        <v>68.5</v>
      </c>
      <c r="BL58" t="n">
        <v>97.90000000000001</v>
      </c>
      <c r="BM58" t="n">
        <v>98.09999999999999</v>
      </c>
      <c r="BN58" t="n">
        <v>2.1</v>
      </c>
      <c r="BO58" t="n">
        <v>1.9</v>
      </c>
      <c r="BP58" t="n">
        <v>0</v>
      </c>
      <c r="BQ58" t="n">
        <v>0</v>
      </c>
      <c r="BR58" t="n">
        <v>0</v>
      </c>
      <c r="BS58" t="n">
        <v>0</v>
      </c>
      <c r="BT58" t="n">
        <v>0</v>
      </c>
      <c r="BU58" t="n">
        <v>0</v>
      </c>
      <c r="BV58" t="n">
        <v>0</v>
      </c>
      <c r="BW58" t="n">
        <v>0</v>
      </c>
      <c r="BX58" t="n">
        <v>0</v>
      </c>
      <c r="BY58" t="n">
        <v>0</v>
      </c>
      <c r="BZ58" t="n">
        <v>31</v>
      </c>
      <c r="CA58" t="n">
        <v>6</v>
      </c>
      <c r="CB58" t="n">
        <v>7</v>
      </c>
      <c r="CC58" t="n">
        <v>1</v>
      </c>
      <c r="CD58" t="n">
        <v>11</v>
      </c>
      <c r="CE58" t="n">
        <v>9</v>
      </c>
      <c r="CF58" t="n">
        <v>17</v>
      </c>
      <c r="CG58" t="n">
        <v>17</v>
      </c>
      <c r="CH58" t="n">
        <v>31</v>
      </c>
      <c r="CI58" t="n">
        <v>6</v>
      </c>
      <c r="CJ58" t="n">
        <v>7</v>
      </c>
      <c r="CK58" t="n">
        <v>1</v>
      </c>
      <c r="CL58" t="n">
        <v>11</v>
      </c>
      <c r="CM58" t="n">
        <v>9</v>
      </c>
      <c r="CN58" t="n">
        <v>17</v>
      </c>
      <c r="CO58" t="n">
        <v>17</v>
      </c>
      <c r="CP58" t="n">
        <v>0</v>
      </c>
      <c r="CQ58" t="n">
        <v>0</v>
      </c>
      <c r="CR58" t="n">
        <v>0</v>
      </c>
      <c r="CS58" t="n">
        <v>0</v>
      </c>
      <c r="CT58" t="n">
        <v>0</v>
      </c>
      <c r="CU58" t="n">
        <v>0</v>
      </c>
      <c r="CV58" t="n">
        <v>0</v>
      </c>
      <c r="CW58" t="n">
        <v>0</v>
      </c>
      <c r="CX58" t="n">
        <v>68.2</v>
      </c>
      <c r="CY58" t="n">
        <v>57.1</v>
      </c>
      <c r="CZ58" t="n">
        <v>83.59999999999999</v>
      </c>
      <c r="DA58" t="n">
        <v>80.7</v>
      </c>
      <c r="DB58" t="n">
        <v>66.59999999999999</v>
      </c>
      <c r="DC58" t="n">
        <v>57.1</v>
      </c>
      <c r="DD58" t="n">
        <v>81.7</v>
      </c>
      <c r="DE58" t="n">
        <v>80.7</v>
      </c>
      <c r="DF58" t="n">
        <v>68.2</v>
      </c>
      <c r="DG58" t="n">
        <v>57.1</v>
      </c>
      <c r="DH58" t="n">
        <v>83.59999999999999</v>
      </c>
      <c r="DI58" t="n">
        <v>80.7</v>
      </c>
      <c r="DJ58" t="n">
        <v>66.59999999999999</v>
      </c>
      <c r="DK58" t="n">
        <v>57.1</v>
      </c>
      <c r="DL58" t="n">
        <v>81.7</v>
      </c>
      <c r="DM58" t="n">
        <v>80.7</v>
      </c>
      <c r="DN58" t="n">
        <v>0</v>
      </c>
      <c r="DO58" t="n">
        <v>0</v>
      </c>
      <c r="DP58" t="n">
        <v>0</v>
      </c>
      <c r="DQ58" t="n">
        <v>0</v>
      </c>
      <c r="DR58" t="n">
        <v>0</v>
      </c>
      <c r="DS58" t="n">
        <v>0</v>
      </c>
      <c r="DT58" t="n">
        <v>0</v>
      </c>
      <c r="DU58" t="n">
        <v>0</v>
      </c>
      <c r="DV58" t="inlineStr">
        <is>
          <t>1000 Texas Green-e RECs</t>
        </is>
      </c>
    </row>
    <row r="59">
      <c r="A59" t="inlineStr">
        <is>
          <t>TX GREEN-E REC V25 BACK HALF - NODAL EXCHANGE</t>
        </is>
      </c>
      <c r="B59" t="n">
        <v>230103</v>
      </c>
      <c r="C59" s="1" t="n">
        <v>44929</v>
      </c>
      <c r="D59" t="inlineStr">
        <is>
          <t>006NG4</t>
        </is>
      </c>
      <c r="E59" t="inlineStr">
        <is>
          <t>NODX</t>
        </is>
      </c>
      <c r="F59" t="inlineStr">
        <is>
          <t>01</t>
        </is>
      </c>
      <c r="G59" t="inlineStr">
        <is>
          <t xml:space="preserve">006 </t>
        </is>
      </c>
      <c r="H59" t="n">
        <v>3688</v>
      </c>
      <c r="I59" s="17" t="n">
        <v>543</v>
      </c>
      <c r="J59" s="17" t="n">
        <v>1020</v>
      </c>
      <c r="K59" t="n">
        <v>75</v>
      </c>
      <c r="L59" t="n">
        <v>2993</v>
      </c>
      <c r="M59" t="n">
        <v>2523</v>
      </c>
      <c r="N59" t="n">
        <v>3611</v>
      </c>
      <c r="O59" t="n">
        <v>3618</v>
      </c>
      <c r="P59" t="n">
        <v>77</v>
      </c>
      <c r="Q59" t="n">
        <v>70</v>
      </c>
      <c r="R59" t="n">
        <v>3688</v>
      </c>
      <c r="S59" t="n">
        <v>543</v>
      </c>
      <c r="T59" t="n">
        <v>1020</v>
      </c>
      <c r="U59" t="n">
        <v>75</v>
      </c>
      <c r="V59" t="n">
        <v>2993</v>
      </c>
      <c r="W59" t="n">
        <v>2523</v>
      </c>
      <c r="X59" t="n">
        <v>3611</v>
      </c>
      <c r="Y59" t="n">
        <v>3618</v>
      </c>
      <c r="Z59" t="n">
        <v>77</v>
      </c>
      <c r="AA59" t="n">
        <v>70</v>
      </c>
      <c r="AB59" t="n">
        <v>0</v>
      </c>
      <c r="AC59" t="n">
        <v>0</v>
      </c>
      <c r="AD59" t="n">
        <v>0</v>
      </c>
      <c r="AE59" t="n">
        <v>0</v>
      </c>
      <c r="AF59" t="n">
        <v>0</v>
      </c>
      <c r="AG59" t="n">
        <v>0</v>
      </c>
      <c r="AH59" t="n">
        <v>0</v>
      </c>
      <c r="AI59" t="n">
        <v>0</v>
      </c>
      <c r="AJ59" t="n">
        <v>0</v>
      </c>
      <c r="AK59" t="n">
        <v>0</v>
      </c>
      <c r="AL59" t="n">
        <v>0</v>
      </c>
      <c r="AM59" t="n">
        <v>0</v>
      </c>
      <c r="AN59" t="n">
        <v>0</v>
      </c>
      <c r="AO59" t="n">
        <v>0</v>
      </c>
      <c r="AP59" t="n">
        <v>0</v>
      </c>
      <c r="AQ59" t="n">
        <v>0</v>
      </c>
      <c r="AR59" t="n">
        <v>0</v>
      </c>
      <c r="AS59" t="n">
        <v>0</v>
      </c>
      <c r="AT59" t="n">
        <v>0</v>
      </c>
      <c r="AU59" t="n">
        <v>0</v>
      </c>
      <c r="AV59" t="n">
        <v>100</v>
      </c>
      <c r="AW59" t="n">
        <v>14.7</v>
      </c>
      <c r="AX59" t="n">
        <v>27.7</v>
      </c>
      <c r="AY59" t="n">
        <v>2</v>
      </c>
      <c r="AZ59" t="n">
        <v>81.2</v>
      </c>
      <c r="BA59" t="n">
        <v>68.40000000000001</v>
      </c>
      <c r="BB59" t="n">
        <v>97.90000000000001</v>
      </c>
      <c r="BC59" t="n">
        <v>98.09999999999999</v>
      </c>
      <c r="BD59" t="n">
        <v>2.1</v>
      </c>
      <c r="BE59" t="n">
        <v>1.9</v>
      </c>
      <c r="BF59" t="n">
        <v>100</v>
      </c>
      <c r="BG59" t="n">
        <v>14.7</v>
      </c>
      <c r="BH59" t="n">
        <v>27.7</v>
      </c>
      <c r="BI59" t="n">
        <v>2</v>
      </c>
      <c r="BJ59" t="n">
        <v>81.2</v>
      </c>
      <c r="BK59" t="n">
        <v>68.40000000000001</v>
      </c>
      <c r="BL59" t="n">
        <v>97.90000000000001</v>
      </c>
      <c r="BM59" t="n">
        <v>98.09999999999999</v>
      </c>
      <c r="BN59" t="n">
        <v>2.1</v>
      </c>
      <c r="BO59" t="n">
        <v>1.9</v>
      </c>
      <c r="BP59" t="n">
        <v>0</v>
      </c>
      <c r="BQ59" t="n">
        <v>0</v>
      </c>
      <c r="BR59" t="n">
        <v>0</v>
      </c>
      <c r="BS59" t="n">
        <v>0</v>
      </c>
      <c r="BT59" t="n">
        <v>0</v>
      </c>
      <c r="BU59" t="n">
        <v>0</v>
      </c>
      <c r="BV59" t="n">
        <v>0</v>
      </c>
      <c r="BW59" t="n">
        <v>0</v>
      </c>
      <c r="BX59" t="n">
        <v>0</v>
      </c>
      <c r="BY59" t="n">
        <v>0</v>
      </c>
      <c r="BZ59" t="n">
        <v>30</v>
      </c>
      <c r="CA59" t="n">
        <v>6</v>
      </c>
      <c r="CB59" t="n">
        <v>7</v>
      </c>
      <c r="CC59" t="n">
        <v>1</v>
      </c>
      <c r="CD59" t="n">
        <v>11</v>
      </c>
      <c r="CE59" t="n">
        <v>8</v>
      </c>
      <c r="CF59" t="n">
        <v>17</v>
      </c>
      <c r="CG59" t="n">
        <v>16</v>
      </c>
      <c r="CH59" t="n">
        <v>30</v>
      </c>
      <c r="CI59" t="n">
        <v>6</v>
      </c>
      <c r="CJ59" t="n">
        <v>7</v>
      </c>
      <c r="CK59" t="n">
        <v>1</v>
      </c>
      <c r="CL59" t="n">
        <v>11</v>
      </c>
      <c r="CM59" t="n">
        <v>8</v>
      </c>
      <c r="CN59" t="n">
        <v>17</v>
      </c>
      <c r="CO59" t="n">
        <v>16</v>
      </c>
      <c r="CP59" t="n">
        <v>0</v>
      </c>
      <c r="CQ59" t="n">
        <v>0</v>
      </c>
      <c r="CR59" t="n">
        <v>0</v>
      </c>
      <c r="CS59" t="n">
        <v>0</v>
      </c>
      <c r="CT59" t="n">
        <v>0</v>
      </c>
      <c r="CU59" t="n">
        <v>0</v>
      </c>
      <c r="CV59" t="n">
        <v>0</v>
      </c>
      <c r="CW59" t="n">
        <v>0</v>
      </c>
      <c r="CX59" t="n">
        <v>68.09999999999999</v>
      </c>
      <c r="CY59" t="n">
        <v>57.2</v>
      </c>
      <c r="CZ59" t="n">
        <v>83.5</v>
      </c>
      <c r="DA59" t="n">
        <v>82</v>
      </c>
      <c r="DB59" t="n">
        <v>66.5</v>
      </c>
      <c r="DC59" t="n">
        <v>57.2</v>
      </c>
      <c r="DD59" t="n">
        <v>81.59999999999999</v>
      </c>
      <c r="DE59" t="n">
        <v>82</v>
      </c>
      <c r="DF59" t="n">
        <v>68.09999999999999</v>
      </c>
      <c r="DG59" t="n">
        <v>57.2</v>
      </c>
      <c r="DH59" t="n">
        <v>83.5</v>
      </c>
      <c r="DI59" t="n">
        <v>82</v>
      </c>
      <c r="DJ59" t="n">
        <v>66.5</v>
      </c>
      <c r="DK59" t="n">
        <v>57.2</v>
      </c>
      <c r="DL59" t="n">
        <v>81.59999999999999</v>
      </c>
      <c r="DM59" t="n">
        <v>82</v>
      </c>
      <c r="DN59" t="n">
        <v>0</v>
      </c>
      <c r="DO59" t="n">
        <v>0</v>
      </c>
      <c r="DP59" t="n">
        <v>0</v>
      </c>
      <c r="DQ59" t="n">
        <v>0</v>
      </c>
      <c r="DR59" t="n">
        <v>0</v>
      </c>
      <c r="DS59" t="n">
        <v>0</v>
      </c>
      <c r="DT59" t="n">
        <v>0</v>
      </c>
      <c r="DU59" t="n">
        <v>0</v>
      </c>
      <c r="DV59" t="inlineStr">
        <is>
          <t>1000 Texas Green-e RECs</t>
        </is>
      </c>
    </row>
    <row r="60">
      <c r="A60" t="inlineStr">
        <is>
          <t>TX REC CRS V26 BACK HALF - NODAL EXCHANGE</t>
        </is>
      </c>
      <c r="B60" t="n">
        <v>230110</v>
      </c>
      <c r="C60" s="1" t="n">
        <v>44936</v>
      </c>
      <c r="D60" t="inlineStr">
        <is>
          <t>006NHT</t>
        </is>
      </c>
      <c r="E60" t="inlineStr">
        <is>
          <t>NODX</t>
        </is>
      </c>
      <c r="F60" t="inlineStr">
        <is>
          <t>01</t>
        </is>
      </c>
      <c r="G60" t="inlineStr">
        <is>
          <t xml:space="preserve">006 </t>
        </is>
      </c>
      <c r="H60" t="n">
        <v>1895</v>
      </c>
      <c r="I60" s="17" t="n">
        <v>803</v>
      </c>
      <c r="J60" s="17" t="n">
        <v>500</v>
      </c>
      <c r="K60" t="n">
        <v>0</v>
      </c>
      <c r="L60" t="n">
        <v>867</v>
      </c>
      <c r="M60" t="n">
        <v>1160</v>
      </c>
      <c r="N60" t="n">
        <v>1670</v>
      </c>
      <c r="O60" t="n">
        <v>1660</v>
      </c>
      <c r="P60" t="n">
        <v>225</v>
      </c>
      <c r="Q60" t="n">
        <v>235</v>
      </c>
      <c r="R60" t="n">
        <v>1895</v>
      </c>
      <c r="S60" t="n">
        <v>803</v>
      </c>
      <c r="T60" t="n">
        <v>500</v>
      </c>
      <c r="U60" t="n">
        <v>0</v>
      </c>
      <c r="V60" t="n">
        <v>867</v>
      </c>
      <c r="W60" t="n">
        <v>1160</v>
      </c>
      <c r="X60" t="n">
        <v>1670</v>
      </c>
      <c r="Y60" t="n">
        <v>1660</v>
      </c>
      <c r="Z60" t="n">
        <v>225</v>
      </c>
      <c r="AA60" t="n">
        <v>235</v>
      </c>
      <c r="AB60" t="n">
        <v>0</v>
      </c>
      <c r="AC60" t="n">
        <v>0</v>
      </c>
      <c r="AD60" t="n">
        <v>0</v>
      </c>
      <c r="AE60" t="n">
        <v>0</v>
      </c>
      <c r="AF60" t="n">
        <v>0</v>
      </c>
      <c r="AG60" t="n">
        <v>0</v>
      </c>
      <c r="AH60" t="n">
        <v>0</v>
      </c>
      <c r="AI60" t="n">
        <v>0</v>
      </c>
      <c r="AJ60" t="n">
        <v>0</v>
      </c>
      <c r="AK60" t="n">
        <v>0</v>
      </c>
      <c r="AL60" t="n">
        <v>0</v>
      </c>
      <c r="AM60" t="n">
        <v>-50</v>
      </c>
      <c r="AN60" t="n">
        <v>0</v>
      </c>
      <c r="AO60" t="n">
        <v>0</v>
      </c>
      <c r="AP60" t="n">
        <v>50</v>
      </c>
      <c r="AQ60" t="n">
        <v>0</v>
      </c>
      <c r="AR60" t="n">
        <v>0</v>
      </c>
      <c r="AS60" t="n">
        <v>0</v>
      </c>
      <c r="AT60" t="n">
        <v>0</v>
      </c>
      <c r="AU60" t="n">
        <v>0</v>
      </c>
      <c r="AV60" t="n">
        <v>100</v>
      </c>
      <c r="AW60" t="n">
        <v>42.4</v>
      </c>
      <c r="AX60" t="n">
        <v>26.4</v>
      </c>
      <c r="AY60" t="n">
        <v>0</v>
      </c>
      <c r="AZ60" t="n">
        <v>45.8</v>
      </c>
      <c r="BA60" t="n">
        <v>61.2</v>
      </c>
      <c r="BB60" t="n">
        <v>88.09999999999999</v>
      </c>
      <c r="BC60" t="n">
        <v>87.59999999999999</v>
      </c>
      <c r="BD60" t="n">
        <v>11.9</v>
      </c>
      <c r="BE60" t="n">
        <v>12.4</v>
      </c>
      <c r="BF60" t="n">
        <v>100</v>
      </c>
      <c r="BG60" t="n">
        <v>42.4</v>
      </c>
      <c r="BH60" t="n">
        <v>26.4</v>
      </c>
      <c r="BI60" t="n">
        <v>0</v>
      </c>
      <c r="BJ60" t="n">
        <v>45.8</v>
      </c>
      <c r="BK60" t="n">
        <v>61.2</v>
      </c>
      <c r="BL60" t="n">
        <v>88.09999999999999</v>
      </c>
      <c r="BM60" t="n">
        <v>87.59999999999999</v>
      </c>
      <c r="BN60" t="n">
        <v>11.9</v>
      </c>
      <c r="BO60" t="n">
        <v>12.4</v>
      </c>
      <c r="BP60" t="n">
        <v>0</v>
      </c>
      <c r="BQ60" t="n">
        <v>0</v>
      </c>
      <c r="BR60" t="n">
        <v>0</v>
      </c>
      <c r="BS60" t="n">
        <v>0</v>
      </c>
      <c r="BT60" t="n">
        <v>0</v>
      </c>
      <c r="BU60" t="n">
        <v>0</v>
      </c>
      <c r="BV60" t="n">
        <v>0</v>
      </c>
      <c r="BW60" t="n">
        <v>0</v>
      </c>
      <c r="BX60" t="n">
        <v>0</v>
      </c>
      <c r="BY60" t="n">
        <v>0</v>
      </c>
      <c r="BZ60" t="n">
        <v>22</v>
      </c>
      <c r="CA60" t="n">
        <v>3</v>
      </c>
      <c r="CB60" t="n">
        <v>5</v>
      </c>
      <c r="CC60" t="n">
        <v>0</v>
      </c>
      <c r="CD60" t="n">
        <v>6</v>
      </c>
      <c r="CE60" t="n">
        <v>8</v>
      </c>
      <c r="CF60" t="n">
        <v>9</v>
      </c>
      <c r="CG60" t="n">
        <v>13</v>
      </c>
      <c r="CH60" t="n">
        <v>22</v>
      </c>
      <c r="CI60" t="n">
        <v>3</v>
      </c>
      <c r="CJ60" t="n">
        <v>5</v>
      </c>
      <c r="CK60" t="n">
        <v>0</v>
      </c>
      <c r="CL60" t="n">
        <v>6</v>
      </c>
      <c r="CM60" t="n">
        <v>8</v>
      </c>
      <c r="CN60" t="n">
        <v>9</v>
      </c>
      <c r="CO60" t="n">
        <v>13</v>
      </c>
      <c r="CP60" t="n">
        <v>0</v>
      </c>
      <c r="CQ60" t="n">
        <v>0</v>
      </c>
      <c r="CR60" t="n">
        <v>0</v>
      </c>
      <c r="CS60" t="n">
        <v>0</v>
      </c>
      <c r="CT60" t="n">
        <v>0</v>
      </c>
      <c r="CU60" t="n">
        <v>0</v>
      </c>
      <c r="CV60" t="n">
        <v>0</v>
      </c>
      <c r="CW60" t="n">
        <v>0</v>
      </c>
      <c r="CX60" t="n">
        <v>72.3</v>
      </c>
      <c r="CY60" t="n">
        <v>48.4</v>
      </c>
      <c r="CZ60" t="n">
        <v>86.8</v>
      </c>
      <c r="DA60" t="n">
        <v>72.2</v>
      </c>
      <c r="DB60" t="n">
        <v>72.3</v>
      </c>
      <c r="DC60" t="n">
        <v>48.4</v>
      </c>
      <c r="DD60" t="n">
        <v>86.8</v>
      </c>
      <c r="DE60" t="n">
        <v>72.2</v>
      </c>
      <c r="DF60" t="n">
        <v>72.3</v>
      </c>
      <c r="DG60" t="n">
        <v>48.4</v>
      </c>
      <c r="DH60" t="n">
        <v>86.8</v>
      </c>
      <c r="DI60" t="n">
        <v>72.2</v>
      </c>
      <c r="DJ60" t="n">
        <v>72.3</v>
      </c>
      <c r="DK60" t="n">
        <v>48.4</v>
      </c>
      <c r="DL60" t="n">
        <v>86.8</v>
      </c>
      <c r="DM60" t="n">
        <v>72.2</v>
      </c>
      <c r="DN60" t="n">
        <v>0</v>
      </c>
      <c r="DO60" t="n">
        <v>0</v>
      </c>
      <c r="DP60" t="n">
        <v>0</v>
      </c>
      <c r="DQ60" t="n">
        <v>0</v>
      </c>
      <c r="DR60" t="n">
        <v>0</v>
      </c>
      <c r="DS60" t="n">
        <v>0</v>
      </c>
      <c r="DT60" t="n">
        <v>0</v>
      </c>
      <c r="DU60" t="n">
        <v>0</v>
      </c>
      <c r="DV60" t="inlineStr">
        <is>
          <t>1000 Texas RECs</t>
        </is>
      </c>
    </row>
    <row r="61">
      <c r="A61" t="inlineStr">
        <is>
          <t>TX REC CRS V26 BACK HALF - NODAL EXCHANGE</t>
        </is>
      </c>
      <c r="B61" t="n">
        <v>230103</v>
      </c>
      <c r="C61" s="1" t="n">
        <v>44929</v>
      </c>
      <c r="D61" t="inlineStr">
        <is>
          <t>006NHT</t>
        </is>
      </c>
      <c r="E61" t="inlineStr">
        <is>
          <t>NODX</t>
        </is>
      </c>
      <c r="F61" t="inlineStr">
        <is>
          <t>01</t>
        </is>
      </c>
      <c r="G61" t="inlineStr">
        <is>
          <t xml:space="preserve">006 </t>
        </is>
      </c>
      <c r="H61" t="n">
        <v>1895</v>
      </c>
      <c r="I61" s="17" t="n">
        <v>853</v>
      </c>
      <c r="J61" s="17" t="n">
        <v>500</v>
      </c>
      <c r="K61" t="n">
        <v>0</v>
      </c>
      <c r="L61" t="n">
        <v>817</v>
      </c>
      <c r="M61" t="n">
        <v>1160</v>
      </c>
      <c r="N61" t="n">
        <v>1670</v>
      </c>
      <c r="O61" t="n">
        <v>1660</v>
      </c>
      <c r="P61" t="n">
        <v>225</v>
      </c>
      <c r="Q61" t="n">
        <v>235</v>
      </c>
      <c r="R61" t="n">
        <v>1895</v>
      </c>
      <c r="S61" t="n">
        <v>853</v>
      </c>
      <c r="T61" t="n">
        <v>500</v>
      </c>
      <c r="U61" t="n">
        <v>0</v>
      </c>
      <c r="V61" t="n">
        <v>817</v>
      </c>
      <c r="W61" t="n">
        <v>1160</v>
      </c>
      <c r="X61" t="n">
        <v>1670</v>
      </c>
      <c r="Y61" t="n">
        <v>1660</v>
      </c>
      <c r="Z61" t="n">
        <v>225</v>
      </c>
      <c r="AA61" t="n">
        <v>235</v>
      </c>
      <c r="AB61" t="n">
        <v>0</v>
      </c>
      <c r="AC61" t="n">
        <v>0</v>
      </c>
      <c r="AD61" t="n">
        <v>0</v>
      </c>
      <c r="AE61" t="n">
        <v>0</v>
      </c>
      <c r="AF61" t="n">
        <v>0</v>
      </c>
      <c r="AG61" t="n">
        <v>0</v>
      </c>
      <c r="AH61" t="n">
        <v>0</v>
      </c>
      <c r="AI61" t="n">
        <v>0</v>
      </c>
      <c r="AJ61" t="n">
        <v>0</v>
      </c>
      <c r="AK61" t="n">
        <v>0</v>
      </c>
      <c r="AL61" t="n">
        <v>20</v>
      </c>
      <c r="AM61" t="n">
        <v>0</v>
      </c>
      <c r="AN61" t="n">
        <v>0</v>
      </c>
      <c r="AO61" t="n">
        <v>0</v>
      </c>
      <c r="AP61" t="n">
        <v>20</v>
      </c>
      <c r="AQ61" t="n">
        <v>20</v>
      </c>
      <c r="AR61" t="n">
        <v>20</v>
      </c>
      <c r="AS61" t="n">
        <v>20</v>
      </c>
      <c r="AT61" t="n">
        <v>0</v>
      </c>
      <c r="AU61" t="n">
        <v>0</v>
      </c>
      <c r="AV61" t="n">
        <v>100</v>
      </c>
      <c r="AW61" t="n">
        <v>45</v>
      </c>
      <c r="AX61" t="n">
        <v>26.4</v>
      </c>
      <c r="AY61" t="n">
        <v>0</v>
      </c>
      <c r="AZ61" t="n">
        <v>43.1</v>
      </c>
      <c r="BA61" t="n">
        <v>61.2</v>
      </c>
      <c r="BB61" t="n">
        <v>88.09999999999999</v>
      </c>
      <c r="BC61" t="n">
        <v>87.59999999999999</v>
      </c>
      <c r="BD61" t="n">
        <v>11.9</v>
      </c>
      <c r="BE61" t="n">
        <v>12.4</v>
      </c>
      <c r="BF61" t="n">
        <v>100</v>
      </c>
      <c r="BG61" t="n">
        <v>45</v>
      </c>
      <c r="BH61" t="n">
        <v>26.4</v>
      </c>
      <c r="BI61" t="n">
        <v>0</v>
      </c>
      <c r="BJ61" t="n">
        <v>43.1</v>
      </c>
      <c r="BK61" t="n">
        <v>61.2</v>
      </c>
      <c r="BL61" t="n">
        <v>88.09999999999999</v>
      </c>
      <c r="BM61" t="n">
        <v>87.59999999999999</v>
      </c>
      <c r="BN61" t="n">
        <v>11.9</v>
      </c>
      <c r="BO61" t="n">
        <v>12.4</v>
      </c>
      <c r="BP61" t="n">
        <v>0</v>
      </c>
      <c r="BQ61" t="n">
        <v>0</v>
      </c>
      <c r="BR61" t="n">
        <v>0</v>
      </c>
      <c r="BS61" t="n">
        <v>0</v>
      </c>
      <c r="BT61" t="n">
        <v>0</v>
      </c>
      <c r="BU61" t="n">
        <v>0</v>
      </c>
      <c r="BV61" t="n">
        <v>0</v>
      </c>
      <c r="BW61" t="n">
        <v>0</v>
      </c>
      <c r="BX61" t="n">
        <v>0</v>
      </c>
      <c r="BY61" t="n">
        <v>0</v>
      </c>
      <c r="BZ61" t="n">
        <v>22</v>
      </c>
      <c r="CA61" t="n">
        <v>3</v>
      </c>
      <c r="CB61" t="n">
        <v>5</v>
      </c>
      <c r="CC61" t="n">
        <v>0</v>
      </c>
      <c r="CD61" t="n">
        <v>6</v>
      </c>
      <c r="CE61" t="n">
        <v>8</v>
      </c>
      <c r="CF61" t="n">
        <v>9</v>
      </c>
      <c r="CG61" t="n">
        <v>13</v>
      </c>
      <c r="CH61" t="n">
        <v>22</v>
      </c>
      <c r="CI61" t="n">
        <v>3</v>
      </c>
      <c r="CJ61" t="n">
        <v>5</v>
      </c>
      <c r="CK61" t="n">
        <v>0</v>
      </c>
      <c r="CL61" t="n">
        <v>6</v>
      </c>
      <c r="CM61" t="n">
        <v>8</v>
      </c>
      <c r="CN61" t="n">
        <v>9</v>
      </c>
      <c r="CO61" t="n">
        <v>13</v>
      </c>
      <c r="CP61" t="n">
        <v>0</v>
      </c>
      <c r="CQ61" t="n">
        <v>0</v>
      </c>
      <c r="CR61" t="n">
        <v>0</v>
      </c>
      <c r="CS61" t="n">
        <v>0</v>
      </c>
      <c r="CT61" t="n">
        <v>0</v>
      </c>
      <c r="CU61" t="n">
        <v>0</v>
      </c>
      <c r="CV61" t="n">
        <v>0</v>
      </c>
      <c r="CW61" t="n">
        <v>0</v>
      </c>
      <c r="CX61" t="n">
        <v>74.90000000000001</v>
      </c>
      <c r="CY61" t="n">
        <v>48.4</v>
      </c>
      <c r="CZ61" t="n">
        <v>86.8</v>
      </c>
      <c r="DA61" t="n">
        <v>72.2</v>
      </c>
      <c r="DB61" t="n">
        <v>74.90000000000001</v>
      </c>
      <c r="DC61" t="n">
        <v>48.4</v>
      </c>
      <c r="DD61" t="n">
        <v>86.8</v>
      </c>
      <c r="DE61" t="n">
        <v>72.2</v>
      </c>
      <c r="DF61" t="n">
        <v>74.90000000000001</v>
      </c>
      <c r="DG61" t="n">
        <v>48.4</v>
      </c>
      <c r="DH61" t="n">
        <v>86.8</v>
      </c>
      <c r="DI61" t="n">
        <v>72.2</v>
      </c>
      <c r="DJ61" t="n">
        <v>74.90000000000001</v>
      </c>
      <c r="DK61" t="n">
        <v>48.4</v>
      </c>
      <c r="DL61" t="n">
        <v>86.8</v>
      </c>
      <c r="DM61" t="n">
        <v>72.2</v>
      </c>
      <c r="DN61" t="n">
        <v>0</v>
      </c>
      <c r="DO61" t="n">
        <v>0</v>
      </c>
      <c r="DP61" t="n">
        <v>0</v>
      </c>
      <c r="DQ61" t="n">
        <v>0</v>
      </c>
      <c r="DR61" t="n">
        <v>0</v>
      </c>
      <c r="DS61" t="n">
        <v>0</v>
      </c>
      <c r="DT61" t="n">
        <v>0</v>
      </c>
      <c r="DU61" t="n">
        <v>0</v>
      </c>
      <c r="DV61" t="inlineStr">
        <is>
          <t>1000 Texas RECs</t>
        </is>
      </c>
    </row>
    <row r="62">
      <c r="A62" t="inlineStr">
        <is>
          <t>TX REC CRS V26 FRONT HALF - NODAL EXCHANGE</t>
        </is>
      </c>
      <c r="B62" t="n">
        <v>230110</v>
      </c>
      <c r="C62" s="1" t="n">
        <v>44936</v>
      </c>
      <c r="D62" t="inlineStr">
        <is>
          <t>006NHY</t>
        </is>
      </c>
      <c r="E62" t="inlineStr">
        <is>
          <t>NODX</t>
        </is>
      </c>
      <c r="F62" t="inlineStr">
        <is>
          <t>01</t>
        </is>
      </c>
      <c r="G62" t="inlineStr">
        <is>
          <t xml:space="preserve">006 </t>
        </is>
      </c>
      <c r="H62" t="n">
        <v>2312</v>
      </c>
      <c r="I62" s="17" t="n">
        <v>732</v>
      </c>
      <c r="J62" s="17" t="n">
        <v>487</v>
      </c>
      <c r="K62" t="n">
        <v>0</v>
      </c>
      <c r="L62" t="n">
        <v>1355</v>
      </c>
      <c r="M62" t="n">
        <v>1590</v>
      </c>
      <c r="N62" t="n">
        <v>2087</v>
      </c>
      <c r="O62" t="n">
        <v>2077</v>
      </c>
      <c r="P62" t="n">
        <v>225</v>
      </c>
      <c r="Q62" t="n">
        <v>235</v>
      </c>
      <c r="R62" t="n">
        <v>2312</v>
      </c>
      <c r="S62" t="n">
        <v>732</v>
      </c>
      <c r="T62" t="n">
        <v>487</v>
      </c>
      <c r="U62" t="n">
        <v>0</v>
      </c>
      <c r="V62" t="n">
        <v>1355</v>
      </c>
      <c r="W62" t="n">
        <v>1590</v>
      </c>
      <c r="X62" t="n">
        <v>2087</v>
      </c>
      <c r="Y62" t="n">
        <v>2077</v>
      </c>
      <c r="Z62" t="n">
        <v>225</v>
      </c>
      <c r="AA62" t="n">
        <v>235</v>
      </c>
      <c r="AB62" t="n">
        <v>0</v>
      </c>
      <c r="AC62" t="n">
        <v>0</v>
      </c>
      <c r="AD62" t="n">
        <v>0</v>
      </c>
      <c r="AE62" t="n">
        <v>0</v>
      </c>
      <c r="AF62" t="n">
        <v>0</v>
      </c>
      <c r="AG62" t="n">
        <v>0</v>
      </c>
      <c r="AH62" t="n">
        <v>0</v>
      </c>
      <c r="AI62" t="n">
        <v>0</v>
      </c>
      <c r="AJ62" t="n">
        <v>0</v>
      </c>
      <c r="AK62" t="n">
        <v>0</v>
      </c>
      <c r="AL62" t="n">
        <v>-343</v>
      </c>
      <c r="AM62" t="n">
        <v>-50</v>
      </c>
      <c r="AN62" t="n">
        <v>0</v>
      </c>
      <c r="AO62" t="n">
        <v>0</v>
      </c>
      <c r="AP62" t="n">
        <v>-293</v>
      </c>
      <c r="AQ62" t="n">
        <v>-343</v>
      </c>
      <c r="AR62" t="n">
        <v>-343</v>
      </c>
      <c r="AS62" t="n">
        <v>-343</v>
      </c>
      <c r="AT62" t="n">
        <v>0</v>
      </c>
      <c r="AU62" t="n">
        <v>0</v>
      </c>
      <c r="AV62" t="n">
        <v>100</v>
      </c>
      <c r="AW62" t="n">
        <v>31.7</v>
      </c>
      <c r="AX62" t="n">
        <v>21.1</v>
      </c>
      <c r="AY62" t="n">
        <v>0</v>
      </c>
      <c r="AZ62" t="n">
        <v>58.6</v>
      </c>
      <c r="BA62" t="n">
        <v>68.8</v>
      </c>
      <c r="BB62" t="n">
        <v>90.3</v>
      </c>
      <c r="BC62" t="n">
        <v>89.8</v>
      </c>
      <c r="BD62" t="n">
        <v>9.699999999999999</v>
      </c>
      <c r="BE62" t="n">
        <v>10.2</v>
      </c>
      <c r="BF62" t="n">
        <v>100</v>
      </c>
      <c r="BG62" t="n">
        <v>31.7</v>
      </c>
      <c r="BH62" t="n">
        <v>21.1</v>
      </c>
      <c r="BI62" t="n">
        <v>0</v>
      </c>
      <c r="BJ62" t="n">
        <v>58.6</v>
      </c>
      <c r="BK62" t="n">
        <v>68.8</v>
      </c>
      <c r="BL62" t="n">
        <v>90.3</v>
      </c>
      <c r="BM62" t="n">
        <v>89.8</v>
      </c>
      <c r="BN62" t="n">
        <v>9.699999999999999</v>
      </c>
      <c r="BO62" t="n">
        <v>10.2</v>
      </c>
      <c r="BP62" t="n">
        <v>0</v>
      </c>
      <c r="BQ62" t="n">
        <v>0</v>
      </c>
      <c r="BR62" t="n">
        <v>0</v>
      </c>
      <c r="BS62" t="n">
        <v>0</v>
      </c>
      <c r="BT62" t="n">
        <v>0</v>
      </c>
      <c r="BU62" t="n">
        <v>0</v>
      </c>
      <c r="BV62" t="n">
        <v>0</v>
      </c>
      <c r="BW62" t="n">
        <v>0</v>
      </c>
      <c r="BX62" t="n">
        <v>0</v>
      </c>
      <c r="BY62" t="n">
        <v>0</v>
      </c>
      <c r="BZ62" t="n">
        <v>24</v>
      </c>
      <c r="CA62" t="n">
        <v>3</v>
      </c>
      <c r="CB62" t="n">
        <v>5</v>
      </c>
      <c r="CC62" t="n">
        <v>0</v>
      </c>
      <c r="CD62" t="n">
        <v>10</v>
      </c>
      <c r="CE62" t="n">
        <v>7</v>
      </c>
      <c r="CF62" t="n">
        <v>13</v>
      </c>
      <c r="CG62" t="n">
        <v>12</v>
      </c>
      <c r="CH62" t="n">
        <v>24</v>
      </c>
      <c r="CI62" t="n">
        <v>3</v>
      </c>
      <c r="CJ62" t="n">
        <v>5</v>
      </c>
      <c r="CK62" t="n">
        <v>0</v>
      </c>
      <c r="CL62" t="n">
        <v>10</v>
      </c>
      <c r="CM62" t="n">
        <v>7</v>
      </c>
      <c r="CN62" t="n">
        <v>13</v>
      </c>
      <c r="CO62" t="n">
        <v>12</v>
      </c>
      <c r="CP62" t="n">
        <v>0</v>
      </c>
      <c r="CQ62" t="n">
        <v>0</v>
      </c>
      <c r="CR62" t="n">
        <v>0</v>
      </c>
      <c r="CS62" t="n">
        <v>0</v>
      </c>
      <c r="CT62" t="n">
        <v>0</v>
      </c>
      <c r="CU62" t="n">
        <v>0</v>
      </c>
      <c r="CV62" t="n">
        <v>0</v>
      </c>
      <c r="CW62" t="n">
        <v>0</v>
      </c>
      <c r="CX62" t="n">
        <v>58.4</v>
      </c>
      <c r="CY62" t="n">
        <v>58.6</v>
      </c>
      <c r="CZ62" t="n">
        <v>80.40000000000001</v>
      </c>
      <c r="DA62" t="n">
        <v>77.90000000000001</v>
      </c>
      <c r="DB62" t="n">
        <v>58.4</v>
      </c>
      <c r="DC62" t="n">
        <v>58.6</v>
      </c>
      <c r="DD62" t="n">
        <v>78.90000000000001</v>
      </c>
      <c r="DE62" t="n">
        <v>77.90000000000001</v>
      </c>
      <c r="DF62" t="n">
        <v>58.4</v>
      </c>
      <c r="DG62" t="n">
        <v>58.6</v>
      </c>
      <c r="DH62" t="n">
        <v>80.40000000000001</v>
      </c>
      <c r="DI62" t="n">
        <v>77.90000000000001</v>
      </c>
      <c r="DJ62" t="n">
        <v>58.4</v>
      </c>
      <c r="DK62" t="n">
        <v>58.6</v>
      </c>
      <c r="DL62" t="n">
        <v>78.90000000000001</v>
      </c>
      <c r="DM62" t="n">
        <v>77.90000000000001</v>
      </c>
      <c r="DN62" t="n">
        <v>0</v>
      </c>
      <c r="DO62" t="n">
        <v>0</v>
      </c>
      <c r="DP62" t="n">
        <v>0</v>
      </c>
      <c r="DQ62" t="n">
        <v>0</v>
      </c>
      <c r="DR62" t="n">
        <v>0</v>
      </c>
      <c r="DS62" t="n">
        <v>0</v>
      </c>
      <c r="DT62" t="n">
        <v>0</v>
      </c>
      <c r="DU62" t="n">
        <v>0</v>
      </c>
      <c r="DV62" t="inlineStr">
        <is>
          <t>1000 Texas RECs</t>
        </is>
      </c>
    </row>
    <row r="63">
      <c r="A63" t="inlineStr">
        <is>
          <t>TX REC CRS V26 FRONT HALF - NODAL EXCHANGE</t>
        </is>
      </c>
      <c r="B63" t="n">
        <v>230103</v>
      </c>
      <c r="C63" s="1" t="n">
        <v>44929</v>
      </c>
      <c r="D63" t="inlineStr">
        <is>
          <t>006NHY</t>
        </is>
      </c>
      <c r="E63" t="inlineStr">
        <is>
          <t>NODX</t>
        </is>
      </c>
      <c r="F63" t="inlineStr">
        <is>
          <t>01</t>
        </is>
      </c>
      <c r="G63" t="inlineStr">
        <is>
          <t xml:space="preserve">006 </t>
        </is>
      </c>
      <c r="H63" t="n">
        <v>2655</v>
      </c>
      <c r="I63" s="17" t="n">
        <v>782</v>
      </c>
      <c r="J63" s="17" t="n">
        <v>487</v>
      </c>
      <c r="K63" t="n">
        <v>0</v>
      </c>
      <c r="L63" t="n">
        <v>1648</v>
      </c>
      <c r="M63" t="n">
        <v>1933</v>
      </c>
      <c r="N63" t="n">
        <v>2430</v>
      </c>
      <c r="O63" t="n">
        <v>2420</v>
      </c>
      <c r="P63" t="n">
        <v>225</v>
      </c>
      <c r="Q63" t="n">
        <v>235</v>
      </c>
      <c r="R63" t="n">
        <v>2655</v>
      </c>
      <c r="S63" t="n">
        <v>782</v>
      </c>
      <c r="T63" t="n">
        <v>487</v>
      </c>
      <c r="U63" t="n">
        <v>0</v>
      </c>
      <c r="V63" t="n">
        <v>1648</v>
      </c>
      <c r="W63" t="n">
        <v>1933</v>
      </c>
      <c r="X63" t="n">
        <v>2430</v>
      </c>
      <c r="Y63" t="n">
        <v>2420</v>
      </c>
      <c r="Z63" t="n">
        <v>225</v>
      </c>
      <c r="AA63" t="n">
        <v>235</v>
      </c>
      <c r="AB63" t="n">
        <v>0</v>
      </c>
      <c r="AC63" t="n">
        <v>0</v>
      </c>
      <c r="AD63" t="n">
        <v>0</v>
      </c>
      <c r="AE63" t="n">
        <v>0</v>
      </c>
      <c r="AF63" t="n">
        <v>0</v>
      </c>
      <c r="AG63" t="n">
        <v>0</v>
      </c>
      <c r="AH63" t="n">
        <v>0</v>
      </c>
      <c r="AI63" t="n">
        <v>0</v>
      </c>
      <c r="AJ63" t="n">
        <v>0</v>
      </c>
      <c r="AK63" t="n">
        <v>0</v>
      </c>
      <c r="AL63" t="n">
        <v>0</v>
      </c>
      <c r="AM63" t="n">
        <v>0</v>
      </c>
      <c r="AN63" t="n">
        <v>0</v>
      </c>
      <c r="AO63" t="n">
        <v>0</v>
      </c>
      <c r="AP63" t="n">
        <v>0</v>
      </c>
      <c r="AQ63" t="n">
        <v>0</v>
      </c>
      <c r="AR63" t="n">
        <v>0</v>
      </c>
      <c r="AS63" t="n">
        <v>0</v>
      </c>
      <c r="AT63" t="n">
        <v>0</v>
      </c>
      <c r="AU63" t="n">
        <v>0</v>
      </c>
      <c r="AV63" t="n">
        <v>100</v>
      </c>
      <c r="AW63" t="n">
        <v>29.5</v>
      </c>
      <c r="AX63" t="n">
        <v>18.3</v>
      </c>
      <c r="AY63" t="n">
        <v>0</v>
      </c>
      <c r="AZ63" t="n">
        <v>62.1</v>
      </c>
      <c r="BA63" t="n">
        <v>72.8</v>
      </c>
      <c r="BB63" t="n">
        <v>91.5</v>
      </c>
      <c r="BC63" t="n">
        <v>91.09999999999999</v>
      </c>
      <c r="BD63" t="n">
        <v>8.5</v>
      </c>
      <c r="BE63" t="n">
        <v>8.9</v>
      </c>
      <c r="BF63" t="n">
        <v>100</v>
      </c>
      <c r="BG63" t="n">
        <v>29.5</v>
      </c>
      <c r="BH63" t="n">
        <v>18.3</v>
      </c>
      <c r="BI63" t="n">
        <v>0</v>
      </c>
      <c r="BJ63" t="n">
        <v>62.1</v>
      </c>
      <c r="BK63" t="n">
        <v>72.8</v>
      </c>
      <c r="BL63" t="n">
        <v>91.5</v>
      </c>
      <c r="BM63" t="n">
        <v>91.09999999999999</v>
      </c>
      <c r="BN63" t="n">
        <v>8.5</v>
      </c>
      <c r="BO63" t="n">
        <v>8.9</v>
      </c>
      <c r="BP63" t="n">
        <v>0</v>
      </c>
      <c r="BQ63" t="n">
        <v>0</v>
      </c>
      <c r="BR63" t="n">
        <v>0</v>
      </c>
      <c r="BS63" t="n">
        <v>0</v>
      </c>
      <c r="BT63" t="n">
        <v>0</v>
      </c>
      <c r="BU63" t="n">
        <v>0</v>
      </c>
      <c r="BV63" t="n">
        <v>0</v>
      </c>
      <c r="BW63" t="n">
        <v>0</v>
      </c>
      <c r="BX63" t="n">
        <v>0</v>
      </c>
      <c r="BY63" t="n">
        <v>0</v>
      </c>
      <c r="BZ63" t="n">
        <v>24</v>
      </c>
      <c r="CA63" t="n">
        <v>3</v>
      </c>
      <c r="CB63" t="n">
        <v>5</v>
      </c>
      <c r="CC63" t="n">
        <v>0</v>
      </c>
      <c r="CD63" t="n">
        <v>9</v>
      </c>
      <c r="CE63" t="n">
        <v>8</v>
      </c>
      <c r="CF63" t="n">
        <v>12</v>
      </c>
      <c r="CG63" t="n">
        <v>13</v>
      </c>
      <c r="CH63" t="n">
        <v>24</v>
      </c>
      <c r="CI63" t="n">
        <v>3</v>
      </c>
      <c r="CJ63" t="n">
        <v>5</v>
      </c>
      <c r="CK63" t="n">
        <v>0</v>
      </c>
      <c r="CL63" t="n">
        <v>9</v>
      </c>
      <c r="CM63" t="n">
        <v>8</v>
      </c>
      <c r="CN63" t="n">
        <v>12</v>
      </c>
      <c r="CO63" t="n">
        <v>13</v>
      </c>
      <c r="CP63" t="n">
        <v>0</v>
      </c>
      <c r="CQ63" t="n">
        <v>0</v>
      </c>
      <c r="CR63" t="n">
        <v>0</v>
      </c>
      <c r="CS63" t="n">
        <v>0</v>
      </c>
      <c r="CT63" t="n">
        <v>0</v>
      </c>
      <c r="CU63" t="n">
        <v>0</v>
      </c>
      <c r="CV63" t="n">
        <v>0</v>
      </c>
      <c r="CW63" t="n">
        <v>0</v>
      </c>
      <c r="CX63" t="n">
        <v>66.7</v>
      </c>
      <c r="CY63" t="n">
        <v>61.2</v>
      </c>
      <c r="CZ63" t="n">
        <v>85.90000000000001</v>
      </c>
      <c r="DA63" t="n">
        <v>78</v>
      </c>
      <c r="DB63" t="n">
        <v>66.7</v>
      </c>
      <c r="DC63" t="n">
        <v>61.2</v>
      </c>
      <c r="DD63" t="n">
        <v>83.59999999999999</v>
      </c>
      <c r="DE63" t="n">
        <v>78</v>
      </c>
      <c r="DF63" t="n">
        <v>66.7</v>
      </c>
      <c r="DG63" t="n">
        <v>61.2</v>
      </c>
      <c r="DH63" t="n">
        <v>85.90000000000001</v>
      </c>
      <c r="DI63" t="n">
        <v>78</v>
      </c>
      <c r="DJ63" t="n">
        <v>66.7</v>
      </c>
      <c r="DK63" t="n">
        <v>61.2</v>
      </c>
      <c r="DL63" t="n">
        <v>83.59999999999999</v>
      </c>
      <c r="DM63" t="n">
        <v>78</v>
      </c>
      <c r="DN63" t="n">
        <v>0</v>
      </c>
      <c r="DO63" t="n">
        <v>0</v>
      </c>
      <c r="DP63" t="n">
        <v>0</v>
      </c>
      <c r="DQ63" t="n">
        <v>0</v>
      </c>
      <c r="DR63" t="n">
        <v>0</v>
      </c>
      <c r="DS63" t="n">
        <v>0</v>
      </c>
      <c r="DT63" t="n">
        <v>0</v>
      </c>
      <c r="DU63" t="n">
        <v>0</v>
      </c>
      <c r="DV63" t="inlineStr">
        <is>
          <t>1000 Texas RECs</t>
        </is>
      </c>
    </row>
    <row r="64">
      <c r="A64" t="inlineStr">
        <is>
          <t>CBL GLOBAL EMISSIONS OFFSET - NEW YORK MERCANTILE EXCHANGE</t>
        </is>
      </c>
      <c r="B64" t="n">
        <v>230110</v>
      </c>
      <c r="C64" s="1" t="n">
        <v>44936</v>
      </c>
      <c r="D64" t="inlineStr">
        <is>
          <t>006NJZ</t>
        </is>
      </c>
      <c r="E64" t="inlineStr">
        <is>
          <t>NYME</t>
        </is>
      </c>
      <c r="F64" t="inlineStr">
        <is>
          <t>01</t>
        </is>
      </c>
      <c r="G64" t="inlineStr">
        <is>
          <t xml:space="preserve">006 </t>
        </is>
      </c>
      <c r="H64" t="n">
        <v>11797</v>
      </c>
      <c r="I64" s="17" t="n">
        <v>1304</v>
      </c>
      <c r="J64" s="17" t="n">
        <v>305</v>
      </c>
      <c r="K64" t="n">
        <v>5154</v>
      </c>
      <c r="L64" t="n">
        <v>5198</v>
      </c>
      <c r="M64" t="n">
        <v>6270</v>
      </c>
      <c r="N64" t="n">
        <v>11656</v>
      </c>
      <c r="O64" t="n">
        <v>11729</v>
      </c>
      <c r="P64" t="n">
        <v>141</v>
      </c>
      <c r="Q64" t="n">
        <v>68</v>
      </c>
      <c r="R64" t="n">
        <v>11797</v>
      </c>
      <c r="S64" t="n">
        <v>1304</v>
      </c>
      <c r="T64" t="n">
        <v>305</v>
      </c>
      <c r="U64" t="n">
        <v>5154</v>
      </c>
      <c r="V64" t="n">
        <v>5198</v>
      </c>
      <c r="W64" t="n">
        <v>6270</v>
      </c>
      <c r="X64" t="n">
        <v>11656</v>
      </c>
      <c r="Y64" t="n">
        <v>11729</v>
      </c>
      <c r="Z64" t="n">
        <v>141</v>
      </c>
      <c r="AA64" t="n">
        <v>68</v>
      </c>
      <c r="AB64" t="n">
        <v>0</v>
      </c>
      <c r="AC64" t="n">
        <v>0</v>
      </c>
      <c r="AD64" t="n">
        <v>0</v>
      </c>
      <c r="AE64" t="n">
        <v>0</v>
      </c>
      <c r="AF64" t="n">
        <v>0</v>
      </c>
      <c r="AG64" t="n">
        <v>0</v>
      </c>
      <c r="AH64" t="n">
        <v>0</v>
      </c>
      <c r="AI64" t="n">
        <v>0</v>
      </c>
      <c r="AJ64" t="n">
        <v>0</v>
      </c>
      <c r="AK64" t="n">
        <v>0</v>
      </c>
      <c r="AL64" t="n">
        <v>28</v>
      </c>
      <c r="AM64" t="n">
        <v>26</v>
      </c>
      <c r="AN64" t="n">
        <v>15</v>
      </c>
      <c r="AO64" t="n">
        <v>-7</v>
      </c>
      <c r="AP64" t="n">
        <v>28</v>
      </c>
      <c r="AQ64" t="n">
        <v>-7</v>
      </c>
      <c r="AR64" t="n">
        <v>47</v>
      </c>
      <c r="AS64" t="n">
        <v>1</v>
      </c>
      <c r="AT64" t="n">
        <v>-19</v>
      </c>
      <c r="AU64" t="n">
        <v>27</v>
      </c>
      <c r="AV64" t="n">
        <v>100</v>
      </c>
      <c r="AW64" t="n">
        <v>11.1</v>
      </c>
      <c r="AX64" t="n">
        <v>2.6</v>
      </c>
      <c r="AY64" t="n">
        <v>43.7</v>
      </c>
      <c r="AZ64" t="n">
        <v>44.1</v>
      </c>
      <c r="BA64" t="n">
        <v>53.1</v>
      </c>
      <c r="BB64" t="n">
        <v>98.8</v>
      </c>
      <c r="BC64" t="n">
        <v>99.40000000000001</v>
      </c>
      <c r="BD64" t="n">
        <v>1.2</v>
      </c>
      <c r="BE64" t="n">
        <v>0.6</v>
      </c>
      <c r="BF64" t="n">
        <v>100</v>
      </c>
      <c r="BG64" t="n">
        <v>11.1</v>
      </c>
      <c r="BH64" t="n">
        <v>2.6</v>
      </c>
      <c r="BI64" t="n">
        <v>43.7</v>
      </c>
      <c r="BJ64" t="n">
        <v>44.1</v>
      </c>
      <c r="BK64" t="n">
        <v>53.1</v>
      </c>
      <c r="BL64" t="n">
        <v>98.8</v>
      </c>
      <c r="BM64" t="n">
        <v>99.40000000000001</v>
      </c>
      <c r="BN64" t="n">
        <v>1.2</v>
      </c>
      <c r="BO64" t="n">
        <v>0.6</v>
      </c>
      <c r="BP64" t="n">
        <v>0</v>
      </c>
      <c r="BQ64" t="n">
        <v>0</v>
      </c>
      <c r="BR64" t="n">
        <v>0</v>
      </c>
      <c r="BS64" t="n">
        <v>0</v>
      </c>
      <c r="BT64" t="n">
        <v>0</v>
      </c>
      <c r="BU64" t="n">
        <v>0</v>
      </c>
      <c r="BV64" t="n">
        <v>0</v>
      </c>
      <c r="BW64" t="n">
        <v>0</v>
      </c>
      <c r="BX64" t="n">
        <v>0</v>
      </c>
      <c r="BY64" t="n">
        <v>0</v>
      </c>
      <c r="BZ64" t="n">
        <v>32</v>
      </c>
      <c r="CA64" t="n">
        <v>13</v>
      </c>
      <c r="CB64" t="n">
        <v>4</v>
      </c>
      <c r="CC64" t="n">
        <v>4</v>
      </c>
      <c r="CD64" t="n">
        <v>8</v>
      </c>
      <c r="CE64" t="n">
        <v>12</v>
      </c>
      <c r="CF64" t="n">
        <v>22</v>
      </c>
      <c r="CG64" t="n">
        <v>20</v>
      </c>
      <c r="CH64" t="n">
        <v>32</v>
      </c>
      <c r="CI64" t="n">
        <v>13</v>
      </c>
      <c r="CJ64" t="n">
        <v>4</v>
      </c>
      <c r="CK64" t="n">
        <v>4</v>
      </c>
      <c r="CL64" t="n">
        <v>8</v>
      </c>
      <c r="CM64" t="n">
        <v>12</v>
      </c>
      <c r="CN64" t="n">
        <v>22</v>
      </c>
      <c r="CO64" t="n">
        <v>20</v>
      </c>
      <c r="CP64" t="n">
        <v>0</v>
      </c>
      <c r="CQ64" t="n">
        <v>0</v>
      </c>
      <c r="CR64" t="n">
        <v>0</v>
      </c>
      <c r="CS64" t="n">
        <v>0</v>
      </c>
      <c r="CT64" t="n">
        <v>0</v>
      </c>
      <c r="CU64" t="n">
        <v>0</v>
      </c>
      <c r="CV64" t="n">
        <v>0</v>
      </c>
      <c r="CW64" t="n">
        <v>0</v>
      </c>
      <c r="CX64" t="n">
        <v>78.2</v>
      </c>
      <c r="CY64" t="n">
        <v>78.2</v>
      </c>
      <c r="CZ64" t="n">
        <v>88.2</v>
      </c>
      <c r="DA64" t="n">
        <v>92</v>
      </c>
      <c r="DB64" t="n">
        <v>7.1</v>
      </c>
      <c r="DC64" t="n">
        <v>11.1</v>
      </c>
      <c r="DD64" t="n">
        <v>11.6</v>
      </c>
      <c r="DE64" t="n">
        <v>13.9</v>
      </c>
      <c r="DF64" t="n">
        <v>78.2</v>
      </c>
      <c r="DG64" t="n">
        <v>78.2</v>
      </c>
      <c r="DH64" t="n">
        <v>88.2</v>
      </c>
      <c r="DI64" t="n">
        <v>92</v>
      </c>
      <c r="DJ64" t="n">
        <v>7.1</v>
      </c>
      <c r="DK64" t="n">
        <v>11.1</v>
      </c>
      <c r="DL64" t="n">
        <v>11.6</v>
      </c>
      <c r="DM64" t="n">
        <v>13.9</v>
      </c>
      <c r="DN64" t="n">
        <v>0</v>
      </c>
      <c r="DO64" t="n">
        <v>0</v>
      </c>
      <c r="DP64" t="n">
        <v>0</v>
      </c>
      <c r="DQ64" t="n">
        <v>0</v>
      </c>
      <c r="DR64" t="n">
        <v>0</v>
      </c>
      <c r="DS64" t="n">
        <v>0</v>
      </c>
      <c r="DT64" t="n">
        <v>0</v>
      </c>
      <c r="DU64" t="n">
        <v>0</v>
      </c>
      <c r="DV64" t="inlineStr">
        <is>
          <t>(CONTRACTS OF 1,000 ENVIRONMENTAL OFFSET</t>
        </is>
      </c>
    </row>
    <row r="65">
      <c r="A65" t="inlineStr">
        <is>
          <t>CBL GLOBAL EMISSIONS OFFSET - NEW YORK MERCANTILE EXCHANGE</t>
        </is>
      </c>
      <c r="B65" t="n">
        <v>230103</v>
      </c>
      <c r="C65" s="1" t="n">
        <v>44929</v>
      </c>
      <c r="D65" t="inlineStr">
        <is>
          <t>006NJZ</t>
        </is>
      </c>
      <c r="E65" t="inlineStr">
        <is>
          <t>NYME</t>
        </is>
      </c>
      <c r="F65" t="inlineStr">
        <is>
          <t>01</t>
        </is>
      </c>
      <c r="G65" t="inlineStr">
        <is>
          <t xml:space="preserve">006 </t>
        </is>
      </c>
      <c r="H65" t="n">
        <v>11769</v>
      </c>
      <c r="I65" s="17" t="n">
        <v>1278</v>
      </c>
      <c r="J65" s="17" t="n">
        <v>290</v>
      </c>
      <c r="K65" t="n">
        <v>5161</v>
      </c>
      <c r="L65" t="n">
        <v>5170</v>
      </c>
      <c r="M65" t="n">
        <v>6277</v>
      </c>
      <c r="N65" t="n">
        <v>11609</v>
      </c>
      <c r="O65" t="n">
        <v>11728</v>
      </c>
      <c r="P65" t="n">
        <v>160</v>
      </c>
      <c r="Q65" t="n">
        <v>41</v>
      </c>
      <c r="R65" t="n">
        <v>11769</v>
      </c>
      <c r="S65" t="n">
        <v>1278</v>
      </c>
      <c r="T65" t="n">
        <v>290</v>
      </c>
      <c r="U65" t="n">
        <v>5161</v>
      </c>
      <c r="V65" t="n">
        <v>5170</v>
      </c>
      <c r="W65" t="n">
        <v>6277</v>
      </c>
      <c r="X65" t="n">
        <v>11609</v>
      </c>
      <c r="Y65" t="n">
        <v>11728</v>
      </c>
      <c r="Z65" t="n">
        <v>160</v>
      </c>
      <c r="AA65" t="n">
        <v>41</v>
      </c>
      <c r="AB65" t="n">
        <v>0</v>
      </c>
      <c r="AC65" t="n">
        <v>0</v>
      </c>
      <c r="AD65" t="n">
        <v>0</v>
      </c>
      <c r="AE65" t="n">
        <v>0</v>
      </c>
      <c r="AF65" t="n">
        <v>0</v>
      </c>
      <c r="AG65" t="n">
        <v>0</v>
      </c>
      <c r="AH65" t="n">
        <v>0</v>
      </c>
      <c r="AI65" t="n">
        <v>0</v>
      </c>
      <c r="AJ65" t="n">
        <v>0</v>
      </c>
      <c r="AK65" t="n">
        <v>0</v>
      </c>
      <c r="AL65" t="n">
        <v>-1170</v>
      </c>
      <c r="AM65" t="n">
        <v>-351</v>
      </c>
      <c r="AN65" t="n">
        <v>-212</v>
      </c>
      <c r="AO65" t="n">
        <v>36</v>
      </c>
      <c r="AP65" t="n">
        <v>-883</v>
      </c>
      <c r="AQ65" t="n">
        <v>-1003</v>
      </c>
      <c r="AR65" t="n">
        <v>-1198</v>
      </c>
      <c r="AS65" t="n">
        <v>-1179</v>
      </c>
      <c r="AT65" t="n">
        <v>28</v>
      </c>
      <c r="AU65" t="n">
        <v>9</v>
      </c>
      <c r="AV65" t="n">
        <v>100</v>
      </c>
      <c r="AW65" t="n">
        <v>10.9</v>
      </c>
      <c r="AX65" t="n">
        <v>2.5</v>
      </c>
      <c r="AY65" t="n">
        <v>43.9</v>
      </c>
      <c r="AZ65" t="n">
        <v>43.9</v>
      </c>
      <c r="BA65" t="n">
        <v>53.3</v>
      </c>
      <c r="BB65" t="n">
        <v>98.59999999999999</v>
      </c>
      <c r="BC65" t="n">
        <v>99.7</v>
      </c>
      <c r="BD65" t="n">
        <v>1.4</v>
      </c>
      <c r="BE65" t="n">
        <v>0.3</v>
      </c>
      <c r="BF65" t="n">
        <v>100</v>
      </c>
      <c r="BG65" t="n">
        <v>10.9</v>
      </c>
      <c r="BH65" t="n">
        <v>2.5</v>
      </c>
      <c r="BI65" t="n">
        <v>43.9</v>
      </c>
      <c r="BJ65" t="n">
        <v>43.9</v>
      </c>
      <c r="BK65" t="n">
        <v>53.3</v>
      </c>
      <c r="BL65" t="n">
        <v>98.59999999999999</v>
      </c>
      <c r="BM65" t="n">
        <v>99.7</v>
      </c>
      <c r="BN65" t="n">
        <v>1.4</v>
      </c>
      <c r="BO65" t="n">
        <v>0.3</v>
      </c>
      <c r="BP65" t="n">
        <v>0</v>
      </c>
      <c r="BQ65" t="n">
        <v>0</v>
      </c>
      <c r="BR65" t="n">
        <v>0</v>
      </c>
      <c r="BS65" t="n">
        <v>0</v>
      </c>
      <c r="BT65" t="n">
        <v>0</v>
      </c>
      <c r="BU65" t="n">
        <v>0</v>
      </c>
      <c r="BV65" t="n">
        <v>0</v>
      </c>
      <c r="BW65" t="n">
        <v>0</v>
      </c>
      <c r="BX65" t="n">
        <v>0</v>
      </c>
      <c r="BY65" t="n">
        <v>0</v>
      </c>
      <c r="BZ65" t="n">
        <v>29</v>
      </c>
      <c r="CA65" t="n">
        <v>13</v>
      </c>
      <c r="CB65" t="n">
        <v>4</v>
      </c>
      <c r="CC65" t="n">
        <v>4</v>
      </c>
      <c r="CD65" t="n">
        <v>7</v>
      </c>
      <c r="CE65" t="n">
        <v>10</v>
      </c>
      <c r="CF65" t="n">
        <v>21</v>
      </c>
      <c r="CG65" t="n">
        <v>18</v>
      </c>
      <c r="CH65" t="n">
        <v>29</v>
      </c>
      <c r="CI65" t="n">
        <v>13</v>
      </c>
      <c r="CJ65" t="n">
        <v>4</v>
      </c>
      <c r="CK65" t="n">
        <v>4</v>
      </c>
      <c r="CL65" t="n">
        <v>7</v>
      </c>
      <c r="CM65" t="n">
        <v>10</v>
      </c>
      <c r="CN65" t="n">
        <v>21</v>
      </c>
      <c r="CO65" t="n">
        <v>18</v>
      </c>
      <c r="CP65" t="n">
        <v>0</v>
      </c>
      <c r="CQ65" t="n">
        <v>0</v>
      </c>
      <c r="CR65" t="n">
        <v>0</v>
      </c>
      <c r="CS65" t="n">
        <v>0</v>
      </c>
      <c r="CT65" t="n">
        <v>0</v>
      </c>
      <c r="CU65" t="n">
        <v>0</v>
      </c>
      <c r="CV65" t="n">
        <v>0</v>
      </c>
      <c r="CW65" t="n">
        <v>0</v>
      </c>
      <c r="CX65" t="n">
        <v>78.40000000000001</v>
      </c>
      <c r="CY65" t="n">
        <v>78.40000000000001</v>
      </c>
      <c r="CZ65" t="n">
        <v>88.3</v>
      </c>
      <c r="DA65" t="n">
        <v>92.2</v>
      </c>
      <c r="DB65" t="n">
        <v>7</v>
      </c>
      <c r="DC65" t="n">
        <v>11.2</v>
      </c>
      <c r="DD65" t="n">
        <v>11.4</v>
      </c>
      <c r="DE65" t="n">
        <v>14.3</v>
      </c>
      <c r="DF65" t="n">
        <v>78.40000000000001</v>
      </c>
      <c r="DG65" t="n">
        <v>78.40000000000001</v>
      </c>
      <c r="DH65" t="n">
        <v>88.3</v>
      </c>
      <c r="DI65" t="n">
        <v>92.2</v>
      </c>
      <c r="DJ65" t="n">
        <v>7</v>
      </c>
      <c r="DK65" t="n">
        <v>11.2</v>
      </c>
      <c r="DL65" t="n">
        <v>11.4</v>
      </c>
      <c r="DM65" t="n">
        <v>14.3</v>
      </c>
      <c r="DN65" t="n">
        <v>0</v>
      </c>
      <c r="DO65" t="n">
        <v>0</v>
      </c>
      <c r="DP65" t="n">
        <v>0</v>
      </c>
      <c r="DQ65" t="n">
        <v>0</v>
      </c>
      <c r="DR65" t="n">
        <v>0</v>
      </c>
      <c r="DS65" t="n">
        <v>0</v>
      </c>
      <c r="DT65" t="n">
        <v>0</v>
      </c>
      <c r="DU65" t="n">
        <v>0</v>
      </c>
      <c r="DV65" t="inlineStr">
        <is>
          <t>(CONTRACTS OF 1,000 ENVIRONMENTAL OFFSET</t>
        </is>
      </c>
    </row>
    <row r="66">
      <c r="A66" t="inlineStr">
        <is>
          <t>SOYBEAN OIL - CHICAGO BOARD OF TRADE</t>
        </is>
      </c>
      <c r="B66" t="n">
        <v>230110</v>
      </c>
      <c r="C66" s="1" t="n">
        <v>44936</v>
      </c>
      <c r="D66" t="inlineStr">
        <is>
          <t>007601</t>
        </is>
      </c>
      <c r="E66" t="inlineStr">
        <is>
          <t xml:space="preserve">CBT </t>
        </is>
      </c>
      <c r="F66" t="inlineStr">
        <is>
          <t>00</t>
        </is>
      </c>
      <c r="G66" t="inlineStr">
        <is>
          <t xml:space="preserve">007 </t>
        </is>
      </c>
      <c r="H66" t="n">
        <v>373118</v>
      </c>
      <c r="I66" s="17" t="n">
        <v>91252</v>
      </c>
      <c r="J66" s="17" t="n">
        <v>29153</v>
      </c>
      <c r="K66" t="n">
        <v>65500</v>
      </c>
      <c r="L66" t="n">
        <v>183263</v>
      </c>
      <c r="M66" t="n">
        <v>254619</v>
      </c>
      <c r="N66" t="n">
        <v>340015</v>
      </c>
      <c r="O66" t="n">
        <v>349272</v>
      </c>
      <c r="P66" t="n">
        <v>33103</v>
      </c>
      <c r="Q66" t="n">
        <v>23846</v>
      </c>
      <c r="R66" t="n">
        <v>326946</v>
      </c>
      <c r="S66" t="n">
        <v>96940</v>
      </c>
      <c r="T66" t="n">
        <v>30277</v>
      </c>
      <c r="U66" t="n">
        <v>47034</v>
      </c>
      <c r="V66" t="n">
        <v>154745</v>
      </c>
      <c r="W66" t="n">
        <v>227909</v>
      </c>
      <c r="X66" t="n">
        <v>298719</v>
      </c>
      <c r="Y66" t="n">
        <v>305220</v>
      </c>
      <c r="Z66" t="n">
        <v>28227</v>
      </c>
      <c r="AA66" t="n">
        <v>21726</v>
      </c>
      <c r="AB66" t="n">
        <v>46172</v>
      </c>
      <c r="AC66" t="n">
        <v>4853</v>
      </c>
      <c r="AD66" t="n">
        <v>9417</v>
      </c>
      <c r="AE66" t="n">
        <v>7925</v>
      </c>
      <c r="AF66" t="n">
        <v>28518</v>
      </c>
      <c r="AG66" t="n">
        <v>26710</v>
      </c>
      <c r="AH66" t="n">
        <v>41296</v>
      </c>
      <c r="AI66" t="n">
        <v>44052</v>
      </c>
      <c r="AJ66" t="n">
        <v>4876</v>
      </c>
      <c r="AK66" t="n">
        <v>2120</v>
      </c>
      <c r="AL66" t="n">
        <v>-1785</v>
      </c>
      <c r="AM66" t="n">
        <v>-7766</v>
      </c>
      <c r="AN66" t="n">
        <v>825</v>
      </c>
      <c r="AO66" t="n">
        <v>843</v>
      </c>
      <c r="AP66" t="n">
        <v>4610</v>
      </c>
      <c r="AQ66" t="n">
        <v>-4731</v>
      </c>
      <c r="AR66" t="n">
        <v>-2313</v>
      </c>
      <c r="AS66" t="n">
        <v>-3063</v>
      </c>
      <c r="AT66" t="n">
        <v>528</v>
      </c>
      <c r="AU66" t="n">
        <v>1278</v>
      </c>
      <c r="AV66" t="n">
        <v>100</v>
      </c>
      <c r="AW66" t="n">
        <v>24.5</v>
      </c>
      <c r="AX66" t="n">
        <v>7.8</v>
      </c>
      <c r="AY66" t="n">
        <v>17.6</v>
      </c>
      <c r="AZ66" t="n">
        <v>49.1</v>
      </c>
      <c r="BA66" t="n">
        <v>68.2</v>
      </c>
      <c r="BB66" t="n">
        <v>91.09999999999999</v>
      </c>
      <c r="BC66" t="n">
        <v>93.59999999999999</v>
      </c>
      <c r="BD66" t="n">
        <v>8.9</v>
      </c>
      <c r="BE66" t="n">
        <v>6.4</v>
      </c>
      <c r="BF66" t="n">
        <v>100</v>
      </c>
      <c r="BG66" t="n">
        <v>29.7</v>
      </c>
      <c r="BH66" t="n">
        <v>9.300000000000001</v>
      </c>
      <c r="BI66" t="n">
        <v>14.4</v>
      </c>
      <c r="BJ66" t="n">
        <v>47.3</v>
      </c>
      <c r="BK66" t="n">
        <v>69.7</v>
      </c>
      <c r="BL66" t="n">
        <v>91.40000000000001</v>
      </c>
      <c r="BM66" t="n">
        <v>93.40000000000001</v>
      </c>
      <c r="BN66" t="n">
        <v>8.6</v>
      </c>
      <c r="BO66" t="n">
        <v>6.6</v>
      </c>
      <c r="BP66" t="n">
        <v>100</v>
      </c>
      <c r="BQ66" t="n">
        <v>10.5</v>
      </c>
      <c r="BR66" t="n">
        <v>20.4</v>
      </c>
      <c r="BS66" t="n">
        <v>17.2</v>
      </c>
      <c r="BT66" t="n">
        <v>61.8</v>
      </c>
      <c r="BU66" t="n">
        <v>57.8</v>
      </c>
      <c r="BV66" t="n">
        <v>89.40000000000001</v>
      </c>
      <c r="BW66" t="n">
        <v>95.40000000000001</v>
      </c>
      <c r="BX66" t="n">
        <v>10.6</v>
      </c>
      <c r="BY66" t="n">
        <v>4.6</v>
      </c>
      <c r="BZ66" t="n">
        <v>270</v>
      </c>
      <c r="CA66" t="n">
        <v>91</v>
      </c>
      <c r="CB66" t="n">
        <v>43</v>
      </c>
      <c r="CC66" t="n">
        <v>67</v>
      </c>
      <c r="CD66" t="n">
        <v>94</v>
      </c>
      <c r="CE66" t="n">
        <v>93</v>
      </c>
      <c r="CF66" t="n">
        <v>208</v>
      </c>
      <c r="CG66" t="n">
        <v>188</v>
      </c>
      <c r="CH66" t="n">
        <v>269</v>
      </c>
      <c r="CI66" t="n">
        <v>91</v>
      </c>
      <c r="CJ66" t="n">
        <v>44</v>
      </c>
      <c r="CK66" t="n">
        <v>62</v>
      </c>
      <c r="CL66" t="n">
        <v>90</v>
      </c>
      <c r="CM66" t="n">
        <v>88</v>
      </c>
      <c r="CN66" t="n">
        <v>203</v>
      </c>
      <c r="CO66" t="n">
        <v>178</v>
      </c>
      <c r="CP66" t="n">
        <v>113</v>
      </c>
      <c r="CQ66" t="n">
        <v>21</v>
      </c>
      <c r="CR66" t="n">
        <v>23</v>
      </c>
      <c r="CS66" t="n">
        <v>13</v>
      </c>
      <c r="CT66" t="n">
        <v>51</v>
      </c>
      <c r="CU66" t="n">
        <v>34</v>
      </c>
      <c r="CV66" t="n">
        <v>80</v>
      </c>
      <c r="CW66" t="n">
        <v>62</v>
      </c>
      <c r="CX66" t="n">
        <v>12.2</v>
      </c>
      <c r="CY66" t="n">
        <v>30.1</v>
      </c>
      <c r="CZ66" t="n">
        <v>19.9</v>
      </c>
      <c r="DA66" t="n">
        <v>40.1</v>
      </c>
      <c r="DB66" t="n">
        <v>11.3</v>
      </c>
      <c r="DC66" t="n">
        <v>28</v>
      </c>
      <c r="DD66" t="n">
        <v>18.3</v>
      </c>
      <c r="DE66" t="n">
        <v>36.7</v>
      </c>
      <c r="DF66" t="n">
        <v>12</v>
      </c>
      <c r="DG66" t="n">
        <v>31</v>
      </c>
      <c r="DH66" t="n">
        <v>20.3</v>
      </c>
      <c r="DI66" t="n">
        <v>41.1</v>
      </c>
      <c r="DJ66" t="n">
        <v>11.1</v>
      </c>
      <c r="DK66" t="n">
        <v>29.3</v>
      </c>
      <c r="DL66" t="n">
        <v>18.7</v>
      </c>
      <c r="DM66" t="n">
        <v>38.2</v>
      </c>
      <c r="DN66" t="n">
        <v>32.4</v>
      </c>
      <c r="DO66" t="n">
        <v>40.1</v>
      </c>
      <c r="DP66" t="n">
        <v>47.3</v>
      </c>
      <c r="DQ66" t="n">
        <v>58</v>
      </c>
      <c r="DR66" t="n">
        <v>23.9</v>
      </c>
      <c r="DS66" t="n">
        <v>31.8</v>
      </c>
      <c r="DT66" t="n">
        <v>37</v>
      </c>
      <c r="DU66" t="n">
        <v>44.6</v>
      </c>
      <c r="DV66" t="inlineStr">
        <is>
          <t>(CONTRACTS OF 60,000 POUNDS)</t>
        </is>
      </c>
    </row>
    <row r="67">
      <c r="A67" t="inlineStr">
        <is>
          <t>SOYBEAN OIL - CHICAGO BOARD OF TRADE</t>
        </is>
      </c>
      <c r="B67" t="n">
        <v>230103</v>
      </c>
      <c r="C67" s="1" t="n">
        <v>44929</v>
      </c>
      <c r="D67" t="inlineStr">
        <is>
          <t>007601</t>
        </is>
      </c>
      <c r="E67" t="inlineStr">
        <is>
          <t xml:space="preserve">CBT </t>
        </is>
      </c>
      <c r="F67" t="inlineStr">
        <is>
          <t>00</t>
        </is>
      </c>
      <c r="G67" t="inlineStr">
        <is>
          <t xml:space="preserve">007 </t>
        </is>
      </c>
      <c r="H67" t="n">
        <v>374903</v>
      </c>
      <c r="I67" s="17" t="n">
        <v>99018</v>
      </c>
      <c r="J67" s="17" t="n">
        <v>28328</v>
      </c>
      <c r="K67" t="n">
        <v>64657</v>
      </c>
      <c r="L67" t="n">
        <v>178653</v>
      </c>
      <c r="M67" t="n">
        <v>259350</v>
      </c>
      <c r="N67" t="n">
        <v>342328</v>
      </c>
      <c r="O67" t="n">
        <v>352335</v>
      </c>
      <c r="P67" t="n">
        <v>32575</v>
      </c>
      <c r="Q67" t="n">
        <v>22568</v>
      </c>
      <c r="R67" t="n">
        <v>331704</v>
      </c>
      <c r="S67" t="n">
        <v>103684</v>
      </c>
      <c r="T67" t="n">
        <v>29130</v>
      </c>
      <c r="U67" t="n">
        <v>47635</v>
      </c>
      <c r="V67" t="n">
        <v>152568</v>
      </c>
      <c r="W67" t="n">
        <v>234620</v>
      </c>
      <c r="X67" t="n">
        <v>303887</v>
      </c>
      <c r="Y67" t="n">
        <v>311385</v>
      </c>
      <c r="Z67" t="n">
        <v>27817</v>
      </c>
      <c r="AA67" t="n">
        <v>20319</v>
      </c>
      <c r="AB67" t="n">
        <v>43199</v>
      </c>
      <c r="AC67" t="n">
        <v>5065</v>
      </c>
      <c r="AD67" t="n">
        <v>8929</v>
      </c>
      <c r="AE67" t="n">
        <v>7291</v>
      </c>
      <c r="AF67" t="n">
        <v>26085</v>
      </c>
      <c r="AG67" t="n">
        <v>24730</v>
      </c>
      <c r="AH67" t="n">
        <v>38441</v>
      </c>
      <c r="AI67" t="n">
        <v>40950</v>
      </c>
      <c r="AJ67" t="n">
        <v>4758</v>
      </c>
      <c r="AK67" t="n">
        <v>2249</v>
      </c>
      <c r="AL67" t="n">
        <v>2496</v>
      </c>
      <c r="AM67" t="n">
        <v>1545</v>
      </c>
      <c r="AN67" t="n">
        <v>169</v>
      </c>
      <c r="AO67" t="n">
        <v>37</v>
      </c>
      <c r="AP67" t="n">
        <v>2371</v>
      </c>
      <c r="AQ67" t="n">
        <v>754</v>
      </c>
      <c r="AR67" t="n">
        <v>3953</v>
      </c>
      <c r="AS67" t="n">
        <v>960</v>
      </c>
      <c r="AT67" t="n">
        <v>-1457</v>
      </c>
      <c r="AU67" t="n">
        <v>1536</v>
      </c>
      <c r="AV67" t="n">
        <v>100</v>
      </c>
      <c r="AW67" t="n">
        <v>26.4</v>
      </c>
      <c r="AX67" t="n">
        <v>7.6</v>
      </c>
      <c r="AY67" t="n">
        <v>17.2</v>
      </c>
      <c r="AZ67" t="n">
        <v>47.7</v>
      </c>
      <c r="BA67" t="n">
        <v>69.2</v>
      </c>
      <c r="BB67" t="n">
        <v>91.3</v>
      </c>
      <c r="BC67" t="n">
        <v>94</v>
      </c>
      <c r="BD67" t="n">
        <v>8.699999999999999</v>
      </c>
      <c r="BE67" t="n">
        <v>6</v>
      </c>
      <c r="BF67" t="n">
        <v>100</v>
      </c>
      <c r="BG67" t="n">
        <v>31.3</v>
      </c>
      <c r="BH67" t="n">
        <v>8.800000000000001</v>
      </c>
      <c r="BI67" t="n">
        <v>14.4</v>
      </c>
      <c r="BJ67" t="n">
        <v>46</v>
      </c>
      <c r="BK67" t="n">
        <v>70.7</v>
      </c>
      <c r="BL67" t="n">
        <v>91.59999999999999</v>
      </c>
      <c r="BM67" t="n">
        <v>93.90000000000001</v>
      </c>
      <c r="BN67" t="n">
        <v>8.4</v>
      </c>
      <c r="BO67" t="n">
        <v>6.1</v>
      </c>
      <c r="BP67" t="n">
        <v>100</v>
      </c>
      <c r="BQ67" t="n">
        <v>11.7</v>
      </c>
      <c r="BR67" t="n">
        <v>20.7</v>
      </c>
      <c r="BS67" t="n">
        <v>16.9</v>
      </c>
      <c r="BT67" t="n">
        <v>60.4</v>
      </c>
      <c r="BU67" t="n">
        <v>57.2</v>
      </c>
      <c r="BV67" t="n">
        <v>89</v>
      </c>
      <c r="BW67" t="n">
        <v>94.8</v>
      </c>
      <c r="BX67" t="n">
        <v>11</v>
      </c>
      <c r="BY67" t="n">
        <v>5.2</v>
      </c>
      <c r="BZ67" t="n">
        <v>261</v>
      </c>
      <c r="CA67" t="n">
        <v>80</v>
      </c>
      <c r="CB67" t="n">
        <v>50</v>
      </c>
      <c r="CC67" t="n">
        <v>66</v>
      </c>
      <c r="CD67" t="n">
        <v>89</v>
      </c>
      <c r="CE67" t="n">
        <v>91</v>
      </c>
      <c r="CF67" t="n">
        <v>201</v>
      </c>
      <c r="CG67" t="n">
        <v>184</v>
      </c>
      <c r="CH67" t="n">
        <v>260</v>
      </c>
      <c r="CI67" t="n">
        <v>82</v>
      </c>
      <c r="CJ67" t="n">
        <v>49</v>
      </c>
      <c r="CK67" t="n">
        <v>63</v>
      </c>
      <c r="CL67" t="n">
        <v>88</v>
      </c>
      <c r="CM67" t="n">
        <v>85</v>
      </c>
      <c r="CN67" t="n">
        <v>199</v>
      </c>
      <c r="CO67" t="n">
        <v>175</v>
      </c>
      <c r="CP67" t="n">
        <v>105</v>
      </c>
      <c r="CQ67" t="n">
        <v>21</v>
      </c>
      <c r="CR67" t="n">
        <v>20</v>
      </c>
      <c r="CS67" t="n">
        <v>15</v>
      </c>
      <c r="CT67" t="n">
        <v>47</v>
      </c>
      <c r="CU67" t="n">
        <v>33</v>
      </c>
      <c r="CV67" t="n">
        <v>77</v>
      </c>
      <c r="CW67" t="n">
        <v>59</v>
      </c>
      <c r="CX67" t="n">
        <v>11.7</v>
      </c>
      <c r="CY67" t="n">
        <v>30.9</v>
      </c>
      <c r="CZ67" t="n">
        <v>19.8</v>
      </c>
      <c r="DA67" t="n">
        <v>41.8</v>
      </c>
      <c r="DB67" t="n">
        <v>10.8</v>
      </c>
      <c r="DC67" t="n">
        <v>28.6</v>
      </c>
      <c r="DD67" t="n">
        <v>17.6</v>
      </c>
      <c r="DE67" t="n">
        <v>37.6</v>
      </c>
      <c r="DF67" t="n">
        <v>11.9</v>
      </c>
      <c r="DG67" t="n">
        <v>31.6</v>
      </c>
      <c r="DH67" t="n">
        <v>20.4</v>
      </c>
      <c r="DI67" t="n">
        <v>41.7</v>
      </c>
      <c r="DJ67" t="n">
        <v>10.7</v>
      </c>
      <c r="DK67" t="n">
        <v>29.8</v>
      </c>
      <c r="DL67" t="n">
        <v>18.2</v>
      </c>
      <c r="DM67" t="n">
        <v>38.5</v>
      </c>
      <c r="DN67" t="n">
        <v>32.3</v>
      </c>
      <c r="DO67" t="n">
        <v>42.1</v>
      </c>
      <c r="DP67" t="n">
        <v>48.2</v>
      </c>
      <c r="DQ67" t="n">
        <v>61.3</v>
      </c>
      <c r="DR67" t="n">
        <v>24.1</v>
      </c>
      <c r="DS67" t="n">
        <v>33.8</v>
      </c>
      <c r="DT67" t="n">
        <v>38.2</v>
      </c>
      <c r="DU67" t="n">
        <v>47.4</v>
      </c>
      <c r="DV67" t="inlineStr">
        <is>
          <t>(CONTRACTS OF 60,000 POUNDS)</t>
        </is>
      </c>
    </row>
    <row r="68">
      <c r="A68" t="inlineStr">
        <is>
          <t>UST BOND - CHICAGO BOARD OF TRADE</t>
        </is>
      </c>
      <c r="B68" t="n">
        <v>230110</v>
      </c>
      <c r="C68" s="1" t="n">
        <v>44936</v>
      </c>
      <c r="D68" t="inlineStr">
        <is>
          <t>020601</t>
        </is>
      </c>
      <c r="E68" t="inlineStr">
        <is>
          <t xml:space="preserve">CBT </t>
        </is>
      </c>
      <c r="F68" t="inlineStr">
        <is>
          <t>00</t>
        </is>
      </c>
      <c r="G68" t="inlineStr">
        <is>
          <t xml:space="preserve">020 </t>
        </is>
      </c>
      <c r="H68" t="n">
        <v>1184966</v>
      </c>
      <c r="I68" s="17" t="n">
        <v>66962</v>
      </c>
      <c r="J68" s="17" t="n">
        <v>224347</v>
      </c>
      <c r="K68" t="n">
        <v>8870</v>
      </c>
      <c r="L68" t="n">
        <v>935742</v>
      </c>
      <c r="M68" t="n">
        <v>806008</v>
      </c>
      <c r="N68" t="n">
        <v>1011574</v>
      </c>
      <c r="O68" t="n">
        <v>1039225</v>
      </c>
      <c r="P68" t="n">
        <v>173392</v>
      </c>
      <c r="Q68" t="n">
        <v>145741</v>
      </c>
      <c r="R68" t="n">
        <v>1184966</v>
      </c>
      <c r="S68" t="n">
        <v>66962</v>
      </c>
      <c r="T68" t="n">
        <v>224347</v>
      </c>
      <c r="U68" t="n">
        <v>8870</v>
      </c>
      <c r="V68" t="n">
        <v>935742</v>
      </c>
      <c r="W68" t="n">
        <v>806008</v>
      </c>
      <c r="X68" t="n">
        <v>1011574</v>
      </c>
      <c r="Y68" t="n">
        <v>1039225</v>
      </c>
      <c r="Z68" t="n">
        <v>173392</v>
      </c>
      <c r="AA68" t="n">
        <v>145741</v>
      </c>
      <c r="AB68" t="n">
        <v>0</v>
      </c>
      <c r="AC68" t="n">
        <v>0</v>
      </c>
      <c r="AD68" t="n">
        <v>0</v>
      </c>
      <c r="AE68" t="n">
        <v>0</v>
      </c>
      <c r="AF68" t="n">
        <v>0</v>
      </c>
      <c r="AG68" t="n">
        <v>0</v>
      </c>
      <c r="AH68" t="n">
        <v>0</v>
      </c>
      <c r="AI68" t="n">
        <v>0</v>
      </c>
      <c r="AJ68" t="n">
        <v>0</v>
      </c>
      <c r="AK68" t="n">
        <v>0</v>
      </c>
      <c r="AL68" t="n">
        <v>-13459</v>
      </c>
      <c r="AM68" t="n">
        <v>12648</v>
      </c>
      <c r="AN68" t="n">
        <v>775</v>
      </c>
      <c r="AO68" t="n">
        <v>-2598</v>
      </c>
      <c r="AP68" t="n">
        <v>-26762</v>
      </c>
      <c r="AQ68" t="n">
        <v>-13820</v>
      </c>
      <c r="AR68" t="n">
        <v>-16712</v>
      </c>
      <c r="AS68" t="n">
        <v>-15643</v>
      </c>
      <c r="AT68" t="n">
        <v>3253</v>
      </c>
      <c r="AU68" t="n">
        <v>2184</v>
      </c>
      <c r="AV68" t="n">
        <v>100</v>
      </c>
      <c r="AW68" t="n">
        <v>5.7</v>
      </c>
      <c r="AX68" t="n">
        <v>18.9</v>
      </c>
      <c r="AY68" t="n">
        <v>0.7</v>
      </c>
      <c r="AZ68" t="n">
        <v>79</v>
      </c>
      <c r="BA68" t="n">
        <v>68</v>
      </c>
      <c r="BB68" t="n">
        <v>85.40000000000001</v>
      </c>
      <c r="BC68" t="n">
        <v>87.7</v>
      </c>
      <c r="BD68" t="n">
        <v>14.6</v>
      </c>
      <c r="BE68" t="n">
        <v>12.3</v>
      </c>
      <c r="BF68" t="n">
        <v>100</v>
      </c>
      <c r="BG68" t="n">
        <v>5.7</v>
      </c>
      <c r="BH68" t="n">
        <v>18.9</v>
      </c>
      <c r="BI68" t="n">
        <v>0.7</v>
      </c>
      <c r="BJ68" t="n">
        <v>79</v>
      </c>
      <c r="BK68" t="n">
        <v>68</v>
      </c>
      <c r="BL68" t="n">
        <v>85.40000000000001</v>
      </c>
      <c r="BM68" t="n">
        <v>87.7</v>
      </c>
      <c r="BN68" t="n">
        <v>14.6</v>
      </c>
      <c r="BO68" t="n">
        <v>12.3</v>
      </c>
      <c r="BP68" t="n">
        <v>0</v>
      </c>
      <c r="BQ68" t="n">
        <v>0</v>
      </c>
      <c r="BR68" t="n">
        <v>0</v>
      </c>
      <c r="BS68" t="n">
        <v>0</v>
      </c>
      <c r="BT68" t="n">
        <v>0</v>
      </c>
      <c r="BU68" t="n">
        <v>0</v>
      </c>
      <c r="BV68" t="n">
        <v>0</v>
      </c>
      <c r="BW68" t="n">
        <v>0</v>
      </c>
      <c r="BX68" t="n">
        <v>0</v>
      </c>
      <c r="BY68" t="n">
        <v>0</v>
      </c>
      <c r="BZ68" t="n">
        <v>190</v>
      </c>
      <c r="CA68" t="n">
        <v>21</v>
      </c>
      <c r="CB68" t="n">
        <v>29</v>
      </c>
      <c r="CC68" t="n">
        <v>17</v>
      </c>
      <c r="CD68" t="n">
        <v>109</v>
      </c>
      <c r="CE68" t="n">
        <v>101</v>
      </c>
      <c r="CF68" t="n">
        <v>140</v>
      </c>
      <c r="CG68" t="n">
        <v>137</v>
      </c>
      <c r="CH68" t="n">
        <v>190</v>
      </c>
      <c r="CI68" t="n">
        <v>21</v>
      </c>
      <c r="CJ68" t="n">
        <v>29</v>
      </c>
      <c r="CK68" t="n">
        <v>17</v>
      </c>
      <c r="CL68" t="n">
        <v>109</v>
      </c>
      <c r="CM68" t="n">
        <v>101</v>
      </c>
      <c r="CN68" t="n">
        <v>140</v>
      </c>
      <c r="CO68" t="n">
        <v>137</v>
      </c>
      <c r="CP68" t="n">
        <v>0</v>
      </c>
      <c r="CQ68" t="n">
        <v>0</v>
      </c>
      <c r="CR68" t="n">
        <v>0</v>
      </c>
      <c r="CS68" t="n">
        <v>0</v>
      </c>
      <c r="CT68" t="n">
        <v>0</v>
      </c>
      <c r="CU68" t="n">
        <v>0</v>
      </c>
      <c r="CV68" t="n">
        <v>0</v>
      </c>
      <c r="CW68" t="n">
        <v>0</v>
      </c>
      <c r="CX68" t="n">
        <v>22.7</v>
      </c>
      <c r="CY68" t="n">
        <v>30.1</v>
      </c>
      <c r="CZ68" t="n">
        <v>36.5</v>
      </c>
      <c r="DA68" t="n">
        <v>43.1</v>
      </c>
      <c r="DB68" t="n">
        <v>20.4</v>
      </c>
      <c r="DC68" t="n">
        <v>28.3</v>
      </c>
      <c r="DD68" t="n">
        <v>32.4</v>
      </c>
      <c r="DE68" t="n">
        <v>38.8</v>
      </c>
      <c r="DF68" t="n">
        <v>22.7</v>
      </c>
      <c r="DG68" t="n">
        <v>30.1</v>
      </c>
      <c r="DH68" t="n">
        <v>36.5</v>
      </c>
      <c r="DI68" t="n">
        <v>43.1</v>
      </c>
      <c r="DJ68" t="n">
        <v>20.4</v>
      </c>
      <c r="DK68" t="n">
        <v>28.3</v>
      </c>
      <c r="DL68" t="n">
        <v>32.4</v>
      </c>
      <c r="DM68" t="n">
        <v>38.8</v>
      </c>
      <c r="DN68" t="n">
        <v>0</v>
      </c>
      <c r="DO68" t="n">
        <v>0</v>
      </c>
      <c r="DP68" t="n">
        <v>0</v>
      </c>
      <c r="DQ68" t="n">
        <v>0</v>
      </c>
      <c r="DR68" t="n">
        <v>0</v>
      </c>
      <c r="DS68" t="n">
        <v>0</v>
      </c>
      <c r="DT68" t="n">
        <v>0</v>
      </c>
      <c r="DU68" t="n">
        <v>0</v>
      </c>
      <c r="DV68" t="inlineStr">
        <is>
          <t>(CONTRACTS OF $100,000 FACE VALUE)</t>
        </is>
      </c>
    </row>
    <row r="69">
      <c r="A69" t="inlineStr">
        <is>
          <t>UST BOND - CHICAGO BOARD OF TRADE</t>
        </is>
      </c>
      <c r="B69" t="n">
        <v>230103</v>
      </c>
      <c r="C69" s="1" t="n">
        <v>44929</v>
      </c>
      <c r="D69" t="inlineStr">
        <is>
          <t>020601</t>
        </is>
      </c>
      <c r="E69" t="inlineStr">
        <is>
          <t xml:space="preserve">CBT </t>
        </is>
      </c>
      <c r="F69" t="inlineStr">
        <is>
          <t>00</t>
        </is>
      </c>
      <c r="G69" t="inlineStr">
        <is>
          <t xml:space="preserve">020 </t>
        </is>
      </c>
      <c r="H69" t="n">
        <v>1198425</v>
      </c>
      <c r="I69" s="17" t="n">
        <v>54314</v>
      </c>
      <c r="J69" s="17" t="n">
        <v>223572</v>
      </c>
      <c r="K69" t="n">
        <v>11468</v>
      </c>
      <c r="L69" t="n">
        <v>962504</v>
      </c>
      <c r="M69" t="n">
        <v>819828</v>
      </c>
      <c r="N69" t="n">
        <v>1028286</v>
      </c>
      <c r="O69" t="n">
        <v>1054868</v>
      </c>
      <c r="P69" t="n">
        <v>170139</v>
      </c>
      <c r="Q69" t="n">
        <v>143557</v>
      </c>
      <c r="R69" t="n">
        <v>1198425</v>
      </c>
      <c r="S69" t="n">
        <v>54314</v>
      </c>
      <c r="T69" t="n">
        <v>223572</v>
      </c>
      <c r="U69" t="n">
        <v>11468</v>
      </c>
      <c r="V69" t="n">
        <v>962504</v>
      </c>
      <c r="W69" t="n">
        <v>819828</v>
      </c>
      <c r="X69" t="n">
        <v>1028286</v>
      </c>
      <c r="Y69" t="n">
        <v>1054868</v>
      </c>
      <c r="Z69" t="n">
        <v>170139</v>
      </c>
      <c r="AA69" t="n">
        <v>143557</v>
      </c>
      <c r="AB69" t="n">
        <v>0</v>
      </c>
      <c r="AC69" t="n">
        <v>0</v>
      </c>
      <c r="AD69" t="n">
        <v>0</v>
      </c>
      <c r="AE69" t="n">
        <v>0</v>
      </c>
      <c r="AF69" t="n">
        <v>0</v>
      </c>
      <c r="AG69" t="n">
        <v>0</v>
      </c>
      <c r="AH69" t="n">
        <v>0</v>
      </c>
      <c r="AI69" t="n">
        <v>0</v>
      </c>
      <c r="AJ69" t="n">
        <v>0</v>
      </c>
      <c r="AK69" t="n">
        <v>0</v>
      </c>
      <c r="AL69" t="n">
        <v>-312</v>
      </c>
      <c r="AM69" t="n">
        <v>-9956</v>
      </c>
      <c r="AN69" t="n">
        <v>8238</v>
      </c>
      <c r="AO69" t="n">
        <v>116</v>
      </c>
      <c r="AP69" t="n">
        <v>11259</v>
      </c>
      <c r="AQ69" t="n">
        <v>-16623</v>
      </c>
      <c r="AR69" t="n">
        <v>1419</v>
      </c>
      <c r="AS69" t="n">
        <v>-8269</v>
      </c>
      <c r="AT69" t="n">
        <v>-1731</v>
      </c>
      <c r="AU69" t="n">
        <v>7957</v>
      </c>
      <c r="AV69" t="n">
        <v>100</v>
      </c>
      <c r="AW69" t="n">
        <v>4.5</v>
      </c>
      <c r="AX69" t="n">
        <v>18.7</v>
      </c>
      <c r="AY69" t="n">
        <v>1</v>
      </c>
      <c r="AZ69" t="n">
        <v>80.3</v>
      </c>
      <c r="BA69" t="n">
        <v>68.40000000000001</v>
      </c>
      <c r="BB69" t="n">
        <v>85.8</v>
      </c>
      <c r="BC69" t="n">
        <v>88</v>
      </c>
      <c r="BD69" t="n">
        <v>14.2</v>
      </c>
      <c r="BE69" t="n">
        <v>12</v>
      </c>
      <c r="BF69" t="n">
        <v>100</v>
      </c>
      <c r="BG69" t="n">
        <v>4.5</v>
      </c>
      <c r="BH69" t="n">
        <v>18.7</v>
      </c>
      <c r="BI69" t="n">
        <v>1</v>
      </c>
      <c r="BJ69" t="n">
        <v>80.3</v>
      </c>
      <c r="BK69" t="n">
        <v>68.40000000000001</v>
      </c>
      <c r="BL69" t="n">
        <v>85.8</v>
      </c>
      <c r="BM69" t="n">
        <v>88</v>
      </c>
      <c r="BN69" t="n">
        <v>14.2</v>
      </c>
      <c r="BO69" t="n">
        <v>12</v>
      </c>
      <c r="BP69" t="n">
        <v>0</v>
      </c>
      <c r="BQ69" t="n">
        <v>0</v>
      </c>
      <c r="BR69" t="n">
        <v>0</v>
      </c>
      <c r="BS69" t="n">
        <v>0</v>
      </c>
      <c r="BT69" t="n">
        <v>0</v>
      </c>
      <c r="BU69" t="n">
        <v>0</v>
      </c>
      <c r="BV69" t="n">
        <v>0</v>
      </c>
      <c r="BW69" t="n">
        <v>0</v>
      </c>
      <c r="BX69" t="n">
        <v>0</v>
      </c>
      <c r="BY69" t="n">
        <v>0</v>
      </c>
      <c r="BZ69" t="n">
        <v>186</v>
      </c>
      <c r="CA69" t="n">
        <v>18</v>
      </c>
      <c r="CB69" t="n">
        <v>32</v>
      </c>
      <c r="CC69" t="n">
        <v>15</v>
      </c>
      <c r="CD69" t="n">
        <v>103</v>
      </c>
      <c r="CE69" t="n">
        <v>99</v>
      </c>
      <c r="CF69" t="n">
        <v>130</v>
      </c>
      <c r="CG69" t="n">
        <v>137</v>
      </c>
      <c r="CH69" t="n">
        <v>186</v>
      </c>
      <c r="CI69" t="n">
        <v>18</v>
      </c>
      <c r="CJ69" t="n">
        <v>32</v>
      </c>
      <c r="CK69" t="n">
        <v>15</v>
      </c>
      <c r="CL69" t="n">
        <v>103</v>
      </c>
      <c r="CM69" t="n">
        <v>99</v>
      </c>
      <c r="CN69" t="n">
        <v>130</v>
      </c>
      <c r="CO69" t="n">
        <v>137</v>
      </c>
      <c r="CP69" t="n">
        <v>0</v>
      </c>
      <c r="CQ69" t="n">
        <v>0</v>
      </c>
      <c r="CR69" t="n">
        <v>0</v>
      </c>
      <c r="CS69" t="n">
        <v>0</v>
      </c>
      <c r="CT69" t="n">
        <v>0</v>
      </c>
      <c r="CU69" t="n">
        <v>0</v>
      </c>
      <c r="CV69" t="n">
        <v>0</v>
      </c>
      <c r="CW69" t="n">
        <v>0</v>
      </c>
      <c r="CX69" t="n">
        <v>22.8</v>
      </c>
      <c r="CY69" t="n">
        <v>29.3</v>
      </c>
      <c r="CZ69" t="n">
        <v>38</v>
      </c>
      <c r="DA69" t="n">
        <v>41.6</v>
      </c>
      <c r="DB69" t="n">
        <v>20.9</v>
      </c>
      <c r="DC69" t="n">
        <v>26.8</v>
      </c>
      <c r="DD69" t="n">
        <v>34.2</v>
      </c>
      <c r="DE69" t="n">
        <v>37.5</v>
      </c>
      <c r="DF69" t="n">
        <v>22.8</v>
      </c>
      <c r="DG69" t="n">
        <v>29.3</v>
      </c>
      <c r="DH69" t="n">
        <v>38</v>
      </c>
      <c r="DI69" t="n">
        <v>41.6</v>
      </c>
      <c r="DJ69" t="n">
        <v>20.9</v>
      </c>
      <c r="DK69" t="n">
        <v>26.8</v>
      </c>
      <c r="DL69" t="n">
        <v>34.2</v>
      </c>
      <c r="DM69" t="n">
        <v>37.5</v>
      </c>
      <c r="DN69" t="n">
        <v>0</v>
      </c>
      <c r="DO69" t="n">
        <v>0</v>
      </c>
      <c r="DP69" t="n">
        <v>0</v>
      </c>
      <c r="DQ69" t="n">
        <v>0</v>
      </c>
      <c r="DR69" t="n">
        <v>0</v>
      </c>
      <c r="DS69" t="n">
        <v>0</v>
      </c>
      <c r="DT69" t="n">
        <v>0</v>
      </c>
      <c r="DU69" t="n">
        <v>0</v>
      </c>
      <c r="DV69" t="inlineStr">
        <is>
          <t>(CONTRACTS OF $100,000 FACE VALUE)</t>
        </is>
      </c>
    </row>
    <row r="70">
      <c r="A70" t="inlineStr">
        <is>
          <t>ULTRA UST BOND - CHICAGO BOARD OF TRADE</t>
        </is>
      </c>
      <c r="B70" t="n">
        <v>230110</v>
      </c>
      <c r="C70" s="1" t="n">
        <v>44936</v>
      </c>
      <c r="D70" t="inlineStr">
        <is>
          <t>020604</t>
        </is>
      </c>
      <c r="E70" t="inlineStr">
        <is>
          <t xml:space="preserve">CBT </t>
        </is>
      </c>
      <c r="F70" t="inlineStr">
        <is>
          <t>00</t>
        </is>
      </c>
      <c r="G70" t="inlineStr">
        <is>
          <t xml:space="preserve">020 </t>
        </is>
      </c>
      <c r="H70" t="n">
        <v>1405366</v>
      </c>
      <c r="I70" s="17" t="n">
        <v>63917</v>
      </c>
      <c r="J70" s="17" t="n">
        <v>435323</v>
      </c>
      <c r="K70" t="n">
        <v>3757</v>
      </c>
      <c r="L70" t="n">
        <v>1176415</v>
      </c>
      <c r="M70" t="n">
        <v>838006</v>
      </c>
      <c r="N70" t="n">
        <v>1244089</v>
      </c>
      <c r="O70" t="n">
        <v>1277086</v>
      </c>
      <c r="P70" t="n">
        <v>161277</v>
      </c>
      <c r="Q70" t="n">
        <v>128280</v>
      </c>
      <c r="R70" t="n">
        <v>1405366</v>
      </c>
      <c r="S70" t="n">
        <v>63917</v>
      </c>
      <c r="T70" t="n">
        <v>435323</v>
      </c>
      <c r="U70" t="n">
        <v>3757</v>
      </c>
      <c r="V70" t="n">
        <v>1176415</v>
      </c>
      <c r="W70" t="n">
        <v>838006</v>
      </c>
      <c r="X70" t="n">
        <v>1244089</v>
      </c>
      <c r="Y70" t="n">
        <v>1277086</v>
      </c>
      <c r="Z70" t="n">
        <v>161277</v>
      </c>
      <c r="AA70" t="n">
        <v>128280</v>
      </c>
      <c r="AB70" t="n">
        <v>0</v>
      </c>
      <c r="AC70" t="n">
        <v>0</v>
      </c>
      <c r="AD70" t="n">
        <v>0</v>
      </c>
      <c r="AE70" t="n">
        <v>0</v>
      </c>
      <c r="AF70" t="n">
        <v>0</v>
      </c>
      <c r="AG70" t="n">
        <v>0</v>
      </c>
      <c r="AH70" t="n">
        <v>0</v>
      </c>
      <c r="AI70" t="n">
        <v>0</v>
      </c>
      <c r="AJ70" t="n">
        <v>0</v>
      </c>
      <c r="AK70" t="n">
        <v>0</v>
      </c>
      <c r="AL70" t="n">
        <v>-11255</v>
      </c>
      <c r="AM70" t="n">
        <v>-1345</v>
      </c>
      <c r="AN70" t="n">
        <v>5167</v>
      </c>
      <c r="AO70" t="n">
        <v>-284</v>
      </c>
      <c r="AP70" t="n">
        <v>-4382</v>
      </c>
      <c r="AQ70" t="n">
        <v>-23616</v>
      </c>
      <c r="AR70" t="n">
        <v>-6011</v>
      </c>
      <c r="AS70" t="n">
        <v>-18733</v>
      </c>
      <c r="AT70" t="n">
        <v>-5244</v>
      </c>
      <c r="AU70" t="n">
        <v>7478</v>
      </c>
      <c r="AV70" t="n">
        <v>100</v>
      </c>
      <c r="AW70" t="n">
        <v>4.5</v>
      </c>
      <c r="AX70" t="n">
        <v>31</v>
      </c>
      <c r="AY70" t="n">
        <v>0.3</v>
      </c>
      <c r="AZ70" t="n">
        <v>83.7</v>
      </c>
      <c r="BA70" t="n">
        <v>59.6</v>
      </c>
      <c r="BB70" t="n">
        <v>88.5</v>
      </c>
      <c r="BC70" t="n">
        <v>90.90000000000001</v>
      </c>
      <c r="BD70" t="n">
        <v>11.5</v>
      </c>
      <c r="BE70" t="n">
        <v>9.1</v>
      </c>
      <c r="BF70" t="n">
        <v>100</v>
      </c>
      <c r="BG70" t="n">
        <v>4.5</v>
      </c>
      <c r="BH70" t="n">
        <v>31</v>
      </c>
      <c r="BI70" t="n">
        <v>0.3</v>
      </c>
      <c r="BJ70" t="n">
        <v>83.7</v>
      </c>
      <c r="BK70" t="n">
        <v>59.6</v>
      </c>
      <c r="BL70" t="n">
        <v>88.5</v>
      </c>
      <c r="BM70" t="n">
        <v>90.90000000000001</v>
      </c>
      <c r="BN70" t="n">
        <v>11.5</v>
      </c>
      <c r="BO70" t="n">
        <v>9.1</v>
      </c>
      <c r="BP70" t="n">
        <v>0</v>
      </c>
      <c r="BQ70" t="n">
        <v>0</v>
      </c>
      <c r="BR70" t="n">
        <v>0</v>
      </c>
      <c r="BS70" t="n">
        <v>0</v>
      </c>
      <c r="BT70" t="n">
        <v>0</v>
      </c>
      <c r="BU70" t="n">
        <v>0</v>
      </c>
      <c r="BV70" t="n">
        <v>0</v>
      </c>
      <c r="BW70" t="n">
        <v>0</v>
      </c>
      <c r="BX70" t="n">
        <v>0</v>
      </c>
      <c r="BY70" t="n">
        <v>0</v>
      </c>
      <c r="BZ70" t="n">
        <v>153</v>
      </c>
      <c r="CA70" t="n">
        <v>14</v>
      </c>
      <c r="CB70" t="n">
        <v>14</v>
      </c>
      <c r="CC70" t="n">
        <v>9</v>
      </c>
      <c r="CD70" t="n">
        <v>101</v>
      </c>
      <c r="CE70" t="n">
        <v>85</v>
      </c>
      <c r="CF70" t="n">
        <v>120</v>
      </c>
      <c r="CG70" t="n">
        <v>103</v>
      </c>
      <c r="CH70" t="n">
        <v>153</v>
      </c>
      <c r="CI70" t="n">
        <v>14</v>
      </c>
      <c r="CJ70" t="n">
        <v>14</v>
      </c>
      <c r="CK70" t="n">
        <v>9</v>
      </c>
      <c r="CL70" t="n">
        <v>101</v>
      </c>
      <c r="CM70" t="n">
        <v>85</v>
      </c>
      <c r="CN70" t="n">
        <v>120</v>
      </c>
      <c r="CO70" t="n">
        <v>103</v>
      </c>
      <c r="CP70" t="n">
        <v>0</v>
      </c>
      <c r="CQ70" t="n">
        <v>0</v>
      </c>
      <c r="CR70" t="n">
        <v>0</v>
      </c>
      <c r="CS70" t="n">
        <v>0</v>
      </c>
      <c r="CT70" t="n">
        <v>0</v>
      </c>
      <c r="CU70" t="n">
        <v>0</v>
      </c>
      <c r="CV70" t="n">
        <v>0</v>
      </c>
      <c r="CW70" t="n">
        <v>0</v>
      </c>
      <c r="CX70" t="n">
        <v>23.3</v>
      </c>
      <c r="CY70" t="n">
        <v>34.5</v>
      </c>
      <c r="CZ70" t="n">
        <v>36.5</v>
      </c>
      <c r="DA70" t="n">
        <v>55.6</v>
      </c>
      <c r="DB70" t="n">
        <v>20.9</v>
      </c>
      <c r="DC70" t="n">
        <v>34.5</v>
      </c>
      <c r="DD70" t="n">
        <v>32.4</v>
      </c>
      <c r="DE70" t="n">
        <v>51.5</v>
      </c>
      <c r="DF70" t="n">
        <v>23.3</v>
      </c>
      <c r="DG70" t="n">
        <v>34.5</v>
      </c>
      <c r="DH70" t="n">
        <v>36.5</v>
      </c>
      <c r="DI70" t="n">
        <v>55.6</v>
      </c>
      <c r="DJ70" t="n">
        <v>20.9</v>
      </c>
      <c r="DK70" t="n">
        <v>34.5</v>
      </c>
      <c r="DL70" t="n">
        <v>32.4</v>
      </c>
      <c r="DM70" t="n">
        <v>51.5</v>
      </c>
      <c r="DN70" t="n">
        <v>0</v>
      </c>
      <c r="DO70" t="n">
        <v>0</v>
      </c>
      <c r="DP70" t="n">
        <v>0</v>
      </c>
      <c r="DQ70" t="n">
        <v>0</v>
      </c>
      <c r="DR70" t="n">
        <v>0</v>
      </c>
      <c r="DS70" t="n">
        <v>0</v>
      </c>
      <c r="DT70" t="n">
        <v>0</v>
      </c>
      <c r="DU70" t="n">
        <v>0</v>
      </c>
      <c r="DV70" t="inlineStr">
        <is>
          <t>(CONTRACTS OF $100,000 FACE VALUE)</t>
        </is>
      </c>
    </row>
    <row r="71">
      <c r="A71" t="inlineStr">
        <is>
          <t>ULTRA UST BOND - CHICAGO BOARD OF TRADE</t>
        </is>
      </c>
      <c r="B71" t="n">
        <v>230103</v>
      </c>
      <c r="C71" s="1" t="n">
        <v>44929</v>
      </c>
      <c r="D71" t="inlineStr">
        <is>
          <t>020604</t>
        </is>
      </c>
      <c r="E71" t="inlineStr">
        <is>
          <t xml:space="preserve">CBT </t>
        </is>
      </c>
      <c r="F71" t="inlineStr">
        <is>
          <t>00</t>
        </is>
      </c>
      <c r="G71" t="inlineStr">
        <is>
          <t xml:space="preserve">020 </t>
        </is>
      </c>
      <c r="H71" t="n">
        <v>1416621</v>
      </c>
      <c r="I71" s="17" t="n">
        <v>65262</v>
      </c>
      <c r="J71" s="17" t="n">
        <v>430156</v>
      </c>
      <c r="K71" t="n">
        <v>4041</v>
      </c>
      <c r="L71" t="n">
        <v>1180797</v>
      </c>
      <c r="M71" t="n">
        <v>861622</v>
      </c>
      <c r="N71" t="n">
        <v>1250100</v>
      </c>
      <c r="O71" t="n">
        <v>1295819</v>
      </c>
      <c r="P71" t="n">
        <v>166521</v>
      </c>
      <c r="Q71" t="n">
        <v>120802</v>
      </c>
      <c r="R71" t="n">
        <v>1416621</v>
      </c>
      <c r="S71" t="n">
        <v>65262</v>
      </c>
      <c r="T71" t="n">
        <v>430156</v>
      </c>
      <c r="U71" t="n">
        <v>4041</v>
      </c>
      <c r="V71" t="n">
        <v>1180797</v>
      </c>
      <c r="W71" t="n">
        <v>861622</v>
      </c>
      <c r="X71" t="n">
        <v>1250100</v>
      </c>
      <c r="Y71" t="n">
        <v>1295819</v>
      </c>
      <c r="Z71" t="n">
        <v>166521</v>
      </c>
      <c r="AA71" t="n">
        <v>120802</v>
      </c>
      <c r="AB71" t="n">
        <v>0</v>
      </c>
      <c r="AC71" t="n">
        <v>0</v>
      </c>
      <c r="AD71" t="n">
        <v>0</v>
      </c>
      <c r="AE71" t="n">
        <v>0</v>
      </c>
      <c r="AF71" t="n">
        <v>0</v>
      </c>
      <c r="AG71" t="n">
        <v>0</v>
      </c>
      <c r="AH71" t="n">
        <v>0</v>
      </c>
      <c r="AI71" t="n">
        <v>0</v>
      </c>
      <c r="AJ71" t="n">
        <v>0</v>
      </c>
      <c r="AK71" t="n">
        <v>0</v>
      </c>
      <c r="AL71" t="n">
        <v>4139</v>
      </c>
      <c r="AM71" t="n">
        <v>3117</v>
      </c>
      <c r="AN71" t="n">
        <v>-892</v>
      </c>
      <c r="AO71" t="n">
        <v>1105</v>
      </c>
      <c r="AP71" t="n">
        <v>-1213</v>
      </c>
      <c r="AQ71" t="n">
        <v>-2195</v>
      </c>
      <c r="AR71" t="n">
        <v>3009</v>
      </c>
      <c r="AS71" t="n">
        <v>-1982</v>
      </c>
      <c r="AT71" t="n">
        <v>1130</v>
      </c>
      <c r="AU71" t="n">
        <v>6121</v>
      </c>
      <c r="AV71" t="n">
        <v>100</v>
      </c>
      <c r="AW71" t="n">
        <v>4.6</v>
      </c>
      <c r="AX71" t="n">
        <v>30.4</v>
      </c>
      <c r="AY71" t="n">
        <v>0.3</v>
      </c>
      <c r="AZ71" t="n">
        <v>83.40000000000001</v>
      </c>
      <c r="BA71" t="n">
        <v>60.8</v>
      </c>
      <c r="BB71" t="n">
        <v>88.2</v>
      </c>
      <c r="BC71" t="n">
        <v>91.5</v>
      </c>
      <c r="BD71" t="n">
        <v>11.8</v>
      </c>
      <c r="BE71" t="n">
        <v>8.5</v>
      </c>
      <c r="BF71" t="n">
        <v>100</v>
      </c>
      <c r="BG71" t="n">
        <v>4.6</v>
      </c>
      <c r="BH71" t="n">
        <v>30.4</v>
      </c>
      <c r="BI71" t="n">
        <v>0.3</v>
      </c>
      <c r="BJ71" t="n">
        <v>83.40000000000001</v>
      </c>
      <c r="BK71" t="n">
        <v>60.8</v>
      </c>
      <c r="BL71" t="n">
        <v>88.2</v>
      </c>
      <c r="BM71" t="n">
        <v>91.5</v>
      </c>
      <c r="BN71" t="n">
        <v>11.8</v>
      </c>
      <c r="BO71" t="n">
        <v>8.5</v>
      </c>
      <c r="BP71" t="n">
        <v>0</v>
      </c>
      <c r="BQ71" t="n">
        <v>0</v>
      </c>
      <c r="BR71" t="n">
        <v>0</v>
      </c>
      <c r="BS71" t="n">
        <v>0</v>
      </c>
      <c r="BT71" t="n">
        <v>0</v>
      </c>
      <c r="BU71" t="n">
        <v>0</v>
      </c>
      <c r="BV71" t="n">
        <v>0</v>
      </c>
      <c r="BW71" t="n">
        <v>0</v>
      </c>
      <c r="BX71" t="n">
        <v>0</v>
      </c>
      <c r="BY71" t="n">
        <v>0</v>
      </c>
      <c r="BZ71" t="n">
        <v>155</v>
      </c>
      <c r="CA71" t="n">
        <v>14</v>
      </c>
      <c r="CB71" t="n">
        <v>15</v>
      </c>
      <c r="CC71" t="n">
        <v>10</v>
      </c>
      <c r="CD71" t="n">
        <v>101</v>
      </c>
      <c r="CE71" t="n">
        <v>85</v>
      </c>
      <c r="CF71" t="n">
        <v>120</v>
      </c>
      <c r="CG71" t="n">
        <v>105</v>
      </c>
      <c r="CH71" t="n">
        <v>155</v>
      </c>
      <c r="CI71" t="n">
        <v>14</v>
      </c>
      <c r="CJ71" t="n">
        <v>15</v>
      </c>
      <c r="CK71" t="n">
        <v>10</v>
      </c>
      <c r="CL71" t="n">
        <v>101</v>
      </c>
      <c r="CM71" t="n">
        <v>85</v>
      </c>
      <c r="CN71" t="n">
        <v>120</v>
      </c>
      <c r="CO71" t="n">
        <v>105</v>
      </c>
      <c r="CP71" t="n">
        <v>0</v>
      </c>
      <c r="CQ71" t="n">
        <v>0</v>
      </c>
      <c r="CR71" t="n">
        <v>0</v>
      </c>
      <c r="CS71" t="n">
        <v>0</v>
      </c>
      <c r="CT71" t="n">
        <v>0</v>
      </c>
      <c r="CU71" t="n">
        <v>0</v>
      </c>
      <c r="CV71" t="n">
        <v>0</v>
      </c>
      <c r="CW71" t="n">
        <v>0</v>
      </c>
      <c r="CX71" t="n">
        <v>23</v>
      </c>
      <c r="CY71" t="n">
        <v>34</v>
      </c>
      <c r="CZ71" t="n">
        <v>36.6</v>
      </c>
      <c r="DA71" t="n">
        <v>55</v>
      </c>
      <c r="DB71" t="n">
        <v>20.5</v>
      </c>
      <c r="DC71" t="n">
        <v>34</v>
      </c>
      <c r="DD71" t="n">
        <v>32.5</v>
      </c>
      <c r="DE71" t="n">
        <v>50.8</v>
      </c>
      <c r="DF71" t="n">
        <v>23</v>
      </c>
      <c r="DG71" t="n">
        <v>34</v>
      </c>
      <c r="DH71" t="n">
        <v>36.6</v>
      </c>
      <c r="DI71" t="n">
        <v>55</v>
      </c>
      <c r="DJ71" t="n">
        <v>20.5</v>
      </c>
      <c r="DK71" t="n">
        <v>34</v>
      </c>
      <c r="DL71" t="n">
        <v>32.5</v>
      </c>
      <c r="DM71" t="n">
        <v>50.8</v>
      </c>
      <c r="DN71" t="n">
        <v>0</v>
      </c>
      <c r="DO71" t="n">
        <v>0</v>
      </c>
      <c r="DP71" t="n">
        <v>0</v>
      </c>
      <c r="DQ71" t="n">
        <v>0</v>
      </c>
      <c r="DR71" t="n">
        <v>0</v>
      </c>
      <c r="DS71" t="n">
        <v>0</v>
      </c>
      <c r="DT71" t="n">
        <v>0</v>
      </c>
      <c r="DU71" t="n">
        <v>0</v>
      </c>
      <c r="DV71" t="inlineStr">
        <is>
          <t>(CONTRACTS OF $100,000 FACE VALUE)</t>
        </is>
      </c>
    </row>
    <row r="72">
      <c r="A72" t="inlineStr">
        <is>
          <t>MARINE FUEL OIL 0.5% FOB USGC - ICE FUTURES ENERGY DIV</t>
        </is>
      </c>
      <c r="B72" t="n">
        <v>230110</v>
      </c>
      <c r="C72" s="1" t="n">
        <v>44936</v>
      </c>
      <c r="D72" t="inlineStr">
        <is>
          <t>021397</t>
        </is>
      </c>
      <c r="E72" t="inlineStr">
        <is>
          <t>IFED</t>
        </is>
      </c>
      <c r="F72" t="inlineStr">
        <is>
          <t>01</t>
        </is>
      </c>
      <c r="G72" t="inlineStr">
        <is>
          <t xml:space="preserve">021 </t>
        </is>
      </c>
      <c r="H72" t="n">
        <v>5645</v>
      </c>
      <c r="I72" s="17" t="n">
        <v>529</v>
      </c>
      <c r="J72" s="17" t="n">
        <v>185</v>
      </c>
      <c r="K72" t="n">
        <v>149</v>
      </c>
      <c r="L72" t="n">
        <v>4789</v>
      </c>
      <c r="M72" t="n">
        <v>5305</v>
      </c>
      <c r="N72" t="n">
        <v>5467</v>
      </c>
      <c r="O72" t="n">
        <v>5639</v>
      </c>
      <c r="P72" t="n">
        <v>178</v>
      </c>
      <c r="Q72" t="n">
        <v>6</v>
      </c>
      <c r="R72" t="n">
        <v>5645</v>
      </c>
      <c r="S72" t="n">
        <v>529</v>
      </c>
      <c r="T72" t="n">
        <v>185</v>
      </c>
      <c r="U72" t="n">
        <v>149</v>
      </c>
      <c r="V72" t="n">
        <v>4789</v>
      </c>
      <c r="W72" t="n">
        <v>5305</v>
      </c>
      <c r="X72" t="n">
        <v>5467</v>
      </c>
      <c r="Y72" t="n">
        <v>5639</v>
      </c>
      <c r="Z72" t="n">
        <v>178</v>
      </c>
      <c r="AA72" t="n">
        <v>6</v>
      </c>
      <c r="AB72" t="n">
        <v>0</v>
      </c>
      <c r="AC72" t="n">
        <v>0</v>
      </c>
      <c r="AD72" t="n">
        <v>0</v>
      </c>
      <c r="AE72" t="n">
        <v>0</v>
      </c>
      <c r="AF72" t="n">
        <v>0</v>
      </c>
      <c r="AG72" t="n">
        <v>0</v>
      </c>
      <c r="AH72" t="n">
        <v>0</v>
      </c>
      <c r="AI72" t="n">
        <v>0</v>
      </c>
      <c r="AJ72" t="n">
        <v>0</v>
      </c>
      <c r="AK72" t="n">
        <v>0</v>
      </c>
      <c r="AL72" t="n">
        <v>-741</v>
      </c>
      <c r="AM72" t="n">
        <v>-520</v>
      </c>
      <c r="AN72" t="n">
        <v>27</v>
      </c>
      <c r="AO72" t="n">
        <v>-55</v>
      </c>
      <c r="AP72" t="n">
        <v>-131</v>
      </c>
      <c r="AQ72" t="n">
        <v>-667</v>
      </c>
      <c r="AR72" t="n">
        <v>-706</v>
      </c>
      <c r="AS72" t="n">
        <v>-695</v>
      </c>
      <c r="AT72" t="n">
        <v>-35</v>
      </c>
      <c r="AU72" t="n">
        <v>-46</v>
      </c>
      <c r="AV72" t="n">
        <v>100</v>
      </c>
      <c r="AW72" t="n">
        <v>9.4</v>
      </c>
      <c r="AX72" t="n">
        <v>3.3</v>
      </c>
      <c r="AY72" t="n">
        <v>2.6</v>
      </c>
      <c r="AZ72" t="n">
        <v>84.8</v>
      </c>
      <c r="BA72" t="n">
        <v>94</v>
      </c>
      <c r="BB72" t="n">
        <v>96.8</v>
      </c>
      <c r="BC72" t="n">
        <v>99.90000000000001</v>
      </c>
      <c r="BD72" t="n">
        <v>3.2</v>
      </c>
      <c r="BE72" t="n">
        <v>0.1</v>
      </c>
      <c r="BF72" t="n">
        <v>100</v>
      </c>
      <c r="BG72" t="n">
        <v>9.4</v>
      </c>
      <c r="BH72" t="n">
        <v>3.3</v>
      </c>
      <c r="BI72" t="n">
        <v>2.6</v>
      </c>
      <c r="BJ72" t="n">
        <v>84.8</v>
      </c>
      <c r="BK72" t="n">
        <v>94</v>
      </c>
      <c r="BL72" t="n">
        <v>96.8</v>
      </c>
      <c r="BM72" t="n">
        <v>99.90000000000001</v>
      </c>
      <c r="BN72" t="n">
        <v>3.2</v>
      </c>
      <c r="BO72" t="n">
        <v>0.1</v>
      </c>
      <c r="BP72" t="n">
        <v>0</v>
      </c>
      <c r="BQ72" t="n">
        <v>0</v>
      </c>
      <c r="BR72" t="n">
        <v>0</v>
      </c>
      <c r="BS72" t="n">
        <v>0</v>
      </c>
      <c r="BT72" t="n">
        <v>0</v>
      </c>
      <c r="BU72" t="n">
        <v>0</v>
      </c>
      <c r="BV72" t="n">
        <v>0</v>
      </c>
      <c r="BW72" t="n">
        <v>0</v>
      </c>
      <c r="BX72" t="n">
        <v>0</v>
      </c>
      <c r="BY72" t="n">
        <v>0</v>
      </c>
      <c r="BZ72" t="n">
        <v>22</v>
      </c>
      <c r="CA72" t="n">
        <v>2</v>
      </c>
      <c r="CB72" t="n">
        <v>1</v>
      </c>
      <c r="CC72" t="n">
        <v>2</v>
      </c>
      <c r="CD72" t="n">
        <v>16</v>
      </c>
      <c r="CE72" t="n">
        <v>15</v>
      </c>
      <c r="CF72" t="n">
        <v>19</v>
      </c>
      <c r="CG72" t="n">
        <v>17</v>
      </c>
      <c r="CH72" t="n">
        <v>22</v>
      </c>
      <c r="CI72" t="n">
        <v>2</v>
      </c>
      <c r="CJ72" t="n">
        <v>1</v>
      </c>
      <c r="CK72" t="n">
        <v>2</v>
      </c>
      <c r="CL72" t="n">
        <v>16</v>
      </c>
      <c r="CM72" t="n">
        <v>15</v>
      </c>
      <c r="CN72" t="n">
        <v>19</v>
      </c>
      <c r="CO72" t="n">
        <v>17</v>
      </c>
      <c r="CP72" t="n">
        <v>0</v>
      </c>
      <c r="CQ72" t="n">
        <v>0</v>
      </c>
      <c r="CR72" t="n">
        <v>0</v>
      </c>
      <c r="CS72" t="n">
        <v>0</v>
      </c>
      <c r="CT72" t="n">
        <v>0</v>
      </c>
      <c r="CU72" t="n">
        <v>0</v>
      </c>
      <c r="CV72" t="n">
        <v>0</v>
      </c>
      <c r="CW72" t="n">
        <v>0</v>
      </c>
      <c r="CX72" t="n">
        <v>53.4</v>
      </c>
      <c r="CY72" t="n">
        <v>57.5</v>
      </c>
      <c r="CZ72" t="n">
        <v>79.3</v>
      </c>
      <c r="DA72" t="n">
        <v>82.90000000000001</v>
      </c>
      <c r="DB72" t="n">
        <v>34</v>
      </c>
      <c r="DC72" t="n">
        <v>43.8</v>
      </c>
      <c r="DD72" t="n">
        <v>46.4</v>
      </c>
      <c r="DE72" t="n">
        <v>52.9</v>
      </c>
      <c r="DF72" t="n">
        <v>53.4</v>
      </c>
      <c r="DG72" t="n">
        <v>57.5</v>
      </c>
      <c r="DH72" t="n">
        <v>79.3</v>
      </c>
      <c r="DI72" t="n">
        <v>82.90000000000001</v>
      </c>
      <c r="DJ72" t="n">
        <v>34</v>
      </c>
      <c r="DK72" t="n">
        <v>43.8</v>
      </c>
      <c r="DL72" t="n">
        <v>46.4</v>
      </c>
      <c r="DM72" t="n">
        <v>52.9</v>
      </c>
      <c r="DN72" t="n">
        <v>0</v>
      </c>
      <c r="DO72" t="n">
        <v>0</v>
      </c>
      <c r="DP72" t="n">
        <v>0</v>
      </c>
      <c r="DQ72" t="n">
        <v>0</v>
      </c>
      <c r="DR72" t="n">
        <v>0</v>
      </c>
      <c r="DS72" t="n">
        <v>0</v>
      </c>
      <c r="DT72" t="n">
        <v>0</v>
      </c>
      <c r="DU72" t="n">
        <v>0</v>
      </c>
      <c r="DV72" t="inlineStr">
        <is>
          <t>1000 barrels</t>
        </is>
      </c>
    </row>
    <row r="73">
      <c r="A73" t="inlineStr">
        <is>
          <t>MARINE FUEL OIL 0.5% FOB USGC - ICE FUTURES ENERGY DIV</t>
        </is>
      </c>
      <c r="B73" t="n">
        <v>230103</v>
      </c>
      <c r="C73" s="1" t="n">
        <v>44929</v>
      </c>
      <c r="D73" t="inlineStr">
        <is>
          <t>021397</t>
        </is>
      </c>
      <c r="E73" t="inlineStr">
        <is>
          <t>IFED</t>
        </is>
      </c>
      <c r="F73" t="inlineStr">
        <is>
          <t>01</t>
        </is>
      </c>
      <c r="G73" t="inlineStr">
        <is>
          <t xml:space="preserve">021 </t>
        </is>
      </c>
      <c r="H73" t="n">
        <v>6386</v>
      </c>
      <c r="I73" s="17" t="n">
        <v>1049</v>
      </c>
      <c r="J73" s="17" t="n">
        <v>158</v>
      </c>
      <c r="K73" t="n">
        <v>204</v>
      </c>
      <c r="L73" t="n">
        <v>4920</v>
      </c>
      <c r="M73" t="n">
        <v>5972</v>
      </c>
      <c r="N73" t="n">
        <v>6173</v>
      </c>
      <c r="O73" t="n">
        <v>6334</v>
      </c>
      <c r="P73" t="n">
        <v>213</v>
      </c>
      <c r="Q73" t="n">
        <v>52</v>
      </c>
      <c r="R73" t="n">
        <v>6386</v>
      </c>
      <c r="S73" t="n">
        <v>1049</v>
      </c>
      <c r="T73" t="n">
        <v>158</v>
      </c>
      <c r="U73" t="n">
        <v>204</v>
      </c>
      <c r="V73" t="n">
        <v>4920</v>
      </c>
      <c r="W73" t="n">
        <v>5972</v>
      </c>
      <c r="X73" t="n">
        <v>6173</v>
      </c>
      <c r="Y73" t="n">
        <v>6334</v>
      </c>
      <c r="Z73" t="n">
        <v>213</v>
      </c>
      <c r="AA73" t="n">
        <v>52</v>
      </c>
      <c r="AB73" t="n">
        <v>0</v>
      </c>
      <c r="AC73" t="n">
        <v>0</v>
      </c>
      <c r="AD73" t="n">
        <v>0</v>
      </c>
      <c r="AE73" t="n">
        <v>0</v>
      </c>
      <c r="AF73" t="n">
        <v>0</v>
      </c>
      <c r="AG73" t="n">
        <v>0</v>
      </c>
      <c r="AH73" t="n">
        <v>0</v>
      </c>
      <c r="AI73" t="n">
        <v>0</v>
      </c>
      <c r="AJ73" t="n">
        <v>0</v>
      </c>
      <c r="AK73" t="n">
        <v>0</v>
      </c>
      <c r="AL73" t="n">
        <v>28</v>
      </c>
      <c r="AM73" t="n">
        <v>-80</v>
      </c>
      <c r="AN73" t="n">
        <v>0</v>
      </c>
      <c r="AO73" t="n">
        <v>49</v>
      </c>
      <c r="AP73" t="n">
        <v>39</v>
      </c>
      <c r="AQ73" t="n">
        <v>-21</v>
      </c>
      <c r="AR73" t="n">
        <v>8</v>
      </c>
      <c r="AS73" t="n">
        <v>28</v>
      </c>
      <c r="AT73" t="n">
        <v>20</v>
      </c>
      <c r="AU73" t="n">
        <v>0</v>
      </c>
      <c r="AV73" t="n">
        <v>100</v>
      </c>
      <c r="AW73" t="n">
        <v>16.4</v>
      </c>
      <c r="AX73" t="n">
        <v>2.5</v>
      </c>
      <c r="AY73" t="n">
        <v>3.2</v>
      </c>
      <c r="AZ73" t="n">
        <v>77</v>
      </c>
      <c r="BA73" t="n">
        <v>93.5</v>
      </c>
      <c r="BB73" t="n">
        <v>96.7</v>
      </c>
      <c r="BC73" t="n">
        <v>99.2</v>
      </c>
      <c r="BD73" t="n">
        <v>3.3</v>
      </c>
      <c r="BE73" t="n">
        <v>0.8</v>
      </c>
      <c r="BF73" t="n">
        <v>100</v>
      </c>
      <c r="BG73" t="n">
        <v>16.4</v>
      </c>
      <c r="BH73" t="n">
        <v>2.5</v>
      </c>
      <c r="BI73" t="n">
        <v>3.2</v>
      </c>
      <c r="BJ73" t="n">
        <v>77</v>
      </c>
      <c r="BK73" t="n">
        <v>93.5</v>
      </c>
      <c r="BL73" t="n">
        <v>96.7</v>
      </c>
      <c r="BM73" t="n">
        <v>99.2</v>
      </c>
      <c r="BN73" t="n">
        <v>3.3</v>
      </c>
      <c r="BO73" t="n">
        <v>0.8</v>
      </c>
      <c r="BP73" t="n">
        <v>0</v>
      </c>
      <c r="BQ73" t="n">
        <v>0</v>
      </c>
      <c r="BR73" t="n">
        <v>0</v>
      </c>
      <c r="BS73" t="n">
        <v>0</v>
      </c>
      <c r="BT73" t="n">
        <v>0</v>
      </c>
      <c r="BU73" t="n">
        <v>0</v>
      </c>
      <c r="BV73" t="n">
        <v>0</v>
      </c>
      <c r="BW73" t="n">
        <v>0</v>
      </c>
      <c r="BX73" t="n">
        <v>0</v>
      </c>
      <c r="BY73" t="n">
        <v>0</v>
      </c>
      <c r="BZ73" t="n">
        <v>23</v>
      </c>
      <c r="CA73" t="n">
        <v>2</v>
      </c>
      <c r="CB73" t="n">
        <v>1</v>
      </c>
      <c r="CC73" t="n">
        <v>2</v>
      </c>
      <c r="CD73" t="n">
        <v>18</v>
      </c>
      <c r="CE73" t="n">
        <v>17</v>
      </c>
      <c r="CF73" t="n">
        <v>21</v>
      </c>
      <c r="CG73" t="n">
        <v>19</v>
      </c>
      <c r="CH73" t="n">
        <v>23</v>
      </c>
      <c r="CI73" t="n">
        <v>2</v>
      </c>
      <c r="CJ73" t="n">
        <v>1</v>
      </c>
      <c r="CK73" t="n">
        <v>2</v>
      </c>
      <c r="CL73" t="n">
        <v>18</v>
      </c>
      <c r="CM73" t="n">
        <v>17</v>
      </c>
      <c r="CN73" t="n">
        <v>21</v>
      </c>
      <c r="CO73" t="n">
        <v>19</v>
      </c>
      <c r="CP73" t="n">
        <v>0</v>
      </c>
      <c r="CQ73" t="n">
        <v>0</v>
      </c>
      <c r="CR73" t="n">
        <v>0</v>
      </c>
      <c r="CS73" t="n">
        <v>0</v>
      </c>
      <c r="CT73" t="n">
        <v>0</v>
      </c>
      <c r="CU73" t="n">
        <v>0</v>
      </c>
      <c r="CV73" t="n">
        <v>0</v>
      </c>
      <c r="CW73" t="n">
        <v>0</v>
      </c>
      <c r="CX73" t="n">
        <v>51.9</v>
      </c>
      <c r="CY73" t="n">
        <v>53.4</v>
      </c>
      <c r="CZ73" t="n">
        <v>73.09999999999999</v>
      </c>
      <c r="DA73" t="n">
        <v>76</v>
      </c>
      <c r="DB73" t="n">
        <v>38.5</v>
      </c>
      <c r="DC73" t="n">
        <v>41.6</v>
      </c>
      <c r="DD73" t="n">
        <v>49.4</v>
      </c>
      <c r="DE73" t="n">
        <v>50.4</v>
      </c>
      <c r="DF73" t="n">
        <v>51.9</v>
      </c>
      <c r="DG73" t="n">
        <v>53.4</v>
      </c>
      <c r="DH73" t="n">
        <v>73.09999999999999</v>
      </c>
      <c r="DI73" t="n">
        <v>76</v>
      </c>
      <c r="DJ73" t="n">
        <v>38.5</v>
      </c>
      <c r="DK73" t="n">
        <v>41.6</v>
      </c>
      <c r="DL73" t="n">
        <v>49.4</v>
      </c>
      <c r="DM73" t="n">
        <v>50.4</v>
      </c>
      <c r="DN73" t="n">
        <v>0</v>
      </c>
      <c r="DO73" t="n">
        <v>0</v>
      </c>
      <c r="DP73" t="n">
        <v>0</v>
      </c>
      <c r="DQ73" t="n">
        <v>0</v>
      </c>
      <c r="DR73" t="n">
        <v>0</v>
      </c>
      <c r="DS73" t="n">
        <v>0</v>
      </c>
      <c r="DT73" t="n">
        <v>0</v>
      </c>
      <c r="DU73" t="n">
        <v>0</v>
      </c>
      <c r="DV73" t="inlineStr">
        <is>
          <t>1000 barrels</t>
        </is>
      </c>
    </row>
    <row r="74">
      <c r="A74" t="inlineStr">
        <is>
          <t>USGC HSFO (PLATTS) - ICE FUTURES ENERGY DIV</t>
        </is>
      </c>
      <c r="B74" t="n">
        <v>230110</v>
      </c>
      <c r="C74" s="1" t="n">
        <v>44936</v>
      </c>
      <c r="D74" t="inlineStr">
        <is>
          <t>02141B</t>
        </is>
      </c>
      <c r="E74" t="inlineStr">
        <is>
          <t>IFED</t>
        </is>
      </c>
      <c r="F74" t="inlineStr">
        <is>
          <t>01</t>
        </is>
      </c>
      <c r="G74" t="inlineStr">
        <is>
          <t xml:space="preserve">021 </t>
        </is>
      </c>
      <c r="H74" t="n">
        <v>28673</v>
      </c>
      <c r="I74" s="17" t="n">
        <v>11074</v>
      </c>
      <c r="J74" s="17" t="n">
        <v>1644</v>
      </c>
      <c r="K74" t="n">
        <v>3179</v>
      </c>
      <c r="L74" t="n">
        <v>14183</v>
      </c>
      <c r="M74" t="n">
        <v>23767</v>
      </c>
      <c r="N74" t="n">
        <v>28436</v>
      </c>
      <c r="O74" t="n">
        <v>28590</v>
      </c>
      <c r="P74" t="n">
        <v>237</v>
      </c>
      <c r="Q74" t="n">
        <v>83</v>
      </c>
      <c r="R74" t="n">
        <v>28673</v>
      </c>
      <c r="S74" t="n">
        <v>11074</v>
      </c>
      <c r="T74" t="n">
        <v>1644</v>
      </c>
      <c r="U74" t="n">
        <v>3179</v>
      </c>
      <c r="V74" t="n">
        <v>14183</v>
      </c>
      <c r="W74" t="n">
        <v>23767</v>
      </c>
      <c r="X74" t="n">
        <v>28436</v>
      </c>
      <c r="Y74" t="n">
        <v>28590</v>
      </c>
      <c r="Z74" t="n">
        <v>237</v>
      </c>
      <c r="AA74" t="n">
        <v>83</v>
      </c>
      <c r="AB74" t="n">
        <v>0</v>
      </c>
      <c r="AC74" t="n">
        <v>0</v>
      </c>
      <c r="AD74" t="n">
        <v>0</v>
      </c>
      <c r="AE74" t="n">
        <v>0</v>
      </c>
      <c r="AF74" t="n">
        <v>0</v>
      </c>
      <c r="AG74" t="n">
        <v>0</v>
      </c>
      <c r="AH74" t="n">
        <v>0</v>
      </c>
      <c r="AI74" t="n">
        <v>0</v>
      </c>
      <c r="AJ74" t="n">
        <v>0</v>
      </c>
      <c r="AK74" t="n">
        <v>0</v>
      </c>
      <c r="AL74" t="n">
        <v>-5085</v>
      </c>
      <c r="AM74" t="n">
        <v>-803</v>
      </c>
      <c r="AN74" t="n">
        <v>857</v>
      </c>
      <c r="AO74" t="n">
        <v>-2204</v>
      </c>
      <c r="AP74" t="n">
        <v>-2075</v>
      </c>
      <c r="AQ74" t="n">
        <v>-3604</v>
      </c>
      <c r="AR74" t="n">
        <v>-5082</v>
      </c>
      <c r="AS74" t="n">
        <v>-4951</v>
      </c>
      <c r="AT74" t="n">
        <v>-3</v>
      </c>
      <c r="AU74" t="n">
        <v>-134</v>
      </c>
      <c r="AV74" t="n">
        <v>100</v>
      </c>
      <c r="AW74" t="n">
        <v>38.6</v>
      </c>
      <c r="AX74" t="n">
        <v>5.7</v>
      </c>
      <c r="AY74" t="n">
        <v>11.1</v>
      </c>
      <c r="AZ74" t="n">
        <v>49.5</v>
      </c>
      <c r="BA74" t="n">
        <v>82.90000000000001</v>
      </c>
      <c r="BB74" t="n">
        <v>99.2</v>
      </c>
      <c r="BC74" t="n">
        <v>99.7</v>
      </c>
      <c r="BD74" t="n">
        <v>0.8</v>
      </c>
      <c r="BE74" t="n">
        <v>0.3</v>
      </c>
      <c r="BF74" t="n">
        <v>100</v>
      </c>
      <c r="BG74" t="n">
        <v>38.6</v>
      </c>
      <c r="BH74" t="n">
        <v>5.7</v>
      </c>
      <c r="BI74" t="n">
        <v>11.1</v>
      </c>
      <c r="BJ74" t="n">
        <v>49.5</v>
      </c>
      <c r="BK74" t="n">
        <v>82.90000000000001</v>
      </c>
      <c r="BL74" t="n">
        <v>99.2</v>
      </c>
      <c r="BM74" t="n">
        <v>99.7</v>
      </c>
      <c r="BN74" t="n">
        <v>0.8</v>
      </c>
      <c r="BO74" t="n">
        <v>0.3</v>
      </c>
      <c r="BP74" t="n">
        <v>0</v>
      </c>
      <c r="BQ74" t="n">
        <v>0</v>
      </c>
      <c r="BR74" t="n">
        <v>0</v>
      </c>
      <c r="BS74" t="n">
        <v>0</v>
      </c>
      <c r="BT74" t="n">
        <v>0</v>
      </c>
      <c r="BU74" t="n">
        <v>0</v>
      </c>
      <c r="BV74" t="n">
        <v>0</v>
      </c>
      <c r="BW74" t="n">
        <v>0</v>
      </c>
      <c r="BX74" t="n">
        <v>0</v>
      </c>
      <c r="BY74" t="n">
        <v>0</v>
      </c>
      <c r="BZ74" t="n">
        <v>47</v>
      </c>
      <c r="CA74" t="n">
        <v>4</v>
      </c>
      <c r="CB74" t="n">
        <v>2</v>
      </c>
      <c r="CC74" t="n">
        <v>6</v>
      </c>
      <c r="CD74" t="n">
        <v>30</v>
      </c>
      <c r="CE74" t="n">
        <v>37</v>
      </c>
      <c r="CF74" t="n">
        <v>37</v>
      </c>
      <c r="CG74" t="n">
        <v>43</v>
      </c>
      <c r="CH74" t="n">
        <v>47</v>
      </c>
      <c r="CI74" t="n">
        <v>4</v>
      </c>
      <c r="CJ74" t="n">
        <v>2</v>
      </c>
      <c r="CK74" t="n">
        <v>6</v>
      </c>
      <c r="CL74" t="n">
        <v>30</v>
      </c>
      <c r="CM74" t="n">
        <v>37</v>
      </c>
      <c r="CN74" t="n">
        <v>37</v>
      </c>
      <c r="CO74" t="n">
        <v>43</v>
      </c>
      <c r="CP74" t="n">
        <v>0</v>
      </c>
      <c r="CQ74" t="n">
        <v>0</v>
      </c>
      <c r="CR74" t="n">
        <v>0</v>
      </c>
      <c r="CS74" t="n">
        <v>0</v>
      </c>
      <c r="CT74" t="n">
        <v>0</v>
      </c>
      <c r="CU74" t="n">
        <v>0</v>
      </c>
      <c r="CV74" t="n">
        <v>0</v>
      </c>
      <c r="CW74" t="n">
        <v>0</v>
      </c>
      <c r="CX74" t="n">
        <v>51.1</v>
      </c>
      <c r="CY74" t="n">
        <v>35.6</v>
      </c>
      <c r="CZ74" t="n">
        <v>66.2</v>
      </c>
      <c r="DA74" t="n">
        <v>54</v>
      </c>
      <c r="DB74" t="n">
        <v>46.6</v>
      </c>
      <c r="DC74" t="n">
        <v>27</v>
      </c>
      <c r="DD74" t="n">
        <v>55</v>
      </c>
      <c r="DE74" t="n">
        <v>41.6</v>
      </c>
      <c r="DF74" t="n">
        <v>51.1</v>
      </c>
      <c r="DG74" t="n">
        <v>35.6</v>
      </c>
      <c r="DH74" t="n">
        <v>66.2</v>
      </c>
      <c r="DI74" t="n">
        <v>54</v>
      </c>
      <c r="DJ74" t="n">
        <v>46.6</v>
      </c>
      <c r="DK74" t="n">
        <v>27</v>
      </c>
      <c r="DL74" t="n">
        <v>55</v>
      </c>
      <c r="DM74" t="n">
        <v>41.6</v>
      </c>
      <c r="DN74" t="n">
        <v>0</v>
      </c>
      <c r="DO74" t="n">
        <v>0</v>
      </c>
      <c r="DP74" t="n">
        <v>0</v>
      </c>
      <c r="DQ74" t="n">
        <v>0</v>
      </c>
      <c r="DR74" t="n">
        <v>0</v>
      </c>
      <c r="DS74" t="n">
        <v>0</v>
      </c>
      <c r="DT74" t="n">
        <v>0</v>
      </c>
      <c r="DU74" t="n">
        <v>0</v>
      </c>
      <c r="DV74" t="inlineStr">
        <is>
          <t>1000 barrels</t>
        </is>
      </c>
    </row>
    <row r="75">
      <c r="A75" t="inlineStr">
        <is>
          <t>USGC HSFO (PLATTS) - ICE FUTURES ENERGY DIV</t>
        </is>
      </c>
      <c r="B75" t="n">
        <v>230103</v>
      </c>
      <c r="C75" s="1" t="n">
        <v>44929</v>
      </c>
      <c r="D75" t="inlineStr">
        <is>
          <t>02141B</t>
        </is>
      </c>
      <c r="E75" t="inlineStr">
        <is>
          <t>IFED</t>
        </is>
      </c>
      <c r="F75" t="inlineStr">
        <is>
          <t>01</t>
        </is>
      </c>
      <c r="G75" t="inlineStr">
        <is>
          <t xml:space="preserve">021 </t>
        </is>
      </c>
      <c r="H75" t="n">
        <v>33758</v>
      </c>
      <c r="I75" s="17" t="n">
        <v>11877</v>
      </c>
      <c r="J75" s="17" t="n">
        <v>787</v>
      </c>
      <c r="K75" t="n">
        <v>5383</v>
      </c>
      <c r="L75" t="n">
        <v>16258</v>
      </c>
      <c r="M75" t="n">
        <v>27371</v>
      </c>
      <c r="N75" t="n">
        <v>33518</v>
      </c>
      <c r="O75" t="n">
        <v>33541</v>
      </c>
      <c r="P75" t="n">
        <v>240</v>
      </c>
      <c r="Q75" t="n">
        <v>217</v>
      </c>
      <c r="R75" t="n">
        <v>33758</v>
      </c>
      <c r="S75" t="n">
        <v>11877</v>
      </c>
      <c r="T75" t="n">
        <v>787</v>
      </c>
      <c r="U75" t="n">
        <v>5383</v>
      </c>
      <c r="V75" t="n">
        <v>16258</v>
      </c>
      <c r="W75" t="n">
        <v>27371</v>
      </c>
      <c r="X75" t="n">
        <v>33518</v>
      </c>
      <c r="Y75" t="n">
        <v>33541</v>
      </c>
      <c r="Z75" t="n">
        <v>240</v>
      </c>
      <c r="AA75" t="n">
        <v>217</v>
      </c>
      <c r="AB75" t="n">
        <v>0</v>
      </c>
      <c r="AC75" t="n">
        <v>0</v>
      </c>
      <c r="AD75" t="n">
        <v>0</v>
      </c>
      <c r="AE75" t="n">
        <v>0</v>
      </c>
      <c r="AF75" t="n">
        <v>0</v>
      </c>
      <c r="AG75" t="n">
        <v>0</v>
      </c>
      <c r="AH75" t="n">
        <v>0</v>
      </c>
      <c r="AI75" t="n">
        <v>0</v>
      </c>
      <c r="AJ75" t="n">
        <v>0</v>
      </c>
      <c r="AK75" t="n">
        <v>0</v>
      </c>
      <c r="AL75" t="n">
        <v>506</v>
      </c>
      <c r="AM75" t="n">
        <v>398</v>
      </c>
      <c r="AN75" t="n">
        <v>0</v>
      </c>
      <c r="AO75" t="n">
        <v>-15</v>
      </c>
      <c r="AP75" t="n">
        <v>147</v>
      </c>
      <c r="AQ75" t="n">
        <v>355</v>
      </c>
      <c r="AR75" t="n">
        <v>530</v>
      </c>
      <c r="AS75" t="n">
        <v>340</v>
      </c>
      <c r="AT75" t="n">
        <v>-24</v>
      </c>
      <c r="AU75" t="n">
        <v>166</v>
      </c>
      <c r="AV75" t="n">
        <v>100</v>
      </c>
      <c r="AW75" t="n">
        <v>35.2</v>
      </c>
      <c r="AX75" t="n">
        <v>2.3</v>
      </c>
      <c r="AY75" t="n">
        <v>15.9</v>
      </c>
      <c r="AZ75" t="n">
        <v>48.2</v>
      </c>
      <c r="BA75" t="n">
        <v>81.09999999999999</v>
      </c>
      <c r="BB75" t="n">
        <v>99.3</v>
      </c>
      <c r="BC75" t="n">
        <v>99.40000000000001</v>
      </c>
      <c r="BD75" t="n">
        <v>0.7</v>
      </c>
      <c r="BE75" t="n">
        <v>0.6</v>
      </c>
      <c r="BF75" t="n">
        <v>100</v>
      </c>
      <c r="BG75" t="n">
        <v>35.2</v>
      </c>
      <c r="BH75" t="n">
        <v>2.3</v>
      </c>
      <c r="BI75" t="n">
        <v>15.9</v>
      </c>
      <c r="BJ75" t="n">
        <v>48.2</v>
      </c>
      <c r="BK75" t="n">
        <v>81.09999999999999</v>
      </c>
      <c r="BL75" t="n">
        <v>99.3</v>
      </c>
      <c r="BM75" t="n">
        <v>99.40000000000001</v>
      </c>
      <c r="BN75" t="n">
        <v>0.7</v>
      </c>
      <c r="BO75" t="n">
        <v>0.6</v>
      </c>
      <c r="BP75" t="n">
        <v>0</v>
      </c>
      <c r="BQ75" t="n">
        <v>0</v>
      </c>
      <c r="BR75" t="n">
        <v>0</v>
      </c>
      <c r="BS75" t="n">
        <v>0</v>
      </c>
      <c r="BT75" t="n">
        <v>0</v>
      </c>
      <c r="BU75" t="n">
        <v>0</v>
      </c>
      <c r="BV75" t="n">
        <v>0</v>
      </c>
      <c r="BW75" t="n">
        <v>0</v>
      </c>
      <c r="BX75" t="n">
        <v>0</v>
      </c>
      <c r="BY75" t="n">
        <v>0</v>
      </c>
      <c r="BZ75" t="n">
        <v>51</v>
      </c>
      <c r="CA75" t="n">
        <v>5</v>
      </c>
      <c r="CB75" t="n">
        <v>2</v>
      </c>
      <c r="CC75" t="n">
        <v>8</v>
      </c>
      <c r="CD75" t="n">
        <v>30</v>
      </c>
      <c r="CE75" t="n">
        <v>42</v>
      </c>
      <c r="CF75" t="n">
        <v>38</v>
      </c>
      <c r="CG75" t="n">
        <v>50</v>
      </c>
      <c r="CH75" t="n">
        <v>51</v>
      </c>
      <c r="CI75" t="n">
        <v>5</v>
      </c>
      <c r="CJ75" t="n">
        <v>2</v>
      </c>
      <c r="CK75" t="n">
        <v>8</v>
      </c>
      <c r="CL75" t="n">
        <v>30</v>
      </c>
      <c r="CM75" t="n">
        <v>42</v>
      </c>
      <c r="CN75" t="n">
        <v>38</v>
      </c>
      <c r="CO75" t="n">
        <v>50</v>
      </c>
      <c r="CP75" t="n">
        <v>0</v>
      </c>
      <c r="CQ75" t="n">
        <v>0</v>
      </c>
      <c r="CR75" t="n">
        <v>0</v>
      </c>
      <c r="CS75" t="n">
        <v>0</v>
      </c>
      <c r="CT75" t="n">
        <v>0</v>
      </c>
      <c r="CU75" t="n">
        <v>0</v>
      </c>
      <c r="CV75" t="n">
        <v>0</v>
      </c>
      <c r="CW75" t="n">
        <v>0</v>
      </c>
      <c r="CX75" t="n">
        <v>46.7</v>
      </c>
      <c r="CY75" t="n">
        <v>33.2</v>
      </c>
      <c r="CZ75" t="n">
        <v>69</v>
      </c>
      <c r="DA75" t="n">
        <v>52.3</v>
      </c>
      <c r="DB75" t="n">
        <v>40.6</v>
      </c>
      <c r="DC75" t="n">
        <v>25</v>
      </c>
      <c r="DD75" t="n">
        <v>48.5</v>
      </c>
      <c r="DE75" t="n">
        <v>37</v>
      </c>
      <c r="DF75" t="n">
        <v>46.7</v>
      </c>
      <c r="DG75" t="n">
        <v>33.2</v>
      </c>
      <c r="DH75" t="n">
        <v>69</v>
      </c>
      <c r="DI75" t="n">
        <v>52.3</v>
      </c>
      <c r="DJ75" t="n">
        <v>40.6</v>
      </c>
      <c r="DK75" t="n">
        <v>25</v>
      </c>
      <c r="DL75" t="n">
        <v>48.5</v>
      </c>
      <c r="DM75" t="n">
        <v>37</v>
      </c>
      <c r="DN75" t="n">
        <v>0</v>
      </c>
      <c r="DO75" t="n">
        <v>0</v>
      </c>
      <c r="DP75" t="n">
        <v>0</v>
      </c>
      <c r="DQ75" t="n">
        <v>0</v>
      </c>
      <c r="DR75" t="n">
        <v>0</v>
      </c>
      <c r="DS75" t="n">
        <v>0</v>
      </c>
      <c r="DT75" t="n">
        <v>0</v>
      </c>
      <c r="DU75" t="n">
        <v>0</v>
      </c>
      <c r="DV75" t="inlineStr">
        <is>
          <t>1000 barrels</t>
        </is>
      </c>
    </row>
    <row r="76">
      <c r="A76" t="inlineStr">
        <is>
          <t>FUEL OIL-3% USGC/3.5% FOB RDAM - ICE FUTURES ENERGY DIV</t>
        </is>
      </c>
      <c r="B76" t="n">
        <v>230110</v>
      </c>
      <c r="C76" s="1" t="n">
        <v>44936</v>
      </c>
      <c r="D76" t="inlineStr">
        <is>
          <t>02141C</t>
        </is>
      </c>
      <c r="E76" t="inlineStr">
        <is>
          <t>IFED</t>
        </is>
      </c>
      <c r="F76" t="inlineStr">
        <is>
          <t>01</t>
        </is>
      </c>
      <c r="G76" t="inlineStr">
        <is>
          <t xml:space="preserve">021 </t>
        </is>
      </c>
      <c r="H76" t="n">
        <v>13457</v>
      </c>
      <c r="I76" s="17" t="n">
        <v>266</v>
      </c>
      <c r="J76" s="17" t="n">
        <v>8167</v>
      </c>
      <c r="K76" t="n">
        <v>1179</v>
      </c>
      <c r="L76" t="n">
        <v>11879</v>
      </c>
      <c r="M76" t="n">
        <v>4077</v>
      </c>
      <c r="N76" t="n">
        <v>13324</v>
      </c>
      <c r="O76" t="n">
        <v>13423</v>
      </c>
      <c r="P76" t="n">
        <v>133</v>
      </c>
      <c r="Q76" t="n">
        <v>34</v>
      </c>
      <c r="R76" t="n">
        <v>13457</v>
      </c>
      <c r="S76" t="n">
        <v>266</v>
      </c>
      <c r="T76" t="n">
        <v>8167</v>
      </c>
      <c r="U76" t="n">
        <v>1179</v>
      </c>
      <c r="V76" t="n">
        <v>11879</v>
      </c>
      <c r="W76" t="n">
        <v>4077</v>
      </c>
      <c r="X76" t="n">
        <v>13324</v>
      </c>
      <c r="Y76" t="n">
        <v>13423</v>
      </c>
      <c r="Z76" t="n">
        <v>133</v>
      </c>
      <c r="AA76" t="n">
        <v>34</v>
      </c>
      <c r="AB76" t="n">
        <v>0</v>
      </c>
      <c r="AC76" t="n">
        <v>0</v>
      </c>
      <c r="AD76" t="n">
        <v>0</v>
      </c>
      <c r="AE76" t="n">
        <v>0</v>
      </c>
      <c r="AF76" t="n">
        <v>0</v>
      </c>
      <c r="AG76" t="n">
        <v>0</v>
      </c>
      <c r="AH76" t="n">
        <v>0</v>
      </c>
      <c r="AI76" t="n">
        <v>0</v>
      </c>
      <c r="AJ76" t="n">
        <v>0</v>
      </c>
      <c r="AK76" t="n">
        <v>0</v>
      </c>
      <c r="AL76" t="n">
        <v>-2434</v>
      </c>
      <c r="AM76" t="n">
        <v>-478</v>
      </c>
      <c r="AN76" t="n">
        <v>-940</v>
      </c>
      <c r="AO76" t="n">
        <v>-440</v>
      </c>
      <c r="AP76" t="n">
        <v>-1570</v>
      </c>
      <c r="AQ76" t="n">
        <v>-1063</v>
      </c>
      <c r="AR76" t="n">
        <v>-2488</v>
      </c>
      <c r="AS76" t="n">
        <v>-2443</v>
      </c>
      <c r="AT76" t="n">
        <v>54</v>
      </c>
      <c r="AU76" t="n">
        <v>9</v>
      </c>
      <c r="AV76" t="n">
        <v>100</v>
      </c>
      <c r="AW76" t="n">
        <v>2</v>
      </c>
      <c r="AX76" t="n">
        <v>60.7</v>
      </c>
      <c r="AY76" t="n">
        <v>8.800000000000001</v>
      </c>
      <c r="AZ76" t="n">
        <v>88.3</v>
      </c>
      <c r="BA76" t="n">
        <v>30.3</v>
      </c>
      <c r="BB76" t="n">
        <v>99</v>
      </c>
      <c r="BC76" t="n">
        <v>99.7</v>
      </c>
      <c r="BD76" t="n">
        <v>1</v>
      </c>
      <c r="BE76" t="n">
        <v>0.3</v>
      </c>
      <c r="BF76" t="n">
        <v>100</v>
      </c>
      <c r="BG76" t="n">
        <v>2</v>
      </c>
      <c r="BH76" t="n">
        <v>60.7</v>
      </c>
      <c r="BI76" t="n">
        <v>8.800000000000001</v>
      </c>
      <c r="BJ76" t="n">
        <v>88.3</v>
      </c>
      <c r="BK76" t="n">
        <v>30.3</v>
      </c>
      <c r="BL76" t="n">
        <v>99</v>
      </c>
      <c r="BM76" t="n">
        <v>99.7</v>
      </c>
      <c r="BN76" t="n">
        <v>1</v>
      </c>
      <c r="BO76" t="n">
        <v>0.3</v>
      </c>
      <c r="BP76" t="n">
        <v>0</v>
      </c>
      <c r="BQ76" t="n">
        <v>0</v>
      </c>
      <c r="BR76" t="n">
        <v>0</v>
      </c>
      <c r="BS76" t="n">
        <v>0</v>
      </c>
      <c r="BT76" t="n">
        <v>0</v>
      </c>
      <c r="BU76" t="n">
        <v>0</v>
      </c>
      <c r="BV76" t="n">
        <v>0</v>
      </c>
      <c r="BW76" t="n">
        <v>0</v>
      </c>
      <c r="BX76" t="n">
        <v>0</v>
      </c>
      <c r="BY76" t="n">
        <v>0</v>
      </c>
      <c r="BZ76" t="n">
        <v>32</v>
      </c>
      <c r="CA76" t="n">
        <v>2</v>
      </c>
      <c r="CB76" t="n">
        <v>5</v>
      </c>
      <c r="CC76" t="n">
        <v>4</v>
      </c>
      <c r="CD76" t="n">
        <v>24</v>
      </c>
      <c r="CE76" t="n">
        <v>10</v>
      </c>
      <c r="CF76" t="n">
        <v>29</v>
      </c>
      <c r="CG76" t="n">
        <v>16</v>
      </c>
      <c r="CH76" t="n">
        <v>32</v>
      </c>
      <c r="CI76" t="n">
        <v>2</v>
      </c>
      <c r="CJ76" t="n">
        <v>5</v>
      </c>
      <c r="CK76" t="n">
        <v>4</v>
      </c>
      <c r="CL76" t="n">
        <v>24</v>
      </c>
      <c r="CM76" t="n">
        <v>10</v>
      </c>
      <c r="CN76" t="n">
        <v>29</v>
      </c>
      <c r="CO76" t="n">
        <v>16</v>
      </c>
      <c r="CP76" t="n">
        <v>0</v>
      </c>
      <c r="CQ76" t="n">
        <v>0</v>
      </c>
      <c r="CR76" t="n">
        <v>0</v>
      </c>
      <c r="CS76" t="n">
        <v>0</v>
      </c>
      <c r="CT76" t="n">
        <v>0</v>
      </c>
      <c r="CU76" t="n">
        <v>0</v>
      </c>
      <c r="CV76" t="n">
        <v>0</v>
      </c>
      <c r="CW76" t="n">
        <v>0</v>
      </c>
      <c r="CX76" t="n">
        <v>39.4</v>
      </c>
      <c r="CY76" t="n">
        <v>69.90000000000001</v>
      </c>
      <c r="CZ76" t="n">
        <v>58.3</v>
      </c>
      <c r="DA76" t="n">
        <v>87.8</v>
      </c>
      <c r="DB76" t="n">
        <v>38.5</v>
      </c>
      <c r="DC76" t="n">
        <v>62</v>
      </c>
      <c r="DD76" t="n">
        <v>56.3</v>
      </c>
      <c r="DE76" t="n">
        <v>74.7</v>
      </c>
      <c r="DF76" t="n">
        <v>39.4</v>
      </c>
      <c r="DG76" t="n">
        <v>69.90000000000001</v>
      </c>
      <c r="DH76" t="n">
        <v>58.3</v>
      </c>
      <c r="DI76" t="n">
        <v>87.8</v>
      </c>
      <c r="DJ76" t="n">
        <v>38.5</v>
      </c>
      <c r="DK76" t="n">
        <v>62</v>
      </c>
      <c r="DL76" t="n">
        <v>56.3</v>
      </c>
      <c r="DM76" t="n">
        <v>74.7</v>
      </c>
      <c r="DN76" t="n">
        <v>0</v>
      </c>
      <c r="DO76" t="n">
        <v>0</v>
      </c>
      <c r="DP76" t="n">
        <v>0</v>
      </c>
      <c r="DQ76" t="n">
        <v>0</v>
      </c>
      <c r="DR76" t="n">
        <v>0</v>
      </c>
      <c r="DS76" t="n">
        <v>0</v>
      </c>
      <c r="DT76" t="n">
        <v>0</v>
      </c>
      <c r="DU76" t="n">
        <v>0</v>
      </c>
      <c r="DV76" t="inlineStr">
        <is>
          <t>1000 barrels</t>
        </is>
      </c>
    </row>
    <row r="77">
      <c r="A77" t="inlineStr">
        <is>
          <t>FUEL OIL-3% USGC/3.5% FOB RDAM - ICE FUTURES ENERGY DIV</t>
        </is>
      </c>
      <c r="B77" t="n">
        <v>230103</v>
      </c>
      <c r="C77" s="1" t="n">
        <v>44929</v>
      </c>
      <c r="D77" t="inlineStr">
        <is>
          <t>02141C</t>
        </is>
      </c>
      <c r="E77" t="inlineStr">
        <is>
          <t>IFED</t>
        </is>
      </c>
      <c r="F77" t="inlineStr">
        <is>
          <t>01</t>
        </is>
      </c>
      <c r="G77" t="inlineStr">
        <is>
          <t xml:space="preserve">021 </t>
        </is>
      </c>
      <c r="H77" t="n">
        <v>15891</v>
      </c>
      <c r="I77" s="17" t="n">
        <v>744</v>
      </c>
      <c r="J77" s="17" t="n">
        <v>9107</v>
      </c>
      <c r="K77" t="n">
        <v>1619</v>
      </c>
      <c r="L77" t="n">
        <v>13449</v>
      </c>
      <c r="M77" t="n">
        <v>5140</v>
      </c>
      <c r="N77" t="n">
        <v>15812</v>
      </c>
      <c r="O77" t="n">
        <v>15866</v>
      </c>
      <c r="P77" t="n">
        <v>79</v>
      </c>
      <c r="Q77" t="n">
        <v>25</v>
      </c>
      <c r="R77" t="n">
        <v>15891</v>
      </c>
      <c r="S77" t="n">
        <v>744</v>
      </c>
      <c r="T77" t="n">
        <v>9107</v>
      </c>
      <c r="U77" t="n">
        <v>1619</v>
      </c>
      <c r="V77" t="n">
        <v>13449</v>
      </c>
      <c r="W77" t="n">
        <v>5140</v>
      </c>
      <c r="X77" t="n">
        <v>15812</v>
      </c>
      <c r="Y77" t="n">
        <v>15866</v>
      </c>
      <c r="Z77" t="n">
        <v>79</v>
      </c>
      <c r="AA77" t="n">
        <v>25</v>
      </c>
      <c r="AB77" t="n">
        <v>0</v>
      </c>
      <c r="AC77" t="n">
        <v>0</v>
      </c>
      <c r="AD77" t="n">
        <v>0</v>
      </c>
      <c r="AE77" t="n">
        <v>0</v>
      </c>
      <c r="AF77" t="n">
        <v>0</v>
      </c>
      <c r="AG77" t="n">
        <v>0</v>
      </c>
      <c r="AH77" t="n">
        <v>0</v>
      </c>
      <c r="AI77" t="n">
        <v>0</v>
      </c>
      <c r="AJ77" t="n">
        <v>0</v>
      </c>
      <c r="AK77" t="n">
        <v>0</v>
      </c>
      <c r="AL77" t="n">
        <v>-70</v>
      </c>
      <c r="AM77" t="n">
        <v>-96</v>
      </c>
      <c r="AN77" t="n">
        <v>80</v>
      </c>
      <c r="AO77" t="n">
        <v>-223</v>
      </c>
      <c r="AP77" t="n">
        <v>249</v>
      </c>
      <c r="AQ77" t="n">
        <v>73</v>
      </c>
      <c r="AR77" t="n">
        <v>-70</v>
      </c>
      <c r="AS77" t="n">
        <v>-70</v>
      </c>
      <c r="AT77" t="n">
        <v>0</v>
      </c>
      <c r="AU77" t="n">
        <v>0</v>
      </c>
      <c r="AV77" t="n">
        <v>100</v>
      </c>
      <c r="AW77" t="n">
        <v>4.7</v>
      </c>
      <c r="AX77" t="n">
        <v>57.3</v>
      </c>
      <c r="AY77" t="n">
        <v>10.2</v>
      </c>
      <c r="AZ77" t="n">
        <v>84.59999999999999</v>
      </c>
      <c r="BA77" t="n">
        <v>32.3</v>
      </c>
      <c r="BB77" t="n">
        <v>99.5</v>
      </c>
      <c r="BC77" t="n">
        <v>99.8</v>
      </c>
      <c r="BD77" t="n">
        <v>0.5</v>
      </c>
      <c r="BE77" t="n">
        <v>0.2</v>
      </c>
      <c r="BF77" t="n">
        <v>100</v>
      </c>
      <c r="BG77" t="n">
        <v>4.7</v>
      </c>
      <c r="BH77" t="n">
        <v>57.3</v>
      </c>
      <c r="BI77" t="n">
        <v>10.2</v>
      </c>
      <c r="BJ77" t="n">
        <v>84.59999999999999</v>
      </c>
      <c r="BK77" t="n">
        <v>32.3</v>
      </c>
      <c r="BL77" t="n">
        <v>99.5</v>
      </c>
      <c r="BM77" t="n">
        <v>99.8</v>
      </c>
      <c r="BN77" t="n">
        <v>0.5</v>
      </c>
      <c r="BO77" t="n">
        <v>0.2</v>
      </c>
      <c r="BP77" t="n">
        <v>0</v>
      </c>
      <c r="BQ77" t="n">
        <v>0</v>
      </c>
      <c r="BR77" t="n">
        <v>0</v>
      </c>
      <c r="BS77" t="n">
        <v>0</v>
      </c>
      <c r="BT77" t="n">
        <v>0</v>
      </c>
      <c r="BU77" t="n">
        <v>0</v>
      </c>
      <c r="BV77" t="n">
        <v>0</v>
      </c>
      <c r="BW77" t="n">
        <v>0</v>
      </c>
      <c r="BX77" t="n">
        <v>0</v>
      </c>
      <c r="BY77" t="n">
        <v>0</v>
      </c>
      <c r="BZ77" t="n">
        <v>34</v>
      </c>
      <c r="CA77" t="n">
        <v>2</v>
      </c>
      <c r="CB77" t="n">
        <v>5</v>
      </c>
      <c r="CC77" t="n">
        <v>5</v>
      </c>
      <c r="CD77" t="n">
        <v>26</v>
      </c>
      <c r="CE77" t="n">
        <v>17</v>
      </c>
      <c r="CF77" t="n">
        <v>32</v>
      </c>
      <c r="CG77" t="n">
        <v>23</v>
      </c>
      <c r="CH77" t="n">
        <v>34</v>
      </c>
      <c r="CI77" t="n">
        <v>2</v>
      </c>
      <c r="CJ77" t="n">
        <v>5</v>
      </c>
      <c r="CK77" t="n">
        <v>5</v>
      </c>
      <c r="CL77" t="n">
        <v>26</v>
      </c>
      <c r="CM77" t="n">
        <v>17</v>
      </c>
      <c r="CN77" t="n">
        <v>32</v>
      </c>
      <c r="CO77" t="n">
        <v>23</v>
      </c>
      <c r="CP77" t="n">
        <v>0</v>
      </c>
      <c r="CQ77" t="n">
        <v>0</v>
      </c>
      <c r="CR77" t="n">
        <v>0</v>
      </c>
      <c r="CS77" t="n">
        <v>0</v>
      </c>
      <c r="CT77" t="n">
        <v>0</v>
      </c>
      <c r="CU77" t="n">
        <v>0</v>
      </c>
      <c r="CV77" t="n">
        <v>0</v>
      </c>
      <c r="CW77" t="n">
        <v>0</v>
      </c>
      <c r="CX77" t="n">
        <v>36.6</v>
      </c>
      <c r="CY77" t="n">
        <v>64.90000000000001</v>
      </c>
      <c r="CZ77" t="n">
        <v>56.6</v>
      </c>
      <c r="DA77" t="n">
        <v>84</v>
      </c>
      <c r="DB77" t="n">
        <v>34.5</v>
      </c>
      <c r="DC77" t="n">
        <v>55.4</v>
      </c>
      <c r="DD77" t="n">
        <v>52.6</v>
      </c>
      <c r="DE77" t="n">
        <v>69.59999999999999</v>
      </c>
      <c r="DF77" t="n">
        <v>36.6</v>
      </c>
      <c r="DG77" t="n">
        <v>64.90000000000001</v>
      </c>
      <c r="DH77" t="n">
        <v>56.6</v>
      </c>
      <c r="DI77" t="n">
        <v>84</v>
      </c>
      <c r="DJ77" t="n">
        <v>34.5</v>
      </c>
      <c r="DK77" t="n">
        <v>55.4</v>
      </c>
      <c r="DL77" t="n">
        <v>52.6</v>
      </c>
      <c r="DM77" t="n">
        <v>69.59999999999999</v>
      </c>
      <c r="DN77" t="n">
        <v>0</v>
      </c>
      <c r="DO77" t="n">
        <v>0</v>
      </c>
      <c r="DP77" t="n">
        <v>0</v>
      </c>
      <c r="DQ77" t="n">
        <v>0</v>
      </c>
      <c r="DR77" t="n">
        <v>0</v>
      </c>
      <c r="DS77" t="n">
        <v>0</v>
      </c>
      <c r="DT77" t="n">
        <v>0</v>
      </c>
      <c r="DU77" t="n">
        <v>0</v>
      </c>
      <c r="DV77" t="inlineStr">
        <is>
          <t>1000 barrels</t>
        </is>
      </c>
    </row>
    <row r="78">
      <c r="A78" t="inlineStr">
        <is>
          <t>USGC HSFO-PLATTS/BRENT 1ST LN - ICE FUTURES ENERGY DIV</t>
        </is>
      </c>
      <c r="B78" t="n">
        <v>230110</v>
      </c>
      <c r="C78" s="1" t="n">
        <v>44936</v>
      </c>
      <c r="D78" t="inlineStr">
        <is>
          <t>02141R</t>
        </is>
      </c>
      <c r="E78" t="inlineStr">
        <is>
          <t>IFED</t>
        </is>
      </c>
      <c r="F78" t="inlineStr">
        <is>
          <t>01</t>
        </is>
      </c>
      <c r="G78" t="inlineStr">
        <is>
          <t xml:space="preserve">021 </t>
        </is>
      </c>
      <c r="H78" t="n">
        <v>3619</v>
      </c>
      <c r="I78" s="17" t="n">
        <v>250</v>
      </c>
      <c r="J78" s="17" t="n">
        <v>1068</v>
      </c>
      <c r="K78" t="n">
        <v>306</v>
      </c>
      <c r="L78" t="n">
        <v>2854</v>
      </c>
      <c r="M78" t="n">
        <v>2245</v>
      </c>
      <c r="N78" t="n">
        <v>3410</v>
      </c>
      <c r="O78" t="n">
        <v>3619</v>
      </c>
      <c r="P78" t="n">
        <v>209</v>
      </c>
      <c r="Q78" t="n">
        <v>0</v>
      </c>
      <c r="R78" t="n">
        <v>3619</v>
      </c>
      <c r="S78" t="n">
        <v>250</v>
      </c>
      <c r="T78" t="n">
        <v>1068</v>
      </c>
      <c r="U78" t="n">
        <v>306</v>
      </c>
      <c r="V78" t="n">
        <v>2854</v>
      </c>
      <c r="W78" t="n">
        <v>2245</v>
      </c>
      <c r="X78" t="n">
        <v>3410</v>
      </c>
      <c r="Y78" t="n">
        <v>3619</v>
      </c>
      <c r="Z78" t="n">
        <v>209</v>
      </c>
      <c r="AA78" t="n">
        <v>0</v>
      </c>
      <c r="AB78" t="n">
        <v>0</v>
      </c>
      <c r="AC78" t="n">
        <v>0</v>
      </c>
      <c r="AD78" t="n">
        <v>0</v>
      </c>
      <c r="AE78" t="n">
        <v>0</v>
      </c>
      <c r="AF78" t="n">
        <v>0</v>
      </c>
      <c r="AG78" t="n">
        <v>0</v>
      </c>
      <c r="AH78" t="n">
        <v>0</v>
      </c>
      <c r="AI78" t="n">
        <v>0</v>
      </c>
      <c r="AJ78" t="n">
        <v>0</v>
      </c>
      <c r="AK78" t="n">
        <v>0</v>
      </c>
      <c r="AL78" t="n">
        <v>-1734</v>
      </c>
      <c r="AM78" t="n">
        <v>-538</v>
      </c>
      <c r="AN78" t="n">
        <v>-923</v>
      </c>
      <c r="AO78" t="n">
        <v>-123</v>
      </c>
      <c r="AP78" t="n">
        <v>-1187</v>
      </c>
      <c r="AQ78" t="n">
        <v>-678</v>
      </c>
      <c r="AR78" t="n">
        <v>-1848</v>
      </c>
      <c r="AS78" t="n">
        <v>-1724</v>
      </c>
      <c r="AT78" t="n">
        <v>114</v>
      </c>
      <c r="AU78" t="n">
        <v>-10</v>
      </c>
      <c r="AV78" t="n">
        <v>100</v>
      </c>
      <c r="AW78" t="n">
        <v>6.9</v>
      </c>
      <c r="AX78" t="n">
        <v>29.5</v>
      </c>
      <c r="AY78" t="n">
        <v>8.5</v>
      </c>
      <c r="AZ78" t="n">
        <v>78.90000000000001</v>
      </c>
      <c r="BA78" t="n">
        <v>62</v>
      </c>
      <c r="BB78" t="n">
        <v>94.2</v>
      </c>
      <c r="BC78" t="n">
        <v>100</v>
      </c>
      <c r="BD78" t="n">
        <v>5.8</v>
      </c>
      <c r="BE78" t="n">
        <v>0</v>
      </c>
      <c r="BF78" t="n">
        <v>100</v>
      </c>
      <c r="BG78" t="n">
        <v>6.9</v>
      </c>
      <c r="BH78" t="n">
        <v>29.5</v>
      </c>
      <c r="BI78" t="n">
        <v>8.5</v>
      </c>
      <c r="BJ78" t="n">
        <v>78.90000000000001</v>
      </c>
      <c r="BK78" t="n">
        <v>62</v>
      </c>
      <c r="BL78" t="n">
        <v>94.2</v>
      </c>
      <c r="BM78" t="n">
        <v>100</v>
      </c>
      <c r="BN78" t="n">
        <v>5.8</v>
      </c>
      <c r="BO78" t="n">
        <v>0</v>
      </c>
      <c r="BP78" t="n">
        <v>0</v>
      </c>
      <c r="BQ78" t="n">
        <v>0</v>
      </c>
      <c r="BR78" t="n">
        <v>0</v>
      </c>
      <c r="BS78" t="n">
        <v>0</v>
      </c>
      <c r="BT78" t="n">
        <v>0</v>
      </c>
      <c r="BU78" t="n">
        <v>0</v>
      </c>
      <c r="BV78" t="n">
        <v>0</v>
      </c>
      <c r="BW78" t="n">
        <v>0</v>
      </c>
      <c r="BX78" t="n">
        <v>0</v>
      </c>
      <c r="BY78" t="n">
        <v>0</v>
      </c>
      <c r="BZ78" t="n">
        <v>27</v>
      </c>
      <c r="CA78" t="n">
        <v>2</v>
      </c>
      <c r="CB78" t="n">
        <v>4</v>
      </c>
      <c r="CC78" t="n">
        <v>4</v>
      </c>
      <c r="CD78" t="n">
        <v>15</v>
      </c>
      <c r="CE78" t="n">
        <v>14</v>
      </c>
      <c r="CF78" t="n">
        <v>19</v>
      </c>
      <c r="CG78" t="n">
        <v>20</v>
      </c>
      <c r="CH78" t="n">
        <v>27</v>
      </c>
      <c r="CI78" t="n">
        <v>2</v>
      </c>
      <c r="CJ78" t="n">
        <v>4</v>
      </c>
      <c r="CK78" t="n">
        <v>4</v>
      </c>
      <c r="CL78" t="n">
        <v>15</v>
      </c>
      <c r="CM78" t="n">
        <v>14</v>
      </c>
      <c r="CN78" t="n">
        <v>19</v>
      </c>
      <c r="CO78" t="n">
        <v>20</v>
      </c>
      <c r="CP78" t="n">
        <v>0</v>
      </c>
      <c r="CQ78" t="n">
        <v>0</v>
      </c>
      <c r="CR78" t="n">
        <v>0</v>
      </c>
      <c r="CS78" t="n">
        <v>0</v>
      </c>
      <c r="CT78" t="n">
        <v>0</v>
      </c>
      <c r="CU78" t="n">
        <v>0</v>
      </c>
      <c r="CV78" t="n">
        <v>0</v>
      </c>
      <c r="CW78" t="n">
        <v>0</v>
      </c>
      <c r="CX78" t="n">
        <v>50.3</v>
      </c>
      <c r="CY78" t="n">
        <v>54.2</v>
      </c>
      <c r="CZ78" t="n">
        <v>72.3</v>
      </c>
      <c r="DA78" t="n">
        <v>76.40000000000001</v>
      </c>
      <c r="DB78" t="n">
        <v>48</v>
      </c>
      <c r="DC78" t="n">
        <v>49.7</v>
      </c>
      <c r="DD78" t="n">
        <v>62.6</v>
      </c>
      <c r="DE78" t="n">
        <v>66.3</v>
      </c>
      <c r="DF78" t="n">
        <v>50.3</v>
      </c>
      <c r="DG78" t="n">
        <v>54.2</v>
      </c>
      <c r="DH78" t="n">
        <v>72.3</v>
      </c>
      <c r="DI78" t="n">
        <v>76.40000000000001</v>
      </c>
      <c r="DJ78" t="n">
        <v>48</v>
      </c>
      <c r="DK78" t="n">
        <v>49.7</v>
      </c>
      <c r="DL78" t="n">
        <v>62.6</v>
      </c>
      <c r="DM78" t="n">
        <v>66.3</v>
      </c>
      <c r="DN78" t="n">
        <v>0</v>
      </c>
      <c r="DO78" t="n">
        <v>0</v>
      </c>
      <c r="DP78" t="n">
        <v>0</v>
      </c>
      <c r="DQ78" t="n">
        <v>0</v>
      </c>
      <c r="DR78" t="n">
        <v>0</v>
      </c>
      <c r="DS78" t="n">
        <v>0</v>
      </c>
      <c r="DT78" t="n">
        <v>0</v>
      </c>
      <c r="DU78" t="n">
        <v>0</v>
      </c>
      <c r="DV78" t="inlineStr">
        <is>
          <t>BBL</t>
        </is>
      </c>
    </row>
    <row r="79">
      <c r="A79" t="inlineStr">
        <is>
          <t>USGC HSFO-PLATTS/BRENT 1ST LN - ICE FUTURES ENERGY DIV</t>
        </is>
      </c>
      <c r="B79" t="n">
        <v>230103</v>
      </c>
      <c r="C79" s="1" t="n">
        <v>44929</v>
      </c>
      <c r="D79" t="inlineStr">
        <is>
          <t>02141R</t>
        </is>
      </c>
      <c r="E79" t="inlineStr">
        <is>
          <t>IFED</t>
        </is>
      </c>
      <c r="F79" t="inlineStr">
        <is>
          <t>01</t>
        </is>
      </c>
      <c r="G79" t="inlineStr">
        <is>
          <t xml:space="preserve">021 </t>
        </is>
      </c>
      <c r="H79" t="n">
        <v>5353</v>
      </c>
      <c r="I79" s="17" t="n">
        <v>788</v>
      </c>
      <c r="J79" s="17" t="n">
        <v>1991</v>
      </c>
      <c r="K79" t="n">
        <v>429</v>
      </c>
      <c r="L79" t="n">
        <v>4041</v>
      </c>
      <c r="M79" t="n">
        <v>2923</v>
      </c>
      <c r="N79" t="n">
        <v>5258</v>
      </c>
      <c r="O79" t="n">
        <v>5343</v>
      </c>
      <c r="P79" t="n">
        <v>95</v>
      </c>
      <c r="Q79" t="n">
        <v>10</v>
      </c>
      <c r="R79" t="n">
        <v>5353</v>
      </c>
      <c r="S79" t="n">
        <v>788</v>
      </c>
      <c r="T79" t="n">
        <v>1991</v>
      </c>
      <c r="U79" t="n">
        <v>429</v>
      </c>
      <c r="V79" t="n">
        <v>4041</v>
      </c>
      <c r="W79" t="n">
        <v>2923</v>
      </c>
      <c r="X79" t="n">
        <v>5258</v>
      </c>
      <c r="Y79" t="n">
        <v>5343</v>
      </c>
      <c r="Z79" t="n">
        <v>95</v>
      </c>
      <c r="AA79" t="n">
        <v>10</v>
      </c>
      <c r="AB79" t="n">
        <v>0</v>
      </c>
      <c r="AC79" t="n">
        <v>0</v>
      </c>
      <c r="AD79" t="n">
        <v>0</v>
      </c>
      <c r="AE79" t="n">
        <v>0</v>
      </c>
      <c r="AF79" t="n">
        <v>0</v>
      </c>
      <c r="AG79" t="n">
        <v>0</v>
      </c>
      <c r="AH79" t="n">
        <v>0</v>
      </c>
      <c r="AI79" t="n">
        <v>0</v>
      </c>
      <c r="AJ79" t="n">
        <v>0</v>
      </c>
      <c r="AK79" t="n">
        <v>0</v>
      </c>
      <c r="AL79" t="n">
        <v>19</v>
      </c>
      <c r="AM79" t="n">
        <v>30</v>
      </c>
      <c r="AN79" t="n">
        <v>1</v>
      </c>
      <c r="AO79" t="n">
        <v>-8</v>
      </c>
      <c r="AP79" t="n">
        <v>-13</v>
      </c>
      <c r="AQ79" t="n">
        <v>26</v>
      </c>
      <c r="AR79" t="n">
        <v>9</v>
      </c>
      <c r="AS79" t="n">
        <v>19</v>
      </c>
      <c r="AT79" t="n">
        <v>10</v>
      </c>
      <c r="AU79" t="n">
        <v>0</v>
      </c>
      <c r="AV79" t="n">
        <v>100</v>
      </c>
      <c r="AW79" t="n">
        <v>14.7</v>
      </c>
      <c r="AX79" t="n">
        <v>37.2</v>
      </c>
      <c r="AY79" t="n">
        <v>8</v>
      </c>
      <c r="AZ79" t="n">
        <v>75.5</v>
      </c>
      <c r="BA79" t="n">
        <v>54.6</v>
      </c>
      <c r="BB79" t="n">
        <v>98.2</v>
      </c>
      <c r="BC79" t="n">
        <v>99.8</v>
      </c>
      <c r="BD79" t="n">
        <v>1.8</v>
      </c>
      <c r="BE79" t="n">
        <v>0.2</v>
      </c>
      <c r="BF79" t="n">
        <v>100</v>
      </c>
      <c r="BG79" t="n">
        <v>14.7</v>
      </c>
      <c r="BH79" t="n">
        <v>37.2</v>
      </c>
      <c r="BI79" t="n">
        <v>8</v>
      </c>
      <c r="BJ79" t="n">
        <v>75.5</v>
      </c>
      <c r="BK79" t="n">
        <v>54.6</v>
      </c>
      <c r="BL79" t="n">
        <v>98.2</v>
      </c>
      <c r="BM79" t="n">
        <v>99.8</v>
      </c>
      <c r="BN79" t="n">
        <v>1.8</v>
      </c>
      <c r="BO79" t="n">
        <v>0.2</v>
      </c>
      <c r="BP79" t="n">
        <v>0</v>
      </c>
      <c r="BQ79" t="n">
        <v>0</v>
      </c>
      <c r="BR79" t="n">
        <v>0</v>
      </c>
      <c r="BS79" t="n">
        <v>0</v>
      </c>
      <c r="BT79" t="n">
        <v>0</v>
      </c>
      <c r="BU79" t="n">
        <v>0</v>
      </c>
      <c r="BV79" t="n">
        <v>0</v>
      </c>
      <c r="BW79" t="n">
        <v>0</v>
      </c>
      <c r="BX79" t="n">
        <v>0</v>
      </c>
      <c r="BY79" t="n">
        <v>0</v>
      </c>
      <c r="BZ79" t="n">
        <v>29</v>
      </c>
      <c r="CA79" t="n">
        <v>3</v>
      </c>
      <c r="CB79" t="n">
        <v>3</v>
      </c>
      <c r="CC79" t="n">
        <v>5</v>
      </c>
      <c r="CD79" t="n">
        <v>20</v>
      </c>
      <c r="CE79" t="n">
        <v>14</v>
      </c>
      <c r="CF79" t="n">
        <v>25</v>
      </c>
      <c r="CG79" t="n">
        <v>20</v>
      </c>
      <c r="CH79" t="n">
        <v>29</v>
      </c>
      <c r="CI79" t="n">
        <v>3</v>
      </c>
      <c r="CJ79" t="n">
        <v>3</v>
      </c>
      <c r="CK79" t="n">
        <v>5</v>
      </c>
      <c r="CL79" t="n">
        <v>20</v>
      </c>
      <c r="CM79" t="n">
        <v>14</v>
      </c>
      <c r="CN79" t="n">
        <v>25</v>
      </c>
      <c r="CO79" t="n">
        <v>20</v>
      </c>
      <c r="CP79" t="n">
        <v>0</v>
      </c>
      <c r="CQ79" t="n">
        <v>0</v>
      </c>
      <c r="CR79" t="n">
        <v>0</v>
      </c>
      <c r="CS79" t="n">
        <v>0</v>
      </c>
      <c r="CT79" t="n">
        <v>0</v>
      </c>
      <c r="CU79" t="n">
        <v>0</v>
      </c>
      <c r="CV79" t="n">
        <v>0</v>
      </c>
      <c r="CW79" t="n">
        <v>0</v>
      </c>
      <c r="CX79" t="n">
        <v>48.1</v>
      </c>
      <c r="CY79" t="n">
        <v>62.7</v>
      </c>
      <c r="CZ79" t="n">
        <v>71.8</v>
      </c>
      <c r="DA79" t="n">
        <v>81.09999999999999</v>
      </c>
      <c r="DB79" t="n">
        <v>43.2</v>
      </c>
      <c r="DC79" t="n">
        <v>56.8</v>
      </c>
      <c r="DD79" t="n">
        <v>64.8</v>
      </c>
      <c r="DE79" t="n">
        <v>70.8</v>
      </c>
      <c r="DF79" t="n">
        <v>48.1</v>
      </c>
      <c r="DG79" t="n">
        <v>62.7</v>
      </c>
      <c r="DH79" t="n">
        <v>71.8</v>
      </c>
      <c r="DI79" t="n">
        <v>81.09999999999999</v>
      </c>
      <c r="DJ79" t="n">
        <v>43.2</v>
      </c>
      <c r="DK79" t="n">
        <v>56.8</v>
      </c>
      <c r="DL79" t="n">
        <v>64.8</v>
      </c>
      <c r="DM79" t="n">
        <v>70.8</v>
      </c>
      <c r="DN79" t="n">
        <v>0</v>
      </c>
      <c r="DO79" t="n">
        <v>0</v>
      </c>
      <c r="DP79" t="n">
        <v>0</v>
      </c>
      <c r="DQ79" t="n">
        <v>0</v>
      </c>
      <c r="DR79" t="n">
        <v>0</v>
      </c>
      <c r="DS79" t="n">
        <v>0</v>
      </c>
      <c r="DT79" t="n">
        <v>0</v>
      </c>
      <c r="DU79" t="n">
        <v>0</v>
      </c>
      <c r="DV79" t="inlineStr">
        <is>
          <t>BBL</t>
        </is>
      </c>
    </row>
    <row r="80">
      <c r="A80" t="inlineStr">
        <is>
          <t>NY HARBOR ULSD - NEW YORK MERCANTILE EXCHANGE</t>
        </is>
      </c>
      <c r="B80" t="n">
        <v>230110</v>
      </c>
      <c r="C80" s="1" t="n">
        <v>44936</v>
      </c>
      <c r="D80" t="inlineStr">
        <is>
          <t>022651</t>
        </is>
      </c>
      <c r="E80" t="inlineStr">
        <is>
          <t>NYME</t>
        </is>
      </c>
      <c r="F80" t="inlineStr">
        <is>
          <t>01</t>
        </is>
      </c>
      <c r="G80" t="inlineStr">
        <is>
          <t xml:space="preserve">022 </t>
        </is>
      </c>
      <c r="H80" t="n">
        <v>260845</v>
      </c>
      <c r="I80" s="17" t="n">
        <v>38662</v>
      </c>
      <c r="J80" s="17" t="n">
        <v>21893</v>
      </c>
      <c r="K80" t="n">
        <v>45073</v>
      </c>
      <c r="L80" t="n">
        <v>131465</v>
      </c>
      <c r="M80" t="n">
        <v>166500</v>
      </c>
      <c r="N80" t="n">
        <v>215200</v>
      </c>
      <c r="O80" t="n">
        <v>233466</v>
      </c>
      <c r="P80" t="n">
        <v>45645</v>
      </c>
      <c r="Q80" t="n">
        <v>27379</v>
      </c>
      <c r="R80" t="n">
        <v>260845</v>
      </c>
      <c r="S80" t="n">
        <v>38662</v>
      </c>
      <c r="T80" t="n">
        <v>21893</v>
      </c>
      <c r="U80" t="n">
        <v>45073</v>
      </c>
      <c r="V80" t="n">
        <v>131465</v>
      </c>
      <c r="W80" t="n">
        <v>166500</v>
      </c>
      <c r="X80" t="n">
        <v>215200</v>
      </c>
      <c r="Y80" t="n">
        <v>233466</v>
      </c>
      <c r="Z80" t="n">
        <v>45645</v>
      </c>
      <c r="AA80" t="n">
        <v>27379</v>
      </c>
      <c r="AB80" t="n">
        <v>0</v>
      </c>
      <c r="AC80" t="n">
        <v>0</v>
      </c>
      <c r="AD80" t="n">
        <v>0</v>
      </c>
      <c r="AE80" t="n">
        <v>0</v>
      </c>
      <c r="AF80" t="n">
        <v>0</v>
      </c>
      <c r="AG80" t="n">
        <v>0</v>
      </c>
      <c r="AH80" t="n">
        <v>0</v>
      </c>
      <c r="AI80" t="n">
        <v>0</v>
      </c>
      <c r="AJ80" t="n">
        <v>0</v>
      </c>
      <c r="AK80" t="n">
        <v>0</v>
      </c>
      <c r="AL80" t="n">
        <v>8640</v>
      </c>
      <c r="AM80" t="n">
        <v>-648</v>
      </c>
      <c r="AN80" t="n">
        <v>-804</v>
      </c>
      <c r="AO80" t="n">
        <v>5471</v>
      </c>
      <c r="AP80" t="n">
        <v>3031</v>
      </c>
      <c r="AQ80" t="n">
        <v>4035</v>
      </c>
      <c r="AR80" t="n">
        <v>7854</v>
      </c>
      <c r="AS80" t="n">
        <v>8702</v>
      </c>
      <c r="AT80" t="n">
        <v>786</v>
      </c>
      <c r="AU80" t="n">
        <v>-62</v>
      </c>
      <c r="AV80" t="n">
        <v>100</v>
      </c>
      <c r="AW80" t="n">
        <v>14.8</v>
      </c>
      <c r="AX80" t="n">
        <v>8.4</v>
      </c>
      <c r="AY80" t="n">
        <v>17.3</v>
      </c>
      <c r="AZ80" t="n">
        <v>50.4</v>
      </c>
      <c r="BA80" t="n">
        <v>63.8</v>
      </c>
      <c r="BB80" t="n">
        <v>82.5</v>
      </c>
      <c r="BC80" t="n">
        <v>89.5</v>
      </c>
      <c r="BD80" t="n">
        <v>17.5</v>
      </c>
      <c r="BE80" t="n">
        <v>10.5</v>
      </c>
      <c r="BF80" t="n">
        <v>100</v>
      </c>
      <c r="BG80" t="n">
        <v>14.8</v>
      </c>
      <c r="BH80" t="n">
        <v>8.4</v>
      </c>
      <c r="BI80" t="n">
        <v>17.3</v>
      </c>
      <c r="BJ80" t="n">
        <v>50.4</v>
      </c>
      <c r="BK80" t="n">
        <v>63.8</v>
      </c>
      <c r="BL80" t="n">
        <v>82.5</v>
      </c>
      <c r="BM80" t="n">
        <v>89.5</v>
      </c>
      <c r="BN80" t="n">
        <v>17.5</v>
      </c>
      <c r="BO80" t="n">
        <v>10.5</v>
      </c>
      <c r="BP80" t="n">
        <v>0</v>
      </c>
      <c r="BQ80" t="n">
        <v>0</v>
      </c>
      <c r="BR80" t="n">
        <v>0</v>
      </c>
      <c r="BS80" t="n">
        <v>0</v>
      </c>
      <c r="BT80" t="n">
        <v>0</v>
      </c>
      <c r="BU80" t="n">
        <v>0</v>
      </c>
      <c r="BV80" t="n">
        <v>0</v>
      </c>
      <c r="BW80" t="n">
        <v>0</v>
      </c>
      <c r="BX80" t="n">
        <v>0</v>
      </c>
      <c r="BY80" t="n">
        <v>0</v>
      </c>
      <c r="BZ80" t="n">
        <v>158</v>
      </c>
      <c r="CA80" t="n">
        <v>47</v>
      </c>
      <c r="CB80" t="n">
        <v>26</v>
      </c>
      <c r="CC80" t="n">
        <v>44</v>
      </c>
      <c r="CD80" t="n">
        <v>63</v>
      </c>
      <c r="CE80" t="n">
        <v>76</v>
      </c>
      <c r="CF80" t="n">
        <v>127</v>
      </c>
      <c r="CG80" t="n">
        <v>130</v>
      </c>
      <c r="CH80" t="n">
        <v>158</v>
      </c>
      <c r="CI80" t="n">
        <v>47</v>
      </c>
      <c r="CJ80" t="n">
        <v>26</v>
      </c>
      <c r="CK80" t="n">
        <v>44</v>
      </c>
      <c r="CL80" t="n">
        <v>63</v>
      </c>
      <c r="CM80" t="n">
        <v>76</v>
      </c>
      <c r="CN80" t="n">
        <v>127</v>
      </c>
      <c r="CO80" t="n">
        <v>130</v>
      </c>
      <c r="CP80" t="n">
        <v>0</v>
      </c>
      <c r="CQ80" t="n">
        <v>0</v>
      </c>
      <c r="CR80" t="n">
        <v>0</v>
      </c>
      <c r="CS80" t="n">
        <v>0</v>
      </c>
      <c r="CT80" t="n">
        <v>0</v>
      </c>
      <c r="CU80" t="n">
        <v>0</v>
      </c>
      <c r="CV80" t="n">
        <v>0</v>
      </c>
      <c r="CW80" t="n">
        <v>0</v>
      </c>
      <c r="CX80" t="n">
        <v>12.6</v>
      </c>
      <c r="CY80" t="n">
        <v>18.3</v>
      </c>
      <c r="CZ80" t="n">
        <v>20.8</v>
      </c>
      <c r="DA80" t="n">
        <v>30.6</v>
      </c>
      <c r="DB80" t="n">
        <v>7.4</v>
      </c>
      <c r="DC80" t="n">
        <v>14.6</v>
      </c>
      <c r="DD80" t="n">
        <v>13.2</v>
      </c>
      <c r="DE80" t="n">
        <v>22.4</v>
      </c>
      <c r="DF80" t="n">
        <v>12.6</v>
      </c>
      <c r="DG80" t="n">
        <v>18.3</v>
      </c>
      <c r="DH80" t="n">
        <v>20.8</v>
      </c>
      <c r="DI80" t="n">
        <v>30.6</v>
      </c>
      <c r="DJ80" t="n">
        <v>7.4</v>
      </c>
      <c r="DK80" t="n">
        <v>14.6</v>
      </c>
      <c r="DL80" t="n">
        <v>13.2</v>
      </c>
      <c r="DM80" t="n">
        <v>22.4</v>
      </c>
      <c r="DN80" t="n">
        <v>0</v>
      </c>
      <c r="DO80" t="n">
        <v>0</v>
      </c>
      <c r="DP80" t="n">
        <v>0</v>
      </c>
      <c r="DQ80" t="n">
        <v>0</v>
      </c>
      <c r="DR80" t="n">
        <v>0</v>
      </c>
      <c r="DS80" t="n">
        <v>0</v>
      </c>
      <c r="DT80" t="n">
        <v>0</v>
      </c>
      <c r="DU80" t="n">
        <v>0</v>
      </c>
      <c r="DV80" t="inlineStr">
        <is>
          <t>(CONTRACTS OF 42,000 U.S. GALLONS)</t>
        </is>
      </c>
    </row>
    <row r="81">
      <c r="A81" t="inlineStr">
        <is>
          <t>NY HARBOR ULSD - NEW YORK MERCANTILE EXCHANGE</t>
        </is>
      </c>
      <c r="B81" t="n">
        <v>230103</v>
      </c>
      <c r="C81" s="1" t="n">
        <v>44929</v>
      </c>
      <c r="D81" t="inlineStr">
        <is>
          <t>022651</t>
        </is>
      </c>
      <c r="E81" t="inlineStr">
        <is>
          <t>NYME</t>
        </is>
      </c>
      <c r="F81" t="inlineStr">
        <is>
          <t>01</t>
        </is>
      </c>
      <c r="G81" t="inlineStr">
        <is>
          <t xml:space="preserve">022 </t>
        </is>
      </c>
      <c r="H81" t="n">
        <v>252205</v>
      </c>
      <c r="I81" s="17" t="n">
        <v>39310</v>
      </c>
      <c r="J81" s="17" t="n">
        <v>22697</v>
      </c>
      <c r="K81" t="n">
        <v>39602</v>
      </c>
      <c r="L81" t="n">
        <v>128434</v>
      </c>
      <c r="M81" t="n">
        <v>162465</v>
      </c>
      <c r="N81" t="n">
        <v>207346</v>
      </c>
      <c r="O81" t="n">
        <v>224764</v>
      </c>
      <c r="P81" t="n">
        <v>44859</v>
      </c>
      <c r="Q81" t="n">
        <v>27441</v>
      </c>
      <c r="R81" t="n">
        <v>252205</v>
      </c>
      <c r="S81" t="n">
        <v>39310</v>
      </c>
      <c r="T81" t="n">
        <v>22697</v>
      </c>
      <c r="U81" t="n">
        <v>39602</v>
      </c>
      <c r="V81" t="n">
        <v>128434</v>
      </c>
      <c r="W81" t="n">
        <v>162465</v>
      </c>
      <c r="X81" t="n">
        <v>207346</v>
      </c>
      <c r="Y81" t="n">
        <v>224764</v>
      </c>
      <c r="Z81" t="n">
        <v>44859</v>
      </c>
      <c r="AA81" t="n">
        <v>27441</v>
      </c>
      <c r="AB81" t="n">
        <v>0</v>
      </c>
      <c r="AC81" t="n">
        <v>0</v>
      </c>
      <c r="AD81" t="n">
        <v>0</v>
      </c>
      <c r="AE81" t="n">
        <v>0</v>
      </c>
      <c r="AF81" t="n">
        <v>0</v>
      </c>
      <c r="AG81" t="n">
        <v>0</v>
      </c>
      <c r="AH81" t="n">
        <v>0</v>
      </c>
      <c r="AI81" t="n">
        <v>0</v>
      </c>
      <c r="AJ81" t="n">
        <v>0</v>
      </c>
      <c r="AK81" t="n">
        <v>0</v>
      </c>
      <c r="AL81" t="n">
        <v>-5199</v>
      </c>
      <c r="AM81" t="n">
        <v>-759</v>
      </c>
      <c r="AN81" t="n">
        <v>3035</v>
      </c>
      <c r="AO81" t="n">
        <v>167</v>
      </c>
      <c r="AP81" t="n">
        <v>-4501</v>
      </c>
      <c r="AQ81" t="n">
        <v>-9476</v>
      </c>
      <c r="AR81" t="n">
        <v>-5093</v>
      </c>
      <c r="AS81" t="n">
        <v>-6274</v>
      </c>
      <c r="AT81" t="n">
        <v>-106</v>
      </c>
      <c r="AU81" t="n">
        <v>1075</v>
      </c>
      <c r="AV81" t="n">
        <v>100</v>
      </c>
      <c r="AW81" t="n">
        <v>15.6</v>
      </c>
      <c r="AX81" t="n">
        <v>9</v>
      </c>
      <c r="AY81" t="n">
        <v>15.7</v>
      </c>
      <c r="AZ81" t="n">
        <v>50.9</v>
      </c>
      <c r="BA81" t="n">
        <v>64.40000000000001</v>
      </c>
      <c r="BB81" t="n">
        <v>82.2</v>
      </c>
      <c r="BC81" t="n">
        <v>89.09999999999999</v>
      </c>
      <c r="BD81" t="n">
        <v>17.8</v>
      </c>
      <c r="BE81" t="n">
        <v>10.9</v>
      </c>
      <c r="BF81" t="n">
        <v>100</v>
      </c>
      <c r="BG81" t="n">
        <v>15.6</v>
      </c>
      <c r="BH81" t="n">
        <v>9</v>
      </c>
      <c r="BI81" t="n">
        <v>15.7</v>
      </c>
      <c r="BJ81" t="n">
        <v>50.9</v>
      </c>
      <c r="BK81" t="n">
        <v>64.40000000000001</v>
      </c>
      <c r="BL81" t="n">
        <v>82.2</v>
      </c>
      <c r="BM81" t="n">
        <v>89.09999999999999</v>
      </c>
      <c r="BN81" t="n">
        <v>17.8</v>
      </c>
      <c r="BO81" t="n">
        <v>10.9</v>
      </c>
      <c r="BP81" t="n">
        <v>0</v>
      </c>
      <c r="BQ81" t="n">
        <v>0</v>
      </c>
      <c r="BR81" t="n">
        <v>0</v>
      </c>
      <c r="BS81" t="n">
        <v>0</v>
      </c>
      <c r="BT81" t="n">
        <v>0</v>
      </c>
      <c r="BU81" t="n">
        <v>0</v>
      </c>
      <c r="BV81" t="n">
        <v>0</v>
      </c>
      <c r="BW81" t="n">
        <v>0</v>
      </c>
      <c r="BX81" t="n">
        <v>0</v>
      </c>
      <c r="BY81" t="n">
        <v>0</v>
      </c>
      <c r="BZ81" t="n">
        <v>148</v>
      </c>
      <c r="CA81" t="n">
        <v>38</v>
      </c>
      <c r="CB81" t="n">
        <v>26</v>
      </c>
      <c r="CC81" t="n">
        <v>40</v>
      </c>
      <c r="CD81" t="n">
        <v>64</v>
      </c>
      <c r="CE81" t="n">
        <v>76</v>
      </c>
      <c r="CF81" t="n">
        <v>122</v>
      </c>
      <c r="CG81" t="n">
        <v>123</v>
      </c>
      <c r="CH81" t="n">
        <v>148</v>
      </c>
      <c r="CI81" t="n">
        <v>38</v>
      </c>
      <c r="CJ81" t="n">
        <v>26</v>
      </c>
      <c r="CK81" t="n">
        <v>40</v>
      </c>
      <c r="CL81" t="n">
        <v>64</v>
      </c>
      <c r="CM81" t="n">
        <v>76</v>
      </c>
      <c r="CN81" t="n">
        <v>122</v>
      </c>
      <c r="CO81" t="n">
        <v>123</v>
      </c>
      <c r="CP81" t="n">
        <v>0</v>
      </c>
      <c r="CQ81" t="n">
        <v>0</v>
      </c>
      <c r="CR81" t="n">
        <v>0</v>
      </c>
      <c r="CS81" t="n">
        <v>0</v>
      </c>
      <c r="CT81" t="n">
        <v>0</v>
      </c>
      <c r="CU81" t="n">
        <v>0</v>
      </c>
      <c r="CV81" t="n">
        <v>0</v>
      </c>
      <c r="CW81" t="n">
        <v>0</v>
      </c>
      <c r="CX81" t="n">
        <v>14.2</v>
      </c>
      <c r="CY81" t="n">
        <v>20.8</v>
      </c>
      <c r="CZ81" t="n">
        <v>22.5</v>
      </c>
      <c r="DA81" t="n">
        <v>33.7</v>
      </c>
      <c r="DB81" t="n">
        <v>8</v>
      </c>
      <c r="DC81" t="n">
        <v>15.2</v>
      </c>
      <c r="DD81" t="n">
        <v>14.2</v>
      </c>
      <c r="DE81" t="n">
        <v>23.1</v>
      </c>
      <c r="DF81" t="n">
        <v>14.2</v>
      </c>
      <c r="DG81" t="n">
        <v>20.8</v>
      </c>
      <c r="DH81" t="n">
        <v>22.5</v>
      </c>
      <c r="DI81" t="n">
        <v>33.7</v>
      </c>
      <c r="DJ81" t="n">
        <v>8</v>
      </c>
      <c r="DK81" t="n">
        <v>15.2</v>
      </c>
      <c r="DL81" t="n">
        <v>14.2</v>
      </c>
      <c r="DM81" t="n">
        <v>23.1</v>
      </c>
      <c r="DN81" t="n">
        <v>0</v>
      </c>
      <c r="DO81" t="n">
        <v>0</v>
      </c>
      <c r="DP81" t="n">
        <v>0</v>
      </c>
      <c r="DQ81" t="n">
        <v>0</v>
      </c>
      <c r="DR81" t="n">
        <v>0</v>
      </c>
      <c r="DS81" t="n">
        <v>0</v>
      </c>
      <c r="DT81" t="n">
        <v>0</v>
      </c>
      <c r="DU81" t="n">
        <v>0</v>
      </c>
      <c r="DV81" t="inlineStr">
        <is>
          <t>(CONTRACTS OF 42,000 U.S. GALLONS)</t>
        </is>
      </c>
    </row>
    <row r="82">
      <c r="A82" t="inlineStr">
        <is>
          <t>UP DOWN GC ULSD VS HO SPR - NEW YORK MERCANTILE EXCHANGE</t>
        </is>
      </c>
      <c r="B82" t="n">
        <v>230110</v>
      </c>
      <c r="C82" s="1" t="n">
        <v>44936</v>
      </c>
      <c r="D82" t="inlineStr">
        <is>
          <t>022A13</t>
        </is>
      </c>
      <c r="E82" t="inlineStr">
        <is>
          <t>NYME</t>
        </is>
      </c>
      <c r="F82" t="inlineStr">
        <is>
          <t>01</t>
        </is>
      </c>
      <c r="G82" t="inlineStr">
        <is>
          <t xml:space="preserve">022 </t>
        </is>
      </c>
      <c r="H82" t="n">
        <v>22901</v>
      </c>
      <c r="I82" s="17" t="n">
        <v>1625</v>
      </c>
      <c r="J82" s="17" t="n">
        <v>0</v>
      </c>
      <c r="K82" t="n">
        <v>170</v>
      </c>
      <c r="L82" t="n">
        <v>10729</v>
      </c>
      <c r="M82" t="n">
        <v>17779</v>
      </c>
      <c r="N82" t="n">
        <v>12524</v>
      </c>
      <c r="O82" t="n">
        <v>17949</v>
      </c>
      <c r="P82" t="n">
        <v>10377</v>
      </c>
      <c r="Q82" t="n">
        <v>4952</v>
      </c>
      <c r="R82" t="n">
        <v>22901</v>
      </c>
      <c r="S82" t="n">
        <v>1625</v>
      </c>
      <c r="T82" t="n">
        <v>0</v>
      </c>
      <c r="U82" t="n">
        <v>170</v>
      </c>
      <c r="V82" t="n">
        <v>10729</v>
      </c>
      <c r="W82" t="n">
        <v>17779</v>
      </c>
      <c r="X82" t="n">
        <v>12524</v>
      </c>
      <c r="Y82" t="n">
        <v>17949</v>
      </c>
      <c r="Z82" t="n">
        <v>10377</v>
      </c>
      <c r="AA82" t="n">
        <v>4952</v>
      </c>
      <c r="AB82" t="n">
        <v>0</v>
      </c>
      <c r="AC82" t="n">
        <v>0</v>
      </c>
      <c r="AD82" t="n">
        <v>0</v>
      </c>
      <c r="AE82" t="n">
        <v>0</v>
      </c>
      <c r="AF82" t="n">
        <v>0</v>
      </c>
      <c r="AG82" t="n">
        <v>0</v>
      </c>
      <c r="AH82" t="n">
        <v>0</v>
      </c>
      <c r="AI82" t="n">
        <v>0</v>
      </c>
      <c r="AJ82" t="n">
        <v>0</v>
      </c>
      <c r="AK82" t="n">
        <v>0</v>
      </c>
      <c r="AL82" t="n">
        <v>-1900</v>
      </c>
      <c r="AM82" t="n">
        <v>110</v>
      </c>
      <c r="AN82" t="n">
        <v>0</v>
      </c>
      <c r="AO82" t="n">
        <v>-375</v>
      </c>
      <c r="AP82" t="n">
        <v>-2537</v>
      </c>
      <c r="AQ82" t="n">
        <v>-3315</v>
      </c>
      <c r="AR82" t="n">
        <v>-2802</v>
      </c>
      <c r="AS82" t="n">
        <v>-3690</v>
      </c>
      <c r="AT82" t="n">
        <v>902</v>
      </c>
      <c r="AU82" t="n">
        <v>1790</v>
      </c>
      <c r="AV82" t="n">
        <v>100</v>
      </c>
      <c r="AW82" t="n">
        <v>7.1</v>
      </c>
      <c r="AX82" t="n">
        <v>0</v>
      </c>
      <c r="AY82" t="n">
        <v>0.7</v>
      </c>
      <c r="AZ82" t="n">
        <v>46.8</v>
      </c>
      <c r="BA82" t="n">
        <v>77.59999999999999</v>
      </c>
      <c r="BB82" t="n">
        <v>54.7</v>
      </c>
      <c r="BC82" t="n">
        <v>78.40000000000001</v>
      </c>
      <c r="BD82" t="n">
        <v>45.3</v>
      </c>
      <c r="BE82" t="n">
        <v>21.6</v>
      </c>
      <c r="BF82" t="n">
        <v>100</v>
      </c>
      <c r="BG82" t="n">
        <v>7.1</v>
      </c>
      <c r="BH82" t="n">
        <v>0</v>
      </c>
      <c r="BI82" t="n">
        <v>0.7</v>
      </c>
      <c r="BJ82" t="n">
        <v>46.8</v>
      </c>
      <c r="BK82" t="n">
        <v>77.59999999999999</v>
      </c>
      <c r="BL82" t="n">
        <v>54.7</v>
      </c>
      <c r="BM82" t="n">
        <v>78.40000000000001</v>
      </c>
      <c r="BN82" t="n">
        <v>45.3</v>
      </c>
      <c r="BO82" t="n">
        <v>21.6</v>
      </c>
      <c r="BP82" t="n">
        <v>0</v>
      </c>
      <c r="BQ82" t="n">
        <v>0</v>
      </c>
      <c r="BR82" t="n">
        <v>0</v>
      </c>
      <c r="BS82" t="n">
        <v>0</v>
      </c>
      <c r="BT82" t="n">
        <v>0</v>
      </c>
      <c r="BU82" t="n">
        <v>0</v>
      </c>
      <c r="BV82" t="n">
        <v>0</v>
      </c>
      <c r="BW82" t="n">
        <v>0</v>
      </c>
      <c r="BX82" t="n">
        <v>0</v>
      </c>
      <c r="BY82" t="n">
        <v>0</v>
      </c>
      <c r="BZ82" t="n">
        <v>20</v>
      </c>
      <c r="CA82" t="n">
        <v>2</v>
      </c>
      <c r="CB82" t="n">
        <v>0</v>
      </c>
      <c r="CC82" t="n">
        <v>1</v>
      </c>
      <c r="CD82" t="n">
        <v>14</v>
      </c>
      <c r="CE82" t="n">
        <v>14</v>
      </c>
      <c r="CF82" t="n">
        <v>16</v>
      </c>
      <c r="CG82" t="n">
        <v>15</v>
      </c>
      <c r="CH82" t="n">
        <v>20</v>
      </c>
      <c r="CI82" t="n">
        <v>2</v>
      </c>
      <c r="CJ82" t="n">
        <v>0</v>
      </c>
      <c r="CK82" t="n">
        <v>1</v>
      </c>
      <c r="CL82" t="n">
        <v>14</v>
      </c>
      <c r="CM82" t="n">
        <v>14</v>
      </c>
      <c r="CN82" t="n">
        <v>16</v>
      </c>
      <c r="CO82" t="n">
        <v>15</v>
      </c>
      <c r="CP82" t="n">
        <v>0</v>
      </c>
      <c r="CQ82" t="n">
        <v>0</v>
      </c>
      <c r="CR82" t="n">
        <v>0</v>
      </c>
      <c r="CS82" t="n">
        <v>0</v>
      </c>
      <c r="CT82" t="n">
        <v>0</v>
      </c>
      <c r="CU82" t="n">
        <v>0</v>
      </c>
      <c r="CV82" t="n">
        <v>0</v>
      </c>
      <c r="CW82" t="n">
        <v>0</v>
      </c>
      <c r="CX82" t="n">
        <v>31.1</v>
      </c>
      <c r="CY82" t="n">
        <v>59.5</v>
      </c>
      <c r="CZ82" t="n">
        <v>44.7</v>
      </c>
      <c r="DA82" t="n">
        <v>73</v>
      </c>
      <c r="DB82" t="n">
        <v>21.8</v>
      </c>
      <c r="DC82" t="n">
        <v>55.4</v>
      </c>
      <c r="DD82" t="n">
        <v>31.5</v>
      </c>
      <c r="DE82" t="n">
        <v>61.2</v>
      </c>
      <c r="DF82" t="n">
        <v>31.1</v>
      </c>
      <c r="DG82" t="n">
        <v>59.5</v>
      </c>
      <c r="DH82" t="n">
        <v>44.7</v>
      </c>
      <c r="DI82" t="n">
        <v>73</v>
      </c>
      <c r="DJ82" t="n">
        <v>21.8</v>
      </c>
      <c r="DK82" t="n">
        <v>55.4</v>
      </c>
      <c r="DL82" t="n">
        <v>31.5</v>
      </c>
      <c r="DM82" t="n">
        <v>61.2</v>
      </c>
      <c r="DN82" t="n">
        <v>0</v>
      </c>
      <c r="DO82" t="n">
        <v>0</v>
      </c>
      <c r="DP82" t="n">
        <v>0</v>
      </c>
      <c r="DQ82" t="n">
        <v>0</v>
      </c>
      <c r="DR82" t="n">
        <v>0</v>
      </c>
      <c r="DS82" t="n">
        <v>0</v>
      </c>
      <c r="DT82" t="n">
        <v>0</v>
      </c>
      <c r="DU82" t="n">
        <v>0</v>
      </c>
      <c r="DV82" t="inlineStr">
        <is>
          <t>(CONTRACTS OF 42,000 GALLONS)</t>
        </is>
      </c>
    </row>
    <row r="83">
      <c r="A83" t="inlineStr">
        <is>
          <t>UP DOWN GC ULSD VS HO SPR - NEW YORK MERCANTILE EXCHANGE</t>
        </is>
      </c>
      <c r="B83" t="n">
        <v>230103</v>
      </c>
      <c r="C83" s="1" t="n">
        <v>44929</v>
      </c>
      <c r="D83" t="inlineStr">
        <is>
          <t>022A13</t>
        </is>
      </c>
      <c r="E83" t="inlineStr">
        <is>
          <t>NYME</t>
        </is>
      </c>
      <c r="F83" t="inlineStr">
        <is>
          <t>01</t>
        </is>
      </c>
      <c r="G83" t="inlineStr">
        <is>
          <t xml:space="preserve">022 </t>
        </is>
      </c>
      <c r="H83" t="n">
        <v>24801</v>
      </c>
      <c r="I83" s="17" t="n">
        <v>1515</v>
      </c>
      <c r="J83" s="17" t="n">
        <v>0</v>
      </c>
      <c r="K83" t="n">
        <v>545</v>
      </c>
      <c r="L83" t="n">
        <v>13266</v>
      </c>
      <c r="M83" t="n">
        <v>21094</v>
      </c>
      <c r="N83" t="n">
        <v>15326</v>
      </c>
      <c r="O83" t="n">
        <v>21639</v>
      </c>
      <c r="P83" t="n">
        <v>9475</v>
      </c>
      <c r="Q83" t="n">
        <v>3162</v>
      </c>
      <c r="R83" t="n">
        <v>24801</v>
      </c>
      <c r="S83" t="n">
        <v>1515</v>
      </c>
      <c r="T83" t="n">
        <v>0</v>
      </c>
      <c r="U83" t="n">
        <v>545</v>
      </c>
      <c r="V83" t="n">
        <v>13266</v>
      </c>
      <c r="W83" t="n">
        <v>21094</v>
      </c>
      <c r="X83" t="n">
        <v>15326</v>
      </c>
      <c r="Y83" t="n">
        <v>21639</v>
      </c>
      <c r="Z83" t="n">
        <v>9475</v>
      </c>
      <c r="AA83" t="n">
        <v>3162</v>
      </c>
      <c r="AB83" t="n">
        <v>0</v>
      </c>
      <c r="AC83" t="n">
        <v>0</v>
      </c>
      <c r="AD83" t="n">
        <v>0</v>
      </c>
      <c r="AE83" t="n">
        <v>0</v>
      </c>
      <c r="AF83" t="n">
        <v>0</v>
      </c>
      <c r="AG83" t="n">
        <v>0</v>
      </c>
      <c r="AH83" t="n">
        <v>0</v>
      </c>
      <c r="AI83" t="n">
        <v>0</v>
      </c>
      <c r="AJ83" t="n">
        <v>0</v>
      </c>
      <c r="AK83" t="n">
        <v>0</v>
      </c>
      <c r="AL83" t="n">
        <v>256</v>
      </c>
      <c r="AM83" t="n">
        <v>390</v>
      </c>
      <c r="AN83" t="n">
        <v>-945</v>
      </c>
      <c r="AO83" t="n">
        <v>505</v>
      </c>
      <c r="AP83" t="n">
        <v>-591</v>
      </c>
      <c r="AQ83" t="n">
        <v>1023</v>
      </c>
      <c r="AR83" t="n">
        <v>304</v>
      </c>
      <c r="AS83" t="n">
        <v>583</v>
      </c>
      <c r="AT83" t="n">
        <v>-48</v>
      </c>
      <c r="AU83" t="n">
        <v>-327</v>
      </c>
      <c r="AV83" t="n">
        <v>100</v>
      </c>
      <c r="AW83" t="n">
        <v>6.1</v>
      </c>
      <c r="AX83" t="n">
        <v>0</v>
      </c>
      <c r="AY83" t="n">
        <v>2.2</v>
      </c>
      <c r="AZ83" t="n">
        <v>53.5</v>
      </c>
      <c r="BA83" t="n">
        <v>85.09999999999999</v>
      </c>
      <c r="BB83" t="n">
        <v>61.8</v>
      </c>
      <c r="BC83" t="n">
        <v>87.3</v>
      </c>
      <c r="BD83" t="n">
        <v>38.2</v>
      </c>
      <c r="BE83" t="n">
        <v>12.7</v>
      </c>
      <c r="BF83" t="n">
        <v>100</v>
      </c>
      <c r="BG83" t="n">
        <v>6.1</v>
      </c>
      <c r="BH83" t="n">
        <v>0</v>
      </c>
      <c r="BI83" t="n">
        <v>2.2</v>
      </c>
      <c r="BJ83" t="n">
        <v>53.5</v>
      </c>
      <c r="BK83" t="n">
        <v>85.09999999999999</v>
      </c>
      <c r="BL83" t="n">
        <v>61.8</v>
      </c>
      <c r="BM83" t="n">
        <v>87.3</v>
      </c>
      <c r="BN83" t="n">
        <v>38.2</v>
      </c>
      <c r="BO83" t="n">
        <v>12.7</v>
      </c>
      <c r="BP83" t="n">
        <v>0</v>
      </c>
      <c r="BQ83" t="n">
        <v>0</v>
      </c>
      <c r="BR83" t="n">
        <v>0</v>
      </c>
      <c r="BS83" t="n">
        <v>0</v>
      </c>
      <c r="BT83" t="n">
        <v>0</v>
      </c>
      <c r="BU83" t="n">
        <v>0</v>
      </c>
      <c r="BV83" t="n">
        <v>0</v>
      </c>
      <c r="BW83" t="n">
        <v>0</v>
      </c>
      <c r="BX83" t="n">
        <v>0</v>
      </c>
      <c r="BY83" t="n">
        <v>0</v>
      </c>
      <c r="BZ83" t="n">
        <v>22</v>
      </c>
      <c r="CA83" t="n">
        <v>2</v>
      </c>
      <c r="CB83" t="n">
        <v>0</v>
      </c>
      <c r="CC83" t="n">
        <v>1</v>
      </c>
      <c r="CD83" t="n">
        <v>13</v>
      </c>
      <c r="CE83" t="n">
        <v>18</v>
      </c>
      <c r="CF83" t="n">
        <v>15</v>
      </c>
      <c r="CG83" t="n">
        <v>19</v>
      </c>
      <c r="CH83" t="n">
        <v>22</v>
      </c>
      <c r="CI83" t="n">
        <v>2</v>
      </c>
      <c r="CJ83" t="n">
        <v>0</v>
      </c>
      <c r="CK83" t="n">
        <v>1</v>
      </c>
      <c r="CL83" t="n">
        <v>13</v>
      </c>
      <c r="CM83" t="n">
        <v>18</v>
      </c>
      <c r="CN83" t="n">
        <v>15</v>
      </c>
      <c r="CO83" t="n">
        <v>19</v>
      </c>
      <c r="CP83" t="n">
        <v>0</v>
      </c>
      <c r="CQ83" t="n">
        <v>0</v>
      </c>
      <c r="CR83" t="n">
        <v>0</v>
      </c>
      <c r="CS83" t="n">
        <v>0</v>
      </c>
      <c r="CT83" t="n">
        <v>0</v>
      </c>
      <c r="CU83" t="n">
        <v>0</v>
      </c>
      <c r="CV83" t="n">
        <v>0</v>
      </c>
      <c r="CW83" t="n">
        <v>0</v>
      </c>
      <c r="CX83" t="n">
        <v>35.7</v>
      </c>
      <c r="CY83" t="n">
        <v>52.8</v>
      </c>
      <c r="CZ83" t="n">
        <v>52.1</v>
      </c>
      <c r="DA83" t="n">
        <v>73.09999999999999</v>
      </c>
      <c r="DB83" t="n">
        <v>30.8</v>
      </c>
      <c r="DC83" t="n">
        <v>51.2</v>
      </c>
      <c r="DD83" t="n">
        <v>39.9</v>
      </c>
      <c r="DE83" t="n">
        <v>63.5</v>
      </c>
      <c r="DF83" t="n">
        <v>35.7</v>
      </c>
      <c r="DG83" t="n">
        <v>52.8</v>
      </c>
      <c r="DH83" t="n">
        <v>52.1</v>
      </c>
      <c r="DI83" t="n">
        <v>73.09999999999999</v>
      </c>
      <c r="DJ83" t="n">
        <v>30.8</v>
      </c>
      <c r="DK83" t="n">
        <v>51.2</v>
      </c>
      <c r="DL83" t="n">
        <v>39.9</v>
      </c>
      <c r="DM83" t="n">
        <v>63.5</v>
      </c>
      <c r="DN83" t="n">
        <v>0</v>
      </c>
      <c r="DO83" t="n">
        <v>0</v>
      </c>
      <c r="DP83" t="n">
        <v>0</v>
      </c>
      <c r="DQ83" t="n">
        <v>0</v>
      </c>
      <c r="DR83" t="n">
        <v>0</v>
      </c>
      <c r="DS83" t="n">
        <v>0</v>
      </c>
      <c r="DT83" t="n">
        <v>0</v>
      </c>
      <c r="DU83" t="n">
        <v>0</v>
      </c>
      <c r="DV83" t="inlineStr">
        <is>
          <t>(CONTRACTS OF 42,000 GALLONS)</t>
        </is>
      </c>
    </row>
    <row r="84">
      <c r="A84" t="inlineStr">
        <is>
          <t>NAT GAS ICE LD1 - ICE FUTURES ENERGY DIV</t>
        </is>
      </c>
      <c r="B84" t="n">
        <v>230110</v>
      </c>
      <c r="C84" s="1" t="n">
        <v>44936</v>
      </c>
      <c r="D84" t="inlineStr">
        <is>
          <t>023391</t>
        </is>
      </c>
      <c r="E84" t="inlineStr">
        <is>
          <t>IFED</t>
        </is>
      </c>
      <c r="F84" t="inlineStr">
        <is>
          <t>01</t>
        </is>
      </c>
      <c r="G84" t="inlineStr">
        <is>
          <t xml:space="preserve">023 </t>
        </is>
      </c>
      <c r="H84" t="n">
        <v>6097734</v>
      </c>
      <c r="I84" s="17" t="n">
        <v>363203</v>
      </c>
      <c r="J84" s="17" t="n">
        <v>498339</v>
      </c>
      <c r="K84" t="n">
        <v>866163</v>
      </c>
      <c r="L84" t="n">
        <v>4821221</v>
      </c>
      <c r="M84" t="n">
        <v>4708027</v>
      </c>
      <c r="N84" t="n">
        <v>6050587</v>
      </c>
      <c r="O84" t="n">
        <v>6072529</v>
      </c>
      <c r="P84" t="n">
        <v>47147</v>
      </c>
      <c r="Q84" t="n">
        <v>25205</v>
      </c>
      <c r="R84" t="n">
        <v>6097734</v>
      </c>
      <c r="S84" t="n">
        <v>363203</v>
      </c>
      <c r="T84" t="n">
        <v>498339</v>
      </c>
      <c r="U84" t="n">
        <v>866163</v>
      </c>
      <c r="V84" t="n">
        <v>4821221</v>
      </c>
      <c r="W84" t="n">
        <v>4708027</v>
      </c>
      <c r="X84" t="n">
        <v>6050587</v>
      </c>
      <c r="Y84" t="n">
        <v>6072529</v>
      </c>
      <c r="Z84" t="n">
        <v>47147</v>
      </c>
      <c r="AA84" t="n">
        <v>25205</v>
      </c>
      <c r="AB84" t="n">
        <v>0</v>
      </c>
      <c r="AC84" t="n">
        <v>0</v>
      </c>
      <c r="AD84" t="n">
        <v>0</v>
      </c>
      <c r="AE84" t="n">
        <v>0</v>
      </c>
      <c r="AF84" t="n">
        <v>0</v>
      </c>
      <c r="AG84" t="n">
        <v>0</v>
      </c>
      <c r="AH84" t="n">
        <v>0</v>
      </c>
      <c r="AI84" t="n">
        <v>0</v>
      </c>
      <c r="AJ84" t="n">
        <v>0</v>
      </c>
      <c r="AK84" t="n">
        <v>0</v>
      </c>
      <c r="AL84" t="n">
        <v>86128</v>
      </c>
      <c r="AM84" t="n">
        <v>-11434</v>
      </c>
      <c r="AN84" t="n">
        <v>98229</v>
      </c>
      <c r="AO84" t="n">
        <v>-38364</v>
      </c>
      <c r="AP84" t="n">
        <v>121395</v>
      </c>
      <c r="AQ84" t="n">
        <v>12159</v>
      </c>
      <c r="AR84" t="n">
        <v>71597</v>
      </c>
      <c r="AS84" t="n">
        <v>72024</v>
      </c>
      <c r="AT84" t="n">
        <v>14531</v>
      </c>
      <c r="AU84" t="n">
        <v>14104</v>
      </c>
      <c r="AV84" t="n">
        <v>100</v>
      </c>
      <c r="AW84" t="n">
        <v>6</v>
      </c>
      <c r="AX84" t="n">
        <v>8.199999999999999</v>
      </c>
      <c r="AY84" t="n">
        <v>14.2</v>
      </c>
      <c r="AZ84" t="n">
        <v>79.09999999999999</v>
      </c>
      <c r="BA84" t="n">
        <v>77.2</v>
      </c>
      <c r="BB84" t="n">
        <v>99.2</v>
      </c>
      <c r="BC84" t="n">
        <v>99.59999999999999</v>
      </c>
      <c r="BD84" t="n">
        <v>0.8</v>
      </c>
      <c r="BE84" t="n">
        <v>0.4</v>
      </c>
      <c r="BF84" t="n">
        <v>100</v>
      </c>
      <c r="BG84" t="n">
        <v>6</v>
      </c>
      <c r="BH84" t="n">
        <v>8.199999999999999</v>
      </c>
      <c r="BI84" t="n">
        <v>14.2</v>
      </c>
      <c r="BJ84" t="n">
        <v>79.09999999999999</v>
      </c>
      <c r="BK84" t="n">
        <v>77.2</v>
      </c>
      <c r="BL84" t="n">
        <v>99.2</v>
      </c>
      <c r="BM84" t="n">
        <v>99.59999999999999</v>
      </c>
      <c r="BN84" t="n">
        <v>0.8</v>
      </c>
      <c r="BO84" t="n">
        <v>0.4</v>
      </c>
      <c r="BP84" t="n">
        <v>0</v>
      </c>
      <c r="BQ84" t="n">
        <v>0</v>
      </c>
      <c r="BR84" t="n">
        <v>0</v>
      </c>
      <c r="BS84" t="n">
        <v>0</v>
      </c>
      <c r="BT84" t="n">
        <v>0</v>
      </c>
      <c r="BU84" t="n">
        <v>0</v>
      </c>
      <c r="BV84" t="n">
        <v>0</v>
      </c>
      <c r="BW84" t="n">
        <v>0</v>
      </c>
      <c r="BX84" t="n">
        <v>0</v>
      </c>
      <c r="BY84" t="n">
        <v>0</v>
      </c>
      <c r="BZ84" t="n">
        <v>245</v>
      </c>
      <c r="CA84" t="n">
        <v>29</v>
      </c>
      <c r="CB84" t="n">
        <v>37</v>
      </c>
      <c r="CC84" t="n">
        <v>51</v>
      </c>
      <c r="CD84" t="n">
        <v>163</v>
      </c>
      <c r="CE84" t="n">
        <v>130</v>
      </c>
      <c r="CF84" t="n">
        <v>224</v>
      </c>
      <c r="CG84" t="n">
        <v>187</v>
      </c>
      <c r="CH84" t="n">
        <v>245</v>
      </c>
      <c r="CI84" t="n">
        <v>29</v>
      </c>
      <c r="CJ84" t="n">
        <v>37</v>
      </c>
      <c r="CK84" t="n">
        <v>51</v>
      </c>
      <c r="CL84" t="n">
        <v>163</v>
      </c>
      <c r="CM84" t="n">
        <v>130</v>
      </c>
      <c r="CN84" t="n">
        <v>224</v>
      </c>
      <c r="CO84" t="n">
        <v>187</v>
      </c>
      <c r="CP84" t="n">
        <v>0</v>
      </c>
      <c r="CQ84" t="n">
        <v>0</v>
      </c>
      <c r="CR84" t="n">
        <v>0</v>
      </c>
      <c r="CS84" t="n">
        <v>0</v>
      </c>
      <c r="CT84" t="n">
        <v>0</v>
      </c>
      <c r="CU84" t="n">
        <v>0</v>
      </c>
      <c r="CV84" t="n">
        <v>0</v>
      </c>
      <c r="CW84" t="n">
        <v>0</v>
      </c>
      <c r="CX84" t="n">
        <v>27</v>
      </c>
      <c r="CY84" t="n">
        <v>37</v>
      </c>
      <c r="CZ84" t="n">
        <v>39</v>
      </c>
      <c r="DA84" t="n">
        <v>57.3</v>
      </c>
      <c r="DB84" t="n">
        <v>24.6</v>
      </c>
      <c r="DC84" t="n">
        <v>36.9</v>
      </c>
      <c r="DD84" t="n">
        <v>34.9</v>
      </c>
      <c r="DE84" t="n">
        <v>51.9</v>
      </c>
      <c r="DF84" t="n">
        <v>27</v>
      </c>
      <c r="DG84" t="n">
        <v>37</v>
      </c>
      <c r="DH84" t="n">
        <v>39</v>
      </c>
      <c r="DI84" t="n">
        <v>57.3</v>
      </c>
      <c r="DJ84" t="n">
        <v>24.6</v>
      </c>
      <c r="DK84" t="n">
        <v>36.9</v>
      </c>
      <c r="DL84" t="n">
        <v>34.9</v>
      </c>
      <c r="DM84" t="n">
        <v>51.9</v>
      </c>
      <c r="DN84" t="n">
        <v>0</v>
      </c>
      <c r="DO84" t="n">
        <v>0</v>
      </c>
      <c r="DP84" t="n">
        <v>0</v>
      </c>
      <c r="DQ84" t="n">
        <v>0</v>
      </c>
      <c r="DR84" t="n">
        <v>0</v>
      </c>
      <c r="DS84" t="n">
        <v>0</v>
      </c>
      <c r="DT84" t="n">
        <v>0</v>
      </c>
      <c r="DU84" t="n">
        <v>0</v>
      </c>
      <c r="DV84" t="inlineStr">
        <is>
          <t>2500 MMBtus</t>
        </is>
      </c>
    </row>
    <row r="85">
      <c r="A85" t="inlineStr">
        <is>
          <t>NAT GAS ICE LD1 - ICE FUTURES ENERGY DIV</t>
        </is>
      </c>
      <c r="B85" t="n">
        <v>230103</v>
      </c>
      <c r="C85" s="1" t="n">
        <v>44929</v>
      </c>
      <c r="D85" t="inlineStr">
        <is>
          <t>023391</t>
        </is>
      </c>
      <c r="E85" t="inlineStr">
        <is>
          <t>IFED</t>
        </is>
      </c>
      <c r="F85" t="inlineStr">
        <is>
          <t>01</t>
        </is>
      </c>
      <c r="G85" t="inlineStr">
        <is>
          <t xml:space="preserve">023 </t>
        </is>
      </c>
      <c r="H85" t="n">
        <v>6011606</v>
      </c>
      <c r="I85" s="17" t="n">
        <v>374637</v>
      </c>
      <c r="J85" s="17" t="n">
        <v>400110</v>
      </c>
      <c r="K85" t="n">
        <v>904527</v>
      </c>
      <c r="L85" t="n">
        <v>4699826</v>
      </c>
      <c r="M85" t="n">
        <v>4695868</v>
      </c>
      <c r="N85" t="n">
        <v>5978990</v>
      </c>
      <c r="O85" t="n">
        <v>6000505</v>
      </c>
      <c r="P85" t="n">
        <v>32616</v>
      </c>
      <c r="Q85" t="n">
        <v>11101</v>
      </c>
      <c r="R85" t="n">
        <v>6011606</v>
      </c>
      <c r="S85" t="n">
        <v>374637</v>
      </c>
      <c r="T85" t="n">
        <v>400110</v>
      </c>
      <c r="U85" t="n">
        <v>904527</v>
      </c>
      <c r="V85" t="n">
        <v>4699826</v>
      </c>
      <c r="W85" t="n">
        <v>4695868</v>
      </c>
      <c r="X85" t="n">
        <v>5978990</v>
      </c>
      <c r="Y85" t="n">
        <v>6000505</v>
      </c>
      <c r="Z85" t="n">
        <v>32616</v>
      </c>
      <c r="AA85" t="n">
        <v>11101</v>
      </c>
      <c r="AB85" t="n">
        <v>0</v>
      </c>
      <c r="AC85" t="n">
        <v>0</v>
      </c>
      <c r="AD85" t="n">
        <v>0</v>
      </c>
      <c r="AE85" t="n">
        <v>0</v>
      </c>
      <c r="AF85" t="n">
        <v>0</v>
      </c>
      <c r="AG85" t="n">
        <v>0</v>
      </c>
      <c r="AH85" t="n">
        <v>0</v>
      </c>
      <c r="AI85" t="n">
        <v>0</v>
      </c>
      <c r="AJ85" t="n">
        <v>0</v>
      </c>
      <c r="AK85" t="n">
        <v>0</v>
      </c>
      <c r="AL85" t="n">
        <v>-251732</v>
      </c>
      <c r="AM85" t="n">
        <v>-50022</v>
      </c>
      <c r="AN85" t="n">
        <v>14133</v>
      </c>
      <c r="AO85" t="n">
        <v>-33467</v>
      </c>
      <c r="AP85" t="n">
        <v>-165336</v>
      </c>
      <c r="AQ85" t="n">
        <v>-223835</v>
      </c>
      <c r="AR85" t="n">
        <v>-248825</v>
      </c>
      <c r="AS85" t="n">
        <v>-243169</v>
      </c>
      <c r="AT85" t="n">
        <v>-2907</v>
      </c>
      <c r="AU85" t="n">
        <v>-8563</v>
      </c>
      <c r="AV85" t="n">
        <v>100</v>
      </c>
      <c r="AW85" t="n">
        <v>6.2</v>
      </c>
      <c r="AX85" t="n">
        <v>6.7</v>
      </c>
      <c r="AY85" t="n">
        <v>15</v>
      </c>
      <c r="AZ85" t="n">
        <v>78.2</v>
      </c>
      <c r="BA85" t="n">
        <v>78.09999999999999</v>
      </c>
      <c r="BB85" t="n">
        <v>99.5</v>
      </c>
      <c r="BC85" t="n">
        <v>99.8</v>
      </c>
      <c r="BD85" t="n">
        <v>0.5</v>
      </c>
      <c r="BE85" t="n">
        <v>0.2</v>
      </c>
      <c r="BF85" t="n">
        <v>100</v>
      </c>
      <c r="BG85" t="n">
        <v>6.2</v>
      </c>
      <c r="BH85" t="n">
        <v>6.7</v>
      </c>
      <c r="BI85" t="n">
        <v>15</v>
      </c>
      <c r="BJ85" t="n">
        <v>78.2</v>
      </c>
      <c r="BK85" t="n">
        <v>78.09999999999999</v>
      </c>
      <c r="BL85" t="n">
        <v>99.5</v>
      </c>
      <c r="BM85" t="n">
        <v>99.8</v>
      </c>
      <c r="BN85" t="n">
        <v>0.5</v>
      </c>
      <c r="BO85" t="n">
        <v>0.2</v>
      </c>
      <c r="BP85" t="n">
        <v>0</v>
      </c>
      <c r="BQ85" t="n">
        <v>0</v>
      </c>
      <c r="BR85" t="n">
        <v>0</v>
      </c>
      <c r="BS85" t="n">
        <v>0</v>
      </c>
      <c r="BT85" t="n">
        <v>0</v>
      </c>
      <c r="BU85" t="n">
        <v>0</v>
      </c>
      <c r="BV85" t="n">
        <v>0</v>
      </c>
      <c r="BW85" t="n">
        <v>0</v>
      </c>
      <c r="BX85" t="n">
        <v>0</v>
      </c>
      <c r="BY85" t="n">
        <v>0</v>
      </c>
      <c r="BZ85" t="n">
        <v>245</v>
      </c>
      <c r="CA85" t="n">
        <v>28</v>
      </c>
      <c r="CB85" t="n">
        <v>36</v>
      </c>
      <c r="CC85" t="n">
        <v>51</v>
      </c>
      <c r="CD85" t="n">
        <v>163</v>
      </c>
      <c r="CE85" t="n">
        <v>130</v>
      </c>
      <c r="CF85" t="n">
        <v>224</v>
      </c>
      <c r="CG85" t="n">
        <v>187</v>
      </c>
      <c r="CH85" t="n">
        <v>245</v>
      </c>
      <c r="CI85" t="n">
        <v>28</v>
      </c>
      <c r="CJ85" t="n">
        <v>36</v>
      </c>
      <c r="CK85" t="n">
        <v>51</v>
      </c>
      <c r="CL85" t="n">
        <v>163</v>
      </c>
      <c r="CM85" t="n">
        <v>130</v>
      </c>
      <c r="CN85" t="n">
        <v>224</v>
      </c>
      <c r="CO85" t="n">
        <v>187</v>
      </c>
      <c r="CP85" t="n">
        <v>0</v>
      </c>
      <c r="CQ85" t="n">
        <v>0</v>
      </c>
      <c r="CR85" t="n">
        <v>0</v>
      </c>
      <c r="CS85" t="n">
        <v>0</v>
      </c>
      <c r="CT85" t="n">
        <v>0</v>
      </c>
      <c r="CU85" t="n">
        <v>0</v>
      </c>
      <c r="CV85" t="n">
        <v>0</v>
      </c>
      <c r="CW85" t="n">
        <v>0</v>
      </c>
      <c r="CX85" t="n">
        <v>26.8</v>
      </c>
      <c r="CY85" t="n">
        <v>37.4</v>
      </c>
      <c r="CZ85" t="n">
        <v>38.6</v>
      </c>
      <c r="DA85" t="n">
        <v>57.7</v>
      </c>
      <c r="DB85" t="n">
        <v>24.4</v>
      </c>
      <c r="DC85" t="n">
        <v>37.3</v>
      </c>
      <c r="DD85" t="n">
        <v>34.5</v>
      </c>
      <c r="DE85" t="n">
        <v>52.2</v>
      </c>
      <c r="DF85" t="n">
        <v>26.8</v>
      </c>
      <c r="DG85" t="n">
        <v>37.4</v>
      </c>
      <c r="DH85" t="n">
        <v>38.6</v>
      </c>
      <c r="DI85" t="n">
        <v>57.7</v>
      </c>
      <c r="DJ85" t="n">
        <v>24.4</v>
      </c>
      <c r="DK85" t="n">
        <v>37.3</v>
      </c>
      <c r="DL85" t="n">
        <v>34.5</v>
      </c>
      <c r="DM85" t="n">
        <v>52.2</v>
      </c>
      <c r="DN85" t="n">
        <v>0</v>
      </c>
      <c r="DO85" t="n">
        <v>0</v>
      </c>
      <c r="DP85" t="n">
        <v>0</v>
      </c>
      <c r="DQ85" t="n">
        <v>0</v>
      </c>
      <c r="DR85" t="n">
        <v>0</v>
      </c>
      <c r="DS85" t="n">
        <v>0</v>
      </c>
      <c r="DT85" t="n">
        <v>0</v>
      </c>
      <c r="DU85" t="n">
        <v>0</v>
      </c>
      <c r="DV85" t="inlineStr">
        <is>
          <t>2500 MMBtus</t>
        </is>
      </c>
    </row>
    <row r="86">
      <c r="A86" t="inlineStr">
        <is>
          <t>NAT GAS ICE PEN - ICE FUTURES ENERGY DIV</t>
        </is>
      </c>
      <c r="B86" t="n">
        <v>230110</v>
      </c>
      <c r="C86" s="1" t="n">
        <v>44936</v>
      </c>
      <c r="D86" t="inlineStr">
        <is>
          <t>023392</t>
        </is>
      </c>
      <c r="E86" t="inlineStr">
        <is>
          <t>IFED</t>
        </is>
      </c>
      <c r="F86" t="inlineStr">
        <is>
          <t>01</t>
        </is>
      </c>
      <c r="G86" t="inlineStr">
        <is>
          <t xml:space="preserve">023 </t>
        </is>
      </c>
      <c r="H86" t="n">
        <v>500001</v>
      </c>
      <c r="I86" s="17" t="n">
        <v>145267</v>
      </c>
      <c r="J86" s="17" t="n">
        <v>169515</v>
      </c>
      <c r="K86" t="n">
        <v>48032</v>
      </c>
      <c r="L86" t="n">
        <v>305426</v>
      </c>
      <c r="M86" t="n">
        <v>282252</v>
      </c>
      <c r="N86" t="n">
        <v>498725</v>
      </c>
      <c r="O86" t="n">
        <v>499799</v>
      </c>
      <c r="P86" t="n">
        <v>1276</v>
      </c>
      <c r="Q86" t="n">
        <v>202</v>
      </c>
      <c r="R86" t="n">
        <v>500001</v>
      </c>
      <c r="S86" t="n">
        <v>145267</v>
      </c>
      <c r="T86" t="n">
        <v>169515</v>
      </c>
      <c r="U86" t="n">
        <v>48032</v>
      </c>
      <c r="V86" t="n">
        <v>305426</v>
      </c>
      <c r="W86" t="n">
        <v>282252</v>
      </c>
      <c r="X86" t="n">
        <v>498725</v>
      </c>
      <c r="Y86" t="n">
        <v>499799</v>
      </c>
      <c r="Z86" t="n">
        <v>1276</v>
      </c>
      <c r="AA86" t="n">
        <v>202</v>
      </c>
      <c r="AB86" t="n">
        <v>0</v>
      </c>
      <c r="AC86" t="n">
        <v>0</v>
      </c>
      <c r="AD86" t="n">
        <v>0</v>
      </c>
      <c r="AE86" t="n">
        <v>0</v>
      </c>
      <c r="AF86" t="n">
        <v>0</v>
      </c>
      <c r="AG86" t="n">
        <v>0</v>
      </c>
      <c r="AH86" t="n">
        <v>0</v>
      </c>
      <c r="AI86" t="n">
        <v>0</v>
      </c>
      <c r="AJ86" t="n">
        <v>0</v>
      </c>
      <c r="AK86" t="n">
        <v>0</v>
      </c>
      <c r="AL86" t="n">
        <v>20231</v>
      </c>
      <c r="AM86" t="n">
        <v>3275</v>
      </c>
      <c r="AN86" t="n">
        <v>1338</v>
      </c>
      <c r="AO86" t="n">
        <v>9559</v>
      </c>
      <c r="AP86" t="n">
        <v>6663</v>
      </c>
      <c r="AQ86" t="n">
        <v>9204</v>
      </c>
      <c r="AR86" t="n">
        <v>19497</v>
      </c>
      <c r="AS86" t="n">
        <v>20101</v>
      </c>
      <c r="AT86" t="n">
        <v>734</v>
      </c>
      <c r="AU86" t="n">
        <v>130</v>
      </c>
      <c r="AV86" t="n">
        <v>100</v>
      </c>
      <c r="AW86" t="n">
        <v>29.1</v>
      </c>
      <c r="AX86" t="n">
        <v>33.9</v>
      </c>
      <c r="AY86" t="n">
        <v>9.6</v>
      </c>
      <c r="AZ86" t="n">
        <v>61.1</v>
      </c>
      <c r="BA86" t="n">
        <v>56.5</v>
      </c>
      <c r="BB86" t="n">
        <v>99.7</v>
      </c>
      <c r="BC86" t="n">
        <v>100</v>
      </c>
      <c r="BD86" t="n">
        <v>0.3</v>
      </c>
      <c r="BE86" t="n">
        <v>0</v>
      </c>
      <c r="BF86" t="n">
        <v>100</v>
      </c>
      <c r="BG86" t="n">
        <v>29.1</v>
      </c>
      <c r="BH86" t="n">
        <v>33.9</v>
      </c>
      <c r="BI86" t="n">
        <v>9.6</v>
      </c>
      <c r="BJ86" t="n">
        <v>61.1</v>
      </c>
      <c r="BK86" t="n">
        <v>56.5</v>
      </c>
      <c r="BL86" t="n">
        <v>99.7</v>
      </c>
      <c r="BM86" t="n">
        <v>100</v>
      </c>
      <c r="BN86" t="n">
        <v>0.3</v>
      </c>
      <c r="BO86" t="n">
        <v>0</v>
      </c>
      <c r="BP86" t="n">
        <v>0</v>
      </c>
      <c r="BQ86" t="n">
        <v>0</v>
      </c>
      <c r="BR86" t="n">
        <v>0</v>
      </c>
      <c r="BS86" t="n">
        <v>0</v>
      </c>
      <c r="BT86" t="n">
        <v>0</v>
      </c>
      <c r="BU86" t="n">
        <v>0</v>
      </c>
      <c r="BV86" t="n">
        <v>0</v>
      </c>
      <c r="BW86" t="n">
        <v>0</v>
      </c>
      <c r="BX86" t="n">
        <v>0</v>
      </c>
      <c r="BY86" t="n">
        <v>0</v>
      </c>
      <c r="BZ86" t="n">
        <v>68</v>
      </c>
      <c r="CA86" t="n">
        <v>17</v>
      </c>
      <c r="CB86" t="n">
        <v>14</v>
      </c>
      <c r="CC86" t="n">
        <v>22</v>
      </c>
      <c r="CD86" t="n">
        <v>29</v>
      </c>
      <c r="CE86" t="n">
        <v>33</v>
      </c>
      <c r="CF86" t="n">
        <v>54</v>
      </c>
      <c r="CG86" t="n">
        <v>61</v>
      </c>
      <c r="CH86" t="n">
        <v>68</v>
      </c>
      <c r="CI86" t="n">
        <v>17</v>
      </c>
      <c r="CJ86" t="n">
        <v>14</v>
      </c>
      <c r="CK86" t="n">
        <v>22</v>
      </c>
      <c r="CL86" t="n">
        <v>29</v>
      </c>
      <c r="CM86" t="n">
        <v>33</v>
      </c>
      <c r="CN86" t="n">
        <v>54</v>
      </c>
      <c r="CO86" t="n">
        <v>61</v>
      </c>
      <c r="CP86" t="n">
        <v>0</v>
      </c>
      <c r="CQ86" t="n">
        <v>0</v>
      </c>
      <c r="CR86" t="n">
        <v>0</v>
      </c>
      <c r="CS86" t="n">
        <v>0</v>
      </c>
      <c r="CT86" t="n">
        <v>0</v>
      </c>
      <c r="CU86" t="n">
        <v>0</v>
      </c>
      <c r="CV86" t="n">
        <v>0</v>
      </c>
      <c r="CW86" t="n">
        <v>0</v>
      </c>
      <c r="CX86" t="n">
        <v>40.8</v>
      </c>
      <c r="CY86" t="n">
        <v>58.6</v>
      </c>
      <c r="CZ86" t="n">
        <v>61.8</v>
      </c>
      <c r="DA86" t="n">
        <v>71.40000000000001</v>
      </c>
      <c r="DB86" t="n">
        <v>37</v>
      </c>
      <c r="DC86" t="n">
        <v>47.6</v>
      </c>
      <c r="DD86" t="n">
        <v>52.1</v>
      </c>
      <c r="DE86" t="n">
        <v>59.3</v>
      </c>
      <c r="DF86" t="n">
        <v>40.8</v>
      </c>
      <c r="DG86" t="n">
        <v>58.6</v>
      </c>
      <c r="DH86" t="n">
        <v>61.8</v>
      </c>
      <c r="DI86" t="n">
        <v>71.40000000000001</v>
      </c>
      <c r="DJ86" t="n">
        <v>37</v>
      </c>
      <c r="DK86" t="n">
        <v>47.6</v>
      </c>
      <c r="DL86" t="n">
        <v>52.1</v>
      </c>
      <c r="DM86" t="n">
        <v>59.3</v>
      </c>
      <c r="DN86" t="n">
        <v>0</v>
      </c>
      <c r="DO86" t="n">
        <v>0</v>
      </c>
      <c r="DP86" t="n">
        <v>0</v>
      </c>
      <c r="DQ86" t="n">
        <v>0</v>
      </c>
      <c r="DR86" t="n">
        <v>0</v>
      </c>
      <c r="DS86" t="n">
        <v>0</v>
      </c>
      <c r="DT86" t="n">
        <v>0</v>
      </c>
      <c r="DU86" t="n">
        <v>0</v>
      </c>
      <c r="DV86" t="inlineStr">
        <is>
          <t>2500 mmbtu</t>
        </is>
      </c>
    </row>
    <row r="87">
      <c r="A87" t="inlineStr">
        <is>
          <t>NAT GAS ICE PEN - ICE FUTURES ENERGY DIV</t>
        </is>
      </c>
      <c r="B87" t="n">
        <v>230103</v>
      </c>
      <c r="C87" s="1" t="n">
        <v>44929</v>
      </c>
      <c r="D87" t="inlineStr">
        <is>
          <t>023392</t>
        </is>
      </c>
      <c r="E87" t="inlineStr">
        <is>
          <t>IFED</t>
        </is>
      </c>
      <c r="F87" t="inlineStr">
        <is>
          <t>01</t>
        </is>
      </c>
      <c r="G87" t="inlineStr">
        <is>
          <t xml:space="preserve">023 </t>
        </is>
      </c>
      <c r="H87" t="n">
        <v>479770</v>
      </c>
      <c r="I87" s="17" t="n">
        <v>141992</v>
      </c>
      <c r="J87" s="17" t="n">
        <v>168177</v>
      </c>
      <c r="K87" t="n">
        <v>38473</v>
      </c>
      <c r="L87" t="n">
        <v>298763</v>
      </c>
      <c r="M87" t="n">
        <v>273048</v>
      </c>
      <c r="N87" t="n">
        <v>479228</v>
      </c>
      <c r="O87" t="n">
        <v>479698</v>
      </c>
      <c r="P87" t="n">
        <v>542</v>
      </c>
      <c r="Q87" t="n">
        <v>72</v>
      </c>
      <c r="R87" t="n">
        <v>479770</v>
      </c>
      <c r="S87" t="n">
        <v>141992</v>
      </c>
      <c r="T87" t="n">
        <v>168177</v>
      </c>
      <c r="U87" t="n">
        <v>38473</v>
      </c>
      <c r="V87" t="n">
        <v>298763</v>
      </c>
      <c r="W87" t="n">
        <v>273048</v>
      </c>
      <c r="X87" t="n">
        <v>479228</v>
      </c>
      <c r="Y87" t="n">
        <v>479698</v>
      </c>
      <c r="Z87" t="n">
        <v>542</v>
      </c>
      <c r="AA87" t="n">
        <v>72</v>
      </c>
      <c r="AB87" t="n">
        <v>0</v>
      </c>
      <c r="AC87" t="n">
        <v>0</v>
      </c>
      <c r="AD87" t="n">
        <v>0</v>
      </c>
      <c r="AE87" t="n">
        <v>0</v>
      </c>
      <c r="AF87" t="n">
        <v>0</v>
      </c>
      <c r="AG87" t="n">
        <v>0</v>
      </c>
      <c r="AH87" t="n">
        <v>0</v>
      </c>
      <c r="AI87" t="n">
        <v>0</v>
      </c>
      <c r="AJ87" t="n">
        <v>0</v>
      </c>
      <c r="AK87" t="n">
        <v>0</v>
      </c>
      <c r="AL87" t="n">
        <v>-41889</v>
      </c>
      <c r="AM87" t="n">
        <v>-12338</v>
      </c>
      <c r="AN87" t="n">
        <v>-31042</v>
      </c>
      <c r="AO87" t="n">
        <v>-6511</v>
      </c>
      <c r="AP87" t="n">
        <v>-22039</v>
      </c>
      <c r="AQ87" t="n">
        <v>-2404</v>
      </c>
      <c r="AR87" t="n">
        <v>-40888</v>
      </c>
      <c r="AS87" t="n">
        <v>-39957</v>
      </c>
      <c r="AT87" t="n">
        <v>-1001</v>
      </c>
      <c r="AU87" t="n">
        <v>-1932</v>
      </c>
      <c r="AV87" t="n">
        <v>100</v>
      </c>
      <c r="AW87" t="n">
        <v>29.6</v>
      </c>
      <c r="AX87" t="n">
        <v>35.1</v>
      </c>
      <c r="AY87" t="n">
        <v>8</v>
      </c>
      <c r="AZ87" t="n">
        <v>62.3</v>
      </c>
      <c r="BA87" t="n">
        <v>56.9</v>
      </c>
      <c r="BB87" t="n">
        <v>99.90000000000001</v>
      </c>
      <c r="BC87" t="n">
        <v>100</v>
      </c>
      <c r="BD87" t="n">
        <v>0.1</v>
      </c>
      <c r="BE87" t="n">
        <v>0</v>
      </c>
      <c r="BF87" t="n">
        <v>100</v>
      </c>
      <c r="BG87" t="n">
        <v>29.6</v>
      </c>
      <c r="BH87" t="n">
        <v>35.1</v>
      </c>
      <c r="BI87" t="n">
        <v>8</v>
      </c>
      <c r="BJ87" t="n">
        <v>62.3</v>
      </c>
      <c r="BK87" t="n">
        <v>56.9</v>
      </c>
      <c r="BL87" t="n">
        <v>99.90000000000001</v>
      </c>
      <c r="BM87" t="n">
        <v>100</v>
      </c>
      <c r="BN87" t="n">
        <v>0.1</v>
      </c>
      <c r="BO87" t="n">
        <v>0</v>
      </c>
      <c r="BP87" t="n">
        <v>0</v>
      </c>
      <c r="BQ87" t="n">
        <v>0</v>
      </c>
      <c r="BR87" t="n">
        <v>0</v>
      </c>
      <c r="BS87" t="n">
        <v>0</v>
      </c>
      <c r="BT87" t="n">
        <v>0</v>
      </c>
      <c r="BU87" t="n">
        <v>0</v>
      </c>
      <c r="BV87" t="n">
        <v>0</v>
      </c>
      <c r="BW87" t="n">
        <v>0</v>
      </c>
      <c r="BX87" t="n">
        <v>0</v>
      </c>
      <c r="BY87" t="n">
        <v>0</v>
      </c>
      <c r="BZ87" t="n">
        <v>67</v>
      </c>
      <c r="CA87" t="n">
        <v>16</v>
      </c>
      <c r="CB87" t="n">
        <v>14</v>
      </c>
      <c r="CC87" t="n">
        <v>21</v>
      </c>
      <c r="CD87" t="n">
        <v>29</v>
      </c>
      <c r="CE87" t="n">
        <v>33</v>
      </c>
      <c r="CF87" t="n">
        <v>53</v>
      </c>
      <c r="CG87" t="n">
        <v>60</v>
      </c>
      <c r="CH87" t="n">
        <v>67</v>
      </c>
      <c r="CI87" t="n">
        <v>16</v>
      </c>
      <c r="CJ87" t="n">
        <v>14</v>
      </c>
      <c r="CK87" t="n">
        <v>21</v>
      </c>
      <c r="CL87" t="n">
        <v>29</v>
      </c>
      <c r="CM87" t="n">
        <v>33</v>
      </c>
      <c r="CN87" t="n">
        <v>53</v>
      </c>
      <c r="CO87" t="n">
        <v>60</v>
      </c>
      <c r="CP87" t="n">
        <v>0</v>
      </c>
      <c r="CQ87" t="n">
        <v>0</v>
      </c>
      <c r="CR87" t="n">
        <v>0</v>
      </c>
      <c r="CS87" t="n">
        <v>0</v>
      </c>
      <c r="CT87" t="n">
        <v>0</v>
      </c>
      <c r="CU87" t="n">
        <v>0</v>
      </c>
      <c r="CV87" t="n">
        <v>0</v>
      </c>
      <c r="CW87" t="n">
        <v>0</v>
      </c>
      <c r="CX87" t="n">
        <v>40.4</v>
      </c>
      <c r="CY87" t="n">
        <v>60.6</v>
      </c>
      <c r="CZ87" t="n">
        <v>61.5</v>
      </c>
      <c r="DA87" t="n">
        <v>73.40000000000001</v>
      </c>
      <c r="DB87" t="n">
        <v>37.9</v>
      </c>
      <c r="DC87" t="n">
        <v>50.6</v>
      </c>
      <c r="DD87" t="n">
        <v>52</v>
      </c>
      <c r="DE87" t="n">
        <v>62.2</v>
      </c>
      <c r="DF87" t="n">
        <v>40.4</v>
      </c>
      <c r="DG87" t="n">
        <v>60.6</v>
      </c>
      <c r="DH87" t="n">
        <v>61.5</v>
      </c>
      <c r="DI87" t="n">
        <v>73.40000000000001</v>
      </c>
      <c r="DJ87" t="n">
        <v>37.9</v>
      </c>
      <c r="DK87" t="n">
        <v>50.6</v>
      </c>
      <c r="DL87" t="n">
        <v>52</v>
      </c>
      <c r="DM87" t="n">
        <v>62.2</v>
      </c>
      <c r="DN87" t="n">
        <v>0</v>
      </c>
      <c r="DO87" t="n">
        <v>0</v>
      </c>
      <c r="DP87" t="n">
        <v>0</v>
      </c>
      <c r="DQ87" t="n">
        <v>0</v>
      </c>
      <c r="DR87" t="n">
        <v>0</v>
      </c>
      <c r="DS87" t="n">
        <v>0</v>
      </c>
      <c r="DT87" t="n">
        <v>0</v>
      </c>
      <c r="DU87" t="n">
        <v>0</v>
      </c>
      <c r="DV87" t="inlineStr">
        <is>
          <t>2500 mmbtu</t>
        </is>
      </c>
    </row>
    <row r="88">
      <c r="A88" t="inlineStr">
        <is>
          <t>SOCAL BORDER FIN BASIS - ICE FUTURES ENERGY DIV</t>
        </is>
      </c>
      <c r="B88" t="n">
        <v>230110</v>
      </c>
      <c r="C88" s="1" t="n">
        <v>44936</v>
      </c>
      <c r="D88" t="inlineStr">
        <is>
          <t>023393</t>
        </is>
      </c>
      <c r="E88" t="inlineStr">
        <is>
          <t>IFED</t>
        </is>
      </c>
      <c r="F88" t="inlineStr">
        <is>
          <t>01</t>
        </is>
      </c>
      <c r="G88" t="inlineStr">
        <is>
          <t xml:space="preserve">023 </t>
        </is>
      </c>
      <c r="H88" t="n">
        <v>168670</v>
      </c>
      <c r="I88" s="17" t="n">
        <v>1550</v>
      </c>
      <c r="J88" s="17" t="n">
        <v>0</v>
      </c>
      <c r="K88" t="n">
        <v>725</v>
      </c>
      <c r="L88" t="n">
        <v>148716</v>
      </c>
      <c r="M88" t="n">
        <v>161030</v>
      </c>
      <c r="N88" t="n">
        <v>150991</v>
      </c>
      <c r="O88" t="n">
        <v>161755</v>
      </c>
      <c r="P88" t="n">
        <v>17679</v>
      </c>
      <c r="Q88" t="n">
        <v>6915</v>
      </c>
      <c r="R88" t="n">
        <v>168670</v>
      </c>
      <c r="S88" t="n">
        <v>1550</v>
      </c>
      <c r="T88" t="n">
        <v>0</v>
      </c>
      <c r="U88" t="n">
        <v>725</v>
      </c>
      <c r="V88" t="n">
        <v>148716</v>
      </c>
      <c r="W88" t="n">
        <v>161030</v>
      </c>
      <c r="X88" t="n">
        <v>150991</v>
      </c>
      <c r="Y88" t="n">
        <v>161755</v>
      </c>
      <c r="Z88" t="n">
        <v>17679</v>
      </c>
      <c r="AA88" t="n">
        <v>6915</v>
      </c>
      <c r="AB88" t="n">
        <v>0</v>
      </c>
      <c r="AC88" t="n">
        <v>0</v>
      </c>
      <c r="AD88" t="n">
        <v>0</v>
      </c>
      <c r="AE88" t="n">
        <v>0</v>
      </c>
      <c r="AF88" t="n">
        <v>0</v>
      </c>
      <c r="AG88" t="n">
        <v>0</v>
      </c>
      <c r="AH88" t="n">
        <v>0</v>
      </c>
      <c r="AI88" t="n">
        <v>0</v>
      </c>
      <c r="AJ88" t="n">
        <v>0</v>
      </c>
      <c r="AK88" t="n">
        <v>0</v>
      </c>
      <c r="AL88" t="n">
        <v>-6422</v>
      </c>
      <c r="AM88" t="n">
        <v>336</v>
      </c>
      <c r="AN88" t="n">
        <v>-281</v>
      </c>
      <c r="AO88" t="n">
        <v>573</v>
      </c>
      <c r="AP88" t="n">
        <v>-11950</v>
      </c>
      <c r="AQ88" t="n">
        <v>-7551</v>
      </c>
      <c r="AR88" t="n">
        <v>-11041</v>
      </c>
      <c r="AS88" t="n">
        <v>-7259</v>
      </c>
      <c r="AT88" t="n">
        <v>4619</v>
      </c>
      <c r="AU88" t="n">
        <v>837</v>
      </c>
      <c r="AV88" t="n">
        <v>100</v>
      </c>
      <c r="AW88" t="n">
        <v>0.9</v>
      </c>
      <c r="AX88" t="n">
        <v>0</v>
      </c>
      <c r="AY88" t="n">
        <v>0.4</v>
      </c>
      <c r="AZ88" t="n">
        <v>88.2</v>
      </c>
      <c r="BA88" t="n">
        <v>95.5</v>
      </c>
      <c r="BB88" t="n">
        <v>89.5</v>
      </c>
      <c r="BC88" t="n">
        <v>95.90000000000001</v>
      </c>
      <c r="BD88" t="n">
        <v>10.5</v>
      </c>
      <c r="BE88" t="n">
        <v>4.1</v>
      </c>
      <c r="BF88" t="n">
        <v>100</v>
      </c>
      <c r="BG88" t="n">
        <v>0.9</v>
      </c>
      <c r="BH88" t="n">
        <v>0</v>
      </c>
      <c r="BI88" t="n">
        <v>0.4</v>
      </c>
      <c r="BJ88" t="n">
        <v>88.2</v>
      </c>
      <c r="BK88" t="n">
        <v>95.5</v>
      </c>
      <c r="BL88" t="n">
        <v>89.5</v>
      </c>
      <c r="BM88" t="n">
        <v>95.90000000000001</v>
      </c>
      <c r="BN88" t="n">
        <v>10.5</v>
      </c>
      <c r="BO88" t="n">
        <v>4.1</v>
      </c>
      <c r="BP88" t="n">
        <v>0</v>
      </c>
      <c r="BQ88" t="n">
        <v>0</v>
      </c>
      <c r="BR88" t="n">
        <v>0</v>
      </c>
      <c r="BS88" t="n">
        <v>0</v>
      </c>
      <c r="BT88" t="n">
        <v>0</v>
      </c>
      <c r="BU88" t="n">
        <v>0</v>
      </c>
      <c r="BV88" t="n">
        <v>0</v>
      </c>
      <c r="BW88" t="n">
        <v>0</v>
      </c>
      <c r="BX88" t="n">
        <v>0</v>
      </c>
      <c r="BY88" t="n">
        <v>0</v>
      </c>
      <c r="BZ88" t="n">
        <v>28</v>
      </c>
      <c r="CA88" t="n">
        <v>2</v>
      </c>
      <c r="CB88" t="n">
        <v>0</v>
      </c>
      <c r="CC88" t="n">
        <v>1</v>
      </c>
      <c r="CD88" t="n">
        <v>22</v>
      </c>
      <c r="CE88" t="n">
        <v>17</v>
      </c>
      <c r="CF88" t="n">
        <v>24</v>
      </c>
      <c r="CG88" t="n">
        <v>18</v>
      </c>
      <c r="CH88" t="n">
        <v>28</v>
      </c>
      <c r="CI88" t="n">
        <v>2</v>
      </c>
      <c r="CJ88" t="n">
        <v>0</v>
      </c>
      <c r="CK88" t="n">
        <v>1</v>
      </c>
      <c r="CL88" t="n">
        <v>22</v>
      </c>
      <c r="CM88" t="n">
        <v>17</v>
      </c>
      <c r="CN88" t="n">
        <v>24</v>
      </c>
      <c r="CO88" t="n">
        <v>18</v>
      </c>
      <c r="CP88" t="n">
        <v>0</v>
      </c>
      <c r="CQ88" t="n">
        <v>0</v>
      </c>
      <c r="CR88" t="n">
        <v>0</v>
      </c>
      <c r="CS88" t="n">
        <v>0</v>
      </c>
      <c r="CT88" t="n">
        <v>0</v>
      </c>
      <c r="CU88" t="n">
        <v>0</v>
      </c>
      <c r="CV88" t="n">
        <v>0</v>
      </c>
      <c r="CW88" t="n">
        <v>0</v>
      </c>
      <c r="CX88" t="n">
        <v>56.6</v>
      </c>
      <c r="CY88" t="n">
        <v>69.5</v>
      </c>
      <c r="CZ88" t="n">
        <v>71.2</v>
      </c>
      <c r="DA88" t="n">
        <v>83</v>
      </c>
      <c r="DB88" t="n">
        <v>40.5</v>
      </c>
      <c r="DC88" t="n">
        <v>50.8</v>
      </c>
      <c r="DD88" t="n">
        <v>47</v>
      </c>
      <c r="DE88" t="n">
        <v>58.8</v>
      </c>
      <c r="DF88" t="n">
        <v>56.6</v>
      </c>
      <c r="DG88" t="n">
        <v>69.5</v>
      </c>
      <c r="DH88" t="n">
        <v>71.2</v>
      </c>
      <c r="DI88" t="n">
        <v>83</v>
      </c>
      <c r="DJ88" t="n">
        <v>40.5</v>
      </c>
      <c r="DK88" t="n">
        <v>50.8</v>
      </c>
      <c r="DL88" t="n">
        <v>47</v>
      </c>
      <c r="DM88" t="n">
        <v>58.8</v>
      </c>
      <c r="DN88" t="n">
        <v>0</v>
      </c>
      <c r="DO88" t="n">
        <v>0</v>
      </c>
      <c r="DP88" t="n">
        <v>0</v>
      </c>
      <c r="DQ88" t="n">
        <v>0</v>
      </c>
      <c r="DR88" t="n">
        <v>0</v>
      </c>
      <c r="DS88" t="n">
        <v>0</v>
      </c>
      <c r="DT88" t="n">
        <v>0</v>
      </c>
      <c r="DU88" t="n">
        <v>0</v>
      </c>
      <c r="DV88" t="inlineStr">
        <is>
          <t>(Contracts of 2,500  MMBTU'S)</t>
        </is>
      </c>
    </row>
    <row r="89">
      <c r="A89" t="inlineStr">
        <is>
          <t>SOCAL BORDER FIN BASIS - ICE FUTURES ENERGY DIV</t>
        </is>
      </c>
      <c r="B89" t="n">
        <v>230103</v>
      </c>
      <c r="C89" s="1" t="n">
        <v>44929</v>
      </c>
      <c r="D89" t="inlineStr">
        <is>
          <t>023393</t>
        </is>
      </c>
      <c r="E89" t="inlineStr">
        <is>
          <t>IFED</t>
        </is>
      </c>
      <c r="F89" t="inlineStr">
        <is>
          <t>01</t>
        </is>
      </c>
      <c r="G89" t="inlineStr">
        <is>
          <t xml:space="preserve">023 </t>
        </is>
      </c>
      <c r="H89" t="n">
        <v>175092</v>
      </c>
      <c r="I89" s="17" t="n">
        <v>1214</v>
      </c>
      <c r="J89" s="17" t="n">
        <v>281</v>
      </c>
      <c r="K89" t="n">
        <v>152</v>
      </c>
      <c r="L89" t="n">
        <v>160666</v>
      </c>
      <c r="M89" t="n">
        <v>168581</v>
      </c>
      <c r="N89" t="n">
        <v>162032</v>
      </c>
      <c r="O89" t="n">
        <v>169014</v>
      </c>
      <c r="P89" t="n">
        <v>13060</v>
      </c>
      <c r="Q89" t="n">
        <v>6078</v>
      </c>
      <c r="R89" t="n">
        <v>175092</v>
      </c>
      <c r="S89" t="n">
        <v>1214</v>
      </c>
      <c r="T89" t="n">
        <v>281</v>
      </c>
      <c r="U89" t="n">
        <v>152</v>
      </c>
      <c r="V89" t="n">
        <v>160666</v>
      </c>
      <c r="W89" t="n">
        <v>168581</v>
      </c>
      <c r="X89" t="n">
        <v>162032</v>
      </c>
      <c r="Y89" t="n">
        <v>169014</v>
      </c>
      <c r="Z89" t="n">
        <v>13060</v>
      </c>
      <c r="AA89" t="n">
        <v>6078</v>
      </c>
      <c r="AB89" t="n">
        <v>0</v>
      </c>
      <c r="AC89" t="n">
        <v>0</v>
      </c>
      <c r="AD89" t="n">
        <v>0</v>
      </c>
      <c r="AE89" t="n">
        <v>0</v>
      </c>
      <c r="AF89" t="n">
        <v>0</v>
      </c>
      <c r="AG89" t="n">
        <v>0</v>
      </c>
      <c r="AH89" t="n">
        <v>0</v>
      </c>
      <c r="AI89" t="n">
        <v>0</v>
      </c>
      <c r="AJ89" t="n">
        <v>0</v>
      </c>
      <c r="AK89" t="n">
        <v>0</v>
      </c>
      <c r="AL89" t="n">
        <v>1979</v>
      </c>
      <c r="AM89" t="n">
        <v>1214</v>
      </c>
      <c r="AN89" t="n">
        <v>31</v>
      </c>
      <c r="AO89" t="n">
        <v>0</v>
      </c>
      <c r="AP89" t="n">
        <v>1651</v>
      </c>
      <c r="AQ89" t="n">
        <v>1917</v>
      </c>
      <c r="AR89" t="n">
        <v>2865</v>
      </c>
      <c r="AS89" t="n">
        <v>1948</v>
      </c>
      <c r="AT89" t="n">
        <v>-886</v>
      </c>
      <c r="AU89" t="n">
        <v>31</v>
      </c>
      <c r="AV89" t="n">
        <v>100</v>
      </c>
      <c r="AW89" t="n">
        <v>0.7</v>
      </c>
      <c r="AX89" t="n">
        <v>0.2</v>
      </c>
      <c r="AY89" t="n">
        <v>0.1</v>
      </c>
      <c r="AZ89" t="n">
        <v>91.8</v>
      </c>
      <c r="BA89" t="n">
        <v>96.3</v>
      </c>
      <c r="BB89" t="n">
        <v>92.5</v>
      </c>
      <c r="BC89" t="n">
        <v>96.5</v>
      </c>
      <c r="BD89" t="n">
        <v>7.5</v>
      </c>
      <c r="BE89" t="n">
        <v>3.5</v>
      </c>
      <c r="BF89" t="n">
        <v>100</v>
      </c>
      <c r="BG89" t="n">
        <v>0.7</v>
      </c>
      <c r="BH89" t="n">
        <v>0.2</v>
      </c>
      <c r="BI89" t="n">
        <v>0.1</v>
      </c>
      <c r="BJ89" t="n">
        <v>91.8</v>
      </c>
      <c r="BK89" t="n">
        <v>96.3</v>
      </c>
      <c r="BL89" t="n">
        <v>92.5</v>
      </c>
      <c r="BM89" t="n">
        <v>96.5</v>
      </c>
      <c r="BN89" t="n">
        <v>7.5</v>
      </c>
      <c r="BO89" t="n">
        <v>3.5</v>
      </c>
      <c r="BP89" t="n">
        <v>0</v>
      </c>
      <c r="BQ89" t="n">
        <v>0</v>
      </c>
      <c r="BR89" t="n">
        <v>0</v>
      </c>
      <c r="BS89" t="n">
        <v>0</v>
      </c>
      <c r="BT89" t="n">
        <v>0</v>
      </c>
      <c r="BU89" t="n">
        <v>0</v>
      </c>
      <c r="BV89" t="n">
        <v>0</v>
      </c>
      <c r="BW89" t="n">
        <v>0</v>
      </c>
      <c r="BX89" t="n">
        <v>0</v>
      </c>
      <c r="BY89" t="n">
        <v>0</v>
      </c>
      <c r="BZ89" t="n">
        <v>30</v>
      </c>
      <c r="CA89" t="n">
        <v>1</v>
      </c>
      <c r="CB89" t="n">
        <v>1</v>
      </c>
      <c r="CC89" t="n">
        <v>1</v>
      </c>
      <c r="CD89" t="n">
        <v>23</v>
      </c>
      <c r="CE89" t="n">
        <v>19</v>
      </c>
      <c r="CF89" t="n">
        <v>25</v>
      </c>
      <c r="CG89" t="n">
        <v>20</v>
      </c>
      <c r="CH89" t="n">
        <v>30</v>
      </c>
      <c r="CI89" t="n">
        <v>1</v>
      </c>
      <c r="CJ89" t="n">
        <v>1</v>
      </c>
      <c r="CK89" t="n">
        <v>1</v>
      </c>
      <c r="CL89" t="n">
        <v>23</v>
      </c>
      <c r="CM89" t="n">
        <v>19</v>
      </c>
      <c r="CN89" t="n">
        <v>25</v>
      </c>
      <c r="CO89" t="n">
        <v>20</v>
      </c>
      <c r="CP89" t="n">
        <v>0</v>
      </c>
      <c r="CQ89" t="n">
        <v>0</v>
      </c>
      <c r="CR89" t="n">
        <v>0</v>
      </c>
      <c r="CS89" t="n">
        <v>0</v>
      </c>
      <c r="CT89" t="n">
        <v>0</v>
      </c>
      <c r="CU89" t="n">
        <v>0</v>
      </c>
      <c r="CV89" t="n">
        <v>0</v>
      </c>
      <c r="CW89" t="n">
        <v>0</v>
      </c>
      <c r="CX89" t="n">
        <v>55.4</v>
      </c>
      <c r="CY89" t="n">
        <v>69.8</v>
      </c>
      <c r="CZ89" t="n">
        <v>72.5</v>
      </c>
      <c r="DA89" t="n">
        <v>84</v>
      </c>
      <c r="DB89" t="n">
        <v>41.7</v>
      </c>
      <c r="DC89" t="n">
        <v>51.4</v>
      </c>
      <c r="DD89" t="n">
        <v>50.5</v>
      </c>
      <c r="DE89" t="n">
        <v>59.3</v>
      </c>
      <c r="DF89" t="n">
        <v>55.4</v>
      </c>
      <c r="DG89" t="n">
        <v>69.8</v>
      </c>
      <c r="DH89" t="n">
        <v>72.5</v>
      </c>
      <c r="DI89" t="n">
        <v>84</v>
      </c>
      <c r="DJ89" t="n">
        <v>41.7</v>
      </c>
      <c r="DK89" t="n">
        <v>51.4</v>
      </c>
      <c r="DL89" t="n">
        <v>50.5</v>
      </c>
      <c r="DM89" t="n">
        <v>59.3</v>
      </c>
      <c r="DN89" t="n">
        <v>0</v>
      </c>
      <c r="DO89" t="n">
        <v>0</v>
      </c>
      <c r="DP89" t="n">
        <v>0</v>
      </c>
      <c r="DQ89" t="n">
        <v>0</v>
      </c>
      <c r="DR89" t="n">
        <v>0</v>
      </c>
      <c r="DS89" t="n">
        <v>0</v>
      </c>
      <c r="DT89" t="n">
        <v>0</v>
      </c>
      <c r="DU89" t="n">
        <v>0</v>
      </c>
      <c r="DV89" t="inlineStr">
        <is>
          <t>(Contracts of 2,500  MMBTU'S)</t>
        </is>
      </c>
    </row>
    <row r="90">
      <c r="A90" t="inlineStr">
        <is>
          <t>PG&amp;E CITYGATE FIN BASIS - ICE FUTURES ENERGY DIV</t>
        </is>
      </c>
      <c r="B90" t="n">
        <v>230110</v>
      </c>
      <c r="C90" s="1" t="n">
        <v>44936</v>
      </c>
      <c r="D90" t="inlineStr">
        <is>
          <t>023394</t>
        </is>
      </c>
      <c r="E90" t="inlineStr">
        <is>
          <t>IFED</t>
        </is>
      </c>
      <c r="F90" t="inlineStr">
        <is>
          <t>01</t>
        </is>
      </c>
      <c r="G90" t="inlineStr">
        <is>
          <t xml:space="preserve">023 </t>
        </is>
      </c>
      <c r="H90" t="n">
        <v>149306</v>
      </c>
      <c r="I90" s="17" t="n">
        <v>980</v>
      </c>
      <c r="J90" s="17" t="n">
        <v>17</v>
      </c>
      <c r="K90" t="n">
        <v>1393</v>
      </c>
      <c r="L90" t="n">
        <v>127903</v>
      </c>
      <c r="M90" t="n">
        <v>138724</v>
      </c>
      <c r="N90" t="n">
        <v>130276</v>
      </c>
      <c r="O90" t="n">
        <v>140134</v>
      </c>
      <c r="P90" t="n">
        <v>19030</v>
      </c>
      <c r="Q90" t="n">
        <v>9172</v>
      </c>
      <c r="R90" t="n">
        <v>149306</v>
      </c>
      <c r="S90" t="n">
        <v>980</v>
      </c>
      <c r="T90" t="n">
        <v>17</v>
      </c>
      <c r="U90" t="n">
        <v>1393</v>
      </c>
      <c r="V90" t="n">
        <v>127903</v>
      </c>
      <c r="W90" t="n">
        <v>138724</v>
      </c>
      <c r="X90" t="n">
        <v>130276</v>
      </c>
      <c r="Y90" t="n">
        <v>140134</v>
      </c>
      <c r="Z90" t="n">
        <v>19030</v>
      </c>
      <c r="AA90" t="n">
        <v>9172</v>
      </c>
      <c r="AB90" t="n">
        <v>0</v>
      </c>
      <c r="AC90" t="n">
        <v>0</v>
      </c>
      <c r="AD90" t="n">
        <v>0</v>
      </c>
      <c r="AE90" t="n">
        <v>0</v>
      </c>
      <c r="AF90" t="n">
        <v>0</v>
      </c>
      <c r="AG90" t="n">
        <v>0</v>
      </c>
      <c r="AH90" t="n">
        <v>0</v>
      </c>
      <c r="AI90" t="n">
        <v>0</v>
      </c>
      <c r="AJ90" t="n">
        <v>0</v>
      </c>
      <c r="AK90" t="n">
        <v>0</v>
      </c>
      <c r="AL90" t="n">
        <v>-6485</v>
      </c>
      <c r="AM90" t="n">
        <v>-1034</v>
      </c>
      <c r="AN90" t="n">
        <v>0</v>
      </c>
      <c r="AO90" t="n">
        <v>-113</v>
      </c>
      <c r="AP90" t="n">
        <v>-6051</v>
      </c>
      <c r="AQ90" t="n">
        <v>-9123</v>
      </c>
      <c r="AR90" t="n">
        <v>-7198</v>
      </c>
      <c r="AS90" t="n">
        <v>-9236</v>
      </c>
      <c r="AT90" t="n">
        <v>713</v>
      </c>
      <c r="AU90" t="n">
        <v>2751</v>
      </c>
      <c r="AV90" t="n">
        <v>100</v>
      </c>
      <c r="AW90" t="n">
        <v>0.7</v>
      </c>
      <c r="AX90" t="n">
        <v>0</v>
      </c>
      <c r="AY90" t="n">
        <v>0.9</v>
      </c>
      <c r="AZ90" t="n">
        <v>85.7</v>
      </c>
      <c r="BA90" t="n">
        <v>92.90000000000001</v>
      </c>
      <c r="BB90" t="n">
        <v>87.3</v>
      </c>
      <c r="BC90" t="n">
        <v>93.90000000000001</v>
      </c>
      <c r="BD90" t="n">
        <v>12.7</v>
      </c>
      <c r="BE90" t="n">
        <v>6.1</v>
      </c>
      <c r="BF90" t="n">
        <v>100</v>
      </c>
      <c r="BG90" t="n">
        <v>0.7</v>
      </c>
      <c r="BH90" t="n">
        <v>0</v>
      </c>
      <c r="BI90" t="n">
        <v>0.9</v>
      </c>
      <c r="BJ90" t="n">
        <v>85.7</v>
      </c>
      <c r="BK90" t="n">
        <v>92.90000000000001</v>
      </c>
      <c r="BL90" t="n">
        <v>87.3</v>
      </c>
      <c r="BM90" t="n">
        <v>93.90000000000001</v>
      </c>
      <c r="BN90" t="n">
        <v>12.7</v>
      </c>
      <c r="BO90" t="n">
        <v>6.1</v>
      </c>
      <c r="BP90" t="n">
        <v>0</v>
      </c>
      <c r="BQ90" t="n">
        <v>0</v>
      </c>
      <c r="BR90" t="n">
        <v>0</v>
      </c>
      <c r="BS90" t="n">
        <v>0</v>
      </c>
      <c r="BT90" t="n">
        <v>0</v>
      </c>
      <c r="BU90" t="n">
        <v>0</v>
      </c>
      <c r="BV90" t="n">
        <v>0</v>
      </c>
      <c r="BW90" t="n">
        <v>0</v>
      </c>
      <c r="BX90" t="n">
        <v>0</v>
      </c>
      <c r="BY90" t="n">
        <v>0</v>
      </c>
      <c r="BZ90" t="n">
        <v>27</v>
      </c>
      <c r="CA90" t="n">
        <v>2</v>
      </c>
      <c r="CB90" t="n">
        <v>1</v>
      </c>
      <c r="CC90" t="n">
        <v>1</v>
      </c>
      <c r="CD90" t="n">
        <v>21</v>
      </c>
      <c r="CE90" t="n">
        <v>17</v>
      </c>
      <c r="CF90" t="n">
        <v>24</v>
      </c>
      <c r="CG90" t="n">
        <v>18</v>
      </c>
      <c r="CH90" t="n">
        <v>27</v>
      </c>
      <c r="CI90" t="n">
        <v>2</v>
      </c>
      <c r="CJ90" t="n">
        <v>1</v>
      </c>
      <c r="CK90" t="n">
        <v>1</v>
      </c>
      <c r="CL90" t="n">
        <v>21</v>
      </c>
      <c r="CM90" t="n">
        <v>17</v>
      </c>
      <c r="CN90" t="n">
        <v>24</v>
      </c>
      <c r="CO90" t="n">
        <v>18</v>
      </c>
      <c r="CP90" t="n">
        <v>0</v>
      </c>
      <c r="CQ90" t="n">
        <v>0</v>
      </c>
      <c r="CR90" t="n">
        <v>0</v>
      </c>
      <c r="CS90" t="n">
        <v>0</v>
      </c>
      <c r="CT90" t="n">
        <v>0</v>
      </c>
      <c r="CU90" t="n">
        <v>0</v>
      </c>
      <c r="CV90" t="n">
        <v>0</v>
      </c>
      <c r="CW90" t="n">
        <v>0</v>
      </c>
      <c r="CX90" t="n">
        <v>68.2</v>
      </c>
      <c r="CY90" t="n">
        <v>73.59999999999999</v>
      </c>
      <c r="CZ90" t="n">
        <v>79.09999999999999</v>
      </c>
      <c r="DA90" t="n">
        <v>89</v>
      </c>
      <c r="DB90" t="n">
        <v>68</v>
      </c>
      <c r="DC90" t="n">
        <v>66.59999999999999</v>
      </c>
      <c r="DD90" t="n">
        <v>74.2</v>
      </c>
      <c r="DE90" t="n">
        <v>80.2</v>
      </c>
      <c r="DF90" t="n">
        <v>68.2</v>
      </c>
      <c r="DG90" t="n">
        <v>73.59999999999999</v>
      </c>
      <c r="DH90" t="n">
        <v>79.09999999999999</v>
      </c>
      <c r="DI90" t="n">
        <v>89</v>
      </c>
      <c r="DJ90" t="n">
        <v>68</v>
      </c>
      <c r="DK90" t="n">
        <v>66.59999999999999</v>
      </c>
      <c r="DL90" t="n">
        <v>74.2</v>
      </c>
      <c r="DM90" t="n">
        <v>80.2</v>
      </c>
      <c r="DN90" t="n">
        <v>0</v>
      </c>
      <c r="DO90" t="n">
        <v>0</v>
      </c>
      <c r="DP90" t="n">
        <v>0</v>
      </c>
      <c r="DQ90" t="n">
        <v>0</v>
      </c>
      <c r="DR90" t="n">
        <v>0</v>
      </c>
      <c r="DS90" t="n">
        <v>0</v>
      </c>
      <c r="DT90" t="n">
        <v>0</v>
      </c>
      <c r="DU90" t="n">
        <v>0</v>
      </c>
      <c r="DV90" t="inlineStr">
        <is>
          <t>(Contracts of 2,500  MMBTU'S)</t>
        </is>
      </c>
    </row>
    <row r="91">
      <c r="A91" t="inlineStr">
        <is>
          <t>PG&amp;E CITYGATE FIN BASIS - ICE FUTURES ENERGY DIV</t>
        </is>
      </c>
      <c r="B91" t="n">
        <v>230103</v>
      </c>
      <c r="C91" s="1" t="n">
        <v>44929</v>
      </c>
      <c r="D91" t="inlineStr">
        <is>
          <t>023394</t>
        </is>
      </c>
      <c r="E91" t="inlineStr">
        <is>
          <t>IFED</t>
        </is>
      </c>
      <c r="F91" t="inlineStr">
        <is>
          <t>01</t>
        </is>
      </c>
      <c r="G91" t="inlineStr">
        <is>
          <t xml:space="preserve">023 </t>
        </is>
      </c>
      <c r="H91" t="n">
        <v>155791</v>
      </c>
      <c r="I91" s="17" t="n">
        <v>2014</v>
      </c>
      <c r="J91" s="17" t="n">
        <v>17</v>
      </c>
      <c r="K91" t="n">
        <v>1506</v>
      </c>
      <c r="L91" t="n">
        <v>133954</v>
      </c>
      <c r="M91" t="n">
        <v>147847</v>
      </c>
      <c r="N91" t="n">
        <v>137474</v>
      </c>
      <c r="O91" t="n">
        <v>149370</v>
      </c>
      <c r="P91" t="n">
        <v>18317</v>
      </c>
      <c r="Q91" t="n">
        <v>6421</v>
      </c>
      <c r="R91" t="n">
        <v>155791</v>
      </c>
      <c r="S91" t="n">
        <v>2014</v>
      </c>
      <c r="T91" t="n">
        <v>17</v>
      </c>
      <c r="U91" t="n">
        <v>1506</v>
      </c>
      <c r="V91" t="n">
        <v>133954</v>
      </c>
      <c r="W91" t="n">
        <v>147847</v>
      </c>
      <c r="X91" t="n">
        <v>137474</v>
      </c>
      <c r="Y91" t="n">
        <v>149370</v>
      </c>
      <c r="Z91" t="n">
        <v>18317</v>
      </c>
      <c r="AA91" t="n">
        <v>6421</v>
      </c>
      <c r="AB91" t="n">
        <v>0</v>
      </c>
      <c r="AC91" t="n">
        <v>0</v>
      </c>
      <c r="AD91" t="n">
        <v>0</v>
      </c>
      <c r="AE91" t="n">
        <v>0</v>
      </c>
      <c r="AF91" t="n">
        <v>0</v>
      </c>
      <c r="AG91" t="n">
        <v>0</v>
      </c>
      <c r="AH91" t="n">
        <v>0</v>
      </c>
      <c r="AI91" t="n">
        <v>0</v>
      </c>
      <c r="AJ91" t="n">
        <v>0</v>
      </c>
      <c r="AK91" t="n">
        <v>0</v>
      </c>
      <c r="AL91" t="n">
        <v>1680</v>
      </c>
      <c r="AM91" t="n">
        <v>-1089</v>
      </c>
      <c r="AN91" t="n">
        <v>17</v>
      </c>
      <c r="AO91" t="n">
        <v>451</v>
      </c>
      <c r="AP91" t="n">
        <v>1492</v>
      </c>
      <c r="AQ91" t="n">
        <v>1046</v>
      </c>
      <c r="AR91" t="n">
        <v>854</v>
      </c>
      <c r="AS91" t="n">
        <v>1514</v>
      </c>
      <c r="AT91" t="n">
        <v>826</v>
      </c>
      <c r="AU91" t="n">
        <v>166</v>
      </c>
      <c r="AV91" t="n">
        <v>100</v>
      </c>
      <c r="AW91" t="n">
        <v>1.3</v>
      </c>
      <c r="AX91" t="n">
        <v>0</v>
      </c>
      <c r="AY91" t="n">
        <v>1</v>
      </c>
      <c r="AZ91" t="n">
        <v>86</v>
      </c>
      <c r="BA91" t="n">
        <v>94.90000000000001</v>
      </c>
      <c r="BB91" t="n">
        <v>88.2</v>
      </c>
      <c r="BC91" t="n">
        <v>95.90000000000001</v>
      </c>
      <c r="BD91" t="n">
        <v>11.8</v>
      </c>
      <c r="BE91" t="n">
        <v>4.1</v>
      </c>
      <c r="BF91" t="n">
        <v>100</v>
      </c>
      <c r="BG91" t="n">
        <v>1.3</v>
      </c>
      <c r="BH91" t="n">
        <v>0</v>
      </c>
      <c r="BI91" t="n">
        <v>1</v>
      </c>
      <c r="BJ91" t="n">
        <v>86</v>
      </c>
      <c r="BK91" t="n">
        <v>94.90000000000001</v>
      </c>
      <c r="BL91" t="n">
        <v>88.2</v>
      </c>
      <c r="BM91" t="n">
        <v>95.90000000000001</v>
      </c>
      <c r="BN91" t="n">
        <v>11.8</v>
      </c>
      <c r="BO91" t="n">
        <v>4.1</v>
      </c>
      <c r="BP91" t="n">
        <v>0</v>
      </c>
      <c r="BQ91" t="n">
        <v>0</v>
      </c>
      <c r="BR91" t="n">
        <v>0</v>
      </c>
      <c r="BS91" t="n">
        <v>0</v>
      </c>
      <c r="BT91" t="n">
        <v>0</v>
      </c>
      <c r="BU91" t="n">
        <v>0</v>
      </c>
      <c r="BV91" t="n">
        <v>0</v>
      </c>
      <c r="BW91" t="n">
        <v>0</v>
      </c>
      <c r="BX91" t="n">
        <v>0</v>
      </c>
      <c r="BY91" t="n">
        <v>0</v>
      </c>
      <c r="BZ91" t="n">
        <v>31</v>
      </c>
      <c r="CA91" t="n">
        <v>3</v>
      </c>
      <c r="CB91" t="n">
        <v>1</v>
      </c>
      <c r="CC91" t="n">
        <v>2</v>
      </c>
      <c r="CD91" t="n">
        <v>24</v>
      </c>
      <c r="CE91" t="n">
        <v>22</v>
      </c>
      <c r="CF91" t="n">
        <v>28</v>
      </c>
      <c r="CG91" t="n">
        <v>24</v>
      </c>
      <c r="CH91" t="n">
        <v>31</v>
      </c>
      <c r="CI91" t="n">
        <v>3</v>
      </c>
      <c r="CJ91" t="n">
        <v>1</v>
      </c>
      <c r="CK91" t="n">
        <v>2</v>
      </c>
      <c r="CL91" t="n">
        <v>24</v>
      </c>
      <c r="CM91" t="n">
        <v>22</v>
      </c>
      <c r="CN91" t="n">
        <v>28</v>
      </c>
      <c r="CO91" t="n">
        <v>24</v>
      </c>
      <c r="CP91" t="n">
        <v>0</v>
      </c>
      <c r="CQ91" t="n">
        <v>0</v>
      </c>
      <c r="CR91" t="n">
        <v>0</v>
      </c>
      <c r="CS91" t="n">
        <v>0</v>
      </c>
      <c r="CT91" t="n">
        <v>0</v>
      </c>
      <c r="CU91" t="n">
        <v>0</v>
      </c>
      <c r="CV91" t="n">
        <v>0</v>
      </c>
      <c r="CW91" t="n">
        <v>0</v>
      </c>
      <c r="CX91" t="n">
        <v>66.5</v>
      </c>
      <c r="CY91" t="n">
        <v>73.5</v>
      </c>
      <c r="CZ91" t="n">
        <v>77.2</v>
      </c>
      <c r="DA91" t="n">
        <v>88.40000000000001</v>
      </c>
      <c r="DB91" t="n">
        <v>66.2</v>
      </c>
      <c r="DC91" t="n">
        <v>67.09999999999999</v>
      </c>
      <c r="DD91" t="n">
        <v>73.5</v>
      </c>
      <c r="DE91" t="n">
        <v>79.90000000000001</v>
      </c>
      <c r="DF91" t="n">
        <v>66.5</v>
      </c>
      <c r="DG91" t="n">
        <v>73.5</v>
      </c>
      <c r="DH91" t="n">
        <v>77.2</v>
      </c>
      <c r="DI91" t="n">
        <v>88.40000000000001</v>
      </c>
      <c r="DJ91" t="n">
        <v>66.2</v>
      </c>
      <c r="DK91" t="n">
        <v>67.09999999999999</v>
      </c>
      <c r="DL91" t="n">
        <v>73.5</v>
      </c>
      <c r="DM91" t="n">
        <v>79.90000000000001</v>
      </c>
      <c r="DN91" t="n">
        <v>0</v>
      </c>
      <c r="DO91" t="n">
        <v>0</v>
      </c>
      <c r="DP91" t="n">
        <v>0</v>
      </c>
      <c r="DQ91" t="n">
        <v>0</v>
      </c>
      <c r="DR91" t="n">
        <v>0</v>
      </c>
      <c r="DS91" t="n">
        <v>0</v>
      </c>
      <c r="DT91" t="n">
        <v>0</v>
      </c>
      <c r="DU91" t="n">
        <v>0</v>
      </c>
      <c r="DV91" t="inlineStr">
        <is>
          <t>(Contracts of 2,500  MMBTU'S)</t>
        </is>
      </c>
    </row>
    <row r="92">
      <c r="A92" t="inlineStr">
        <is>
          <t>NWP ROCKIES FIN BASIS - ICE FUTURES ENERGY DIV</t>
        </is>
      </c>
      <c r="B92" t="n">
        <v>230110</v>
      </c>
      <c r="C92" s="1" t="n">
        <v>44936</v>
      </c>
      <c r="D92" t="inlineStr">
        <is>
          <t>023395</t>
        </is>
      </c>
      <c r="E92" t="inlineStr">
        <is>
          <t>IFED</t>
        </is>
      </c>
      <c r="F92" t="inlineStr">
        <is>
          <t>01</t>
        </is>
      </c>
      <c r="G92" t="inlineStr">
        <is>
          <t xml:space="preserve">023 </t>
        </is>
      </c>
      <c r="H92" t="n">
        <v>299221</v>
      </c>
      <c r="I92" s="17" t="n">
        <v>6805</v>
      </c>
      <c r="J92" s="17" t="n">
        <v>2405</v>
      </c>
      <c r="K92" t="n">
        <v>279</v>
      </c>
      <c r="L92" t="n">
        <v>267643</v>
      </c>
      <c r="M92" t="n">
        <v>289495</v>
      </c>
      <c r="N92" t="n">
        <v>274727</v>
      </c>
      <c r="O92" t="n">
        <v>292179</v>
      </c>
      <c r="P92" t="n">
        <v>24494</v>
      </c>
      <c r="Q92" t="n">
        <v>7042</v>
      </c>
      <c r="R92" t="n">
        <v>299221</v>
      </c>
      <c r="S92" t="n">
        <v>6805</v>
      </c>
      <c r="T92" t="n">
        <v>2405</v>
      </c>
      <c r="U92" t="n">
        <v>279</v>
      </c>
      <c r="V92" t="n">
        <v>267643</v>
      </c>
      <c r="W92" t="n">
        <v>289495</v>
      </c>
      <c r="X92" t="n">
        <v>274727</v>
      </c>
      <c r="Y92" t="n">
        <v>292179</v>
      </c>
      <c r="Z92" t="n">
        <v>24494</v>
      </c>
      <c r="AA92" t="n">
        <v>7042</v>
      </c>
      <c r="AB92" t="n">
        <v>0</v>
      </c>
      <c r="AC92" t="n">
        <v>0</v>
      </c>
      <c r="AD92" t="n">
        <v>0</v>
      </c>
      <c r="AE92" t="n">
        <v>0</v>
      </c>
      <c r="AF92" t="n">
        <v>0</v>
      </c>
      <c r="AG92" t="n">
        <v>0</v>
      </c>
      <c r="AH92" t="n">
        <v>0</v>
      </c>
      <c r="AI92" t="n">
        <v>0</v>
      </c>
      <c r="AJ92" t="n">
        <v>0</v>
      </c>
      <c r="AK92" t="n">
        <v>0</v>
      </c>
      <c r="AL92" t="n">
        <v>-4251</v>
      </c>
      <c r="AM92" t="n">
        <v>915</v>
      </c>
      <c r="AN92" t="n">
        <v>1890</v>
      </c>
      <c r="AO92" t="n">
        <v>-172</v>
      </c>
      <c r="AP92" t="n">
        <v>-10289</v>
      </c>
      <c r="AQ92" t="n">
        <v>-5803</v>
      </c>
      <c r="AR92" t="n">
        <v>-9546</v>
      </c>
      <c r="AS92" t="n">
        <v>-4085</v>
      </c>
      <c r="AT92" t="n">
        <v>5295</v>
      </c>
      <c r="AU92" t="n">
        <v>-166</v>
      </c>
      <c r="AV92" t="n">
        <v>100</v>
      </c>
      <c r="AW92" t="n">
        <v>2.3</v>
      </c>
      <c r="AX92" t="n">
        <v>0.8</v>
      </c>
      <c r="AY92" t="n">
        <v>0.1</v>
      </c>
      <c r="AZ92" t="n">
        <v>89.40000000000001</v>
      </c>
      <c r="BA92" t="n">
        <v>96.7</v>
      </c>
      <c r="BB92" t="n">
        <v>91.8</v>
      </c>
      <c r="BC92" t="n">
        <v>97.59999999999999</v>
      </c>
      <c r="BD92" t="n">
        <v>8.199999999999999</v>
      </c>
      <c r="BE92" t="n">
        <v>2.4</v>
      </c>
      <c r="BF92" t="n">
        <v>100</v>
      </c>
      <c r="BG92" t="n">
        <v>2.3</v>
      </c>
      <c r="BH92" t="n">
        <v>0.8</v>
      </c>
      <c r="BI92" t="n">
        <v>0.1</v>
      </c>
      <c r="BJ92" t="n">
        <v>89.40000000000001</v>
      </c>
      <c r="BK92" t="n">
        <v>96.7</v>
      </c>
      <c r="BL92" t="n">
        <v>91.8</v>
      </c>
      <c r="BM92" t="n">
        <v>97.59999999999999</v>
      </c>
      <c r="BN92" t="n">
        <v>8.199999999999999</v>
      </c>
      <c r="BO92" t="n">
        <v>2.4</v>
      </c>
      <c r="BP92" t="n">
        <v>0</v>
      </c>
      <c r="BQ92" t="n">
        <v>0</v>
      </c>
      <c r="BR92" t="n">
        <v>0</v>
      </c>
      <c r="BS92" t="n">
        <v>0</v>
      </c>
      <c r="BT92" t="n">
        <v>0</v>
      </c>
      <c r="BU92" t="n">
        <v>0</v>
      </c>
      <c r="BV92" t="n">
        <v>0</v>
      </c>
      <c r="BW92" t="n">
        <v>0</v>
      </c>
      <c r="BX92" t="n">
        <v>0</v>
      </c>
      <c r="BY92" t="n">
        <v>0</v>
      </c>
      <c r="BZ92" t="n">
        <v>38</v>
      </c>
      <c r="CA92" t="n">
        <v>3</v>
      </c>
      <c r="CB92" t="n">
        <v>1</v>
      </c>
      <c r="CC92" t="n">
        <v>2</v>
      </c>
      <c r="CD92" t="n">
        <v>25</v>
      </c>
      <c r="CE92" t="n">
        <v>28</v>
      </c>
      <c r="CF92" t="n">
        <v>29</v>
      </c>
      <c r="CG92" t="n">
        <v>30</v>
      </c>
      <c r="CH92" t="n">
        <v>38</v>
      </c>
      <c r="CI92" t="n">
        <v>3</v>
      </c>
      <c r="CJ92" t="n">
        <v>1</v>
      </c>
      <c r="CK92" t="n">
        <v>2</v>
      </c>
      <c r="CL92" t="n">
        <v>25</v>
      </c>
      <c r="CM92" t="n">
        <v>28</v>
      </c>
      <c r="CN92" t="n">
        <v>29</v>
      </c>
      <c r="CO92" t="n">
        <v>30</v>
      </c>
      <c r="CP92" t="n">
        <v>0</v>
      </c>
      <c r="CQ92" t="n">
        <v>0</v>
      </c>
      <c r="CR92" t="n">
        <v>0</v>
      </c>
      <c r="CS92" t="n">
        <v>0</v>
      </c>
      <c r="CT92" t="n">
        <v>0</v>
      </c>
      <c r="CU92" t="n">
        <v>0</v>
      </c>
      <c r="CV92" t="n">
        <v>0</v>
      </c>
      <c r="CW92" t="n">
        <v>0</v>
      </c>
      <c r="CX92" t="n">
        <v>59.5</v>
      </c>
      <c r="CY92" t="n">
        <v>66.3</v>
      </c>
      <c r="CZ92" t="n">
        <v>73.5</v>
      </c>
      <c r="DA92" t="n">
        <v>80.40000000000001</v>
      </c>
      <c r="DB92" t="n">
        <v>52.2</v>
      </c>
      <c r="DC92" t="n">
        <v>57.7</v>
      </c>
      <c r="DD92" t="n">
        <v>62.3</v>
      </c>
      <c r="DE92" t="n">
        <v>67.3</v>
      </c>
      <c r="DF92" t="n">
        <v>59.5</v>
      </c>
      <c r="DG92" t="n">
        <v>66.3</v>
      </c>
      <c r="DH92" t="n">
        <v>73.5</v>
      </c>
      <c r="DI92" t="n">
        <v>80.40000000000001</v>
      </c>
      <c r="DJ92" t="n">
        <v>52.2</v>
      </c>
      <c r="DK92" t="n">
        <v>57.7</v>
      </c>
      <c r="DL92" t="n">
        <v>62.3</v>
      </c>
      <c r="DM92" t="n">
        <v>67.3</v>
      </c>
      <c r="DN92" t="n">
        <v>0</v>
      </c>
      <c r="DO92" t="n">
        <v>0</v>
      </c>
      <c r="DP92" t="n">
        <v>0</v>
      </c>
      <c r="DQ92" t="n">
        <v>0</v>
      </c>
      <c r="DR92" t="n">
        <v>0</v>
      </c>
      <c r="DS92" t="n">
        <v>0</v>
      </c>
      <c r="DT92" t="n">
        <v>0</v>
      </c>
      <c r="DU92" t="n">
        <v>0</v>
      </c>
      <c r="DV92" t="inlineStr">
        <is>
          <t>(Contracts of 2,500  MMBTU'S)</t>
        </is>
      </c>
    </row>
    <row r="93">
      <c r="A93" t="inlineStr">
        <is>
          <t>NWP ROCKIES FIN BASIS - ICE FUTURES ENERGY DIV</t>
        </is>
      </c>
      <c r="B93" t="n">
        <v>230103</v>
      </c>
      <c r="C93" s="1" t="n">
        <v>44929</v>
      </c>
      <c r="D93" t="inlineStr">
        <is>
          <t>023395</t>
        </is>
      </c>
      <c r="E93" t="inlineStr">
        <is>
          <t>IFED</t>
        </is>
      </c>
      <c r="F93" t="inlineStr">
        <is>
          <t>01</t>
        </is>
      </c>
      <c r="G93" t="inlineStr">
        <is>
          <t xml:space="preserve">023 </t>
        </is>
      </c>
      <c r="H93" t="n">
        <v>303472</v>
      </c>
      <c r="I93" s="17" t="n">
        <v>5890</v>
      </c>
      <c r="J93" s="17" t="n">
        <v>515</v>
      </c>
      <c r="K93" t="n">
        <v>451</v>
      </c>
      <c r="L93" t="n">
        <v>277932</v>
      </c>
      <c r="M93" t="n">
        <v>295298</v>
      </c>
      <c r="N93" t="n">
        <v>284273</v>
      </c>
      <c r="O93" t="n">
        <v>296264</v>
      </c>
      <c r="P93" t="n">
        <v>19199</v>
      </c>
      <c r="Q93" t="n">
        <v>7208</v>
      </c>
      <c r="R93" t="n">
        <v>303472</v>
      </c>
      <c r="S93" t="n">
        <v>5890</v>
      </c>
      <c r="T93" t="n">
        <v>515</v>
      </c>
      <c r="U93" t="n">
        <v>451</v>
      </c>
      <c r="V93" t="n">
        <v>277932</v>
      </c>
      <c r="W93" t="n">
        <v>295298</v>
      </c>
      <c r="X93" t="n">
        <v>284273</v>
      </c>
      <c r="Y93" t="n">
        <v>296264</v>
      </c>
      <c r="Z93" t="n">
        <v>19199</v>
      </c>
      <c r="AA93" t="n">
        <v>7208</v>
      </c>
      <c r="AB93" t="n">
        <v>0</v>
      </c>
      <c r="AC93" t="n">
        <v>0</v>
      </c>
      <c r="AD93" t="n">
        <v>0</v>
      </c>
      <c r="AE93" t="n">
        <v>0</v>
      </c>
      <c r="AF93" t="n">
        <v>0</v>
      </c>
      <c r="AG93" t="n">
        <v>0</v>
      </c>
      <c r="AH93" t="n">
        <v>0</v>
      </c>
      <c r="AI93" t="n">
        <v>0</v>
      </c>
      <c r="AJ93" t="n">
        <v>0</v>
      </c>
      <c r="AK93" t="n">
        <v>0</v>
      </c>
      <c r="AL93" t="n">
        <v>1059</v>
      </c>
      <c r="AM93" t="n">
        <v>1093</v>
      </c>
      <c r="AN93" t="n">
        <v>492</v>
      </c>
      <c r="AO93" t="n">
        <v>-233</v>
      </c>
      <c r="AP93" t="n">
        <v>-136</v>
      </c>
      <c r="AQ93" t="n">
        <v>579</v>
      </c>
      <c r="AR93" t="n">
        <v>724</v>
      </c>
      <c r="AS93" t="n">
        <v>838</v>
      </c>
      <c r="AT93" t="n">
        <v>335</v>
      </c>
      <c r="AU93" t="n">
        <v>221</v>
      </c>
      <c r="AV93" t="n">
        <v>100</v>
      </c>
      <c r="AW93" t="n">
        <v>1.9</v>
      </c>
      <c r="AX93" t="n">
        <v>0.2</v>
      </c>
      <c r="AY93" t="n">
        <v>0.1</v>
      </c>
      <c r="AZ93" t="n">
        <v>91.59999999999999</v>
      </c>
      <c r="BA93" t="n">
        <v>97.3</v>
      </c>
      <c r="BB93" t="n">
        <v>93.7</v>
      </c>
      <c r="BC93" t="n">
        <v>97.59999999999999</v>
      </c>
      <c r="BD93" t="n">
        <v>6.3</v>
      </c>
      <c r="BE93" t="n">
        <v>2.4</v>
      </c>
      <c r="BF93" t="n">
        <v>100</v>
      </c>
      <c r="BG93" t="n">
        <v>1.9</v>
      </c>
      <c r="BH93" t="n">
        <v>0.2</v>
      </c>
      <c r="BI93" t="n">
        <v>0.1</v>
      </c>
      <c r="BJ93" t="n">
        <v>91.59999999999999</v>
      </c>
      <c r="BK93" t="n">
        <v>97.3</v>
      </c>
      <c r="BL93" t="n">
        <v>93.7</v>
      </c>
      <c r="BM93" t="n">
        <v>97.59999999999999</v>
      </c>
      <c r="BN93" t="n">
        <v>6.3</v>
      </c>
      <c r="BO93" t="n">
        <v>2.4</v>
      </c>
      <c r="BP93" t="n">
        <v>0</v>
      </c>
      <c r="BQ93" t="n">
        <v>0</v>
      </c>
      <c r="BR93" t="n">
        <v>0</v>
      </c>
      <c r="BS93" t="n">
        <v>0</v>
      </c>
      <c r="BT93" t="n">
        <v>0</v>
      </c>
      <c r="BU93" t="n">
        <v>0</v>
      </c>
      <c r="BV93" t="n">
        <v>0</v>
      </c>
      <c r="BW93" t="n">
        <v>0</v>
      </c>
      <c r="BX93" t="n">
        <v>0</v>
      </c>
      <c r="BY93" t="n">
        <v>0</v>
      </c>
      <c r="BZ93" t="n">
        <v>41</v>
      </c>
      <c r="CA93" t="n">
        <v>2</v>
      </c>
      <c r="CB93" t="n">
        <v>1</v>
      </c>
      <c r="CC93" t="n">
        <v>2</v>
      </c>
      <c r="CD93" t="n">
        <v>30</v>
      </c>
      <c r="CE93" t="n">
        <v>31</v>
      </c>
      <c r="CF93" t="n">
        <v>33</v>
      </c>
      <c r="CG93" t="n">
        <v>33</v>
      </c>
      <c r="CH93" t="n">
        <v>41</v>
      </c>
      <c r="CI93" t="n">
        <v>2</v>
      </c>
      <c r="CJ93" t="n">
        <v>1</v>
      </c>
      <c r="CK93" t="n">
        <v>2</v>
      </c>
      <c r="CL93" t="n">
        <v>30</v>
      </c>
      <c r="CM93" t="n">
        <v>31</v>
      </c>
      <c r="CN93" t="n">
        <v>33</v>
      </c>
      <c r="CO93" t="n">
        <v>33</v>
      </c>
      <c r="CP93" t="n">
        <v>0</v>
      </c>
      <c r="CQ93" t="n">
        <v>0</v>
      </c>
      <c r="CR93" t="n">
        <v>0</v>
      </c>
      <c r="CS93" t="n">
        <v>0</v>
      </c>
      <c r="CT93" t="n">
        <v>0</v>
      </c>
      <c r="CU93" t="n">
        <v>0</v>
      </c>
      <c r="CV93" t="n">
        <v>0</v>
      </c>
      <c r="CW93" t="n">
        <v>0</v>
      </c>
      <c r="CX93" t="n">
        <v>57.5</v>
      </c>
      <c r="CY93" t="n">
        <v>63.4</v>
      </c>
      <c r="CZ93" t="n">
        <v>70.90000000000001</v>
      </c>
      <c r="DA93" t="n">
        <v>77.5</v>
      </c>
      <c r="DB93" t="n">
        <v>51</v>
      </c>
      <c r="DC93" t="n">
        <v>54.3</v>
      </c>
      <c r="DD93" t="n">
        <v>61.3</v>
      </c>
      <c r="DE93" t="n">
        <v>64.40000000000001</v>
      </c>
      <c r="DF93" t="n">
        <v>57.5</v>
      </c>
      <c r="DG93" t="n">
        <v>63.4</v>
      </c>
      <c r="DH93" t="n">
        <v>70.90000000000001</v>
      </c>
      <c r="DI93" t="n">
        <v>77.5</v>
      </c>
      <c r="DJ93" t="n">
        <v>51</v>
      </c>
      <c r="DK93" t="n">
        <v>54.3</v>
      </c>
      <c r="DL93" t="n">
        <v>61.3</v>
      </c>
      <c r="DM93" t="n">
        <v>64.40000000000001</v>
      </c>
      <c r="DN93" t="n">
        <v>0</v>
      </c>
      <c r="DO93" t="n">
        <v>0</v>
      </c>
      <c r="DP93" t="n">
        <v>0</v>
      </c>
      <c r="DQ93" t="n">
        <v>0</v>
      </c>
      <c r="DR93" t="n">
        <v>0</v>
      </c>
      <c r="DS93" t="n">
        <v>0</v>
      </c>
      <c r="DT93" t="n">
        <v>0</v>
      </c>
      <c r="DU93" t="n">
        <v>0</v>
      </c>
      <c r="DV93" t="inlineStr">
        <is>
          <t>(Contracts of 2,500  MMBTU'S)</t>
        </is>
      </c>
    </row>
    <row r="94">
      <c r="A94" t="inlineStr">
        <is>
          <t>AECO FIN BASIS - ICE FUTURES ENERGY DIV</t>
        </is>
      </c>
      <c r="B94" t="n">
        <v>230110</v>
      </c>
      <c r="C94" s="1" t="n">
        <v>44936</v>
      </c>
      <c r="D94" t="inlineStr">
        <is>
          <t>023396</t>
        </is>
      </c>
      <c r="E94" t="inlineStr">
        <is>
          <t>IFED</t>
        </is>
      </c>
      <c r="F94" t="inlineStr">
        <is>
          <t>01</t>
        </is>
      </c>
      <c r="G94" t="inlineStr">
        <is>
          <t xml:space="preserve">023 </t>
        </is>
      </c>
      <c r="H94" t="n">
        <v>769316</v>
      </c>
      <c r="I94" s="17" t="n">
        <v>5642</v>
      </c>
      <c r="J94" s="17" t="n">
        <v>2016</v>
      </c>
      <c r="K94" t="n">
        <v>2797</v>
      </c>
      <c r="L94" t="n">
        <v>748832</v>
      </c>
      <c r="M94" t="n">
        <v>760426</v>
      </c>
      <c r="N94" t="n">
        <v>757271</v>
      </c>
      <c r="O94" t="n">
        <v>765239</v>
      </c>
      <c r="P94" t="n">
        <v>12045</v>
      </c>
      <c r="Q94" t="n">
        <v>4077</v>
      </c>
      <c r="R94" t="n">
        <v>769316</v>
      </c>
      <c r="S94" t="n">
        <v>5642</v>
      </c>
      <c r="T94" t="n">
        <v>2016</v>
      </c>
      <c r="U94" t="n">
        <v>2797</v>
      </c>
      <c r="V94" t="n">
        <v>748832</v>
      </c>
      <c r="W94" t="n">
        <v>760426</v>
      </c>
      <c r="X94" t="n">
        <v>757271</v>
      </c>
      <c r="Y94" t="n">
        <v>765239</v>
      </c>
      <c r="Z94" t="n">
        <v>12045</v>
      </c>
      <c r="AA94" t="n">
        <v>4077</v>
      </c>
      <c r="AB94" t="n">
        <v>0</v>
      </c>
      <c r="AC94" t="n">
        <v>0</v>
      </c>
      <c r="AD94" t="n">
        <v>0</v>
      </c>
      <c r="AE94" t="n">
        <v>0</v>
      </c>
      <c r="AF94" t="n">
        <v>0</v>
      </c>
      <c r="AG94" t="n">
        <v>0</v>
      </c>
      <c r="AH94" t="n">
        <v>0</v>
      </c>
      <c r="AI94" t="n">
        <v>0</v>
      </c>
      <c r="AJ94" t="n">
        <v>0</v>
      </c>
      <c r="AK94" t="n">
        <v>0</v>
      </c>
      <c r="AL94" t="n">
        <v>-33270</v>
      </c>
      <c r="AM94" t="n">
        <v>-2624</v>
      </c>
      <c r="AN94" t="n">
        <v>1994</v>
      </c>
      <c r="AO94" t="n">
        <v>-372</v>
      </c>
      <c r="AP94" t="n">
        <v>-27836</v>
      </c>
      <c r="AQ94" t="n">
        <v>-34049</v>
      </c>
      <c r="AR94" t="n">
        <v>-30832</v>
      </c>
      <c r="AS94" t="n">
        <v>-32427</v>
      </c>
      <c r="AT94" t="n">
        <v>-2438</v>
      </c>
      <c r="AU94" t="n">
        <v>-843</v>
      </c>
      <c r="AV94" t="n">
        <v>100</v>
      </c>
      <c r="AW94" t="n">
        <v>0.7</v>
      </c>
      <c r="AX94" t="n">
        <v>0.3</v>
      </c>
      <c r="AY94" t="n">
        <v>0.4</v>
      </c>
      <c r="AZ94" t="n">
        <v>97.3</v>
      </c>
      <c r="BA94" t="n">
        <v>98.8</v>
      </c>
      <c r="BB94" t="n">
        <v>98.40000000000001</v>
      </c>
      <c r="BC94" t="n">
        <v>99.5</v>
      </c>
      <c r="BD94" t="n">
        <v>1.6</v>
      </c>
      <c r="BE94" t="n">
        <v>0.5</v>
      </c>
      <c r="BF94" t="n">
        <v>100</v>
      </c>
      <c r="BG94" t="n">
        <v>0.7</v>
      </c>
      <c r="BH94" t="n">
        <v>0.3</v>
      </c>
      <c r="BI94" t="n">
        <v>0.4</v>
      </c>
      <c r="BJ94" t="n">
        <v>97.3</v>
      </c>
      <c r="BK94" t="n">
        <v>98.8</v>
      </c>
      <c r="BL94" t="n">
        <v>98.40000000000001</v>
      </c>
      <c r="BM94" t="n">
        <v>99.5</v>
      </c>
      <c r="BN94" t="n">
        <v>1.6</v>
      </c>
      <c r="BO94" t="n">
        <v>0.5</v>
      </c>
      <c r="BP94" t="n">
        <v>0</v>
      </c>
      <c r="BQ94" t="n">
        <v>0</v>
      </c>
      <c r="BR94" t="n">
        <v>0</v>
      </c>
      <c r="BS94" t="n">
        <v>0</v>
      </c>
      <c r="BT94" t="n">
        <v>0</v>
      </c>
      <c r="BU94" t="n">
        <v>0</v>
      </c>
      <c r="BV94" t="n">
        <v>0</v>
      </c>
      <c r="BW94" t="n">
        <v>0</v>
      </c>
      <c r="BX94" t="n">
        <v>0</v>
      </c>
      <c r="BY94" t="n">
        <v>0</v>
      </c>
      <c r="BZ94" t="n">
        <v>49</v>
      </c>
      <c r="CA94" t="n">
        <v>4</v>
      </c>
      <c r="CB94" t="n">
        <v>1</v>
      </c>
      <c r="CC94" t="n">
        <v>2</v>
      </c>
      <c r="CD94" t="n">
        <v>41</v>
      </c>
      <c r="CE94" t="n">
        <v>26</v>
      </c>
      <c r="CF94" t="n">
        <v>45</v>
      </c>
      <c r="CG94" t="n">
        <v>29</v>
      </c>
      <c r="CH94" t="n">
        <v>49</v>
      </c>
      <c r="CI94" t="n">
        <v>4</v>
      </c>
      <c r="CJ94" t="n">
        <v>1</v>
      </c>
      <c r="CK94" t="n">
        <v>2</v>
      </c>
      <c r="CL94" t="n">
        <v>41</v>
      </c>
      <c r="CM94" t="n">
        <v>26</v>
      </c>
      <c r="CN94" t="n">
        <v>45</v>
      </c>
      <c r="CO94" t="n">
        <v>29</v>
      </c>
      <c r="CP94" t="n">
        <v>0</v>
      </c>
      <c r="CQ94" t="n">
        <v>0</v>
      </c>
      <c r="CR94" t="n">
        <v>0</v>
      </c>
      <c r="CS94" t="n">
        <v>0</v>
      </c>
      <c r="CT94" t="n">
        <v>0</v>
      </c>
      <c r="CU94" t="n">
        <v>0</v>
      </c>
      <c r="CV94" t="n">
        <v>0</v>
      </c>
      <c r="CW94" t="n">
        <v>0</v>
      </c>
      <c r="CX94" t="n">
        <v>42.6</v>
      </c>
      <c r="CY94" t="n">
        <v>55.7</v>
      </c>
      <c r="CZ94" t="n">
        <v>59.9</v>
      </c>
      <c r="DA94" t="n">
        <v>79.7</v>
      </c>
      <c r="DB94" t="n">
        <v>42.6</v>
      </c>
      <c r="DC94" t="n">
        <v>54.2</v>
      </c>
      <c r="DD94" t="n">
        <v>59</v>
      </c>
      <c r="DE94" t="n">
        <v>75.3</v>
      </c>
      <c r="DF94" t="n">
        <v>42.6</v>
      </c>
      <c r="DG94" t="n">
        <v>55.7</v>
      </c>
      <c r="DH94" t="n">
        <v>59.9</v>
      </c>
      <c r="DI94" t="n">
        <v>79.7</v>
      </c>
      <c r="DJ94" t="n">
        <v>42.6</v>
      </c>
      <c r="DK94" t="n">
        <v>54.2</v>
      </c>
      <c r="DL94" t="n">
        <v>59</v>
      </c>
      <c r="DM94" t="n">
        <v>75.3</v>
      </c>
      <c r="DN94" t="n">
        <v>0</v>
      </c>
      <c r="DO94" t="n">
        <v>0</v>
      </c>
      <c r="DP94" t="n">
        <v>0</v>
      </c>
      <c r="DQ94" t="n">
        <v>0</v>
      </c>
      <c r="DR94" t="n">
        <v>0</v>
      </c>
      <c r="DS94" t="n">
        <v>0</v>
      </c>
      <c r="DT94" t="n">
        <v>0</v>
      </c>
      <c r="DU94" t="n">
        <v>0</v>
      </c>
      <c r="DV94" t="inlineStr">
        <is>
          <t>(Contracts of 2,500  MMBTU'S)</t>
        </is>
      </c>
    </row>
    <row r="95">
      <c r="A95" t="inlineStr">
        <is>
          <t>AECO FIN BASIS - ICE FUTURES ENERGY DIV</t>
        </is>
      </c>
      <c r="B95" t="n">
        <v>230103</v>
      </c>
      <c r="C95" s="1" t="n">
        <v>44929</v>
      </c>
      <c r="D95" t="inlineStr">
        <is>
          <t>023396</t>
        </is>
      </c>
      <c r="E95" t="inlineStr">
        <is>
          <t>IFED</t>
        </is>
      </c>
      <c r="F95" t="inlineStr">
        <is>
          <t>01</t>
        </is>
      </c>
      <c r="G95" t="inlineStr">
        <is>
          <t xml:space="preserve">023 </t>
        </is>
      </c>
      <c r="H95" t="n">
        <v>802586</v>
      </c>
      <c r="I95" s="17" t="n">
        <v>8266</v>
      </c>
      <c r="J95" s="17" t="n">
        <v>22</v>
      </c>
      <c r="K95" t="n">
        <v>3169</v>
      </c>
      <c r="L95" t="n">
        <v>776668</v>
      </c>
      <c r="M95" t="n">
        <v>794475</v>
      </c>
      <c r="N95" t="n">
        <v>788103</v>
      </c>
      <c r="O95" t="n">
        <v>797666</v>
      </c>
      <c r="P95" t="n">
        <v>14483</v>
      </c>
      <c r="Q95" t="n">
        <v>4920</v>
      </c>
      <c r="R95" t="n">
        <v>802586</v>
      </c>
      <c r="S95" t="n">
        <v>8266</v>
      </c>
      <c r="T95" t="n">
        <v>22</v>
      </c>
      <c r="U95" t="n">
        <v>3169</v>
      </c>
      <c r="V95" t="n">
        <v>776668</v>
      </c>
      <c r="W95" t="n">
        <v>794475</v>
      </c>
      <c r="X95" t="n">
        <v>788103</v>
      </c>
      <c r="Y95" t="n">
        <v>797666</v>
      </c>
      <c r="Z95" t="n">
        <v>14483</v>
      </c>
      <c r="AA95" t="n">
        <v>4920</v>
      </c>
      <c r="AB95" t="n">
        <v>0</v>
      </c>
      <c r="AC95" t="n">
        <v>0</v>
      </c>
      <c r="AD95" t="n">
        <v>0</v>
      </c>
      <c r="AE95" t="n">
        <v>0</v>
      </c>
      <c r="AF95" t="n">
        <v>0</v>
      </c>
      <c r="AG95" t="n">
        <v>0</v>
      </c>
      <c r="AH95" t="n">
        <v>0</v>
      </c>
      <c r="AI95" t="n">
        <v>0</v>
      </c>
      <c r="AJ95" t="n">
        <v>0</v>
      </c>
      <c r="AK95" t="n">
        <v>0</v>
      </c>
      <c r="AL95" t="n">
        <v>4014</v>
      </c>
      <c r="AM95" t="n">
        <v>-84</v>
      </c>
      <c r="AN95" t="n">
        <v>-246</v>
      </c>
      <c r="AO95" t="n">
        <v>-745</v>
      </c>
      <c r="AP95" t="n">
        <v>2613</v>
      </c>
      <c r="AQ95" t="n">
        <v>3638</v>
      </c>
      <c r="AR95" t="n">
        <v>1784</v>
      </c>
      <c r="AS95" t="n">
        <v>2647</v>
      </c>
      <c r="AT95" t="n">
        <v>2230</v>
      </c>
      <c r="AU95" t="n">
        <v>1367</v>
      </c>
      <c r="AV95" t="n">
        <v>100</v>
      </c>
      <c r="AW95" t="n">
        <v>1</v>
      </c>
      <c r="AX95" t="n">
        <v>0</v>
      </c>
      <c r="AY95" t="n">
        <v>0.4</v>
      </c>
      <c r="AZ95" t="n">
        <v>96.8</v>
      </c>
      <c r="BA95" t="n">
        <v>99</v>
      </c>
      <c r="BB95" t="n">
        <v>98.2</v>
      </c>
      <c r="BC95" t="n">
        <v>99.40000000000001</v>
      </c>
      <c r="BD95" t="n">
        <v>1.8</v>
      </c>
      <c r="BE95" t="n">
        <v>0.6</v>
      </c>
      <c r="BF95" t="n">
        <v>100</v>
      </c>
      <c r="BG95" t="n">
        <v>1</v>
      </c>
      <c r="BH95" t="n">
        <v>0</v>
      </c>
      <c r="BI95" t="n">
        <v>0.4</v>
      </c>
      <c r="BJ95" t="n">
        <v>96.8</v>
      </c>
      <c r="BK95" t="n">
        <v>99</v>
      </c>
      <c r="BL95" t="n">
        <v>98.2</v>
      </c>
      <c r="BM95" t="n">
        <v>99.40000000000001</v>
      </c>
      <c r="BN95" t="n">
        <v>1.8</v>
      </c>
      <c r="BO95" t="n">
        <v>0.6</v>
      </c>
      <c r="BP95" t="n">
        <v>0</v>
      </c>
      <c r="BQ95" t="n">
        <v>0</v>
      </c>
      <c r="BR95" t="n">
        <v>0</v>
      </c>
      <c r="BS95" t="n">
        <v>0</v>
      </c>
      <c r="BT95" t="n">
        <v>0</v>
      </c>
      <c r="BU95" t="n">
        <v>0</v>
      </c>
      <c r="BV95" t="n">
        <v>0</v>
      </c>
      <c r="BW95" t="n">
        <v>0</v>
      </c>
      <c r="BX95" t="n">
        <v>0</v>
      </c>
      <c r="BY95" t="n">
        <v>0</v>
      </c>
      <c r="BZ95" t="n">
        <v>49</v>
      </c>
      <c r="CA95" t="n">
        <v>4</v>
      </c>
      <c r="CB95" t="n">
        <v>1</v>
      </c>
      <c r="CC95" t="n">
        <v>3</v>
      </c>
      <c r="CD95" t="n">
        <v>41</v>
      </c>
      <c r="CE95" t="n">
        <v>28</v>
      </c>
      <c r="CF95" t="n">
        <v>46</v>
      </c>
      <c r="CG95" t="n">
        <v>31</v>
      </c>
      <c r="CH95" t="n">
        <v>49</v>
      </c>
      <c r="CI95" t="n">
        <v>4</v>
      </c>
      <c r="CJ95" t="n">
        <v>1</v>
      </c>
      <c r="CK95" t="n">
        <v>3</v>
      </c>
      <c r="CL95" t="n">
        <v>41</v>
      </c>
      <c r="CM95" t="n">
        <v>28</v>
      </c>
      <c r="CN95" t="n">
        <v>46</v>
      </c>
      <c r="CO95" t="n">
        <v>31</v>
      </c>
      <c r="CP95" t="n">
        <v>0</v>
      </c>
      <c r="CQ95" t="n">
        <v>0</v>
      </c>
      <c r="CR95" t="n">
        <v>0</v>
      </c>
      <c r="CS95" t="n">
        <v>0</v>
      </c>
      <c r="CT95" t="n">
        <v>0</v>
      </c>
      <c r="CU95" t="n">
        <v>0</v>
      </c>
      <c r="CV95" t="n">
        <v>0</v>
      </c>
      <c r="CW95" t="n">
        <v>0</v>
      </c>
      <c r="CX95" t="n">
        <v>42.5</v>
      </c>
      <c r="CY95" t="n">
        <v>56.9</v>
      </c>
      <c r="CZ95" t="n">
        <v>59</v>
      </c>
      <c r="DA95" t="n">
        <v>81.2</v>
      </c>
      <c r="DB95" t="n">
        <v>42.5</v>
      </c>
      <c r="DC95" t="n">
        <v>55.4</v>
      </c>
      <c r="DD95" t="n">
        <v>58.7</v>
      </c>
      <c r="DE95" t="n">
        <v>77.59999999999999</v>
      </c>
      <c r="DF95" t="n">
        <v>42.5</v>
      </c>
      <c r="DG95" t="n">
        <v>56.9</v>
      </c>
      <c r="DH95" t="n">
        <v>59</v>
      </c>
      <c r="DI95" t="n">
        <v>81.2</v>
      </c>
      <c r="DJ95" t="n">
        <v>42.5</v>
      </c>
      <c r="DK95" t="n">
        <v>55.4</v>
      </c>
      <c r="DL95" t="n">
        <v>58.7</v>
      </c>
      <c r="DM95" t="n">
        <v>77.59999999999999</v>
      </c>
      <c r="DN95" t="n">
        <v>0</v>
      </c>
      <c r="DO95" t="n">
        <v>0</v>
      </c>
      <c r="DP95" t="n">
        <v>0</v>
      </c>
      <c r="DQ95" t="n">
        <v>0</v>
      </c>
      <c r="DR95" t="n">
        <v>0</v>
      </c>
      <c r="DS95" t="n">
        <v>0</v>
      </c>
      <c r="DT95" t="n">
        <v>0</v>
      </c>
      <c r="DU95" t="n">
        <v>0</v>
      </c>
      <c r="DV95" t="inlineStr">
        <is>
          <t>(Contracts of 2,500  MMBTU'S)</t>
        </is>
      </c>
    </row>
    <row r="96">
      <c r="A96" t="inlineStr">
        <is>
          <t>CHICAGO FIN BASIS - ICE FUTURES ENERGY DIV</t>
        </is>
      </c>
      <c r="B96" t="n">
        <v>230110</v>
      </c>
      <c r="C96" s="1" t="n">
        <v>44936</v>
      </c>
      <c r="D96" t="inlineStr">
        <is>
          <t>023397</t>
        </is>
      </c>
      <c r="E96" t="inlineStr">
        <is>
          <t>IFED</t>
        </is>
      </c>
      <c r="F96" t="inlineStr">
        <is>
          <t>01</t>
        </is>
      </c>
      <c r="G96" t="inlineStr">
        <is>
          <t xml:space="preserve">023 </t>
        </is>
      </c>
      <c r="H96" t="n">
        <v>318593</v>
      </c>
      <c r="I96" s="17" t="n">
        <v>21660</v>
      </c>
      <c r="J96" s="17" t="n">
        <v>4956</v>
      </c>
      <c r="K96" t="n">
        <v>912</v>
      </c>
      <c r="L96" t="n">
        <v>289480</v>
      </c>
      <c r="M96" t="n">
        <v>305570</v>
      </c>
      <c r="N96" t="n">
        <v>312052</v>
      </c>
      <c r="O96" t="n">
        <v>311438</v>
      </c>
      <c r="P96" t="n">
        <v>6541</v>
      </c>
      <c r="Q96" t="n">
        <v>7155</v>
      </c>
      <c r="R96" t="n">
        <v>318593</v>
      </c>
      <c r="S96" t="n">
        <v>21660</v>
      </c>
      <c r="T96" t="n">
        <v>4956</v>
      </c>
      <c r="U96" t="n">
        <v>912</v>
      </c>
      <c r="V96" t="n">
        <v>289480</v>
      </c>
      <c r="W96" t="n">
        <v>305570</v>
      </c>
      <c r="X96" t="n">
        <v>312052</v>
      </c>
      <c r="Y96" t="n">
        <v>311438</v>
      </c>
      <c r="Z96" t="n">
        <v>6541</v>
      </c>
      <c r="AA96" t="n">
        <v>7155</v>
      </c>
      <c r="AB96" t="n">
        <v>0</v>
      </c>
      <c r="AC96" t="n">
        <v>0</v>
      </c>
      <c r="AD96" t="n">
        <v>0</v>
      </c>
      <c r="AE96" t="n">
        <v>0</v>
      </c>
      <c r="AF96" t="n">
        <v>0</v>
      </c>
      <c r="AG96" t="n">
        <v>0</v>
      </c>
      <c r="AH96" t="n">
        <v>0</v>
      </c>
      <c r="AI96" t="n">
        <v>0</v>
      </c>
      <c r="AJ96" t="n">
        <v>0</v>
      </c>
      <c r="AK96" t="n">
        <v>0</v>
      </c>
      <c r="AL96" t="n">
        <v>-21123</v>
      </c>
      <c r="AM96" t="n">
        <v>80</v>
      </c>
      <c r="AN96" t="n">
        <v>-1907</v>
      </c>
      <c r="AO96" t="n">
        <v>304</v>
      </c>
      <c r="AP96" t="n">
        <v>-22128</v>
      </c>
      <c r="AQ96" t="n">
        <v>-19142</v>
      </c>
      <c r="AR96" t="n">
        <v>-21744</v>
      </c>
      <c r="AS96" t="n">
        <v>-20745</v>
      </c>
      <c r="AT96" t="n">
        <v>621</v>
      </c>
      <c r="AU96" t="n">
        <v>-378</v>
      </c>
      <c r="AV96" t="n">
        <v>100</v>
      </c>
      <c r="AW96" t="n">
        <v>6.8</v>
      </c>
      <c r="AX96" t="n">
        <v>1.6</v>
      </c>
      <c r="AY96" t="n">
        <v>0.3</v>
      </c>
      <c r="AZ96" t="n">
        <v>90.90000000000001</v>
      </c>
      <c r="BA96" t="n">
        <v>95.90000000000001</v>
      </c>
      <c r="BB96" t="n">
        <v>97.90000000000001</v>
      </c>
      <c r="BC96" t="n">
        <v>97.8</v>
      </c>
      <c r="BD96" t="n">
        <v>2.1</v>
      </c>
      <c r="BE96" t="n">
        <v>2.2</v>
      </c>
      <c r="BF96" t="n">
        <v>100</v>
      </c>
      <c r="BG96" t="n">
        <v>6.8</v>
      </c>
      <c r="BH96" t="n">
        <v>1.6</v>
      </c>
      <c r="BI96" t="n">
        <v>0.3</v>
      </c>
      <c r="BJ96" t="n">
        <v>90.90000000000001</v>
      </c>
      <c r="BK96" t="n">
        <v>95.90000000000001</v>
      </c>
      <c r="BL96" t="n">
        <v>97.90000000000001</v>
      </c>
      <c r="BM96" t="n">
        <v>97.8</v>
      </c>
      <c r="BN96" t="n">
        <v>2.1</v>
      </c>
      <c r="BO96" t="n">
        <v>2.2</v>
      </c>
      <c r="BP96" t="n">
        <v>0</v>
      </c>
      <c r="BQ96" t="n">
        <v>0</v>
      </c>
      <c r="BR96" t="n">
        <v>0</v>
      </c>
      <c r="BS96" t="n">
        <v>0</v>
      </c>
      <c r="BT96" t="n">
        <v>0</v>
      </c>
      <c r="BU96" t="n">
        <v>0</v>
      </c>
      <c r="BV96" t="n">
        <v>0</v>
      </c>
      <c r="BW96" t="n">
        <v>0</v>
      </c>
      <c r="BX96" t="n">
        <v>0</v>
      </c>
      <c r="BY96" t="n">
        <v>0</v>
      </c>
      <c r="BZ96" t="n">
        <v>55</v>
      </c>
      <c r="CA96" t="n">
        <v>3</v>
      </c>
      <c r="CB96" t="n">
        <v>1</v>
      </c>
      <c r="CC96" t="n">
        <v>2</v>
      </c>
      <c r="CD96" t="n">
        <v>36</v>
      </c>
      <c r="CE96" t="n">
        <v>36</v>
      </c>
      <c r="CF96" t="n">
        <v>40</v>
      </c>
      <c r="CG96" t="n">
        <v>38</v>
      </c>
      <c r="CH96" t="n">
        <v>55</v>
      </c>
      <c r="CI96" t="n">
        <v>3</v>
      </c>
      <c r="CJ96" t="n">
        <v>1</v>
      </c>
      <c r="CK96" t="n">
        <v>2</v>
      </c>
      <c r="CL96" t="n">
        <v>36</v>
      </c>
      <c r="CM96" t="n">
        <v>36</v>
      </c>
      <c r="CN96" t="n">
        <v>40</v>
      </c>
      <c r="CO96" t="n">
        <v>38</v>
      </c>
      <c r="CP96" t="n">
        <v>0</v>
      </c>
      <c r="CQ96" t="n">
        <v>0</v>
      </c>
      <c r="CR96" t="n">
        <v>0</v>
      </c>
      <c r="CS96" t="n">
        <v>0</v>
      </c>
      <c r="CT96" t="n">
        <v>0</v>
      </c>
      <c r="CU96" t="n">
        <v>0</v>
      </c>
      <c r="CV96" t="n">
        <v>0</v>
      </c>
      <c r="CW96" t="n">
        <v>0</v>
      </c>
      <c r="CX96" t="n">
        <v>46.9</v>
      </c>
      <c r="CY96" t="n">
        <v>48.6</v>
      </c>
      <c r="CZ96" t="n">
        <v>64.3</v>
      </c>
      <c r="DA96" t="n">
        <v>69.5</v>
      </c>
      <c r="DB96" t="n">
        <v>44.9</v>
      </c>
      <c r="DC96" t="n">
        <v>46.9</v>
      </c>
      <c r="DD96" t="n">
        <v>61.2</v>
      </c>
      <c r="DE96" t="n">
        <v>65.59999999999999</v>
      </c>
      <c r="DF96" t="n">
        <v>46.9</v>
      </c>
      <c r="DG96" t="n">
        <v>48.6</v>
      </c>
      <c r="DH96" t="n">
        <v>64.3</v>
      </c>
      <c r="DI96" t="n">
        <v>69.5</v>
      </c>
      <c r="DJ96" t="n">
        <v>44.9</v>
      </c>
      <c r="DK96" t="n">
        <v>46.9</v>
      </c>
      <c r="DL96" t="n">
        <v>61.2</v>
      </c>
      <c r="DM96" t="n">
        <v>65.59999999999999</v>
      </c>
      <c r="DN96" t="n">
        <v>0</v>
      </c>
      <c r="DO96" t="n">
        <v>0</v>
      </c>
      <c r="DP96" t="n">
        <v>0</v>
      </c>
      <c r="DQ96" t="n">
        <v>0</v>
      </c>
      <c r="DR96" t="n">
        <v>0</v>
      </c>
      <c r="DS96" t="n">
        <v>0</v>
      </c>
      <c r="DT96" t="n">
        <v>0</v>
      </c>
      <c r="DU96" t="n">
        <v>0</v>
      </c>
      <c r="DV96" t="inlineStr">
        <is>
          <t>(Contracts of 2,500  MMBTU'S)</t>
        </is>
      </c>
    </row>
    <row r="97">
      <c r="A97" t="inlineStr">
        <is>
          <t>CHICAGO FIN BASIS - ICE FUTURES ENERGY DIV</t>
        </is>
      </c>
      <c r="B97" t="n">
        <v>230103</v>
      </c>
      <c r="C97" s="1" t="n">
        <v>44929</v>
      </c>
      <c r="D97" t="inlineStr">
        <is>
          <t>023397</t>
        </is>
      </c>
      <c r="E97" t="inlineStr">
        <is>
          <t>IFED</t>
        </is>
      </c>
      <c r="F97" t="inlineStr">
        <is>
          <t>01</t>
        </is>
      </c>
      <c r="G97" t="inlineStr">
        <is>
          <t xml:space="preserve">023 </t>
        </is>
      </c>
      <c r="H97" t="n">
        <v>339716</v>
      </c>
      <c r="I97" s="17" t="n">
        <v>21580</v>
      </c>
      <c r="J97" s="17" t="n">
        <v>6863</v>
      </c>
      <c r="K97" t="n">
        <v>608</v>
      </c>
      <c r="L97" t="n">
        <v>311608</v>
      </c>
      <c r="M97" t="n">
        <v>324712</v>
      </c>
      <c r="N97" t="n">
        <v>333796</v>
      </c>
      <c r="O97" t="n">
        <v>332183</v>
      </c>
      <c r="P97" t="n">
        <v>5920</v>
      </c>
      <c r="Q97" t="n">
        <v>7533</v>
      </c>
      <c r="R97" t="n">
        <v>339716</v>
      </c>
      <c r="S97" t="n">
        <v>21580</v>
      </c>
      <c r="T97" t="n">
        <v>6863</v>
      </c>
      <c r="U97" t="n">
        <v>608</v>
      </c>
      <c r="V97" t="n">
        <v>311608</v>
      </c>
      <c r="W97" t="n">
        <v>324712</v>
      </c>
      <c r="X97" t="n">
        <v>333796</v>
      </c>
      <c r="Y97" t="n">
        <v>332183</v>
      </c>
      <c r="Z97" t="n">
        <v>5920</v>
      </c>
      <c r="AA97" t="n">
        <v>7533</v>
      </c>
      <c r="AB97" t="n">
        <v>0</v>
      </c>
      <c r="AC97" t="n">
        <v>0</v>
      </c>
      <c r="AD97" t="n">
        <v>0</v>
      </c>
      <c r="AE97" t="n">
        <v>0</v>
      </c>
      <c r="AF97" t="n">
        <v>0</v>
      </c>
      <c r="AG97" t="n">
        <v>0</v>
      </c>
      <c r="AH97" t="n">
        <v>0</v>
      </c>
      <c r="AI97" t="n">
        <v>0</v>
      </c>
      <c r="AJ97" t="n">
        <v>0</v>
      </c>
      <c r="AK97" t="n">
        <v>0</v>
      </c>
      <c r="AL97" t="n">
        <v>770</v>
      </c>
      <c r="AM97" t="n">
        <v>927</v>
      </c>
      <c r="AN97" t="n">
        <v>-1216</v>
      </c>
      <c r="AO97" t="n">
        <v>608</v>
      </c>
      <c r="AP97" t="n">
        <v>-705</v>
      </c>
      <c r="AQ97" t="n">
        <v>1194</v>
      </c>
      <c r="AR97" t="n">
        <v>830</v>
      </c>
      <c r="AS97" t="n">
        <v>586</v>
      </c>
      <c r="AT97" t="n">
        <v>-60</v>
      </c>
      <c r="AU97" t="n">
        <v>184</v>
      </c>
      <c r="AV97" t="n">
        <v>100</v>
      </c>
      <c r="AW97" t="n">
        <v>6.4</v>
      </c>
      <c r="AX97" t="n">
        <v>2</v>
      </c>
      <c r="AY97" t="n">
        <v>0.2</v>
      </c>
      <c r="AZ97" t="n">
        <v>91.7</v>
      </c>
      <c r="BA97" t="n">
        <v>95.59999999999999</v>
      </c>
      <c r="BB97" t="n">
        <v>98.3</v>
      </c>
      <c r="BC97" t="n">
        <v>97.8</v>
      </c>
      <c r="BD97" t="n">
        <v>1.7</v>
      </c>
      <c r="BE97" t="n">
        <v>2.2</v>
      </c>
      <c r="BF97" t="n">
        <v>100</v>
      </c>
      <c r="BG97" t="n">
        <v>6.4</v>
      </c>
      <c r="BH97" t="n">
        <v>2</v>
      </c>
      <c r="BI97" t="n">
        <v>0.2</v>
      </c>
      <c r="BJ97" t="n">
        <v>91.7</v>
      </c>
      <c r="BK97" t="n">
        <v>95.59999999999999</v>
      </c>
      <c r="BL97" t="n">
        <v>98.3</v>
      </c>
      <c r="BM97" t="n">
        <v>97.8</v>
      </c>
      <c r="BN97" t="n">
        <v>1.7</v>
      </c>
      <c r="BO97" t="n">
        <v>2.2</v>
      </c>
      <c r="BP97" t="n">
        <v>0</v>
      </c>
      <c r="BQ97" t="n">
        <v>0</v>
      </c>
      <c r="BR97" t="n">
        <v>0</v>
      </c>
      <c r="BS97" t="n">
        <v>0</v>
      </c>
      <c r="BT97" t="n">
        <v>0</v>
      </c>
      <c r="BU97" t="n">
        <v>0</v>
      </c>
      <c r="BV97" t="n">
        <v>0</v>
      </c>
      <c r="BW97" t="n">
        <v>0</v>
      </c>
      <c r="BX97" t="n">
        <v>0</v>
      </c>
      <c r="BY97" t="n">
        <v>0</v>
      </c>
      <c r="BZ97" t="n">
        <v>59</v>
      </c>
      <c r="CA97" t="n">
        <v>5</v>
      </c>
      <c r="CB97" t="n">
        <v>2</v>
      </c>
      <c r="CC97" t="n">
        <v>1</v>
      </c>
      <c r="CD97" t="n">
        <v>36</v>
      </c>
      <c r="CE97" t="n">
        <v>35</v>
      </c>
      <c r="CF97" t="n">
        <v>42</v>
      </c>
      <c r="CG97" t="n">
        <v>37</v>
      </c>
      <c r="CH97" t="n">
        <v>59</v>
      </c>
      <c r="CI97" t="n">
        <v>5</v>
      </c>
      <c r="CJ97" t="n">
        <v>2</v>
      </c>
      <c r="CK97" t="n">
        <v>1</v>
      </c>
      <c r="CL97" t="n">
        <v>36</v>
      </c>
      <c r="CM97" t="n">
        <v>35</v>
      </c>
      <c r="CN97" t="n">
        <v>42</v>
      </c>
      <c r="CO97" t="n">
        <v>37</v>
      </c>
      <c r="CP97" t="n">
        <v>0</v>
      </c>
      <c r="CQ97" t="n">
        <v>0</v>
      </c>
      <c r="CR97" t="n">
        <v>0</v>
      </c>
      <c r="CS97" t="n">
        <v>0</v>
      </c>
      <c r="CT97" t="n">
        <v>0</v>
      </c>
      <c r="CU97" t="n">
        <v>0</v>
      </c>
      <c r="CV97" t="n">
        <v>0</v>
      </c>
      <c r="CW97" t="n">
        <v>0</v>
      </c>
      <c r="CX97" t="n">
        <v>47.1</v>
      </c>
      <c r="CY97" t="n">
        <v>46.2</v>
      </c>
      <c r="CZ97" t="n">
        <v>63.7</v>
      </c>
      <c r="DA97" t="n">
        <v>68.5</v>
      </c>
      <c r="DB97" t="n">
        <v>45.2</v>
      </c>
      <c r="DC97" t="n">
        <v>44.2</v>
      </c>
      <c r="DD97" t="n">
        <v>60.6</v>
      </c>
      <c r="DE97" t="n">
        <v>63.1</v>
      </c>
      <c r="DF97" t="n">
        <v>47.1</v>
      </c>
      <c r="DG97" t="n">
        <v>46.2</v>
      </c>
      <c r="DH97" t="n">
        <v>63.7</v>
      </c>
      <c r="DI97" t="n">
        <v>68.5</v>
      </c>
      <c r="DJ97" t="n">
        <v>45.2</v>
      </c>
      <c r="DK97" t="n">
        <v>44.2</v>
      </c>
      <c r="DL97" t="n">
        <v>60.6</v>
      </c>
      <c r="DM97" t="n">
        <v>63.1</v>
      </c>
      <c r="DN97" t="n">
        <v>0</v>
      </c>
      <c r="DO97" t="n">
        <v>0</v>
      </c>
      <c r="DP97" t="n">
        <v>0</v>
      </c>
      <c r="DQ97" t="n">
        <v>0</v>
      </c>
      <c r="DR97" t="n">
        <v>0</v>
      </c>
      <c r="DS97" t="n">
        <v>0</v>
      </c>
      <c r="DT97" t="n">
        <v>0</v>
      </c>
      <c r="DU97" t="n">
        <v>0</v>
      </c>
      <c r="DV97" t="inlineStr">
        <is>
          <t>(Contracts of 2,500  MMBTU'S)</t>
        </is>
      </c>
    </row>
    <row r="98">
      <c r="A98" t="inlineStr">
        <is>
          <t>HSC FIN BASIS - ICE FUTURES ENERGY DIV</t>
        </is>
      </c>
      <c r="B98" t="n">
        <v>230110</v>
      </c>
      <c r="C98" s="1" t="n">
        <v>44936</v>
      </c>
      <c r="D98" t="inlineStr">
        <is>
          <t>023398</t>
        </is>
      </c>
      <c r="E98" t="inlineStr">
        <is>
          <t>IFED</t>
        </is>
      </c>
      <c r="F98" t="inlineStr">
        <is>
          <t>01</t>
        </is>
      </c>
      <c r="G98" t="inlineStr">
        <is>
          <t xml:space="preserve">023 </t>
        </is>
      </c>
      <c r="H98" t="n">
        <v>502682</v>
      </c>
      <c r="I98" s="17" t="n">
        <v>1440</v>
      </c>
      <c r="J98" s="17" t="n">
        <v>26723</v>
      </c>
      <c r="K98" t="n">
        <v>6132</v>
      </c>
      <c r="L98" t="n">
        <v>491031</v>
      </c>
      <c r="M98" t="n">
        <v>459245</v>
      </c>
      <c r="N98" t="n">
        <v>498603</v>
      </c>
      <c r="O98" t="n">
        <v>492100</v>
      </c>
      <c r="P98" t="n">
        <v>4079</v>
      </c>
      <c r="Q98" t="n">
        <v>10582</v>
      </c>
      <c r="R98" t="n">
        <v>502682</v>
      </c>
      <c r="S98" t="n">
        <v>1440</v>
      </c>
      <c r="T98" t="n">
        <v>26723</v>
      </c>
      <c r="U98" t="n">
        <v>6132</v>
      </c>
      <c r="V98" t="n">
        <v>491031</v>
      </c>
      <c r="W98" t="n">
        <v>459245</v>
      </c>
      <c r="X98" t="n">
        <v>498603</v>
      </c>
      <c r="Y98" t="n">
        <v>492100</v>
      </c>
      <c r="Z98" t="n">
        <v>4079</v>
      </c>
      <c r="AA98" t="n">
        <v>10582</v>
      </c>
      <c r="AB98" t="n">
        <v>0</v>
      </c>
      <c r="AC98" t="n">
        <v>0</v>
      </c>
      <c r="AD98" t="n">
        <v>0</v>
      </c>
      <c r="AE98" t="n">
        <v>0</v>
      </c>
      <c r="AF98" t="n">
        <v>0</v>
      </c>
      <c r="AG98" t="n">
        <v>0</v>
      </c>
      <c r="AH98" t="n">
        <v>0</v>
      </c>
      <c r="AI98" t="n">
        <v>0</v>
      </c>
      <c r="AJ98" t="n">
        <v>0</v>
      </c>
      <c r="AK98" t="n">
        <v>0</v>
      </c>
      <c r="AL98" t="n">
        <v>-40856</v>
      </c>
      <c r="AM98" t="n">
        <v>-62</v>
      </c>
      <c r="AN98" t="n">
        <v>1543</v>
      </c>
      <c r="AO98" t="n">
        <v>1527</v>
      </c>
      <c r="AP98" t="n">
        <v>-41993</v>
      </c>
      <c r="AQ98" t="n">
        <v>-44482</v>
      </c>
      <c r="AR98" t="n">
        <v>-40528</v>
      </c>
      <c r="AS98" t="n">
        <v>-41412</v>
      </c>
      <c r="AT98" t="n">
        <v>-328</v>
      </c>
      <c r="AU98" t="n">
        <v>556</v>
      </c>
      <c r="AV98" t="n">
        <v>100</v>
      </c>
      <c r="AW98" t="n">
        <v>0.3</v>
      </c>
      <c r="AX98" t="n">
        <v>5.3</v>
      </c>
      <c r="AY98" t="n">
        <v>1.2</v>
      </c>
      <c r="AZ98" t="n">
        <v>97.7</v>
      </c>
      <c r="BA98" t="n">
        <v>91.40000000000001</v>
      </c>
      <c r="BB98" t="n">
        <v>99.2</v>
      </c>
      <c r="BC98" t="n">
        <v>97.90000000000001</v>
      </c>
      <c r="BD98" t="n">
        <v>0.8</v>
      </c>
      <c r="BE98" t="n">
        <v>2.1</v>
      </c>
      <c r="BF98" t="n">
        <v>100</v>
      </c>
      <c r="BG98" t="n">
        <v>0.3</v>
      </c>
      <c r="BH98" t="n">
        <v>5.3</v>
      </c>
      <c r="BI98" t="n">
        <v>1.2</v>
      </c>
      <c r="BJ98" t="n">
        <v>97.7</v>
      </c>
      <c r="BK98" t="n">
        <v>91.40000000000001</v>
      </c>
      <c r="BL98" t="n">
        <v>99.2</v>
      </c>
      <c r="BM98" t="n">
        <v>97.90000000000001</v>
      </c>
      <c r="BN98" t="n">
        <v>0.8</v>
      </c>
      <c r="BO98" t="n">
        <v>2.1</v>
      </c>
      <c r="BP98" t="n">
        <v>0</v>
      </c>
      <c r="BQ98" t="n">
        <v>0</v>
      </c>
      <c r="BR98" t="n">
        <v>0</v>
      </c>
      <c r="BS98" t="n">
        <v>0</v>
      </c>
      <c r="BT98" t="n">
        <v>0</v>
      </c>
      <c r="BU98" t="n">
        <v>0</v>
      </c>
      <c r="BV98" t="n">
        <v>0</v>
      </c>
      <c r="BW98" t="n">
        <v>0</v>
      </c>
      <c r="BX98" t="n">
        <v>0</v>
      </c>
      <c r="BY98" t="n">
        <v>0</v>
      </c>
      <c r="BZ98" t="n">
        <v>67</v>
      </c>
      <c r="CA98" t="n">
        <v>2</v>
      </c>
      <c r="CB98" t="n">
        <v>6</v>
      </c>
      <c r="CC98" t="n">
        <v>5</v>
      </c>
      <c r="CD98" t="n">
        <v>46</v>
      </c>
      <c r="CE98" t="n">
        <v>45</v>
      </c>
      <c r="CF98" t="n">
        <v>52</v>
      </c>
      <c r="CG98" t="n">
        <v>52</v>
      </c>
      <c r="CH98" t="n">
        <v>67</v>
      </c>
      <c r="CI98" t="n">
        <v>2</v>
      </c>
      <c r="CJ98" t="n">
        <v>6</v>
      </c>
      <c r="CK98" t="n">
        <v>5</v>
      </c>
      <c r="CL98" t="n">
        <v>46</v>
      </c>
      <c r="CM98" t="n">
        <v>45</v>
      </c>
      <c r="CN98" t="n">
        <v>52</v>
      </c>
      <c r="CO98" t="n">
        <v>52</v>
      </c>
      <c r="CP98" t="n">
        <v>0</v>
      </c>
      <c r="CQ98" t="n">
        <v>0</v>
      </c>
      <c r="CR98" t="n">
        <v>0</v>
      </c>
      <c r="CS98" t="n">
        <v>0</v>
      </c>
      <c r="CT98" t="n">
        <v>0</v>
      </c>
      <c r="CU98" t="n">
        <v>0</v>
      </c>
      <c r="CV98" t="n">
        <v>0</v>
      </c>
      <c r="CW98" t="n">
        <v>0</v>
      </c>
      <c r="CX98" t="n">
        <v>35.3</v>
      </c>
      <c r="CY98" t="n">
        <v>39.2</v>
      </c>
      <c r="CZ98" t="n">
        <v>62.3</v>
      </c>
      <c r="DA98" t="n">
        <v>59.2</v>
      </c>
      <c r="DB98" t="n">
        <v>33</v>
      </c>
      <c r="DC98" t="n">
        <v>38.5</v>
      </c>
      <c r="DD98" t="n">
        <v>58.4</v>
      </c>
      <c r="DE98" t="n">
        <v>56.4</v>
      </c>
      <c r="DF98" t="n">
        <v>35.3</v>
      </c>
      <c r="DG98" t="n">
        <v>39.2</v>
      </c>
      <c r="DH98" t="n">
        <v>62.3</v>
      </c>
      <c r="DI98" t="n">
        <v>59.2</v>
      </c>
      <c r="DJ98" t="n">
        <v>33</v>
      </c>
      <c r="DK98" t="n">
        <v>38.5</v>
      </c>
      <c r="DL98" t="n">
        <v>58.4</v>
      </c>
      <c r="DM98" t="n">
        <v>56.4</v>
      </c>
      <c r="DN98" t="n">
        <v>0</v>
      </c>
      <c r="DO98" t="n">
        <v>0</v>
      </c>
      <c r="DP98" t="n">
        <v>0</v>
      </c>
      <c r="DQ98" t="n">
        <v>0</v>
      </c>
      <c r="DR98" t="n">
        <v>0</v>
      </c>
      <c r="DS98" t="n">
        <v>0</v>
      </c>
      <c r="DT98" t="n">
        <v>0</v>
      </c>
      <c r="DU98" t="n">
        <v>0</v>
      </c>
      <c r="DV98" t="inlineStr">
        <is>
          <t>(Contracts of 2,500  MMBTU'S)</t>
        </is>
      </c>
    </row>
    <row r="99">
      <c r="A99" t="inlineStr">
        <is>
          <t>HSC FIN BASIS - ICE FUTURES ENERGY DIV</t>
        </is>
      </c>
      <c r="B99" t="n">
        <v>230103</v>
      </c>
      <c r="C99" s="1" t="n">
        <v>44929</v>
      </c>
      <c r="D99" t="inlineStr">
        <is>
          <t>023398</t>
        </is>
      </c>
      <c r="E99" t="inlineStr">
        <is>
          <t>IFED</t>
        </is>
      </c>
      <c r="F99" t="inlineStr">
        <is>
          <t>01</t>
        </is>
      </c>
      <c r="G99" t="inlineStr">
        <is>
          <t xml:space="preserve">023 </t>
        </is>
      </c>
      <c r="H99" t="n">
        <v>543538</v>
      </c>
      <c r="I99" s="17" t="n">
        <v>1502</v>
      </c>
      <c r="J99" s="17" t="n">
        <v>25180</v>
      </c>
      <c r="K99" t="n">
        <v>4605</v>
      </c>
      <c r="L99" t="n">
        <v>533024</v>
      </c>
      <c r="M99" t="n">
        <v>503727</v>
      </c>
      <c r="N99" t="n">
        <v>539131</v>
      </c>
      <c r="O99" t="n">
        <v>533512</v>
      </c>
      <c r="P99" t="n">
        <v>4407</v>
      </c>
      <c r="Q99" t="n">
        <v>10026</v>
      </c>
      <c r="R99" t="n">
        <v>543538</v>
      </c>
      <c r="S99" t="n">
        <v>1502</v>
      </c>
      <c r="T99" t="n">
        <v>25180</v>
      </c>
      <c r="U99" t="n">
        <v>4605</v>
      </c>
      <c r="V99" t="n">
        <v>533024</v>
      </c>
      <c r="W99" t="n">
        <v>503727</v>
      </c>
      <c r="X99" t="n">
        <v>539131</v>
      </c>
      <c r="Y99" t="n">
        <v>533512</v>
      </c>
      <c r="Z99" t="n">
        <v>4407</v>
      </c>
      <c r="AA99" t="n">
        <v>10026</v>
      </c>
      <c r="AB99" t="n">
        <v>0</v>
      </c>
      <c r="AC99" t="n">
        <v>0</v>
      </c>
      <c r="AD99" t="n">
        <v>0</v>
      </c>
      <c r="AE99" t="n">
        <v>0</v>
      </c>
      <c r="AF99" t="n">
        <v>0</v>
      </c>
      <c r="AG99" t="n">
        <v>0</v>
      </c>
      <c r="AH99" t="n">
        <v>0</v>
      </c>
      <c r="AI99" t="n">
        <v>0</v>
      </c>
      <c r="AJ99" t="n">
        <v>0</v>
      </c>
      <c r="AK99" t="n">
        <v>0</v>
      </c>
      <c r="AL99" t="n">
        <v>2263</v>
      </c>
      <c r="AM99" t="n">
        <v>589</v>
      </c>
      <c r="AN99" t="n">
        <v>-689</v>
      </c>
      <c r="AO99" t="n">
        <v>-1304</v>
      </c>
      <c r="AP99" t="n">
        <v>2862</v>
      </c>
      <c r="AQ99" t="n">
        <v>2575</v>
      </c>
      <c r="AR99" t="n">
        <v>2147</v>
      </c>
      <c r="AS99" t="n">
        <v>582</v>
      </c>
      <c r="AT99" t="n">
        <v>116</v>
      </c>
      <c r="AU99" t="n">
        <v>1681</v>
      </c>
      <c r="AV99" t="n">
        <v>100</v>
      </c>
      <c r="AW99" t="n">
        <v>0.3</v>
      </c>
      <c r="AX99" t="n">
        <v>4.6</v>
      </c>
      <c r="AY99" t="n">
        <v>0.8</v>
      </c>
      <c r="AZ99" t="n">
        <v>98.09999999999999</v>
      </c>
      <c r="BA99" t="n">
        <v>92.7</v>
      </c>
      <c r="BB99" t="n">
        <v>99.2</v>
      </c>
      <c r="BC99" t="n">
        <v>98.2</v>
      </c>
      <c r="BD99" t="n">
        <v>0.8</v>
      </c>
      <c r="BE99" t="n">
        <v>1.8</v>
      </c>
      <c r="BF99" t="n">
        <v>100</v>
      </c>
      <c r="BG99" t="n">
        <v>0.3</v>
      </c>
      <c r="BH99" t="n">
        <v>4.6</v>
      </c>
      <c r="BI99" t="n">
        <v>0.8</v>
      </c>
      <c r="BJ99" t="n">
        <v>98.09999999999999</v>
      </c>
      <c r="BK99" t="n">
        <v>92.7</v>
      </c>
      <c r="BL99" t="n">
        <v>99.2</v>
      </c>
      <c r="BM99" t="n">
        <v>98.2</v>
      </c>
      <c r="BN99" t="n">
        <v>0.8</v>
      </c>
      <c r="BO99" t="n">
        <v>1.8</v>
      </c>
      <c r="BP99" t="n">
        <v>0</v>
      </c>
      <c r="BQ99" t="n">
        <v>0</v>
      </c>
      <c r="BR99" t="n">
        <v>0</v>
      </c>
      <c r="BS99" t="n">
        <v>0</v>
      </c>
      <c r="BT99" t="n">
        <v>0</v>
      </c>
      <c r="BU99" t="n">
        <v>0</v>
      </c>
      <c r="BV99" t="n">
        <v>0</v>
      </c>
      <c r="BW99" t="n">
        <v>0</v>
      </c>
      <c r="BX99" t="n">
        <v>0</v>
      </c>
      <c r="BY99" t="n">
        <v>0</v>
      </c>
      <c r="BZ99" t="n">
        <v>66</v>
      </c>
      <c r="CA99" t="n">
        <v>2</v>
      </c>
      <c r="CB99" t="n">
        <v>5</v>
      </c>
      <c r="CC99" t="n">
        <v>5</v>
      </c>
      <c r="CD99" t="n">
        <v>46</v>
      </c>
      <c r="CE99" t="n">
        <v>47</v>
      </c>
      <c r="CF99" t="n">
        <v>52</v>
      </c>
      <c r="CG99" t="n">
        <v>53</v>
      </c>
      <c r="CH99" t="n">
        <v>66</v>
      </c>
      <c r="CI99" t="n">
        <v>2</v>
      </c>
      <c r="CJ99" t="n">
        <v>5</v>
      </c>
      <c r="CK99" t="n">
        <v>5</v>
      </c>
      <c r="CL99" t="n">
        <v>46</v>
      </c>
      <c r="CM99" t="n">
        <v>47</v>
      </c>
      <c r="CN99" t="n">
        <v>52</v>
      </c>
      <c r="CO99" t="n">
        <v>53</v>
      </c>
      <c r="CP99" t="n">
        <v>0</v>
      </c>
      <c r="CQ99" t="n">
        <v>0</v>
      </c>
      <c r="CR99" t="n">
        <v>0</v>
      </c>
      <c r="CS99" t="n">
        <v>0</v>
      </c>
      <c r="CT99" t="n">
        <v>0</v>
      </c>
      <c r="CU99" t="n">
        <v>0</v>
      </c>
      <c r="CV99" t="n">
        <v>0</v>
      </c>
      <c r="CW99" t="n">
        <v>0</v>
      </c>
      <c r="CX99" t="n">
        <v>36.5</v>
      </c>
      <c r="CY99" t="n">
        <v>35.8</v>
      </c>
      <c r="CZ99" t="n">
        <v>64.09999999999999</v>
      </c>
      <c r="DA99" t="n">
        <v>54</v>
      </c>
      <c r="DB99" t="n">
        <v>35.1</v>
      </c>
      <c r="DC99" t="n">
        <v>35.1</v>
      </c>
      <c r="DD99" t="n">
        <v>60.7</v>
      </c>
      <c r="DE99" t="n">
        <v>52.2</v>
      </c>
      <c r="DF99" t="n">
        <v>36.5</v>
      </c>
      <c r="DG99" t="n">
        <v>35.8</v>
      </c>
      <c r="DH99" t="n">
        <v>64.09999999999999</v>
      </c>
      <c r="DI99" t="n">
        <v>54</v>
      </c>
      <c r="DJ99" t="n">
        <v>35.1</v>
      </c>
      <c r="DK99" t="n">
        <v>35.1</v>
      </c>
      <c r="DL99" t="n">
        <v>60.7</v>
      </c>
      <c r="DM99" t="n">
        <v>52.2</v>
      </c>
      <c r="DN99" t="n">
        <v>0</v>
      </c>
      <c r="DO99" t="n">
        <v>0</v>
      </c>
      <c r="DP99" t="n">
        <v>0</v>
      </c>
      <c r="DQ99" t="n">
        <v>0</v>
      </c>
      <c r="DR99" t="n">
        <v>0</v>
      </c>
      <c r="DS99" t="n">
        <v>0</v>
      </c>
      <c r="DT99" t="n">
        <v>0</v>
      </c>
      <c r="DU99" t="n">
        <v>0</v>
      </c>
      <c r="DV99" t="inlineStr">
        <is>
          <t>(Contracts of 2,500  MMBTU'S)</t>
        </is>
      </c>
    </row>
    <row r="100">
      <c r="A100" t="inlineStr">
        <is>
          <t>WAHA FIN BASIS - ICE FUTURES ENERGY DIV</t>
        </is>
      </c>
      <c r="B100" t="n">
        <v>230110</v>
      </c>
      <c r="C100" s="1" t="n">
        <v>44936</v>
      </c>
      <c r="D100" t="inlineStr">
        <is>
          <t>023399</t>
        </is>
      </c>
      <c r="E100" t="inlineStr">
        <is>
          <t>IFED</t>
        </is>
      </c>
      <c r="F100" t="inlineStr">
        <is>
          <t>01</t>
        </is>
      </c>
      <c r="G100" t="inlineStr">
        <is>
          <t xml:space="preserve">023 </t>
        </is>
      </c>
      <c r="H100" t="n">
        <v>534743</v>
      </c>
      <c r="I100" s="17" t="n">
        <v>3326</v>
      </c>
      <c r="J100" s="17" t="n">
        <v>10279</v>
      </c>
      <c r="K100" t="n">
        <v>8390</v>
      </c>
      <c r="L100" t="n">
        <v>512997</v>
      </c>
      <c r="M100" t="n">
        <v>505445</v>
      </c>
      <c r="N100" t="n">
        <v>524713</v>
      </c>
      <c r="O100" t="n">
        <v>524114</v>
      </c>
      <c r="P100" t="n">
        <v>10030</v>
      </c>
      <c r="Q100" t="n">
        <v>10629</v>
      </c>
      <c r="R100" t="n">
        <v>534743</v>
      </c>
      <c r="S100" t="n">
        <v>3326</v>
      </c>
      <c r="T100" t="n">
        <v>10279</v>
      </c>
      <c r="U100" t="n">
        <v>8390</v>
      </c>
      <c r="V100" t="n">
        <v>512997</v>
      </c>
      <c r="W100" t="n">
        <v>505445</v>
      </c>
      <c r="X100" t="n">
        <v>524713</v>
      </c>
      <c r="Y100" t="n">
        <v>524114</v>
      </c>
      <c r="Z100" t="n">
        <v>10030</v>
      </c>
      <c r="AA100" t="n">
        <v>10629</v>
      </c>
      <c r="AB100" t="n">
        <v>0</v>
      </c>
      <c r="AC100" t="n">
        <v>0</v>
      </c>
      <c r="AD100" t="n">
        <v>0</v>
      </c>
      <c r="AE100" t="n">
        <v>0</v>
      </c>
      <c r="AF100" t="n">
        <v>0</v>
      </c>
      <c r="AG100" t="n">
        <v>0</v>
      </c>
      <c r="AH100" t="n">
        <v>0</v>
      </c>
      <c r="AI100" t="n">
        <v>0</v>
      </c>
      <c r="AJ100" t="n">
        <v>0</v>
      </c>
      <c r="AK100" t="n">
        <v>0</v>
      </c>
      <c r="AL100" t="n">
        <v>-11916</v>
      </c>
      <c r="AM100" t="n">
        <v>1149</v>
      </c>
      <c r="AN100" t="n">
        <v>-4345</v>
      </c>
      <c r="AO100" t="n">
        <v>-1321</v>
      </c>
      <c r="AP100" t="n">
        <v>-12702</v>
      </c>
      <c r="AQ100" t="n">
        <v>-9975</v>
      </c>
      <c r="AR100" t="n">
        <v>-12874</v>
      </c>
      <c r="AS100" t="n">
        <v>-15641</v>
      </c>
      <c r="AT100" t="n">
        <v>958</v>
      </c>
      <c r="AU100" t="n">
        <v>3725</v>
      </c>
      <c r="AV100" t="n">
        <v>100</v>
      </c>
      <c r="AW100" t="n">
        <v>0.6</v>
      </c>
      <c r="AX100" t="n">
        <v>1.9</v>
      </c>
      <c r="AY100" t="n">
        <v>1.6</v>
      </c>
      <c r="AZ100" t="n">
        <v>95.90000000000001</v>
      </c>
      <c r="BA100" t="n">
        <v>94.5</v>
      </c>
      <c r="BB100" t="n">
        <v>98.09999999999999</v>
      </c>
      <c r="BC100" t="n">
        <v>98</v>
      </c>
      <c r="BD100" t="n">
        <v>1.9</v>
      </c>
      <c r="BE100" t="n">
        <v>2</v>
      </c>
      <c r="BF100" t="n">
        <v>100</v>
      </c>
      <c r="BG100" t="n">
        <v>0.6</v>
      </c>
      <c r="BH100" t="n">
        <v>1.9</v>
      </c>
      <c r="BI100" t="n">
        <v>1.6</v>
      </c>
      <c r="BJ100" t="n">
        <v>95.90000000000001</v>
      </c>
      <c r="BK100" t="n">
        <v>94.5</v>
      </c>
      <c r="BL100" t="n">
        <v>98.09999999999999</v>
      </c>
      <c r="BM100" t="n">
        <v>98</v>
      </c>
      <c r="BN100" t="n">
        <v>1.9</v>
      </c>
      <c r="BO100" t="n">
        <v>2</v>
      </c>
      <c r="BP100" t="n">
        <v>0</v>
      </c>
      <c r="BQ100" t="n">
        <v>0</v>
      </c>
      <c r="BR100" t="n">
        <v>0</v>
      </c>
      <c r="BS100" t="n">
        <v>0</v>
      </c>
      <c r="BT100" t="n">
        <v>0</v>
      </c>
      <c r="BU100" t="n">
        <v>0</v>
      </c>
      <c r="BV100" t="n">
        <v>0</v>
      </c>
      <c r="BW100" t="n">
        <v>0</v>
      </c>
      <c r="BX100" t="n">
        <v>0</v>
      </c>
      <c r="BY100" t="n">
        <v>0</v>
      </c>
      <c r="BZ100" t="n">
        <v>55</v>
      </c>
      <c r="CA100" t="n">
        <v>1</v>
      </c>
      <c r="CB100" t="n">
        <v>3</v>
      </c>
      <c r="CC100" t="n">
        <v>3</v>
      </c>
      <c r="CD100" t="n">
        <v>43</v>
      </c>
      <c r="CE100" t="n">
        <v>36</v>
      </c>
      <c r="CF100" t="n">
        <v>46</v>
      </c>
      <c r="CG100" t="n">
        <v>40</v>
      </c>
      <c r="CH100" t="n">
        <v>55</v>
      </c>
      <c r="CI100" t="n">
        <v>1</v>
      </c>
      <c r="CJ100" t="n">
        <v>3</v>
      </c>
      <c r="CK100" t="n">
        <v>3</v>
      </c>
      <c r="CL100" t="n">
        <v>43</v>
      </c>
      <c r="CM100" t="n">
        <v>36</v>
      </c>
      <c r="CN100" t="n">
        <v>46</v>
      </c>
      <c r="CO100" t="n">
        <v>40</v>
      </c>
      <c r="CP100" t="n">
        <v>0</v>
      </c>
      <c r="CQ100" t="n">
        <v>0</v>
      </c>
      <c r="CR100" t="n">
        <v>0</v>
      </c>
      <c r="CS100" t="n">
        <v>0</v>
      </c>
      <c r="CT100" t="n">
        <v>0</v>
      </c>
      <c r="CU100" t="n">
        <v>0</v>
      </c>
      <c r="CV100" t="n">
        <v>0</v>
      </c>
      <c r="CW100" t="n">
        <v>0</v>
      </c>
      <c r="CX100" t="n">
        <v>38.1</v>
      </c>
      <c r="CY100" t="n">
        <v>48.5</v>
      </c>
      <c r="CZ100" t="n">
        <v>64.40000000000001</v>
      </c>
      <c r="DA100" t="n">
        <v>69.59999999999999</v>
      </c>
      <c r="DB100" t="n">
        <v>35.8</v>
      </c>
      <c r="DC100" t="n">
        <v>47</v>
      </c>
      <c r="DD100" t="n">
        <v>56.9</v>
      </c>
      <c r="DE100" t="n">
        <v>59.5</v>
      </c>
      <c r="DF100" t="n">
        <v>38.1</v>
      </c>
      <c r="DG100" t="n">
        <v>48.5</v>
      </c>
      <c r="DH100" t="n">
        <v>64.40000000000001</v>
      </c>
      <c r="DI100" t="n">
        <v>69.59999999999999</v>
      </c>
      <c r="DJ100" t="n">
        <v>35.8</v>
      </c>
      <c r="DK100" t="n">
        <v>47</v>
      </c>
      <c r="DL100" t="n">
        <v>56.9</v>
      </c>
      <c r="DM100" t="n">
        <v>59.5</v>
      </c>
      <c r="DN100" t="n">
        <v>0</v>
      </c>
      <c r="DO100" t="n">
        <v>0</v>
      </c>
      <c r="DP100" t="n">
        <v>0</v>
      </c>
      <c r="DQ100" t="n">
        <v>0</v>
      </c>
      <c r="DR100" t="n">
        <v>0</v>
      </c>
      <c r="DS100" t="n">
        <v>0</v>
      </c>
      <c r="DT100" t="n">
        <v>0</v>
      </c>
      <c r="DU100" t="n">
        <v>0</v>
      </c>
      <c r="DV100" t="inlineStr">
        <is>
          <t>(Contracts of 2,500  MMBTU'S)</t>
        </is>
      </c>
    </row>
    <row r="101">
      <c r="A101" t="inlineStr">
        <is>
          <t>WAHA FIN BASIS - ICE FUTURES ENERGY DIV</t>
        </is>
      </c>
      <c r="B101" t="n">
        <v>230103</v>
      </c>
      <c r="C101" s="1" t="n">
        <v>44929</v>
      </c>
      <c r="D101" t="inlineStr">
        <is>
          <t>023399</t>
        </is>
      </c>
      <c r="E101" t="inlineStr">
        <is>
          <t>IFED</t>
        </is>
      </c>
      <c r="F101" t="inlineStr">
        <is>
          <t>01</t>
        </is>
      </c>
      <c r="G101" t="inlineStr">
        <is>
          <t xml:space="preserve">023 </t>
        </is>
      </c>
      <c r="H101" t="n">
        <v>546659</v>
      </c>
      <c r="I101" s="17" t="n">
        <v>2177</v>
      </c>
      <c r="J101" s="17" t="n">
        <v>14624</v>
      </c>
      <c r="K101" t="n">
        <v>9711</v>
      </c>
      <c r="L101" t="n">
        <v>525699</v>
      </c>
      <c r="M101" t="n">
        <v>515420</v>
      </c>
      <c r="N101" t="n">
        <v>537587</v>
      </c>
      <c r="O101" t="n">
        <v>539755</v>
      </c>
      <c r="P101" t="n">
        <v>9072</v>
      </c>
      <c r="Q101" t="n">
        <v>6904</v>
      </c>
      <c r="R101" t="n">
        <v>546659</v>
      </c>
      <c r="S101" t="n">
        <v>2177</v>
      </c>
      <c r="T101" t="n">
        <v>14624</v>
      </c>
      <c r="U101" t="n">
        <v>9711</v>
      </c>
      <c r="V101" t="n">
        <v>525699</v>
      </c>
      <c r="W101" t="n">
        <v>515420</v>
      </c>
      <c r="X101" t="n">
        <v>537587</v>
      </c>
      <c r="Y101" t="n">
        <v>539755</v>
      </c>
      <c r="Z101" t="n">
        <v>9072</v>
      </c>
      <c r="AA101" t="n">
        <v>6904</v>
      </c>
      <c r="AB101" t="n">
        <v>0</v>
      </c>
      <c r="AC101" t="n">
        <v>0</v>
      </c>
      <c r="AD101" t="n">
        <v>0</v>
      </c>
      <c r="AE101" t="n">
        <v>0</v>
      </c>
      <c r="AF101" t="n">
        <v>0</v>
      </c>
      <c r="AG101" t="n">
        <v>0</v>
      </c>
      <c r="AH101" t="n">
        <v>0</v>
      </c>
      <c r="AI101" t="n">
        <v>0</v>
      </c>
      <c r="AJ101" t="n">
        <v>0</v>
      </c>
      <c r="AK101" t="n">
        <v>0</v>
      </c>
      <c r="AL101" t="n">
        <v>2466</v>
      </c>
      <c r="AM101" t="n">
        <v>1389</v>
      </c>
      <c r="AN101" t="n">
        <v>-720</v>
      </c>
      <c r="AO101" t="n">
        <v>497</v>
      </c>
      <c r="AP101" t="n">
        <v>321</v>
      </c>
      <c r="AQ101" t="n">
        <v>2664</v>
      </c>
      <c r="AR101" t="n">
        <v>2207</v>
      </c>
      <c r="AS101" t="n">
        <v>2441</v>
      </c>
      <c r="AT101" t="n">
        <v>259</v>
      </c>
      <c r="AU101" t="n">
        <v>25</v>
      </c>
      <c r="AV101" t="n">
        <v>100</v>
      </c>
      <c r="AW101" t="n">
        <v>0.4</v>
      </c>
      <c r="AX101" t="n">
        <v>2.7</v>
      </c>
      <c r="AY101" t="n">
        <v>1.8</v>
      </c>
      <c r="AZ101" t="n">
        <v>96.2</v>
      </c>
      <c r="BA101" t="n">
        <v>94.3</v>
      </c>
      <c r="BB101" t="n">
        <v>98.3</v>
      </c>
      <c r="BC101" t="n">
        <v>98.7</v>
      </c>
      <c r="BD101" t="n">
        <v>1.7</v>
      </c>
      <c r="BE101" t="n">
        <v>1.3</v>
      </c>
      <c r="BF101" t="n">
        <v>100</v>
      </c>
      <c r="BG101" t="n">
        <v>0.4</v>
      </c>
      <c r="BH101" t="n">
        <v>2.7</v>
      </c>
      <c r="BI101" t="n">
        <v>1.8</v>
      </c>
      <c r="BJ101" t="n">
        <v>96.2</v>
      </c>
      <c r="BK101" t="n">
        <v>94.3</v>
      </c>
      <c r="BL101" t="n">
        <v>98.3</v>
      </c>
      <c r="BM101" t="n">
        <v>98.7</v>
      </c>
      <c r="BN101" t="n">
        <v>1.7</v>
      </c>
      <c r="BO101" t="n">
        <v>1.3</v>
      </c>
      <c r="BP101" t="n">
        <v>0</v>
      </c>
      <c r="BQ101" t="n">
        <v>0</v>
      </c>
      <c r="BR101" t="n">
        <v>0</v>
      </c>
      <c r="BS101" t="n">
        <v>0</v>
      </c>
      <c r="BT101" t="n">
        <v>0</v>
      </c>
      <c r="BU101" t="n">
        <v>0</v>
      </c>
      <c r="BV101" t="n">
        <v>0</v>
      </c>
      <c r="BW101" t="n">
        <v>0</v>
      </c>
      <c r="BX101" t="n">
        <v>0</v>
      </c>
      <c r="BY101" t="n">
        <v>0</v>
      </c>
      <c r="BZ101" t="n">
        <v>64</v>
      </c>
      <c r="CA101" t="n">
        <v>1</v>
      </c>
      <c r="CB101" t="n">
        <v>9</v>
      </c>
      <c r="CC101" t="n">
        <v>5</v>
      </c>
      <c r="CD101" t="n">
        <v>44</v>
      </c>
      <c r="CE101" t="n">
        <v>39</v>
      </c>
      <c r="CF101" t="n">
        <v>49</v>
      </c>
      <c r="CG101" t="n">
        <v>49</v>
      </c>
      <c r="CH101" t="n">
        <v>64</v>
      </c>
      <c r="CI101" t="n">
        <v>1</v>
      </c>
      <c r="CJ101" t="n">
        <v>9</v>
      </c>
      <c r="CK101" t="n">
        <v>5</v>
      </c>
      <c r="CL101" t="n">
        <v>44</v>
      </c>
      <c r="CM101" t="n">
        <v>39</v>
      </c>
      <c r="CN101" t="n">
        <v>49</v>
      </c>
      <c r="CO101" t="n">
        <v>49</v>
      </c>
      <c r="CP101" t="n">
        <v>0</v>
      </c>
      <c r="CQ101" t="n">
        <v>0</v>
      </c>
      <c r="CR101" t="n">
        <v>0</v>
      </c>
      <c r="CS101" t="n">
        <v>0</v>
      </c>
      <c r="CT101" t="n">
        <v>0</v>
      </c>
      <c r="CU101" t="n">
        <v>0</v>
      </c>
      <c r="CV101" t="n">
        <v>0</v>
      </c>
      <c r="CW101" t="n">
        <v>0</v>
      </c>
      <c r="CX101" t="n">
        <v>36.8</v>
      </c>
      <c r="CY101" t="n">
        <v>46.7</v>
      </c>
      <c r="CZ101" t="n">
        <v>62.9</v>
      </c>
      <c r="DA101" t="n">
        <v>67</v>
      </c>
      <c r="DB101" t="n">
        <v>36.5</v>
      </c>
      <c r="DC101" t="n">
        <v>44.8</v>
      </c>
      <c r="DD101" t="n">
        <v>55.8</v>
      </c>
      <c r="DE101" t="n">
        <v>57.4</v>
      </c>
      <c r="DF101" t="n">
        <v>36.8</v>
      </c>
      <c r="DG101" t="n">
        <v>46.7</v>
      </c>
      <c r="DH101" t="n">
        <v>62.9</v>
      </c>
      <c r="DI101" t="n">
        <v>67</v>
      </c>
      <c r="DJ101" t="n">
        <v>36.5</v>
      </c>
      <c r="DK101" t="n">
        <v>44.8</v>
      </c>
      <c r="DL101" t="n">
        <v>55.8</v>
      </c>
      <c r="DM101" t="n">
        <v>57.4</v>
      </c>
      <c r="DN101" t="n">
        <v>0</v>
      </c>
      <c r="DO101" t="n">
        <v>0</v>
      </c>
      <c r="DP101" t="n">
        <v>0</v>
      </c>
      <c r="DQ101" t="n">
        <v>0</v>
      </c>
      <c r="DR101" t="n">
        <v>0</v>
      </c>
      <c r="DS101" t="n">
        <v>0</v>
      </c>
      <c r="DT101" t="n">
        <v>0</v>
      </c>
      <c r="DU101" t="n">
        <v>0</v>
      </c>
      <c r="DV101" t="inlineStr">
        <is>
          <t>(Contracts of 2,500  MMBTU'S)</t>
        </is>
      </c>
    </row>
    <row r="102">
      <c r="A102" t="inlineStr">
        <is>
          <t>CHICAGO CITYGATE (INDEX) - ICE FUTURES ENERGY DIV</t>
        </is>
      </c>
      <c r="B102" t="n">
        <v>230110</v>
      </c>
      <c r="C102" s="1" t="n">
        <v>44936</v>
      </c>
      <c r="D102" t="inlineStr">
        <is>
          <t>02339Q</t>
        </is>
      </c>
      <c r="E102" t="inlineStr">
        <is>
          <t>IFED</t>
        </is>
      </c>
      <c r="F102" t="inlineStr">
        <is>
          <t>01</t>
        </is>
      </c>
      <c r="G102" t="inlineStr">
        <is>
          <t xml:space="preserve">023 </t>
        </is>
      </c>
      <c r="H102" t="n">
        <v>52589</v>
      </c>
      <c r="I102" s="17" t="n">
        <v>2454</v>
      </c>
      <c r="J102" s="17" t="n">
        <v>775</v>
      </c>
      <c r="K102" t="n">
        <v>0</v>
      </c>
      <c r="L102" t="n">
        <v>48143</v>
      </c>
      <c r="M102" t="n">
        <v>50598</v>
      </c>
      <c r="N102" t="n">
        <v>50597</v>
      </c>
      <c r="O102" t="n">
        <v>51373</v>
      </c>
      <c r="P102" t="n">
        <v>1992</v>
      </c>
      <c r="Q102" t="n">
        <v>1216</v>
      </c>
      <c r="R102" t="n">
        <v>52589</v>
      </c>
      <c r="S102" t="n">
        <v>2454</v>
      </c>
      <c r="T102" t="n">
        <v>775</v>
      </c>
      <c r="U102" t="n">
        <v>0</v>
      </c>
      <c r="V102" t="n">
        <v>48143</v>
      </c>
      <c r="W102" t="n">
        <v>50598</v>
      </c>
      <c r="X102" t="n">
        <v>50597</v>
      </c>
      <c r="Y102" t="n">
        <v>51373</v>
      </c>
      <c r="Z102" t="n">
        <v>1992</v>
      </c>
      <c r="AA102" t="n">
        <v>1216</v>
      </c>
      <c r="AB102" t="n">
        <v>0</v>
      </c>
      <c r="AC102" t="n">
        <v>0</v>
      </c>
      <c r="AD102" t="n">
        <v>0</v>
      </c>
      <c r="AE102" t="n">
        <v>0</v>
      </c>
      <c r="AF102" t="n">
        <v>0</v>
      </c>
      <c r="AG102" t="n">
        <v>0</v>
      </c>
      <c r="AH102" t="n">
        <v>0</v>
      </c>
      <c r="AI102" t="n">
        <v>0</v>
      </c>
      <c r="AJ102" t="n">
        <v>0</v>
      </c>
      <c r="AK102" t="n">
        <v>0</v>
      </c>
      <c r="AL102" t="n">
        <v>-12158</v>
      </c>
      <c r="AM102" t="n">
        <v>-818</v>
      </c>
      <c r="AN102" t="n">
        <v>0</v>
      </c>
      <c r="AO102" t="n">
        <v>-236</v>
      </c>
      <c r="AP102" t="n">
        <v>-11212</v>
      </c>
      <c r="AQ102" t="n">
        <v>-12087</v>
      </c>
      <c r="AR102" t="n">
        <v>-12266</v>
      </c>
      <c r="AS102" t="n">
        <v>-12323</v>
      </c>
      <c r="AT102" t="n">
        <v>108</v>
      </c>
      <c r="AU102" t="n">
        <v>165</v>
      </c>
      <c r="AV102" t="n">
        <v>100</v>
      </c>
      <c r="AW102" t="n">
        <v>4.7</v>
      </c>
      <c r="AX102" t="n">
        <v>1.5</v>
      </c>
      <c r="AY102" t="n">
        <v>0</v>
      </c>
      <c r="AZ102" t="n">
        <v>91.5</v>
      </c>
      <c r="BA102" t="n">
        <v>96.2</v>
      </c>
      <c r="BB102" t="n">
        <v>96.2</v>
      </c>
      <c r="BC102" t="n">
        <v>97.7</v>
      </c>
      <c r="BD102" t="n">
        <v>3.8</v>
      </c>
      <c r="BE102" t="n">
        <v>2.3</v>
      </c>
      <c r="BF102" t="n">
        <v>100</v>
      </c>
      <c r="BG102" t="n">
        <v>4.7</v>
      </c>
      <c r="BH102" t="n">
        <v>1.5</v>
      </c>
      <c r="BI102" t="n">
        <v>0</v>
      </c>
      <c r="BJ102" t="n">
        <v>91.5</v>
      </c>
      <c r="BK102" t="n">
        <v>96.2</v>
      </c>
      <c r="BL102" t="n">
        <v>96.2</v>
      </c>
      <c r="BM102" t="n">
        <v>97.7</v>
      </c>
      <c r="BN102" t="n">
        <v>3.8</v>
      </c>
      <c r="BO102" t="n">
        <v>2.3</v>
      </c>
      <c r="BP102" t="n">
        <v>0</v>
      </c>
      <c r="BQ102" t="n">
        <v>0</v>
      </c>
      <c r="BR102" t="n">
        <v>0</v>
      </c>
      <c r="BS102" t="n">
        <v>0</v>
      </c>
      <c r="BT102" t="n">
        <v>0</v>
      </c>
      <c r="BU102" t="n">
        <v>0</v>
      </c>
      <c r="BV102" t="n">
        <v>0</v>
      </c>
      <c r="BW102" t="n">
        <v>0</v>
      </c>
      <c r="BX102" t="n">
        <v>0</v>
      </c>
      <c r="BY102" t="n">
        <v>0</v>
      </c>
      <c r="BZ102" t="n">
        <v>36</v>
      </c>
      <c r="CA102" t="n">
        <v>1</v>
      </c>
      <c r="CB102" t="n">
        <v>1</v>
      </c>
      <c r="CC102" t="n">
        <v>0</v>
      </c>
      <c r="CD102" t="n">
        <v>24</v>
      </c>
      <c r="CE102" t="n">
        <v>16</v>
      </c>
      <c r="CF102" t="n">
        <v>25</v>
      </c>
      <c r="CG102" t="n">
        <v>17</v>
      </c>
      <c r="CH102" t="n">
        <v>36</v>
      </c>
      <c r="CI102" t="n">
        <v>1</v>
      </c>
      <c r="CJ102" t="n">
        <v>1</v>
      </c>
      <c r="CK102" t="n">
        <v>0</v>
      </c>
      <c r="CL102" t="n">
        <v>24</v>
      </c>
      <c r="CM102" t="n">
        <v>16</v>
      </c>
      <c r="CN102" t="n">
        <v>25</v>
      </c>
      <c r="CO102" t="n">
        <v>17</v>
      </c>
      <c r="CP102" t="n">
        <v>0</v>
      </c>
      <c r="CQ102" t="n">
        <v>0</v>
      </c>
      <c r="CR102" t="n">
        <v>0</v>
      </c>
      <c r="CS102" t="n">
        <v>0</v>
      </c>
      <c r="CT102" t="n">
        <v>0</v>
      </c>
      <c r="CU102" t="n">
        <v>0</v>
      </c>
      <c r="CV102" t="n">
        <v>0</v>
      </c>
      <c r="CW102" t="n">
        <v>0</v>
      </c>
      <c r="CX102" t="n">
        <v>52</v>
      </c>
      <c r="CY102" t="n">
        <v>67.2</v>
      </c>
      <c r="CZ102" t="n">
        <v>70.3</v>
      </c>
      <c r="DA102" t="n">
        <v>84.7</v>
      </c>
      <c r="DB102" t="n">
        <v>48.9</v>
      </c>
      <c r="DC102" t="n">
        <v>67.2</v>
      </c>
      <c r="DD102" t="n">
        <v>64.90000000000001</v>
      </c>
      <c r="DE102" t="n">
        <v>82.7</v>
      </c>
      <c r="DF102" t="n">
        <v>52</v>
      </c>
      <c r="DG102" t="n">
        <v>67.2</v>
      </c>
      <c r="DH102" t="n">
        <v>70.3</v>
      </c>
      <c r="DI102" t="n">
        <v>84.7</v>
      </c>
      <c r="DJ102" t="n">
        <v>48.9</v>
      </c>
      <c r="DK102" t="n">
        <v>67.2</v>
      </c>
      <c r="DL102" t="n">
        <v>64.90000000000001</v>
      </c>
      <c r="DM102" t="n">
        <v>82.7</v>
      </c>
      <c r="DN102" t="n">
        <v>0</v>
      </c>
      <c r="DO102" t="n">
        <v>0</v>
      </c>
      <c r="DP102" t="n">
        <v>0</v>
      </c>
      <c r="DQ102" t="n">
        <v>0</v>
      </c>
      <c r="DR102" t="n">
        <v>0</v>
      </c>
      <c r="DS102" t="n">
        <v>0</v>
      </c>
      <c r="DT102" t="n">
        <v>0</v>
      </c>
      <c r="DU102" t="n">
        <v>0</v>
      </c>
      <c r="DV102" t="inlineStr">
        <is>
          <t>2500 mmbtu</t>
        </is>
      </c>
    </row>
    <row r="103">
      <c r="A103" t="inlineStr">
        <is>
          <t>CHICAGO CITYGATE (INDEX) - ICE FUTURES ENERGY DIV</t>
        </is>
      </c>
      <c r="B103" t="n">
        <v>230103</v>
      </c>
      <c r="C103" s="1" t="n">
        <v>44929</v>
      </c>
      <c r="D103" t="inlineStr">
        <is>
          <t>02339Q</t>
        </is>
      </c>
      <c r="E103" t="inlineStr">
        <is>
          <t>IFED</t>
        </is>
      </c>
      <c r="F103" t="inlineStr">
        <is>
          <t>01</t>
        </is>
      </c>
      <c r="G103" t="inlineStr">
        <is>
          <t xml:space="preserve">023 </t>
        </is>
      </c>
      <c r="H103" t="n">
        <v>64747</v>
      </c>
      <c r="I103" s="17" t="n">
        <v>3272</v>
      </c>
      <c r="J103" s="17" t="n">
        <v>775</v>
      </c>
      <c r="K103" t="n">
        <v>236</v>
      </c>
      <c r="L103" t="n">
        <v>59355</v>
      </c>
      <c r="M103" t="n">
        <v>62685</v>
      </c>
      <c r="N103" t="n">
        <v>62863</v>
      </c>
      <c r="O103" t="n">
        <v>63696</v>
      </c>
      <c r="P103" t="n">
        <v>1884</v>
      </c>
      <c r="Q103" t="n">
        <v>1051</v>
      </c>
      <c r="R103" t="n">
        <v>64747</v>
      </c>
      <c r="S103" t="n">
        <v>3272</v>
      </c>
      <c r="T103" t="n">
        <v>775</v>
      </c>
      <c r="U103" t="n">
        <v>236</v>
      </c>
      <c r="V103" t="n">
        <v>59355</v>
      </c>
      <c r="W103" t="n">
        <v>62685</v>
      </c>
      <c r="X103" t="n">
        <v>62863</v>
      </c>
      <c r="Y103" t="n">
        <v>63696</v>
      </c>
      <c r="Z103" t="n">
        <v>1884</v>
      </c>
      <c r="AA103" t="n">
        <v>1051</v>
      </c>
      <c r="AB103" t="n">
        <v>0</v>
      </c>
      <c r="AC103" t="n">
        <v>0</v>
      </c>
      <c r="AD103" t="n">
        <v>0</v>
      </c>
      <c r="AE103" t="n">
        <v>0</v>
      </c>
      <c r="AF103" t="n">
        <v>0</v>
      </c>
      <c r="AG103" t="n">
        <v>0</v>
      </c>
      <c r="AH103" t="n">
        <v>0</v>
      </c>
      <c r="AI103" t="n">
        <v>0</v>
      </c>
      <c r="AJ103" t="n">
        <v>0</v>
      </c>
      <c r="AK103" t="n">
        <v>0</v>
      </c>
      <c r="AL103" t="n">
        <v>62</v>
      </c>
      <c r="AM103" t="n">
        <v>341</v>
      </c>
      <c r="AN103" t="n">
        <v>124</v>
      </c>
      <c r="AO103" t="n">
        <v>-279</v>
      </c>
      <c r="AP103" t="n">
        <v>31</v>
      </c>
      <c r="AQ103" t="n">
        <v>93</v>
      </c>
      <c r="AR103" t="n">
        <v>93</v>
      </c>
      <c r="AS103" t="n">
        <v>-62</v>
      </c>
      <c r="AT103" t="n">
        <v>-31</v>
      </c>
      <c r="AU103" t="n">
        <v>124</v>
      </c>
      <c r="AV103" t="n">
        <v>100</v>
      </c>
      <c r="AW103" t="n">
        <v>5.1</v>
      </c>
      <c r="AX103" t="n">
        <v>1.2</v>
      </c>
      <c r="AY103" t="n">
        <v>0.4</v>
      </c>
      <c r="AZ103" t="n">
        <v>91.7</v>
      </c>
      <c r="BA103" t="n">
        <v>96.8</v>
      </c>
      <c r="BB103" t="n">
        <v>97.09999999999999</v>
      </c>
      <c r="BC103" t="n">
        <v>98.40000000000001</v>
      </c>
      <c r="BD103" t="n">
        <v>2.9</v>
      </c>
      <c r="BE103" t="n">
        <v>1.6</v>
      </c>
      <c r="BF103" t="n">
        <v>100</v>
      </c>
      <c r="BG103" t="n">
        <v>5.1</v>
      </c>
      <c r="BH103" t="n">
        <v>1.2</v>
      </c>
      <c r="BI103" t="n">
        <v>0.4</v>
      </c>
      <c r="BJ103" t="n">
        <v>91.7</v>
      </c>
      <c r="BK103" t="n">
        <v>96.8</v>
      </c>
      <c r="BL103" t="n">
        <v>97.09999999999999</v>
      </c>
      <c r="BM103" t="n">
        <v>98.40000000000001</v>
      </c>
      <c r="BN103" t="n">
        <v>2.9</v>
      </c>
      <c r="BO103" t="n">
        <v>1.6</v>
      </c>
      <c r="BP103" t="n">
        <v>0</v>
      </c>
      <c r="BQ103" t="n">
        <v>0</v>
      </c>
      <c r="BR103" t="n">
        <v>0</v>
      </c>
      <c r="BS103" t="n">
        <v>0</v>
      </c>
      <c r="BT103" t="n">
        <v>0</v>
      </c>
      <c r="BU103" t="n">
        <v>0</v>
      </c>
      <c r="BV103" t="n">
        <v>0</v>
      </c>
      <c r="BW103" t="n">
        <v>0</v>
      </c>
      <c r="BX103" t="n">
        <v>0</v>
      </c>
      <c r="BY103" t="n">
        <v>0</v>
      </c>
      <c r="BZ103" t="n">
        <v>39</v>
      </c>
      <c r="CA103" t="n">
        <v>2</v>
      </c>
      <c r="CB103" t="n">
        <v>1</v>
      </c>
      <c r="CC103" t="n">
        <v>1</v>
      </c>
      <c r="CD103" t="n">
        <v>28</v>
      </c>
      <c r="CE103" t="n">
        <v>16</v>
      </c>
      <c r="CF103" t="n">
        <v>30</v>
      </c>
      <c r="CG103" t="n">
        <v>18</v>
      </c>
      <c r="CH103" t="n">
        <v>39</v>
      </c>
      <c r="CI103" t="n">
        <v>2</v>
      </c>
      <c r="CJ103" t="n">
        <v>1</v>
      </c>
      <c r="CK103" t="n">
        <v>1</v>
      </c>
      <c r="CL103" t="n">
        <v>28</v>
      </c>
      <c r="CM103" t="n">
        <v>16</v>
      </c>
      <c r="CN103" t="n">
        <v>30</v>
      </c>
      <c r="CO103" t="n">
        <v>18</v>
      </c>
      <c r="CP103" t="n">
        <v>0</v>
      </c>
      <c r="CQ103" t="n">
        <v>0</v>
      </c>
      <c r="CR103" t="n">
        <v>0</v>
      </c>
      <c r="CS103" t="n">
        <v>0</v>
      </c>
      <c r="CT103" t="n">
        <v>0</v>
      </c>
      <c r="CU103" t="n">
        <v>0</v>
      </c>
      <c r="CV103" t="n">
        <v>0</v>
      </c>
      <c r="CW103" t="n">
        <v>0</v>
      </c>
      <c r="CX103" t="n">
        <v>49.2</v>
      </c>
      <c r="CY103" t="n">
        <v>69.40000000000001</v>
      </c>
      <c r="CZ103" t="n">
        <v>66.5</v>
      </c>
      <c r="DA103" t="n">
        <v>87.2</v>
      </c>
      <c r="DB103" t="n">
        <v>47.4</v>
      </c>
      <c r="DC103" t="n">
        <v>69.40000000000001</v>
      </c>
      <c r="DD103" t="n">
        <v>63.9</v>
      </c>
      <c r="DE103" t="n">
        <v>83.5</v>
      </c>
      <c r="DF103" t="n">
        <v>49.2</v>
      </c>
      <c r="DG103" t="n">
        <v>69.40000000000001</v>
      </c>
      <c r="DH103" t="n">
        <v>66.5</v>
      </c>
      <c r="DI103" t="n">
        <v>87.2</v>
      </c>
      <c r="DJ103" t="n">
        <v>47.4</v>
      </c>
      <c r="DK103" t="n">
        <v>69.40000000000001</v>
      </c>
      <c r="DL103" t="n">
        <v>63.9</v>
      </c>
      <c r="DM103" t="n">
        <v>83.5</v>
      </c>
      <c r="DN103" t="n">
        <v>0</v>
      </c>
      <c r="DO103" t="n">
        <v>0</v>
      </c>
      <c r="DP103" t="n">
        <v>0</v>
      </c>
      <c r="DQ103" t="n">
        <v>0</v>
      </c>
      <c r="DR103" t="n">
        <v>0</v>
      </c>
      <c r="DS103" t="n">
        <v>0</v>
      </c>
      <c r="DT103" t="n">
        <v>0</v>
      </c>
      <c r="DU103" t="n">
        <v>0</v>
      </c>
      <c r="DV103" t="inlineStr">
        <is>
          <t>2500 mmbtu</t>
        </is>
      </c>
    </row>
    <row r="104">
      <c r="A104" t="inlineStr">
        <is>
          <t>CIG ROCKIES BASIS - ICE FUTURES ENERGY DIV</t>
        </is>
      </c>
      <c r="B104" t="n">
        <v>230110</v>
      </c>
      <c r="C104" s="1" t="n">
        <v>44936</v>
      </c>
      <c r="D104" t="inlineStr">
        <is>
          <t>02339U</t>
        </is>
      </c>
      <c r="E104" t="inlineStr">
        <is>
          <t>IFED</t>
        </is>
      </c>
      <c r="F104" t="inlineStr">
        <is>
          <t>01</t>
        </is>
      </c>
      <c r="G104" t="inlineStr">
        <is>
          <t xml:space="preserve">023 </t>
        </is>
      </c>
      <c r="H104" t="n">
        <v>361629</v>
      </c>
      <c r="I104" s="17" t="n">
        <v>0</v>
      </c>
      <c r="J104" s="17" t="n">
        <v>20866</v>
      </c>
      <c r="K104" t="n">
        <v>4196</v>
      </c>
      <c r="L104" t="n">
        <v>351526</v>
      </c>
      <c r="M104" t="n">
        <v>328699</v>
      </c>
      <c r="N104" t="n">
        <v>355722</v>
      </c>
      <c r="O104" t="n">
        <v>353761</v>
      </c>
      <c r="P104" t="n">
        <v>5907</v>
      </c>
      <c r="Q104" t="n">
        <v>7868</v>
      </c>
      <c r="R104" t="n">
        <v>361629</v>
      </c>
      <c r="S104" t="n">
        <v>0</v>
      </c>
      <c r="T104" t="n">
        <v>20866</v>
      </c>
      <c r="U104" t="n">
        <v>4196</v>
      </c>
      <c r="V104" t="n">
        <v>351526</v>
      </c>
      <c r="W104" t="n">
        <v>328699</v>
      </c>
      <c r="X104" t="n">
        <v>355722</v>
      </c>
      <c r="Y104" t="n">
        <v>353761</v>
      </c>
      <c r="Z104" t="n">
        <v>5907</v>
      </c>
      <c r="AA104" t="n">
        <v>7868</v>
      </c>
      <c r="AB104" t="n">
        <v>0</v>
      </c>
      <c r="AC104" t="n">
        <v>0</v>
      </c>
      <c r="AD104" t="n">
        <v>0</v>
      </c>
      <c r="AE104" t="n">
        <v>0</v>
      </c>
      <c r="AF104" t="n">
        <v>0</v>
      </c>
      <c r="AG104" t="n">
        <v>0</v>
      </c>
      <c r="AH104" t="n">
        <v>0</v>
      </c>
      <c r="AI104" t="n">
        <v>0</v>
      </c>
      <c r="AJ104" t="n">
        <v>0</v>
      </c>
      <c r="AK104" t="n">
        <v>0</v>
      </c>
      <c r="AL104" t="n">
        <v>4978</v>
      </c>
      <c r="AM104" t="n">
        <v>-1134</v>
      </c>
      <c r="AN104" t="n">
        <v>-2497</v>
      </c>
      <c r="AO104" t="n">
        <v>-975</v>
      </c>
      <c r="AP104" t="n">
        <v>6610</v>
      </c>
      <c r="AQ104" t="n">
        <v>7030</v>
      </c>
      <c r="AR104" t="n">
        <v>4501</v>
      </c>
      <c r="AS104" t="n">
        <v>3558</v>
      </c>
      <c r="AT104" t="n">
        <v>477</v>
      </c>
      <c r="AU104" t="n">
        <v>1420</v>
      </c>
      <c r="AV104" t="n">
        <v>100</v>
      </c>
      <c r="AW104" t="n">
        <v>0</v>
      </c>
      <c r="AX104" t="n">
        <v>5.8</v>
      </c>
      <c r="AY104" t="n">
        <v>1.2</v>
      </c>
      <c r="AZ104" t="n">
        <v>97.2</v>
      </c>
      <c r="BA104" t="n">
        <v>90.90000000000001</v>
      </c>
      <c r="BB104" t="n">
        <v>98.40000000000001</v>
      </c>
      <c r="BC104" t="n">
        <v>97.8</v>
      </c>
      <c r="BD104" t="n">
        <v>1.6</v>
      </c>
      <c r="BE104" t="n">
        <v>2.2</v>
      </c>
      <c r="BF104" t="n">
        <v>100</v>
      </c>
      <c r="BG104" t="n">
        <v>0</v>
      </c>
      <c r="BH104" t="n">
        <v>5.8</v>
      </c>
      <c r="BI104" t="n">
        <v>1.2</v>
      </c>
      <c r="BJ104" t="n">
        <v>97.2</v>
      </c>
      <c r="BK104" t="n">
        <v>90.90000000000001</v>
      </c>
      <c r="BL104" t="n">
        <v>98.40000000000001</v>
      </c>
      <c r="BM104" t="n">
        <v>97.8</v>
      </c>
      <c r="BN104" t="n">
        <v>1.6</v>
      </c>
      <c r="BO104" t="n">
        <v>2.2</v>
      </c>
      <c r="BP104" t="n">
        <v>0</v>
      </c>
      <c r="BQ104" t="n">
        <v>0</v>
      </c>
      <c r="BR104" t="n">
        <v>0</v>
      </c>
      <c r="BS104" t="n">
        <v>0</v>
      </c>
      <c r="BT104" t="n">
        <v>0</v>
      </c>
      <c r="BU104" t="n">
        <v>0</v>
      </c>
      <c r="BV104" t="n">
        <v>0</v>
      </c>
      <c r="BW104" t="n">
        <v>0</v>
      </c>
      <c r="BX104" t="n">
        <v>0</v>
      </c>
      <c r="BY104" t="n">
        <v>0</v>
      </c>
      <c r="BZ104" t="n">
        <v>40</v>
      </c>
      <c r="CA104" t="n">
        <v>0</v>
      </c>
      <c r="CB104" t="n">
        <v>1</v>
      </c>
      <c r="CC104" t="n">
        <v>1</v>
      </c>
      <c r="CD104" t="n">
        <v>27</v>
      </c>
      <c r="CE104" t="n">
        <v>27</v>
      </c>
      <c r="CF104" t="n">
        <v>28</v>
      </c>
      <c r="CG104" t="n">
        <v>28</v>
      </c>
      <c r="CH104" t="n">
        <v>40</v>
      </c>
      <c r="CI104" t="n">
        <v>0</v>
      </c>
      <c r="CJ104" t="n">
        <v>1</v>
      </c>
      <c r="CK104" t="n">
        <v>1</v>
      </c>
      <c r="CL104" t="n">
        <v>27</v>
      </c>
      <c r="CM104" t="n">
        <v>27</v>
      </c>
      <c r="CN104" t="n">
        <v>28</v>
      </c>
      <c r="CO104" t="n">
        <v>28</v>
      </c>
      <c r="CP104" t="n">
        <v>0</v>
      </c>
      <c r="CQ104" t="n">
        <v>0</v>
      </c>
      <c r="CR104" t="n">
        <v>0</v>
      </c>
      <c r="CS104" t="n">
        <v>0</v>
      </c>
      <c r="CT104" t="n">
        <v>0</v>
      </c>
      <c r="CU104" t="n">
        <v>0</v>
      </c>
      <c r="CV104" t="n">
        <v>0</v>
      </c>
      <c r="CW104" t="n">
        <v>0</v>
      </c>
      <c r="CX104" t="n">
        <v>63.4</v>
      </c>
      <c r="CY104" t="n">
        <v>66.7</v>
      </c>
      <c r="CZ104" t="n">
        <v>78.59999999999999</v>
      </c>
      <c r="DA104" t="n">
        <v>83.2</v>
      </c>
      <c r="DB104" t="n">
        <v>59.4</v>
      </c>
      <c r="DC104" t="n">
        <v>64.59999999999999</v>
      </c>
      <c r="DD104" t="n">
        <v>73.90000000000001</v>
      </c>
      <c r="DE104" t="n">
        <v>81.09999999999999</v>
      </c>
      <c r="DF104" t="n">
        <v>63.4</v>
      </c>
      <c r="DG104" t="n">
        <v>66.7</v>
      </c>
      <c r="DH104" t="n">
        <v>78.59999999999999</v>
      </c>
      <c r="DI104" t="n">
        <v>83.2</v>
      </c>
      <c r="DJ104" t="n">
        <v>59.4</v>
      </c>
      <c r="DK104" t="n">
        <v>64.59999999999999</v>
      </c>
      <c r="DL104" t="n">
        <v>73.90000000000001</v>
      </c>
      <c r="DM104" t="n">
        <v>81.09999999999999</v>
      </c>
      <c r="DN104" t="n">
        <v>0</v>
      </c>
      <c r="DO104" t="n">
        <v>0</v>
      </c>
      <c r="DP104" t="n">
        <v>0</v>
      </c>
      <c r="DQ104" t="n">
        <v>0</v>
      </c>
      <c r="DR104" t="n">
        <v>0</v>
      </c>
      <c r="DS104" t="n">
        <v>0</v>
      </c>
      <c r="DT104" t="n">
        <v>0</v>
      </c>
      <c r="DU104" t="n">
        <v>0</v>
      </c>
      <c r="DV104" t="inlineStr">
        <is>
          <t>2500 mmbtu</t>
        </is>
      </c>
    </row>
    <row r="105">
      <c r="A105" t="inlineStr">
        <is>
          <t>CIG ROCKIES BASIS - ICE FUTURES ENERGY DIV</t>
        </is>
      </c>
      <c r="B105" t="n">
        <v>230103</v>
      </c>
      <c r="C105" s="1" t="n">
        <v>44929</v>
      </c>
      <c r="D105" t="inlineStr">
        <is>
          <t>02339U</t>
        </is>
      </c>
      <c r="E105" t="inlineStr">
        <is>
          <t>IFED</t>
        </is>
      </c>
      <c r="F105" t="inlineStr">
        <is>
          <t>01</t>
        </is>
      </c>
      <c r="G105" t="inlineStr">
        <is>
          <t xml:space="preserve">023 </t>
        </is>
      </c>
      <c r="H105" t="n">
        <v>356651</v>
      </c>
      <c r="I105" s="17" t="n">
        <v>1134</v>
      </c>
      <c r="J105" s="17" t="n">
        <v>23363</v>
      </c>
      <c r="K105" t="n">
        <v>5171</v>
      </c>
      <c r="L105" t="n">
        <v>344916</v>
      </c>
      <c r="M105" t="n">
        <v>321669</v>
      </c>
      <c r="N105" t="n">
        <v>351221</v>
      </c>
      <c r="O105" t="n">
        <v>350203</v>
      </c>
      <c r="P105" t="n">
        <v>5430</v>
      </c>
      <c r="Q105" t="n">
        <v>6448</v>
      </c>
      <c r="R105" t="n">
        <v>356651</v>
      </c>
      <c r="S105" t="n">
        <v>1134</v>
      </c>
      <c r="T105" t="n">
        <v>23363</v>
      </c>
      <c r="U105" t="n">
        <v>5171</v>
      </c>
      <c r="V105" t="n">
        <v>344916</v>
      </c>
      <c r="W105" t="n">
        <v>321669</v>
      </c>
      <c r="X105" t="n">
        <v>351221</v>
      </c>
      <c r="Y105" t="n">
        <v>350203</v>
      </c>
      <c r="Z105" t="n">
        <v>5430</v>
      </c>
      <c r="AA105" t="n">
        <v>6448</v>
      </c>
      <c r="AB105" t="n">
        <v>0</v>
      </c>
      <c r="AC105" t="n">
        <v>0</v>
      </c>
      <c r="AD105" t="n">
        <v>0</v>
      </c>
      <c r="AE105" t="n">
        <v>0</v>
      </c>
      <c r="AF105" t="n">
        <v>0</v>
      </c>
      <c r="AG105" t="n">
        <v>0</v>
      </c>
      <c r="AH105" t="n">
        <v>0</v>
      </c>
      <c r="AI105" t="n">
        <v>0</v>
      </c>
      <c r="AJ105" t="n">
        <v>0</v>
      </c>
      <c r="AK105" t="n">
        <v>0</v>
      </c>
      <c r="AL105" t="n">
        <v>3368</v>
      </c>
      <c r="AM105" t="n">
        <v>62</v>
      </c>
      <c r="AN105" t="n">
        <v>-1288</v>
      </c>
      <c r="AO105" t="n">
        <v>2808</v>
      </c>
      <c r="AP105" t="n">
        <v>245</v>
      </c>
      <c r="AQ105" t="n">
        <v>2163</v>
      </c>
      <c r="AR105" t="n">
        <v>3115</v>
      </c>
      <c r="AS105" t="n">
        <v>3683</v>
      </c>
      <c r="AT105" t="n">
        <v>253</v>
      </c>
      <c r="AU105" t="n">
        <v>-315</v>
      </c>
      <c r="AV105" t="n">
        <v>100</v>
      </c>
      <c r="AW105" t="n">
        <v>0.3</v>
      </c>
      <c r="AX105" t="n">
        <v>6.6</v>
      </c>
      <c r="AY105" t="n">
        <v>1.4</v>
      </c>
      <c r="AZ105" t="n">
        <v>96.7</v>
      </c>
      <c r="BA105" t="n">
        <v>90.2</v>
      </c>
      <c r="BB105" t="n">
        <v>98.5</v>
      </c>
      <c r="BC105" t="n">
        <v>98.2</v>
      </c>
      <c r="BD105" t="n">
        <v>1.5</v>
      </c>
      <c r="BE105" t="n">
        <v>1.8</v>
      </c>
      <c r="BF105" t="n">
        <v>100</v>
      </c>
      <c r="BG105" t="n">
        <v>0.3</v>
      </c>
      <c r="BH105" t="n">
        <v>6.6</v>
      </c>
      <c r="BI105" t="n">
        <v>1.4</v>
      </c>
      <c r="BJ105" t="n">
        <v>96.7</v>
      </c>
      <c r="BK105" t="n">
        <v>90.2</v>
      </c>
      <c r="BL105" t="n">
        <v>98.5</v>
      </c>
      <c r="BM105" t="n">
        <v>98.2</v>
      </c>
      <c r="BN105" t="n">
        <v>1.5</v>
      </c>
      <c r="BO105" t="n">
        <v>1.8</v>
      </c>
      <c r="BP105" t="n">
        <v>0</v>
      </c>
      <c r="BQ105" t="n">
        <v>0</v>
      </c>
      <c r="BR105" t="n">
        <v>0</v>
      </c>
      <c r="BS105" t="n">
        <v>0</v>
      </c>
      <c r="BT105" t="n">
        <v>0</v>
      </c>
      <c r="BU105" t="n">
        <v>0</v>
      </c>
      <c r="BV105" t="n">
        <v>0</v>
      </c>
      <c r="BW105" t="n">
        <v>0</v>
      </c>
      <c r="BX105" t="n">
        <v>0</v>
      </c>
      <c r="BY105" t="n">
        <v>0</v>
      </c>
      <c r="BZ105" t="n">
        <v>47</v>
      </c>
      <c r="CA105" t="n">
        <v>3</v>
      </c>
      <c r="CB105" t="n">
        <v>2</v>
      </c>
      <c r="CC105" t="n">
        <v>3</v>
      </c>
      <c r="CD105" t="n">
        <v>28</v>
      </c>
      <c r="CE105" t="n">
        <v>31</v>
      </c>
      <c r="CF105" t="n">
        <v>33</v>
      </c>
      <c r="CG105" t="n">
        <v>34</v>
      </c>
      <c r="CH105" t="n">
        <v>47</v>
      </c>
      <c r="CI105" t="n">
        <v>3</v>
      </c>
      <c r="CJ105" t="n">
        <v>2</v>
      </c>
      <c r="CK105" t="n">
        <v>3</v>
      </c>
      <c r="CL105" t="n">
        <v>28</v>
      </c>
      <c r="CM105" t="n">
        <v>31</v>
      </c>
      <c r="CN105" t="n">
        <v>33</v>
      </c>
      <c r="CO105" t="n">
        <v>34</v>
      </c>
      <c r="CP105" t="n">
        <v>0</v>
      </c>
      <c r="CQ105" t="n">
        <v>0</v>
      </c>
      <c r="CR105" t="n">
        <v>0</v>
      </c>
      <c r="CS105" t="n">
        <v>0</v>
      </c>
      <c r="CT105" t="n">
        <v>0</v>
      </c>
      <c r="CU105" t="n">
        <v>0</v>
      </c>
      <c r="CV105" t="n">
        <v>0</v>
      </c>
      <c r="CW105" t="n">
        <v>0</v>
      </c>
      <c r="CX105" t="n">
        <v>63</v>
      </c>
      <c r="CY105" t="n">
        <v>65.7</v>
      </c>
      <c r="CZ105" t="n">
        <v>78.7</v>
      </c>
      <c r="DA105" t="n">
        <v>82.5</v>
      </c>
      <c r="DB105" t="n">
        <v>59</v>
      </c>
      <c r="DC105" t="n">
        <v>63.6</v>
      </c>
      <c r="DD105" t="n">
        <v>74.5</v>
      </c>
      <c r="DE105" t="n">
        <v>80.3</v>
      </c>
      <c r="DF105" t="n">
        <v>63</v>
      </c>
      <c r="DG105" t="n">
        <v>65.7</v>
      </c>
      <c r="DH105" t="n">
        <v>78.7</v>
      </c>
      <c r="DI105" t="n">
        <v>82.5</v>
      </c>
      <c r="DJ105" t="n">
        <v>59</v>
      </c>
      <c r="DK105" t="n">
        <v>63.6</v>
      </c>
      <c r="DL105" t="n">
        <v>74.5</v>
      </c>
      <c r="DM105" t="n">
        <v>80.3</v>
      </c>
      <c r="DN105" t="n">
        <v>0</v>
      </c>
      <c r="DO105" t="n">
        <v>0</v>
      </c>
      <c r="DP105" t="n">
        <v>0</v>
      </c>
      <c r="DQ105" t="n">
        <v>0</v>
      </c>
      <c r="DR105" t="n">
        <v>0</v>
      </c>
      <c r="DS105" t="n">
        <v>0</v>
      </c>
      <c r="DT105" t="n">
        <v>0</v>
      </c>
      <c r="DU105" t="n">
        <v>0</v>
      </c>
      <c r="DV105" t="inlineStr">
        <is>
          <t>2500 mmbtu</t>
        </is>
      </c>
    </row>
    <row r="106">
      <c r="A106" t="inlineStr">
        <is>
          <t>TCO Basis - ICE FUTURES ENERGY DIV</t>
        </is>
      </c>
      <c r="B106" t="n">
        <v>230110</v>
      </c>
      <c r="C106" s="1" t="n">
        <v>44936</v>
      </c>
      <c r="D106" t="inlineStr">
        <is>
          <t>02339W</t>
        </is>
      </c>
      <c r="E106" t="inlineStr">
        <is>
          <t>IFED</t>
        </is>
      </c>
      <c r="F106" t="inlineStr">
        <is>
          <t>01</t>
        </is>
      </c>
      <c r="G106" t="inlineStr">
        <is>
          <t xml:space="preserve">023 </t>
        </is>
      </c>
      <c r="H106" t="n">
        <v>187908</v>
      </c>
      <c r="I106" s="17" t="n">
        <v>0</v>
      </c>
      <c r="J106" s="17" t="n">
        <v>2835</v>
      </c>
      <c r="K106" t="n">
        <v>0</v>
      </c>
      <c r="L106" t="n">
        <v>180246</v>
      </c>
      <c r="M106" t="n">
        <v>181855</v>
      </c>
      <c r="N106" t="n">
        <v>180246</v>
      </c>
      <c r="O106" t="n">
        <v>184690</v>
      </c>
      <c r="P106" t="n">
        <v>7662</v>
      </c>
      <c r="Q106" t="n">
        <v>3218</v>
      </c>
      <c r="R106" t="n">
        <v>187908</v>
      </c>
      <c r="S106" t="n">
        <v>0</v>
      </c>
      <c r="T106" t="n">
        <v>2835</v>
      </c>
      <c r="U106" t="n">
        <v>0</v>
      </c>
      <c r="V106" t="n">
        <v>180246</v>
      </c>
      <c r="W106" t="n">
        <v>181855</v>
      </c>
      <c r="X106" t="n">
        <v>180246</v>
      </c>
      <c r="Y106" t="n">
        <v>184690</v>
      </c>
      <c r="Z106" t="n">
        <v>7662</v>
      </c>
      <c r="AA106" t="n">
        <v>3218</v>
      </c>
      <c r="AB106" t="n">
        <v>0</v>
      </c>
      <c r="AC106" t="n">
        <v>0</v>
      </c>
      <c r="AD106" t="n">
        <v>0</v>
      </c>
      <c r="AE106" t="n">
        <v>0</v>
      </c>
      <c r="AF106" t="n">
        <v>0</v>
      </c>
      <c r="AG106" t="n">
        <v>0</v>
      </c>
      <c r="AH106" t="n">
        <v>0</v>
      </c>
      <c r="AI106" t="n">
        <v>0</v>
      </c>
      <c r="AJ106" t="n">
        <v>0</v>
      </c>
      <c r="AK106" t="n">
        <v>0</v>
      </c>
      <c r="AL106" t="n">
        <v>-9304</v>
      </c>
      <c r="AM106" t="n">
        <v>0</v>
      </c>
      <c r="AN106" t="n">
        <v>-497</v>
      </c>
      <c r="AO106" t="n">
        <v>0</v>
      </c>
      <c r="AP106" t="n">
        <v>-9074</v>
      </c>
      <c r="AQ106" t="n">
        <v>-10168</v>
      </c>
      <c r="AR106" t="n">
        <v>-9074</v>
      </c>
      <c r="AS106" t="n">
        <v>-10665</v>
      </c>
      <c r="AT106" t="n">
        <v>-230</v>
      </c>
      <c r="AU106" t="n">
        <v>1361</v>
      </c>
      <c r="AV106" t="n">
        <v>100</v>
      </c>
      <c r="AW106" t="n">
        <v>0</v>
      </c>
      <c r="AX106" t="n">
        <v>1.5</v>
      </c>
      <c r="AY106" t="n">
        <v>0</v>
      </c>
      <c r="AZ106" t="n">
        <v>95.90000000000001</v>
      </c>
      <c r="BA106" t="n">
        <v>96.8</v>
      </c>
      <c r="BB106" t="n">
        <v>95.90000000000001</v>
      </c>
      <c r="BC106" t="n">
        <v>98.3</v>
      </c>
      <c r="BD106" t="n">
        <v>4.1</v>
      </c>
      <c r="BE106" t="n">
        <v>1.7</v>
      </c>
      <c r="BF106" t="n">
        <v>100</v>
      </c>
      <c r="BG106" t="n">
        <v>0</v>
      </c>
      <c r="BH106" t="n">
        <v>1.5</v>
      </c>
      <c r="BI106" t="n">
        <v>0</v>
      </c>
      <c r="BJ106" t="n">
        <v>95.90000000000001</v>
      </c>
      <c r="BK106" t="n">
        <v>96.8</v>
      </c>
      <c r="BL106" t="n">
        <v>95.90000000000001</v>
      </c>
      <c r="BM106" t="n">
        <v>98.3</v>
      </c>
      <c r="BN106" t="n">
        <v>4.1</v>
      </c>
      <c r="BO106" t="n">
        <v>1.7</v>
      </c>
      <c r="BP106" t="n">
        <v>0</v>
      </c>
      <c r="BQ106" t="n">
        <v>0</v>
      </c>
      <c r="BR106" t="n">
        <v>0</v>
      </c>
      <c r="BS106" t="n">
        <v>0</v>
      </c>
      <c r="BT106" t="n">
        <v>0</v>
      </c>
      <c r="BU106" t="n">
        <v>0</v>
      </c>
      <c r="BV106" t="n">
        <v>0</v>
      </c>
      <c r="BW106" t="n">
        <v>0</v>
      </c>
      <c r="BX106" t="n">
        <v>0</v>
      </c>
      <c r="BY106" t="n">
        <v>0</v>
      </c>
      <c r="BZ106" t="n">
        <v>33</v>
      </c>
      <c r="CA106" t="n">
        <v>0</v>
      </c>
      <c r="CB106" t="n">
        <v>1</v>
      </c>
      <c r="CC106" t="n">
        <v>0</v>
      </c>
      <c r="CD106" t="n">
        <v>22</v>
      </c>
      <c r="CE106" t="n">
        <v>18</v>
      </c>
      <c r="CF106" t="n">
        <v>22</v>
      </c>
      <c r="CG106" t="n">
        <v>19</v>
      </c>
      <c r="CH106" t="n">
        <v>33</v>
      </c>
      <c r="CI106" t="n">
        <v>0</v>
      </c>
      <c r="CJ106" t="n">
        <v>1</v>
      </c>
      <c r="CK106" t="n">
        <v>0</v>
      </c>
      <c r="CL106" t="n">
        <v>22</v>
      </c>
      <c r="CM106" t="n">
        <v>18</v>
      </c>
      <c r="CN106" t="n">
        <v>22</v>
      </c>
      <c r="CO106" t="n">
        <v>19</v>
      </c>
      <c r="CP106" t="n">
        <v>0</v>
      </c>
      <c r="CQ106" t="n">
        <v>0</v>
      </c>
      <c r="CR106" t="n">
        <v>0</v>
      </c>
      <c r="CS106" t="n">
        <v>0</v>
      </c>
      <c r="CT106" t="n">
        <v>0</v>
      </c>
      <c r="CU106" t="n">
        <v>0</v>
      </c>
      <c r="CV106" t="n">
        <v>0</v>
      </c>
      <c r="CW106" t="n">
        <v>0</v>
      </c>
      <c r="CX106" t="n">
        <v>58.3</v>
      </c>
      <c r="CY106" t="n">
        <v>62</v>
      </c>
      <c r="CZ106" t="n">
        <v>76.40000000000001</v>
      </c>
      <c r="DA106" t="n">
        <v>86.5</v>
      </c>
      <c r="DB106" t="n">
        <v>57.6</v>
      </c>
      <c r="DC106" t="n">
        <v>62</v>
      </c>
      <c r="DD106" t="n">
        <v>71.90000000000001</v>
      </c>
      <c r="DE106" t="n">
        <v>85.59999999999999</v>
      </c>
      <c r="DF106" t="n">
        <v>58.3</v>
      </c>
      <c r="DG106" t="n">
        <v>62</v>
      </c>
      <c r="DH106" t="n">
        <v>76.40000000000001</v>
      </c>
      <c r="DI106" t="n">
        <v>86.5</v>
      </c>
      <c r="DJ106" t="n">
        <v>57.6</v>
      </c>
      <c r="DK106" t="n">
        <v>62</v>
      </c>
      <c r="DL106" t="n">
        <v>71.90000000000001</v>
      </c>
      <c r="DM106" t="n">
        <v>85.59999999999999</v>
      </c>
      <c r="DN106" t="n">
        <v>0</v>
      </c>
      <c r="DO106" t="n">
        <v>0</v>
      </c>
      <c r="DP106" t="n">
        <v>0</v>
      </c>
      <c r="DQ106" t="n">
        <v>0</v>
      </c>
      <c r="DR106" t="n">
        <v>0</v>
      </c>
      <c r="DS106" t="n">
        <v>0</v>
      </c>
      <c r="DT106" t="n">
        <v>0</v>
      </c>
      <c r="DU106" t="n">
        <v>0</v>
      </c>
      <c r="DV106" t="inlineStr">
        <is>
          <t>2500 mm btu</t>
        </is>
      </c>
    </row>
    <row r="107">
      <c r="A107" t="inlineStr">
        <is>
          <t>TCO Basis - ICE FUTURES ENERGY DIV</t>
        </is>
      </c>
      <c r="B107" t="n">
        <v>230103</v>
      </c>
      <c r="C107" s="1" t="n">
        <v>44929</v>
      </c>
      <c r="D107" t="inlineStr">
        <is>
          <t>02339W</t>
        </is>
      </c>
      <c r="E107" t="inlineStr">
        <is>
          <t>IFED</t>
        </is>
      </c>
      <c r="F107" t="inlineStr">
        <is>
          <t>01</t>
        </is>
      </c>
      <c r="G107" t="inlineStr">
        <is>
          <t xml:space="preserve">023 </t>
        </is>
      </c>
      <c r="H107" t="n">
        <v>197212</v>
      </c>
      <c r="I107" s="17" t="n">
        <v>0</v>
      </c>
      <c r="J107" s="17" t="n">
        <v>3332</v>
      </c>
      <c r="K107" t="n">
        <v>0</v>
      </c>
      <c r="L107" t="n">
        <v>189320</v>
      </c>
      <c r="M107" t="n">
        <v>192023</v>
      </c>
      <c r="N107" t="n">
        <v>189320</v>
      </c>
      <c r="O107" t="n">
        <v>195355</v>
      </c>
      <c r="P107" t="n">
        <v>7892</v>
      </c>
      <c r="Q107" t="n">
        <v>1857</v>
      </c>
      <c r="R107" t="n">
        <v>197212</v>
      </c>
      <c r="S107" t="n">
        <v>0</v>
      </c>
      <c r="T107" t="n">
        <v>3332</v>
      </c>
      <c r="U107" t="n">
        <v>0</v>
      </c>
      <c r="V107" t="n">
        <v>189320</v>
      </c>
      <c r="W107" t="n">
        <v>192023</v>
      </c>
      <c r="X107" t="n">
        <v>189320</v>
      </c>
      <c r="Y107" t="n">
        <v>195355</v>
      </c>
      <c r="Z107" t="n">
        <v>7892</v>
      </c>
      <c r="AA107" t="n">
        <v>1857</v>
      </c>
      <c r="AB107" t="n">
        <v>0</v>
      </c>
      <c r="AC107" t="n">
        <v>0</v>
      </c>
      <c r="AD107" t="n">
        <v>0</v>
      </c>
      <c r="AE107" t="n">
        <v>0</v>
      </c>
      <c r="AF107" t="n">
        <v>0</v>
      </c>
      <c r="AG107" t="n">
        <v>0</v>
      </c>
      <c r="AH107" t="n">
        <v>0</v>
      </c>
      <c r="AI107" t="n">
        <v>0</v>
      </c>
      <c r="AJ107" t="n">
        <v>0</v>
      </c>
      <c r="AK107" t="n">
        <v>0</v>
      </c>
      <c r="AL107" t="n">
        <v>1251</v>
      </c>
      <c r="AM107" t="n">
        <v>0</v>
      </c>
      <c r="AN107" t="n">
        <v>-90</v>
      </c>
      <c r="AO107" t="n">
        <v>0</v>
      </c>
      <c r="AP107" t="n">
        <v>1141</v>
      </c>
      <c r="AQ107" t="n">
        <v>1257</v>
      </c>
      <c r="AR107" t="n">
        <v>1141</v>
      </c>
      <c r="AS107" t="n">
        <v>1167</v>
      </c>
      <c r="AT107" t="n">
        <v>110</v>
      </c>
      <c r="AU107" t="n">
        <v>84</v>
      </c>
      <c r="AV107" t="n">
        <v>100</v>
      </c>
      <c r="AW107" t="n">
        <v>0</v>
      </c>
      <c r="AX107" t="n">
        <v>1.7</v>
      </c>
      <c r="AY107" t="n">
        <v>0</v>
      </c>
      <c r="AZ107" t="n">
        <v>96</v>
      </c>
      <c r="BA107" t="n">
        <v>97.40000000000001</v>
      </c>
      <c r="BB107" t="n">
        <v>96</v>
      </c>
      <c r="BC107" t="n">
        <v>99.09999999999999</v>
      </c>
      <c r="BD107" t="n">
        <v>4</v>
      </c>
      <c r="BE107" t="n">
        <v>0.9</v>
      </c>
      <c r="BF107" t="n">
        <v>100</v>
      </c>
      <c r="BG107" t="n">
        <v>0</v>
      </c>
      <c r="BH107" t="n">
        <v>1.7</v>
      </c>
      <c r="BI107" t="n">
        <v>0</v>
      </c>
      <c r="BJ107" t="n">
        <v>96</v>
      </c>
      <c r="BK107" t="n">
        <v>97.40000000000001</v>
      </c>
      <c r="BL107" t="n">
        <v>96</v>
      </c>
      <c r="BM107" t="n">
        <v>99.09999999999999</v>
      </c>
      <c r="BN107" t="n">
        <v>4</v>
      </c>
      <c r="BO107" t="n">
        <v>0.9</v>
      </c>
      <c r="BP107" t="n">
        <v>0</v>
      </c>
      <c r="BQ107" t="n">
        <v>0</v>
      </c>
      <c r="BR107" t="n">
        <v>0</v>
      </c>
      <c r="BS107" t="n">
        <v>0</v>
      </c>
      <c r="BT107" t="n">
        <v>0</v>
      </c>
      <c r="BU107" t="n">
        <v>0</v>
      </c>
      <c r="BV107" t="n">
        <v>0</v>
      </c>
      <c r="BW107" t="n">
        <v>0</v>
      </c>
      <c r="BX107" t="n">
        <v>0</v>
      </c>
      <c r="BY107" t="n">
        <v>0</v>
      </c>
      <c r="BZ107" t="n">
        <v>36</v>
      </c>
      <c r="CA107" t="n">
        <v>0</v>
      </c>
      <c r="CB107" t="n">
        <v>2</v>
      </c>
      <c r="CC107" t="n">
        <v>0</v>
      </c>
      <c r="CD107" t="n">
        <v>22</v>
      </c>
      <c r="CE107" t="n">
        <v>20</v>
      </c>
      <c r="CF107" t="n">
        <v>22</v>
      </c>
      <c r="CG107" t="n">
        <v>22</v>
      </c>
      <c r="CH107" t="n">
        <v>36</v>
      </c>
      <c r="CI107" t="n">
        <v>0</v>
      </c>
      <c r="CJ107" t="n">
        <v>2</v>
      </c>
      <c r="CK107" t="n">
        <v>0</v>
      </c>
      <c r="CL107" t="n">
        <v>22</v>
      </c>
      <c r="CM107" t="n">
        <v>20</v>
      </c>
      <c r="CN107" t="n">
        <v>22</v>
      </c>
      <c r="CO107" t="n">
        <v>22</v>
      </c>
      <c r="CP107" t="n">
        <v>0</v>
      </c>
      <c r="CQ107" t="n">
        <v>0</v>
      </c>
      <c r="CR107" t="n">
        <v>0</v>
      </c>
      <c r="CS107" t="n">
        <v>0</v>
      </c>
      <c r="CT107" t="n">
        <v>0</v>
      </c>
      <c r="CU107" t="n">
        <v>0</v>
      </c>
      <c r="CV107" t="n">
        <v>0</v>
      </c>
      <c r="CW107" t="n">
        <v>0</v>
      </c>
      <c r="CX107" t="n">
        <v>58.4</v>
      </c>
      <c r="CY107" t="n">
        <v>60.2</v>
      </c>
      <c r="CZ107" t="n">
        <v>76.90000000000001</v>
      </c>
      <c r="DA107" t="n">
        <v>84.8</v>
      </c>
      <c r="DB107" t="n">
        <v>58.3</v>
      </c>
      <c r="DC107" t="n">
        <v>60.2</v>
      </c>
      <c r="DD107" t="n">
        <v>73</v>
      </c>
      <c r="DE107" t="n">
        <v>84.5</v>
      </c>
      <c r="DF107" t="n">
        <v>58.4</v>
      </c>
      <c r="DG107" t="n">
        <v>60.2</v>
      </c>
      <c r="DH107" t="n">
        <v>76.90000000000001</v>
      </c>
      <c r="DI107" t="n">
        <v>84.8</v>
      </c>
      <c r="DJ107" t="n">
        <v>58.3</v>
      </c>
      <c r="DK107" t="n">
        <v>60.2</v>
      </c>
      <c r="DL107" t="n">
        <v>73</v>
      </c>
      <c r="DM107" t="n">
        <v>84.5</v>
      </c>
      <c r="DN107" t="n">
        <v>0</v>
      </c>
      <c r="DO107" t="n">
        <v>0</v>
      </c>
      <c r="DP107" t="n">
        <v>0</v>
      </c>
      <c r="DQ107" t="n">
        <v>0</v>
      </c>
      <c r="DR107" t="n">
        <v>0</v>
      </c>
      <c r="DS107" t="n">
        <v>0</v>
      </c>
      <c r="DT107" t="n">
        <v>0</v>
      </c>
      <c r="DU107" t="n">
        <v>0</v>
      </c>
      <c r="DV107" t="inlineStr">
        <is>
          <t>2500 mm btu</t>
        </is>
      </c>
    </row>
    <row r="108">
      <c r="A108" t="inlineStr">
        <is>
          <t>CG Mainline Basis - ICE FUTURES ENERGY DIV</t>
        </is>
      </c>
      <c r="B108" t="n">
        <v>230110</v>
      </c>
      <c r="C108" s="1" t="n">
        <v>44936</v>
      </c>
      <c r="D108" t="inlineStr">
        <is>
          <t>02339Y</t>
        </is>
      </c>
      <c r="E108" t="inlineStr">
        <is>
          <t>IFED</t>
        </is>
      </c>
      <c r="F108" t="inlineStr">
        <is>
          <t>01</t>
        </is>
      </c>
      <c r="G108" t="inlineStr">
        <is>
          <t xml:space="preserve">023 </t>
        </is>
      </c>
      <c r="H108" t="n">
        <v>310140</v>
      </c>
      <c r="I108" s="17" t="n">
        <v>0</v>
      </c>
      <c r="J108" s="17" t="n">
        <v>15558</v>
      </c>
      <c r="K108" t="n">
        <v>3846</v>
      </c>
      <c r="L108" t="n">
        <v>298896</v>
      </c>
      <c r="M108" t="n">
        <v>285004</v>
      </c>
      <c r="N108" t="n">
        <v>302742</v>
      </c>
      <c r="O108" t="n">
        <v>304408</v>
      </c>
      <c r="P108" t="n">
        <v>7398</v>
      </c>
      <c r="Q108" t="n">
        <v>5732</v>
      </c>
      <c r="R108" t="n">
        <v>310140</v>
      </c>
      <c r="S108" t="n">
        <v>0</v>
      </c>
      <c r="T108" t="n">
        <v>15558</v>
      </c>
      <c r="U108" t="n">
        <v>3846</v>
      </c>
      <c r="V108" t="n">
        <v>298896</v>
      </c>
      <c r="W108" t="n">
        <v>285004</v>
      </c>
      <c r="X108" t="n">
        <v>302742</v>
      </c>
      <c r="Y108" t="n">
        <v>304408</v>
      </c>
      <c r="Z108" t="n">
        <v>7398</v>
      </c>
      <c r="AA108" t="n">
        <v>5732</v>
      </c>
      <c r="AB108" t="n">
        <v>0</v>
      </c>
      <c r="AC108" t="n">
        <v>0</v>
      </c>
      <c r="AD108" t="n">
        <v>0</v>
      </c>
      <c r="AE108" t="n">
        <v>0</v>
      </c>
      <c r="AF108" t="n">
        <v>0</v>
      </c>
      <c r="AG108" t="n">
        <v>0</v>
      </c>
      <c r="AH108" t="n">
        <v>0</v>
      </c>
      <c r="AI108" t="n">
        <v>0</v>
      </c>
      <c r="AJ108" t="n">
        <v>0</v>
      </c>
      <c r="AK108" t="n">
        <v>0</v>
      </c>
      <c r="AL108" t="n">
        <v>-9399</v>
      </c>
      <c r="AM108" t="n">
        <v>0</v>
      </c>
      <c r="AN108" t="n">
        <v>-3478</v>
      </c>
      <c r="AO108" t="n">
        <v>-31</v>
      </c>
      <c r="AP108" t="n">
        <v>-9129</v>
      </c>
      <c r="AQ108" t="n">
        <v>-5668</v>
      </c>
      <c r="AR108" t="n">
        <v>-9160</v>
      </c>
      <c r="AS108" t="n">
        <v>-9177</v>
      </c>
      <c r="AT108" t="n">
        <v>-239</v>
      </c>
      <c r="AU108" t="n">
        <v>-222</v>
      </c>
      <c r="AV108" t="n">
        <v>100</v>
      </c>
      <c r="AW108" t="n">
        <v>0</v>
      </c>
      <c r="AX108" t="n">
        <v>5</v>
      </c>
      <c r="AY108" t="n">
        <v>1.2</v>
      </c>
      <c r="AZ108" t="n">
        <v>96.40000000000001</v>
      </c>
      <c r="BA108" t="n">
        <v>91.90000000000001</v>
      </c>
      <c r="BB108" t="n">
        <v>97.59999999999999</v>
      </c>
      <c r="BC108" t="n">
        <v>98.2</v>
      </c>
      <c r="BD108" t="n">
        <v>2.4</v>
      </c>
      <c r="BE108" t="n">
        <v>1.8</v>
      </c>
      <c r="BF108" t="n">
        <v>100</v>
      </c>
      <c r="BG108" t="n">
        <v>0</v>
      </c>
      <c r="BH108" t="n">
        <v>5</v>
      </c>
      <c r="BI108" t="n">
        <v>1.2</v>
      </c>
      <c r="BJ108" t="n">
        <v>96.40000000000001</v>
      </c>
      <c r="BK108" t="n">
        <v>91.90000000000001</v>
      </c>
      <c r="BL108" t="n">
        <v>97.59999999999999</v>
      </c>
      <c r="BM108" t="n">
        <v>98.2</v>
      </c>
      <c r="BN108" t="n">
        <v>2.4</v>
      </c>
      <c r="BO108" t="n">
        <v>1.8</v>
      </c>
      <c r="BP108" t="n">
        <v>0</v>
      </c>
      <c r="BQ108" t="n">
        <v>0</v>
      </c>
      <c r="BR108" t="n">
        <v>0</v>
      </c>
      <c r="BS108" t="n">
        <v>0</v>
      </c>
      <c r="BT108" t="n">
        <v>0</v>
      </c>
      <c r="BU108" t="n">
        <v>0</v>
      </c>
      <c r="BV108" t="n">
        <v>0</v>
      </c>
      <c r="BW108" t="n">
        <v>0</v>
      </c>
      <c r="BX108" t="n">
        <v>0</v>
      </c>
      <c r="BY108" t="n">
        <v>0</v>
      </c>
      <c r="BZ108" t="n">
        <v>34</v>
      </c>
      <c r="CA108" t="n">
        <v>0</v>
      </c>
      <c r="CB108" t="n">
        <v>4</v>
      </c>
      <c r="CC108" t="n">
        <v>2</v>
      </c>
      <c r="CD108" t="n">
        <v>19</v>
      </c>
      <c r="CE108" t="n">
        <v>21</v>
      </c>
      <c r="CF108" t="n">
        <v>21</v>
      </c>
      <c r="CG108" t="n">
        <v>25</v>
      </c>
      <c r="CH108" t="n">
        <v>34</v>
      </c>
      <c r="CI108" t="n">
        <v>0</v>
      </c>
      <c r="CJ108" t="n">
        <v>4</v>
      </c>
      <c r="CK108" t="n">
        <v>2</v>
      </c>
      <c r="CL108" t="n">
        <v>19</v>
      </c>
      <c r="CM108" t="n">
        <v>21</v>
      </c>
      <c r="CN108" t="n">
        <v>21</v>
      </c>
      <c r="CO108" t="n">
        <v>25</v>
      </c>
      <c r="CP108" t="n">
        <v>0</v>
      </c>
      <c r="CQ108" t="n">
        <v>0</v>
      </c>
      <c r="CR108" t="n">
        <v>0</v>
      </c>
      <c r="CS108" t="n">
        <v>0</v>
      </c>
      <c r="CT108" t="n">
        <v>0</v>
      </c>
      <c r="CU108" t="n">
        <v>0</v>
      </c>
      <c r="CV108" t="n">
        <v>0</v>
      </c>
      <c r="CW108" t="n">
        <v>0</v>
      </c>
      <c r="CX108" t="n">
        <v>84.7</v>
      </c>
      <c r="CY108" t="n">
        <v>51.1</v>
      </c>
      <c r="CZ108" t="n">
        <v>93.3</v>
      </c>
      <c r="DA108" t="n">
        <v>78.59999999999999</v>
      </c>
      <c r="DB108" t="n">
        <v>84.7</v>
      </c>
      <c r="DC108" t="n">
        <v>50.4</v>
      </c>
      <c r="DD108" t="n">
        <v>91.59999999999999</v>
      </c>
      <c r="DE108" t="n">
        <v>77.59999999999999</v>
      </c>
      <c r="DF108" t="n">
        <v>84.7</v>
      </c>
      <c r="DG108" t="n">
        <v>51.1</v>
      </c>
      <c r="DH108" t="n">
        <v>93.3</v>
      </c>
      <c r="DI108" t="n">
        <v>78.59999999999999</v>
      </c>
      <c r="DJ108" t="n">
        <v>84.7</v>
      </c>
      <c r="DK108" t="n">
        <v>50.4</v>
      </c>
      <c r="DL108" t="n">
        <v>91.59999999999999</v>
      </c>
      <c r="DM108" t="n">
        <v>77.59999999999999</v>
      </c>
      <c r="DN108" t="n">
        <v>0</v>
      </c>
      <c r="DO108" t="n">
        <v>0</v>
      </c>
      <c r="DP108" t="n">
        <v>0</v>
      </c>
      <c r="DQ108" t="n">
        <v>0</v>
      </c>
      <c r="DR108" t="n">
        <v>0</v>
      </c>
      <c r="DS108" t="n">
        <v>0</v>
      </c>
      <c r="DT108" t="n">
        <v>0</v>
      </c>
      <c r="DU108" t="n">
        <v>0</v>
      </c>
      <c r="DV108" t="inlineStr">
        <is>
          <t>2500 mmbtu</t>
        </is>
      </c>
    </row>
    <row r="109">
      <c r="A109" t="inlineStr">
        <is>
          <t>CG Mainline Basis - ICE FUTURES ENERGY DIV</t>
        </is>
      </c>
      <c r="B109" t="n">
        <v>230103</v>
      </c>
      <c r="C109" s="1" t="n">
        <v>44929</v>
      </c>
      <c r="D109" t="inlineStr">
        <is>
          <t>02339Y</t>
        </is>
      </c>
      <c r="E109" t="inlineStr">
        <is>
          <t>IFED</t>
        </is>
      </c>
      <c r="F109" t="inlineStr">
        <is>
          <t>01</t>
        </is>
      </c>
      <c r="G109" t="inlineStr">
        <is>
          <t xml:space="preserve">023 </t>
        </is>
      </c>
      <c r="H109" t="n">
        <v>319539</v>
      </c>
      <c r="I109" s="17" t="n">
        <v>0</v>
      </c>
      <c r="J109" s="17" t="n">
        <v>19036</v>
      </c>
      <c r="K109" t="n">
        <v>3877</v>
      </c>
      <c r="L109" t="n">
        <v>308025</v>
      </c>
      <c r="M109" t="n">
        <v>290672</v>
      </c>
      <c r="N109" t="n">
        <v>311902</v>
      </c>
      <c r="O109" t="n">
        <v>313585</v>
      </c>
      <c r="P109" t="n">
        <v>7637</v>
      </c>
      <c r="Q109" t="n">
        <v>5954</v>
      </c>
      <c r="R109" t="n">
        <v>319539</v>
      </c>
      <c r="S109" t="n">
        <v>0</v>
      </c>
      <c r="T109" t="n">
        <v>19036</v>
      </c>
      <c r="U109" t="n">
        <v>3877</v>
      </c>
      <c r="V109" t="n">
        <v>308025</v>
      </c>
      <c r="W109" t="n">
        <v>290672</v>
      </c>
      <c r="X109" t="n">
        <v>311902</v>
      </c>
      <c r="Y109" t="n">
        <v>313585</v>
      </c>
      <c r="Z109" t="n">
        <v>7637</v>
      </c>
      <c r="AA109" t="n">
        <v>5954</v>
      </c>
      <c r="AB109" t="n">
        <v>0</v>
      </c>
      <c r="AC109" t="n">
        <v>0</v>
      </c>
      <c r="AD109" t="n">
        <v>0</v>
      </c>
      <c r="AE109" t="n">
        <v>0</v>
      </c>
      <c r="AF109" t="n">
        <v>0</v>
      </c>
      <c r="AG109" t="n">
        <v>0</v>
      </c>
      <c r="AH109" t="n">
        <v>0</v>
      </c>
      <c r="AI109" t="n">
        <v>0</v>
      </c>
      <c r="AJ109" t="n">
        <v>0</v>
      </c>
      <c r="AK109" t="n">
        <v>0</v>
      </c>
      <c r="AL109" t="n">
        <v>28815</v>
      </c>
      <c r="AM109" t="n">
        <v>0</v>
      </c>
      <c r="AN109" t="n">
        <v>32</v>
      </c>
      <c r="AO109" t="n">
        <v>0</v>
      </c>
      <c r="AP109" t="n">
        <v>28677</v>
      </c>
      <c r="AQ109" t="n">
        <v>30288</v>
      </c>
      <c r="AR109" t="n">
        <v>28677</v>
      </c>
      <c r="AS109" t="n">
        <v>30320</v>
      </c>
      <c r="AT109" t="n">
        <v>138</v>
      </c>
      <c r="AU109" t="n">
        <v>-1505</v>
      </c>
      <c r="AV109" t="n">
        <v>100</v>
      </c>
      <c r="AW109" t="n">
        <v>0</v>
      </c>
      <c r="AX109" t="n">
        <v>6</v>
      </c>
      <c r="AY109" t="n">
        <v>1.2</v>
      </c>
      <c r="AZ109" t="n">
        <v>96.40000000000001</v>
      </c>
      <c r="BA109" t="n">
        <v>91</v>
      </c>
      <c r="BB109" t="n">
        <v>97.59999999999999</v>
      </c>
      <c r="BC109" t="n">
        <v>98.09999999999999</v>
      </c>
      <c r="BD109" t="n">
        <v>2.4</v>
      </c>
      <c r="BE109" t="n">
        <v>1.9</v>
      </c>
      <c r="BF109" t="n">
        <v>100</v>
      </c>
      <c r="BG109" t="n">
        <v>0</v>
      </c>
      <c r="BH109" t="n">
        <v>6</v>
      </c>
      <c r="BI109" t="n">
        <v>1.2</v>
      </c>
      <c r="BJ109" t="n">
        <v>96.40000000000001</v>
      </c>
      <c r="BK109" t="n">
        <v>91</v>
      </c>
      <c r="BL109" t="n">
        <v>97.59999999999999</v>
      </c>
      <c r="BM109" t="n">
        <v>98.09999999999999</v>
      </c>
      <c r="BN109" t="n">
        <v>2.4</v>
      </c>
      <c r="BO109" t="n">
        <v>1.9</v>
      </c>
      <c r="BP109" t="n">
        <v>0</v>
      </c>
      <c r="BQ109" t="n">
        <v>0</v>
      </c>
      <c r="BR109" t="n">
        <v>0</v>
      </c>
      <c r="BS109" t="n">
        <v>0</v>
      </c>
      <c r="BT109" t="n">
        <v>0</v>
      </c>
      <c r="BU109" t="n">
        <v>0</v>
      </c>
      <c r="BV109" t="n">
        <v>0</v>
      </c>
      <c r="BW109" t="n">
        <v>0</v>
      </c>
      <c r="BX109" t="n">
        <v>0</v>
      </c>
      <c r="BY109" t="n">
        <v>0</v>
      </c>
      <c r="BZ109" t="n">
        <v>33</v>
      </c>
      <c r="CA109" t="n">
        <v>0</v>
      </c>
      <c r="CB109" t="n">
        <v>4</v>
      </c>
      <c r="CC109" t="n">
        <v>2</v>
      </c>
      <c r="CD109" t="n">
        <v>17</v>
      </c>
      <c r="CE109" t="n">
        <v>21</v>
      </c>
      <c r="CF109" t="n">
        <v>19</v>
      </c>
      <c r="CG109" t="n">
        <v>25</v>
      </c>
      <c r="CH109" t="n">
        <v>33</v>
      </c>
      <c r="CI109" t="n">
        <v>0</v>
      </c>
      <c r="CJ109" t="n">
        <v>4</v>
      </c>
      <c r="CK109" t="n">
        <v>2</v>
      </c>
      <c r="CL109" t="n">
        <v>17</v>
      </c>
      <c r="CM109" t="n">
        <v>21</v>
      </c>
      <c r="CN109" t="n">
        <v>19</v>
      </c>
      <c r="CO109" t="n">
        <v>25</v>
      </c>
      <c r="CP109" t="n">
        <v>0</v>
      </c>
      <c r="CQ109" t="n">
        <v>0</v>
      </c>
      <c r="CR109" t="n">
        <v>0</v>
      </c>
      <c r="CS109" t="n">
        <v>0</v>
      </c>
      <c r="CT109" t="n">
        <v>0</v>
      </c>
      <c r="CU109" t="n">
        <v>0</v>
      </c>
      <c r="CV109" t="n">
        <v>0</v>
      </c>
      <c r="CW109" t="n">
        <v>0</v>
      </c>
      <c r="CX109" t="n">
        <v>86.3</v>
      </c>
      <c r="CY109" t="n">
        <v>48.7</v>
      </c>
      <c r="CZ109" t="n">
        <v>93.59999999999999</v>
      </c>
      <c r="DA109" t="n">
        <v>74.5</v>
      </c>
      <c r="DB109" t="n">
        <v>86.3</v>
      </c>
      <c r="DC109" t="n">
        <v>48.2</v>
      </c>
      <c r="DD109" t="n">
        <v>91.40000000000001</v>
      </c>
      <c r="DE109" t="n">
        <v>73.3</v>
      </c>
      <c r="DF109" t="n">
        <v>86.3</v>
      </c>
      <c r="DG109" t="n">
        <v>48.7</v>
      </c>
      <c r="DH109" t="n">
        <v>93.59999999999999</v>
      </c>
      <c r="DI109" t="n">
        <v>74.5</v>
      </c>
      <c r="DJ109" t="n">
        <v>86.3</v>
      </c>
      <c r="DK109" t="n">
        <v>48.2</v>
      </c>
      <c r="DL109" t="n">
        <v>91.40000000000001</v>
      </c>
      <c r="DM109" t="n">
        <v>73.3</v>
      </c>
      <c r="DN109" t="n">
        <v>0</v>
      </c>
      <c r="DO109" t="n">
        <v>0</v>
      </c>
      <c r="DP109" t="n">
        <v>0</v>
      </c>
      <c r="DQ109" t="n">
        <v>0</v>
      </c>
      <c r="DR109" t="n">
        <v>0</v>
      </c>
      <c r="DS109" t="n">
        <v>0</v>
      </c>
      <c r="DT109" t="n">
        <v>0</v>
      </c>
      <c r="DU109" t="n">
        <v>0</v>
      </c>
      <c r="DV109" t="inlineStr">
        <is>
          <t>2500 mmbtu</t>
        </is>
      </c>
    </row>
    <row r="110">
      <c r="A110" t="inlineStr">
        <is>
          <t>DOMINION - SOUTH POINT - ICE FUTURES ENERGY DIV</t>
        </is>
      </c>
      <c r="B110" t="n">
        <v>230110</v>
      </c>
      <c r="C110" s="1" t="n">
        <v>44936</v>
      </c>
      <c r="D110" t="inlineStr">
        <is>
          <t>0233A2</t>
        </is>
      </c>
      <c r="E110" t="inlineStr">
        <is>
          <t>IFED</t>
        </is>
      </c>
      <c r="F110" t="inlineStr">
        <is>
          <t>01</t>
        </is>
      </c>
      <c r="G110" t="inlineStr">
        <is>
          <t xml:space="preserve">023 </t>
        </is>
      </c>
      <c r="H110" t="n">
        <v>42316</v>
      </c>
      <c r="I110" s="17" t="n">
        <v>2899</v>
      </c>
      <c r="J110" s="17" t="n">
        <v>0</v>
      </c>
      <c r="K110" t="n">
        <v>236</v>
      </c>
      <c r="L110" t="n">
        <v>37597</v>
      </c>
      <c r="M110" t="n">
        <v>40608</v>
      </c>
      <c r="N110" t="n">
        <v>40732</v>
      </c>
      <c r="O110" t="n">
        <v>40844</v>
      </c>
      <c r="P110" t="n">
        <v>1584</v>
      </c>
      <c r="Q110" t="n">
        <v>1472</v>
      </c>
      <c r="R110" t="n">
        <v>42316</v>
      </c>
      <c r="S110" t="n">
        <v>2899</v>
      </c>
      <c r="T110" t="n">
        <v>0</v>
      </c>
      <c r="U110" t="n">
        <v>236</v>
      </c>
      <c r="V110" t="n">
        <v>37597</v>
      </c>
      <c r="W110" t="n">
        <v>40608</v>
      </c>
      <c r="X110" t="n">
        <v>40732</v>
      </c>
      <c r="Y110" t="n">
        <v>40844</v>
      </c>
      <c r="Z110" t="n">
        <v>1584</v>
      </c>
      <c r="AA110" t="n">
        <v>1472</v>
      </c>
      <c r="AB110" t="n">
        <v>0</v>
      </c>
      <c r="AC110" t="n">
        <v>0</v>
      </c>
      <c r="AD110" t="n">
        <v>0</v>
      </c>
      <c r="AE110" t="n">
        <v>0</v>
      </c>
      <c r="AF110" t="n">
        <v>0</v>
      </c>
      <c r="AG110" t="n">
        <v>0</v>
      </c>
      <c r="AH110" t="n">
        <v>0</v>
      </c>
      <c r="AI110" t="n">
        <v>0</v>
      </c>
      <c r="AJ110" t="n">
        <v>0</v>
      </c>
      <c r="AK110" t="n">
        <v>0</v>
      </c>
      <c r="AL110" t="n">
        <v>-9723</v>
      </c>
      <c r="AM110" t="n">
        <v>-10431</v>
      </c>
      <c r="AN110" t="n">
        <v>0</v>
      </c>
      <c r="AO110" t="n">
        <v>0</v>
      </c>
      <c r="AP110" t="n">
        <v>701</v>
      </c>
      <c r="AQ110" t="n">
        <v>-9537</v>
      </c>
      <c r="AR110" t="n">
        <v>-9730</v>
      </c>
      <c r="AS110" t="n">
        <v>-9537</v>
      </c>
      <c r="AT110" t="n">
        <v>7</v>
      </c>
      <c r="AU110" t="n">
        <v>-186</v>
      </c>
      <c r="AV110" t="n">
        <v>100</v>
      </c>
      <c r="AW110" t="n">
        <v>6.9</v>
      </c>
      <c r="AX110" t="n">
        <v>0</v>
      </c>
      <c r="AY110" t="n">
        <v>0.6</v>
      </c>
      <c r="AZ110" t="n">
        <v>88.8</v>
      </c>
      <c r="BA110" t="n">
        <v>96</v>
      </c>
      <c r="BB110" t="n">
        <v>96.3</v>
      </c>
      <c r="BC110" t="n">
        <v>96.5</v>
      </c>
      <c r="BD110" t="n">
        <v>3.7</v>
      </c>
      <c r="BE110" t="n">
        <v>3.5</v>
      </c>
      <c r="BF110" t="n">
        <v>100</v>
      </c>
      <c r="BG110" t="n">
        <v>6.9</v>
      </c>
      <c r="BH110" t="n">
        <v>0</v>
      </c>
      <c r="BI110" t="n">
        <v>0.6</v>
      </c>
      <c r="BJ110" t="n">
        <v>88.8</v>
      </c>
      <c r="BK110" t="n">
        <v>96</v>
      </c>
      <c r="BL110" t="n">
        <v>96.3</v>
      </c>
      <c r="BM110" t="n">
        <v>96.5</v>
      </c>
      <c r="BN110" t="n">
        <v>3.7</v>
      </c>
      <c r="BO110" t="n">
        <v>3.5</v>
      </c>
      <c r="BP110" t="n">
        <v>0</v>
      </c>
      <c r="BQ110" t="n">
        <v>0</v>
      </c>
      <c r="BR110" t="n">
        <v>0</v>
      </c>
      <c r="BS110" t="n">
        <v>0</v>
      </c>
      <c r="BT110" t="n">
        <v>0</v>
      </c>
      <c r="BU110" t="n">
        <v>0</v>
      </c>
      <c r="BV110" t="n">
        <v>0</v>
      </c>
      <c r="BW110" t="n">
        <v>0</v>
      </c>
      <c r="BX110" t="n">
        <v>0</v>
      </c>
      <c r="BY110" t="n">
        <v>0</v>
      </c>
      <c r="BZ110" t="n">
        <v>30</v>
      </c>
      <c r="CA110" t="n">
        <v>3</v>
      </c>
      <c r="CB110" t="n">
        <v>0</v>
      </c>
      <c r="CC110" t="n">
        <v>1</v>
      </c>
      <c r="CD110" t="n">
        <v>16</v>
      </c>
      <c r="CE110" t="n">
        <v>15</v>
      </c>
      <c r="CF110" t="n">
        <v>19</v>
      </c>
      <c r="CG110" t="n">
        <v>16</v>
      </c>
      <c r="CH110" t="n">
        <v>30</v>
      </c>
      <c r="CI110" t="n">
        <v>3</v>
      </c>
      <c r="CJ110" t="n">
        <v>0</v>
      </c>
      <c r="CK110" t="n">
        <v>1</v>
      </c>
      <c r="CL110" t="n">
        <v>16</v>
      </c>
      <c r="CM110" t="n">
        <v>15</v>
      </c>
      <c r="CN110" t="n">
        <v>19</v>
      </c>
      <c r="CO110" t="n">
        <v>16</v>
      </c>
      <c r="CP110" t="n">
        <v>0</v>
      </c>
      <c r="CQ110" t="n">
        <v>0</v>
      </c>
      <c r="CR110" t="n">
        <v>0</v>
      </c>
      <c r="CS110" t="n">
        <v>0</v>
      </c>
      <c r="CT110" t="n">
        <v>0</v>
      </c>
      <c r="CU110" t="n">
        <v>0</v>
      </c>
      <c r="CV110" t="n">
        <v>0</v>
      </c>
      <c r="CW110" t="n">
        <v>0</v>
      </c>
      <c r="CX110" t="n">
        <v>64.2</v>
      </c>
      <c r="CY110" t="n">
        <v>72.7</v>
      </c>
      <c r="CZ110" t="n">
        <v>82.2</v>
      </c>
      <c r="DA110" t="n">
        <v>86</v>
      </c>
      <c r="DB110" t="n">
        <v>64.2</v>
      </c>
      <c r="DC110" t="n">
        <v>70.3</v>
      </c>
      <c r="DD110" t="n">
        <v>82.2</v>
      </c>
      <c r="DE110" t="n">
        <v>83.59999999999999</v>
      </c>
      <c r="DF110" t="n">
        <v>64.2</v>
      </c>
      <c r="DG110" t="n">
        <v>72.7</v>
      </c>
      <c r="DH110" t="n">
        <v>82.2</v>
      </c>
      <c r="DI110" t="n">
        <v>86</v>
      </c>
      <c r="DJ110" t="n">
        <v>64.2</v>
      </c>
      <c r="DK110" t="n">
        <v>70.3</v>
      </c>
      <c r="DL110" t="n">
        <v>82.2</v>
      </c>
      <c r="DM110" t="n">
        <v>83.59999999999999</v>
      </c>
      <c r="DN110" t="n">
        <v>0</v>
      </c>
      <c r="DO110" t="n">
        <v>0</v>
      </c>
      <c r="DP110" t="n">
        <v>0</v>
      </c>
      <c r="DQ110" t="n">
        <v>0</v>
      </c>
      <c r="DR110" t="n">
        <v>0</v>
      </c>
      <c r="DS110" t="n">
        <v>0</v>
      </c>
      <c r="DT110" t="n">
        <v>0</v>
      </c>
      <c r="DU110" t="n">
        <v>0</v>
      </c>
      <c r="DV110" t="inlineStr">
        <is>
          <t>2500 mmbtu</t>
        </is>
      </c>
    </row>
    <row r="111">
      <c r="A111" t="inlineStr">
        <is>
          <t>DOMINION - SOUTH POINT - ICE FUTURES ENERGY DIV</t>
        </is>
      </c>
      <c r="B111" t="n">
        <v>230103</v>
      </c>
      <c r="C111" s="1" t="n">
        <v>44929</v>
      </c>
      <c r="D111" t="inlineStr">
        <is>
          <t>0233A2</t>
        </is>
      </c>
      <c r="E111" t="inlineStr">
        <is>
          <t>IFED</t>
        </is>
      </c>
      <c r="F111" t="inlineStr">
        <is>
          <t>01</t>
        </is>
      </c>
      <c r="G111" t="inlineStr">
        <is>
          <t xml:space="preserve">023 </t>
        </is>
      </c>
      <c r="H111" t="n">
        <v>52039</v>
      </c>
      <c r="I111" s="17" t="n">
        <v>13330</v>
      </c>
      <c r="J111" s="17" t="n">
        <v>0</v>
      </c>
      <c r="K111" t="n">
        <v>236</v>
      </c>
      <c r="L111" t="n">
        <v>36896</v>
      </c>
      <c r="M111" t="n">
        <v>50145</v>
      </c>
      <c r="N111" t="n">
        <v>50462</v>
      </c>
      <c r="O111" t="n">
        <v>50381</v>
      </c>
      <c r="P111" t="n">
        <v>1577</v>
      </c>
      <c r="Q111" t="n">
        <v>1658</v>
      </c>
      <c r="R111" t="n">
        <v>52039</v>
      </c>
      <c r="S111" t="n">
        <v>13330</v>
      </c>
      <c r="T111" t="n">
        <v>0</v>
      </c>
      <c r="U111" t="n">
        <v>236</v>
      </c>
      <c r="V111" t="n">
        <v>36896</v>
      </c>
      <c r="W111" t="n">
        <v>50145</v>
      </c>
      <c r="X111" t="n">
        <v>50462</v>
      </c>
      <c r="Y111" t="n">
        <v>50381</v>
      </c>
      <c r="Z111" t="n">
        <v>1577</v>
      </c>
      <c r="AA111" t="n">
        <v>1658</v>
      </c>
      <c r="AB111" t="n">
        <v>0</v>
      </c>
      <c r="AC111" t="n">
        <v>0</v>
      </c>
      <c r="AD111" t="n">
        <v>0</v>
      </c>
      <c r="AE111" t="n">
        <v>0</v>
      </c>
      <c r="AF111" t="n">
        <v>0</v>
      </c>
      <c r="AG111" t="n">
        <v>0</v>
      </c>
      <c r="AH111" t="n">
        <v>0</v>
      </c>
      <c r="AI111" t="n">
        <v>0</v>
      </c>
      <c r="AJ111" t="n">
        <v>0</v>
      </c>
      <c r="AK111" t="n">
        <v>0</v>
      </c>
      <c r="AL111" t="n">
        <v>496</v>
      </c>
      <c r="AM111" t="n">
        <v>310</v>
      </c>
      <c r="AN111" t="n">
        <v>0</v>
      </c>
      <c r="AO111" t="n">
        <v>0</v>
      </c>
      <c r="AP111" t="n">
        <v>295</v>
      </c>
      <c r="AQ111" t="n">
        <v>496</v>
      </c>
      <c r="AR111" t="n">
        <v>605</v>
      </c>
      <c r="AS111" t="n">
        <v>496</v>
      </c>
      <c r="AT111" t="n">
        <v>-109</v>
      </c>
      <c r="AU111" t="n">
        <v>0</v>
      </c>
      <c r="AV111" t="n">
        <v>100</v>
      </c>
      <c r="AW111" t="n">
        <v>25.6</v>
      </c>
      <c r="AX111" t="n">
        <v>0</v>
      </c>
      <c r="AY111" t="n">
        <v>0.5</v>
      </c>
      <c r="AZ111" t="n">
        <v>70.90000000000001</v>
      </c>
      <c r="BA111" t="n">
        <v>96.40000000000001</v>
      </c>
      <c r="BB111" t="n">
        <v>97</v>
      </c>
      <c r="BC111" t="n">
        <v>96.8</v>
      </c>
      <c r="BD111" t="n">
        <v>3</v>
      </c>
      <c r="BE111" t="n">
        <v>3.2</v>
      </c>
      <c r="BF111" t="n">
        <v>100</v>
      </c>
      <c r="BG111" t="n">
        <v>25.6</v>
      </c>
      <c r="BH111" t="n">
        <v>0</v>
      </c>
      <c r="BI111" t="n">
        <v>0.5</v>
      </c>
      <c r="BJ111" t="n">
        <v>70.90000000000001</v>
      </c>
      <c r="BK111" t="n">
        <v>96.40000000000001</v>
      </c>
      <c r="BL111" t="n">
        <v>97</v>
      </c>
      <c r="BM111" t="n">
        <v>96.8</v>
      </c>
      <c r="BN111" t="n">
        <v>3</v>
      </c>
      <c r="BO111" t="n">
        <v>3.2</v>
      </c>
      <c r="BP111" t="n">
        <v>0</v>
      </c>
      <c r="BQ111" t="n">
        <v>0</v>
      </c>
      <c r="BR111" t="n">
        <v>0</v>
      </c>
      <c r="BS111" t="n">
        <v>0</v>
      </c>
      <c r="BT111" t="n">
        <v>0</v>
      </c>
      <c r="BU111" t="n">
        <v>0</v>
      </c>
      <c r="BV111" t="n">
        <v>0</v>
      </c>
      <c r="BW111" t="n">
        <v>0</v>
      </c>
      <c r="BX111" t="n">
        <v>0</v>
      </c>
      <c r="BY111" t="n">
        <v>0</v>
      </c>
      <c r="BZ111" t="n">
        <v>37</v>
      </c>
      <c r="CA111" t="n">
        <v>5</v>
      </c>
      <c r="CB111" t="n">
        <v>0</v>
      </c>
      <c r="CC111" t="n">
        <v>1</v>
      </c>
      <c r="CD111" t="n">
        <v>22</v>
      </c>
      <c r="CE111" t="n">
        <v>21</v>
      </c>
      <c r="CF111" t="n">
        <v>27</v>
      </c>
      <c r="CG111" t="n">
        <v>22</v>
      </c>
      <c r="CH111" t="n">
        <v>37</v>
      </c>
      <c r="CI111" t="n">
        <v>5</v>
      </c>
      <c r="CJ111" t="n">
        <v>0</v>
      </c>
      <c r="CK111" t="n">
        <v>1</v>
      </c>
      <c r="CL111" t="n">
        <v>22</v>
      </c>
      <c r="CM111" t="n">
        <v>21</v>
      </c>
      <c r="CN111" t="n">
        <v>27</v>
      </c>
      <c r="CO111" t="n">
        <v>22</v>
      </c>
      <c r="CP111" t="n">
        <v>0</v>
      </c>
      <c r="CQ111" t="n">
        <v>0</v>
      </c>
      <c r="CR111" t="n">
        <v>0</v>
      </c>
      <c r="CS111" t="n">
        <v>0</v>
      </c>
      <c r="CT111" t="n">
        <v>0</v>
      </c>
      <c r="CU111" t="n">
        <v>0</v>
      </c>
      <c r="CV111" t="n">
        <v>0</v>
      </c>
      <c r="CW111" t="n">
        <v>0</v>
      </c>
      <c r="CX111" t="n">
        <v>50.1</v>
      </c>
      <c r="CY111" t="n">
        <v>63</v>
      </c>
      <c r="CZ111" t="n">
        <v>73.5</v>
      </c>
      <c r="DA111" t="n">
        <v>78.90000000000001</v>
      </c>
      <c r="DB111" t="n">
        <v>48.7</v>
      </c>
      <c r="DC111" t="n">
        <v>61.1</v>
      </c>
      <c r="DD111" t="n">
        <v>72.09999999999999</v>
      </c>
      <c r="DE111" t="n">
        <v>77</v>
      </c>
      <c r="DF111" t="n">
        <v>50.1</v>
      </c>
      <c r="DG111" t="n">
        <v>63</v>
      </c>
      <c r="DH111" t="n">
        <v>73.5</v>
      </c>
      <c r="DI111" t="n">
        <v>78.90000000000001</v>
      </c>
      <c r="DJ111" t="n">
        <v>48.7</v>
      </c>
      <c r="DK111" t="n">
        <v>61.1</v>
      </c>
      <c r="DL111" t="n">
        <v>72.09999999999999</v>
      </c>
      <c r="DM111" t="n">
        <v>77</v>
      </c>
      <c r="DN111" t="n">
        <v>0</v>
      </c>
      <c r="DO111" t="n">
        <v>0</v>
      </c>
      <c r="DP111" t="n">
        <v>0</v>
      </c>
      <c r="DQ111" t="n">
        <v>0</v>
      </c>
      <c r="DR111" t="n">
        <v>0</v>
      </c>
      <c r="DS111" t="n">
        <v>0</v>
      </c>
      <c r="DT111" t="n">
        <v>0</v>
      </c>
      <c r="DU111" t="n">
        <v>0</v>
      </c>
      <c r="DV111" t="inlineStr">
        <is>
          <t>2500 mmbtu</t>
        </is>
      </c>
    </row>
    <row r="112">
      <c r="A112" t="inlineStr">
        <is>
          <t>DOMINION - SOUTH POINT (BASIS) - ICE FUTURES ENERGY DIV</t>
        </is>
      </c>
      <c r="B112" t="n">
        <v>230110</v>
      </c>
      <c r="C112" s="1" t="n">
        <v>44936</v>
      </c>
      <c r="D112" t="inlineStr">
        <is>
          <t>0233A3</t>
        </is>
      </c>
      <c r="E112" t="inlineStr">
        <is>
          <t>IFED</t>
        </is>
      </c>
      <c r="F112" t="inlineStr">
        <is>
          <t>01</t>
        </is>
      </c>
      <c r="G112" t="inlineStr">
        <is>
          <t xml:space="preserve">023 </t>
        </is>
      </c>
      <c r="H112" t="n">
        <v>758191</v>
      </c>
      <c r="I112" s="17" t="n">
        <v>60951</v>
      </c>
      <c r="J112" s="17" t="n">
        <v>2884</v>
      </c>
      <c r="K112" t="n">
        <v>3477</v>
      </c>
      <c r="L112" t="n">
        <v>679397</v>
      </c>
      <c r="M112" t="n">
        <v>743036</v>
      </c>
      <c r="N112" t="n">
        <v>743825</v>
      </c>
      <c r="O112" t="n">
        <v>749397</v>
      </c>
      <c r="P112" t="n">
        <v>14366</v>
      </c>
      <c r="Q112" t="n">
        <v>8794</v>
      </c>
      <c r="R112" t="n">
        <v>758191</v>
      </c>
      <c r="S112" t="n">
        <v>60951</v>
      </c>
      <c r="T112" t="n">
        <v>2884</v>
      </c>
      <c r="U112" t="n">
        <v>3477</v>
      </c>
      <c r="V112" t="n">
        <v>679397</v>
      </c>
      <c r="W112" t="n">
        <v>743036</v>
      </c>
      <c r="X112" t="n">
        <v>743825</v>
      </c>
      <c r="Y112" t="n">
        <v>749397</v>
      </c>
      <c r="Z112" t="n">
        <v>14366</v>
      </c>
      <c r="AA112" t="n">
        <v>8794</v>
      </c>
      <c r="AB112" t="n">
        <v>0</v>
      </c>
      <c r="AC112" t="n">
        <v>0</v>
      </c>
      <c r="AD112" t="n">
        <v>0</v>
      </c>
      <c r="AE112" t="n">
        <v>0</v>
      </c>
      <c r="AF112" t="n">
        <v>0</v>
      </c>
      <c r="AG112" t="n">
        <v>0</v>
      </c>
      <c r="AH112" t="n">
        <v>0</v>
      </c>
      <c r="AI112" t="n">
        <v>0</v>
      </c>
      <c r="AJ112" t="n">
        <v>0</v>
      </c>
      <c r="AK112" t="n">
        <v>0</v>
      </c>
      <c r="AL112" t="n">
        <v>-23933</v>
      </c>
      <c r="AM112" t="n">
        <v>9725</v>
      </c>
      <c r="AN112" t="n">
        <v>-3358</v>
      </c>
      <c r="AO112" t="n">
        <v>369</v>
      </c>
      <c r="AP112" t="n">
        <v>-34465</v>
      </c>
      <c r="AQ112" t="n">
        <v>-21149</v>
      </c>
      <c r="AR112" t="n">
        <v>-24371</v>
      </c>
      <c r="AS112" t="n">
        <v>-24138</v>
      </c>
      <c r="AT112" t="n">
        <v>438</v>
      </c>
      <c r="AU112" t="n">
        <v>205</v>
      </c>
      <c r="AV112" t="n">
        <v>100</v>
      </c>
      <c r="AW112" t="n">
        <v>8</v>
      </c>
      <c r="AX112" t="n">
        <v>0.4</v>
      </c>
      <c r="AY112" t="n">
        <v>0.5</v>
      </c>
      <c r="AZ112" t="n">
        <v>89.59999999999999</v>
      </c>
      <c r="BA112" t="n">
        <v>98</v>
      </c>
      <c r="BB112" t="n">
        <v>98.09999999999999</v>
      </c>
      <c r="BC112" t="n">
        <v>98.8</v>
      </c>
      <c r="BD112" t="n">
        <v>1.9</v>
      </c>
      <c r="BE112" t="n">
        <v>1.2</v>
      </c>
      <c r="BF112" t="n">
        <v>100</v>
      </c>
      <c r="BG112" t="n">
        <v>8</v>
      </c>
      <c r="BH112" t="n">
        <v>0.4</v>
      </c>
      <c r="BI112" t="n">
        <v>0.5</v>
      </c>
      <c r="BJ112" t="n">
        <v>89.59999999999999</v>
      </c>
      <c r="BK112" t="n">
        <v>98</v>
      </c>
      <c r="BL112" t="n">
        <v>98.09999999999999</v>
      </c>
      <c r="BM112" t="n">
        <v>98.8</v>
      </c>
      <c r="BN112" t="n">
        <v>1.9</v>
      </c>
      <c r="BO112" t="n">
        <v>1.2</v>
      </c>
      <c r="BP112" t="n">
        <v>0</v>
      </c>
      <c r="BQ112" t="n">
        <v>0</v>
      </c>
      <c r="BR112" t="n">
        <v>0</v>
      </c>
      <c r="BS112" t="n">
        <v>0</v>
      </c>
      <c r="BT112" t="n">
        <v>0</v>
      </c>
      <c r="BU112" t="n">
        <v>0</v>
      </c>
      <c r="BV112" t="n">
        <v>0</v>
      </c>
      <c r="BW112" t="n">
        <v>0</v>
      </c>
      <c r="BX112" t="n">
        <v>0</v>
      </c>
      <c r="BY112" t="n">
        <v>0</v>
      </c>
      <c r="BZ112" t="n">
        <v>64</v>
      </c>
      <c r="CA112" t="n">
        <v>6</v>
      </c>
      <c r="CB112" t="n">
        <v>2</v>
      </c>
      <c r="CC112" t="n">
        <v>2</v>
      </c>
      <c r="CD112" t="n">
        <v>47</v>
      </c>
      <c r="CE112" t="n">
        <v>39</v>
      </c>
      <c r="CF112" t="n">
        <v>53</v>
      </c>
      <c r="CG112" t="n">
        <v>43</v>
      </c>
      <c r="CH112" t="n">
        <v>64</v>
      </c>
      <c r="CI112" t="n">
        <v>6</v>
      </c>
      <c r="CJ112" t="n">
        <v>2</v>
      </c>
      <c r="CK112" t="n">
        <v>2</v>
      </c>
      <c r="CL112" t="n">
        <v>47</v>
      </c>
      <c r="CM112" t="n">
        <v>39</v>
      </c>
      <c r="CN112" t="n">
        <v>53</v>
      </c>
      <c r="CO112" t="n">
        <v>43</v>
      </c>
      <c r="CP112" t="n">
        <v>0</v>
      </c>
      <c r="CQ112" t="n">
        <v>0</v>
      </c>
      <c r="CR112" t="n">
        <v>0</v>
      </c>
      <c r="CS112" t="n">
        <v>0</v>
      </c>
      <c r="CT112" t="n">
        <v>0</v>
      </c>
      <c r="CU112" t="n">
        <v>0</v>
      </c>
      <c r="CV112" t="n">
        <v>0</v>
      </c>
      <c r="CW112" t="n">
        <v>0</v>
      </c>
      <c r="CX112" t="n">
        <v>37.7</v>
      </c>
      <c r="CY112" t="n">
        <v>44.5</v>
      </c>
      <c r="CZ112" t="n">
        <v>53.6</v>
      </c>
      <c r="DA112" t="n">
        <v>78.09999999999999</v>
      </c>
      <c r="DB112" t="n">
        <v>37.5</v>
      </c>
      <c r="DC112" t="n">
        <v>43.8</v>
      </c>
      <c r="DD112" t="n">
        <v>52.1</v>
      </c>
      <c r="DE112" t="n">
        <v>73.40000000000001</v>
      </c>
      <c r="DF112" t="n">
        <v>37.7</v>
      </c>
      <c r="DG112" t="n">
        <v>44.5</v>
      </c>
      <c r="DH112" t="n">
        <v>53.6</v>
      </c>
      <c r="DI112" t="n">
        <v>78.09999999999999</v>
      </c>
      <c r="DJ112" t="n">
        <v>37.5</v>
      </c>
      <c r="DK112" t="n">
        <v>43.8</v>
      </c>
      <c r="DL112" t="n">
        <v>52.1</v>
      </c>
      <c r="DM112" t="n">
        <v>73.40000000000001</v>
      </c>
      <c r="DN112" t="n">
        <v>0</v>
      </c>
      <c r="DO112" t="n">
        <v>0</v>
      </c>
      <c r="DP112" t="n">
        <v>0</v>
      </c>
      <c r="DQ112" t="n">
        <v>0</v>
      </c>
      <c r="DR112" t="n">
        <v>0</v>
      </c>
      <c r="DS112" t="n">
        <v>0</v>
      </c>
      <c r="DT112" t="n">
        <v>0</v>
      </c>
      <c r="DU112" t="n">
        <v>0</v>
      </c>
      <c r="DV112" t="inlineStr">
        <is>
          <t>2500 mmbtu</t>
        </is>
      </c>
    </row>
    <row r="113">
      <c r="A113" t="inlineStr">
        <is>
          <t>DOMINION - SOUTH POINT (BASIS) - ICE FUTURES ENERGY DIV</t>
        </is>
      </c>
      <c r="B113" t="n">
        <v>230103</v>
      </c>
      <c r="C113" s="1" t="n">
        <v>44929</v>
      </c>
      <c r="D113" t="inlineStr">
        <is>
          <t>0233A3</t>
        </is>
      </c>
      <c r="E113" t="inlineStr">
        <is>
          <t>IFED</t>
        </is>
      </c>
      <c r="F113" t="inlineStr">
        <is>
          <t>01</t>
        </is>
      </c>
      <c r="G113" t="inlineStr">
        <is>
          <t xml:space="preserve">023 </t>
        </is>
      </c>
      <c r="H113" t="n">
        <v>782124</v>
      </c>
      <c r="I113" s="17" t="n">
        <v>51226</v>
      </c>
      <c r="J113" s="17" t="n">
        <v>6242</v>
      </c>
      <c r="K113" t="n">
        <v>3108</v>
      </c>
      <c r="L113" t="n">
        <v>713862</v>
      </c>
      <c r="M113" t="n">
        <v>764185</v>
      </c>
      <c r="N113" t="n">
        <v>768196</v>
      </c>
      <c r="O113" t="n">
        <v>773535</v>
      </c>
      <c r="P113" t="n">
        <v>13928</v>
      </c>
      <c r="Q113" t="n">
        <v>8589</v>
      </c>
      <c r="R113" t="n">
        <v>782124</v>
      </c>
      <c r="S113" t="n">
        <v>51226</v>
      </c>
      <c r="T113" t="n">
        <v>6242</v>
      </c>
      <c r="U113" t="n">
        <v>3108</v>
      </c>
      <c r="V113" t="n">
        <v>713862</v>
      </c>
      <c r="W113" t="n">
        <v>764185</v>
      </c>
      <c r="X113" t="n">
        <v>768196</v>
      </c>
      <c r="Y113" t="n">
        <v>773535</v>
      </c>
      <c r="Z113" t="n">
        <v>13928</v>
      </c>
      <c r="AA113" t="n">
        <v>8589</v>
      </c>
      <c r="AB113" t="n">
        <v>0</v>
      </c>
      <c r="AC113" t="n">
        <v>0</v>
      </c>
      <c r="AD113" t="n">
        <v>0</v>
      </c>
      <c r="AE113" t="n">
        <v>0</v>
      </c>
      <c r="AF113" t="n">
        <v>0</v>
      </c>
      <c r="AG113" t="n">
        <v>0</v>
      </c>
      <c r="AH113" t="n">
        <v>0</v>
      </c>
      <c r="AI113" t="n">
        <v>0</v>
      </c>
      <c r="AJ113" t="n">
        <v>0</v>
      </c>
      <c r="AK113" t="n">
        <v>0</v>
      </c>
      <c r="AL113" t="n">
        <v>6334</v>
      </c>
      <c r="AM113" t="n">
        <v>4924</v>
      </c>
      <c r="AN113" t="n">
        <v>292</v>
      </c>
      <c r="AO113" t="n">
        <v>-638</v>
      </c>
      <c r="AP113" t="n">
        <v>12</v>
      </c>
      <c r="AQ113" t="n">
        <v>6894</v>
      </c>
      <c r="AR113" t="n">
        <v>4298</v>
      </c>
      <c r="AS113" t="n">
        <v>6548</v>
      </c>
      <c r="AT113" t="n">
        <v>2036</v>
      </c>
      <c r="AU113" t="n">
        <v>-214</v>
      </c>
      <c r="AV113" t="n">
        <v>100</v>
      </c>
      <c r="AW113" t="n">
        <v>6.5</v>
      </c>
      <c r="AX113" t="n">
        <v>0.8</v>
      </c>
      <c r="AY113" t="n">
        <v>0.4</v>
      </c>
      <c r="AZ113" t="n">
        <v>91.3</v>
      </c>
      <c r="BA113" t="n">
        <v>97.7</v>
      </c>
      <c r="BB113" t="n">
        <v>98.2</v>
      </c>
      <c r="BC113" t="n">
        <v>98.90000000000001</v>
      </c>
      <c r="BD113" t="n">
        <v>1.8</v>
      </c>
      <c r="BE113" t="n">
        <v>1.1</v>
      </c>
      <c r="BF113" t="n">
        <v>100</v>
      </c>
      <c r="BG113" t="n">
        <v>6.5</v>
      </c>
      <c r="BH113" t="n">
        <v>0.8</v>
      </c>
      <c r="BI113" t="n">
        <v>0.4</v>
      </c>
      <c r="BJ113" t="n">
        <v>91.3</v>
      </c>
      <c r="BK113" t="n">
        <v>97.7</v>
      </c>
      <c r="BL113" t="n">
        <v>98.2</v>
      </c>
      <c r="BM113" t="n">
        <v>98.90000000000001</v>
      </c>
      <c r="BN113" t="n">
        <v>1.8</v>
      </c>
      <c r="BO113" t="n">
        <v>1.1</v>
      </c>
      <c r="BP113" t="n">
        <v>0</v>
      </c>
      <c r="BQ113" t="n">
        <v>0</v>
      </c>
      <c r="BR113" t="n">
        <v>0</v>
      </c>
      <c r="BS113" t="n">
        <v>0</v>
      </c>
      <c r="BT113" t="n">
        <v>0</v>
      </c>
      <c r="BU113" t="n">
        <v>0</v>
      </c>
      <c r="BV113" t="n">
        <v>0</v>
      </c>
      <c r="BW113" t="n">
        <v>0</v>
      </c>
      <c r="BX113" t="n">
        <v>0</v>
      </c>
      <c r="BY113" t="n">
        <v>0</v>
      </c>
      <c r="BZ113" t="n">
        <v>65</v>
      </c>
      <c r="CA113" t="n">
        <v>5</v>
      </c>
      <c r="CB113" t="n">
        <v>3</v>
      </c>
      <c r="CC113" t="n">
        <v>3</v>
      </c>
      <c r="CD113" t="n">
        <v>49</v>
      </c>
      <c r="CE113" t="n">
        <v>41</v>
      </c>
      <c r="CF113" t="n">
        <v>55</v>
      </c>
      <c r="CG113" t="n">
        <v>46</v>
      </c>
      <c r="CH113" t="n">
        <v>65</v>
      </c>
      <c r="CI113" t="n">
        <v>5</v>
      </c>
      <c r="CJ113" t="n">
        <v>3</v>
      </c>
      <c r="CK113" t="n">
        <v>3</v>
      </c>
      <c r="CL113" t="n">
        <v>49</v>
      </c>
      <c r="CM113" t="n">
        <v>41</v>
      </c>
      <c r="CN113" t="n">
        <v>55</v>
      </c>
      <c r="CO113" t="n">
        <v>46</v>
      </c>
      <c r="CP113" t="n">
        <v>0</v>
      </c>
      <c r="CQ113" t="n">
        <v>0</v>
      </c>
      <c r="CR113" t="n">
        <v>0</v>
      </c>
      <c r="CS113" t="n">
        <v>0</v>
      </c>
      <c r="CT113" t="n">
        <v>0</v>
      </c>
      <c r="CU113" t="n">
        <v>0</v>
      </c>
      <c r="CV113" t="n">
        <v>0</v>
      </c>
      <c r="CW113" t="n">
        <v>0</v>
      </c>
      <c r="CX113" t="n">
        <v>36.4</v>
      </c>
      <c r="CY113" t="n">
        <v>44.4</v>
      </c>
      <c r="CZ113" t="n">
        <v>52.6</v>
      </c>
      <c r="DA113" t="n">
        <v>76.40000000000001</v>
      </c>
      <c r="DB113" t="n">
        <v>36</v>
      </c>
      <c r="DC113" t="n">
        <v>43.7</v>
      </c>
      <c r="DD113" t="n">
        <v>51.1</v>
      </c>
      <c r="DE113" t="n">
        <v>72.59999999999999</v>
      </c>
      <c r="DF113" t="n">
        <v>36.4</v>
      </c>
      <c r="DG113" t="n">
        <v>44.4</v>
      </c>
      <c r="DH113" t="n">
        <v>52.6</v>
      </c>
      <c r="DI113" t="n">
        <v>76.40000000000001</v>
      </c>
      <c r="DJ113" t="n">
        <v>36</v>
      </c>
      <c r="DK113" t="n">
        <v>43.7</v>
      </c>
      <c r="DL113" t="n">
        <v>51.1</v>
      </c>
      <c r="DM113" t="n">
        <v>72.59999999999999</v>
      </c>
      <c r="DN113" t="n">
        <v>0</v>
      </c>
      <c r="DO113" t="n">
        <v>0</v>
      </c>
      <c r="DP113" t="n">
        <v>0</v>
      </c>
      <c r="DQ113" t="n">
        <v>0</v>
      </c>
      <c r="DR113" t="n">
        <v>0</v>
      </c>
      <c r="DS113" t="n">
        <v>0</v>
      </c>
      <c r="DT113" t="n">
        <v>0</v>
      </c>
      <c r="DU113" t="n">
        <v>0</v>
      </c>
      <c r="DV113" t="inlineStr">
        <is>
          <t>2500 mmbtu</t>
        </is>
      </c>
    </row>
    <row r="114">
      <c r="A114" t="inlineStr">
        <is>
          <t>EP SAN JUAN BASIS - ICE FUTURES ENERGY DIV</t>
        </is>
      </c>
      <c r="B114" t="n">
        <v>230110</v>
      </c>
      <c r="C114" s="1" t="n">
        <v>44936</v>
      </c>
      <c r="D114" t="inlineStr">
        <is>
          <t>0233A8</t>
        </is>
      </c>
      <c r="E114" t="inlineStr">
        <is>
          <t>IFED</t>
        </is>
      </c>
      <c r="F114" t="inlineStr">
        <is>
          <t>01</t>
        </is>
      </c>
      <c r="G114" t="inlineStr">
        <is>
          <t xml:space="preserve">023 </t>
        </is>
      </c>
      <c r="H114" t="n">
        <v>235175</v>
      </c>
      <c r="I114" s="17" t="n">
        <v>21410</v>
      </c>
      <c r="J114" s="17" t="n">
        <v>0</v>
      </c>
      <c r="K114" t="n">
        <v>182</v>
      </c>
      <c r="L114" t="n">
        <v>206409</v>
      </c>
      <c r="M114" t="n">
        <v>230557</v>
      </c>
      <c r="N114" t="n">
        <v>228001</v>
      </c>
      <c r="O114" t="n">
        <v>230739</v>
      </c>
      <c r="P114" t="n">
        <v>7174</v>
      </c>
      <c r="Q114" t="n">
        <v>4436</v>
      </c>
      <c r="R114" t="n">
        <v>235175</v>
      </c>
      <c r="S114" t="n">
        <v>21410</v>
      </c>
      <c r="T114" t="n">
        <v>0</v>
      </c>
      <c r="U114" t="n">
        <v>182</v>
      </c>
      <c r="V114" t="n">
        <v>206409</v>
      </c>
      <c r="W114" t="n">
        <v>230557</v>
      </c>
      <c r="X114" t="n">
        <v>228001</v>
      </c>
      <c r="Y114" t="n">
        <v>230739</v>
      </c>
      <c r="Z114" t="n">
        <v>7174</v>
      </c>
      <c r="AA114" t="n">
        <v>4436</v>
      </c>
      <c r="AB114" t="n">
        <v>0</v>
      </c>
      <c r="AC114" t="n">
        <v>0</v>
      </c>
      <c r="AD114" t="n">
        <v>0</v>
      </c>
      <c r="AE114" t="n">
        <v>0</v>
      </c>
      <c r="AF114" t="n">
        <v>0</v>
      </c>
      <c r="AG114" t="n">
        <v>0</v>
      </c>
      <c r="AH114" t="n">
        <v>0</v>
      </c>
      <c r="AI114" t="n">
        <v>0</v>
      </c>
      <c r="AJ114" t="n">
        <v>0</v>
      </c>
      <c r="AK114" t="n">
        <v>0</v>
      </c>
      <c r="AL114" t="n">
        <v>-10569</v>
      </c>
      <c r="AM114" t="n">
        <v>-9626</v>
      </c>
      <c r="AN114" t="n">
        <v>0</v>
      </c>
      <c r="AO114" t="n">
        <v>134</v>
      </c>
      <c r="AP114" t="n">
        <v>-2772</v>
      </c>
      <c r="AQ114" t="n">
        <v>-8084</v>
      </c>
      <c r="AR114" t="n">
        <v>-12264</v>
      </c>
      <c r="AS114" t="n">
        <v>-7950</v>
      </c>
      <c r="AT114" t="n">
        <v>1695</v>
      </c>
      <c r="AU114" t="n">
        <v>-2619</v>
      </c>
      <c r="AV114" t="n">
        <v>100</v>
      </c>
      <c r="AW114" t="n">
        <v>9.1</v>
      </c>
      <c r="AX114" t="n">
        <v>0</v>
      </c>
      <c r="AY114" t="n">
        <v>0.1</v>
      </c>
      <c r="AZ114" t="n">
        <v>87.8</v>
      </c>
      <c r="BA114" t="n">
        <v>98</v>
      </c>
      <c r="BB114" t="n">
        <v>96.90000000000001</v>
      </c>
      <c r="BC114" t="n">
        <v>98.09999999999999</v>
      </c>
      <c r="BD114" t="n">
        <v>3.1</v>
      </c>
      <c r="BE114" t="n">
        <v>1.9</v>
      </c>
      <c r="BF114" t="n">
        <v>100</v>
      </c>
      <c r="BG114" t="n">
        <v>9.1</v>
      </c>
      <c r="BH114" t="n">
        <v>0</v>
      </c>
      <c r="BI114" t="n">
        <v>0.1</v>
      </c>
      <c r="BJ114" t="n">
        <v>87.8</v>
      </c>
      <c r="BK114" t="n">
        <v>98</v>
      </c>
      <c r="BL114" t="n">
        <v>96.90000000000001</v>
      </c>
      <c r="BM114" t="n">
        <v>98.09999999999999</v>
      </c>
      <c r="BN114" t="n">
        <v>3.1</v>
      </c>
      <c r="BO114" t="n">
        <v>1.9</v>
      </c>
      <c r="BP114" t="n">
        <v>0</v>
      </c>
      <c r="BQ114" t="n">
        <v>0</v>
      </c>
      <c r="BR114" t="n">
        <v>0</v>
      </c>
      <c r="BS114" t="n">
        <v>0</v>
      </c>
      <c r="BT114" t="n">
        <v>0</v>
      </c>
      <c r="BU114" t="n">
        <v>0</v>
      </c>
      <c r="BV114" t="n">
        <v>0</v>
      </c>
      <c r="BW114" t="n">
        <v>0</v>
      </c>
      <c r="BX114" t="n">
        <v>0</v>
      </c>
      <c r="BY114" t="n">
        <v>0</v>
      </c>
      <c r="BZ114" t="n">
        <v>28</v>
      </c>
      <c r="CA114" t="n">
        <v>1</v>
      </c>
      <c r="CB114" t="n">
        <v>0</v>
      </c>
      <c r="CC114" t="n">
        <v>1</v>
      </c>
      <c r="CD114" t="n">
        <v>22</v>
      </c>
      <c r="CE114" t="n">
        <v>20</v>
      </c>
      <c r="CF114" t="n">
        <v>23</v>
      </c>
      <c r="CG114" t="n">
        <v>21</v>
      </c>
      <c r="CH114" t="n">
        <v>28</v>
      </c>
      <c r="CI114" t="n">
        <v>1</v>
      </c>
      <c r="CJ114" t="n">
        <v>0</v>
      </c>
      <c r="CK114" t="n">
        <v>1</v>
      </c>
      <c r="CL114" t="n">
        <v>22</v>
      </c>
      <c r="CM114" t="n">
        <v>20</v>
      </c>
      <c r="CN114" t="n">
        <v>23</v>
      </c>
      <c r="CO114" t="n">
        <v>21</v>
      </c>
      <c r="CP114" t="n">
        <v>0</v>
      </c>
      <c r="CQ114" t="n">
        <v>0</v>
      </c>
      <c r="CR114" t="n">
        <v>0</v>
      </c>
      <c r="CS114" t="n">
        <v>0</v>
      </c>
      <c r="CT114" t="n">
        <v>0</v>
      </c>
      <c r="CU114" t="n">
        <v>0</v>
      </c>
      <c r="CV114" t="n">
        <v>0</v>
      </c>
      <c r="CW114" t="n">
        <v>0</v>
      </c>
      <c r="CX114" t="n">
        <v>69.40000000000001</v>
      </c>
      <c r="CY114" t="n">
        <v>91.3</v>
      </c>
      <c r="CZ114" t="n">
        <v>84.7</v>
      </c>
      <c r="DA114" t="n">
        <v>95.7</v>
      </c>
      <c r="DB114" t="n">
        <v>67.40000000000001</v>
      </c>
      <c r="DC114" t="n">
        <v>87.90000000000001</v>
      </c>
      <c r="DD114" t="n">
        <v>81.7</v>
      </c>
      <c r="DE114" t="n">
        <v>91</v>
      </c>
      <c r="DF114" t="n">
        <v>69.40000000000001</v>
      </c>
      <c r="DG114" t="n">
        <v>91.3</v>
      </c>
      <c r="DH114" t="n">
        <v>84.7</v>
      </c>
      <c r="DI114" t="n">
        <v>95.7</v>
      </c>
      <c r="DJ114" t="n">
        <v>67.40000000000001</v>
      </c>
      <c r="DK114" t="n">
        <v>87.90000000000001</v>
      </c>
      <c r="DL114" t="n">
        <v>81.7</v>
      </c>
      <c r="DM114" t="n">
        <v>91</v>
      </c>
      <c r="DN114" t="n">
        <v>0</v>
      </c>
      <c r="DO114" t="n">
        <v>0</v>
      </c>
      <c r="DP114" t="n">
        <v>0</v>
      </c>
      <c r="DQ114" t="n">
        <v>0</v>
      </c>
      <c r="DR114" t="n">
        <v>0</v>
      </c>
      <c r="DS114" t="n">
        <v>0</v>
      </c>
      <c r="DT114" t="n">
        <v>0</v>
      </c>
      <c r="DU114" t="n">
        <v>0</v>
      </c>
      <c r="DV114" t="inlineStr">
        <is>
          <t>2500 mmbtu</t>
        </is>
      </c>
    </row>
    <row r="115">
      <c r="A115" t="inlineStr">
        <is>
          <t>EP SAN JUAN BASIS - ICE FUTURES ENERGY DIV</t>
        </is>
      </c>
      <c r="B115" t="n">
        <v>230103</v>
      </c>
      <c r="C115" s="1" t="n">
        <v>44929</v>
      </c>
      <c r="D115" t="inlineStr">
        <is>
          <t>0233A8</t>
        </is>
      </c>
      <c r="E115" t="inlineStr">
        <is>
          <t>IFED</t>
        </is>
      </c>
      <c r="F115" t="inlineStr">
        <is>
          <t>01</t>
        </is>
      </c>
      <c r="G115" t="inlineStr">
        <is>
          <t xml:space="preserve">023 </t>
        </is>
      </c>
      <c r="H115" t="n">
        <v>245744</v>
      </c>
      <c r="I115" s="17" t="n">
        <v>31036</v>
      </c>
      <c r="J115" s="17" t="n">
        <v>0</v>
      </c>
      <c r="K115" t="n">
        <v>48</v>
      </c>
      <c r="L115" t="n">
        <v>209181</v>
      </c>
      <c r="M115" t="n">
        <v>238641</v>
      </c>
      <c r="N115" t="n">
        <v>240265</v>
      </c>
      <c r="O115" t="n">
        <v>238689</v>
      </c>
      <c r="P115" t="n">
        <v>5479</v>
      </c>
      <c r="Q115" t="n">
        <v>7055</v>
      </c>
      <c r="R115" t="n">
        <v>245744</v>
      </c>
      <c r="S115" t="n">
        <v>31036</v>
      </c>
      <c r="T115" t="n">
        <v>0</v>
      </c>
      <c r="U115" t="n">
        <v>48</v>
      </c>
      <c r="V115" t="n">
        <v>209181</v>
      </c>
      <c r="W115" t="n">
        <v>238641</v>
      </c>
      <c r="X115" t="n">
        <v>240265</v>
      </c>
      <c r="Y115" t="n">
        <v>238689</v>
      </c>
      <c r="Z115" t="n">
        <v>5479</v>
      </c>
      <c r="AA115" t="n">
        <v>7055</v>
      </c>
      <c r="AB115" t="n">
        <v>0</v>
      </c>
      <c r="AC115" t="n">
        <v>0</v>
      </c>
      <c r="AD115" t="n">
        <v>0</v>
      </c>
      <c r="AE115" t="n">
        <v>0</v>
      </c>
      <c r="AF115" t="n">
        <v>0</v>
      </c>
      <c r="AG115" t="n">
        <v>0</v>
      </c>
      <c r="AH115" t="n">
        <v>0</v>
      </c>
      <c r="AI115" t="n">
        <v>0</v>
      </c>
      <c r="AJ115" t="n">
        <v>0</v>
      </c>
      <c r="AK115" t="n">
        <v>0</v>
      </c>
      <c r="AL115" t="n">
        <v>2305</v>
      </c>
      <c r="AM115" t="n">
        <v>-3347</v>
      </c>
      <c r="AN115" t="n">
        <v>0</v>
      </c>
      <c r="AO115" t="n">
        <v>0</v>
      </c>
      <c r="AP115" t="n">
        <v>5676</v>
      </c>
      <c r="AQ115" t="n">
        <v>2215</v>
      </c>
      <c r="AR115" t="n">
        <v>2329</v>
      </c>
      <c r="AS115" t="n">
        <v>2215</v>
      </c>
      <c r="AT115" t="n">
        <v>-24</v>
      </c>
      <c r="AU115" t="n">
        <v>90</v>
      </c>
      <c r="AV115" t="n">
        <v>100</v>
      </c>
      <c r="AW115" t="n">
        <v>12.6</v>
      </c>
      <c r="AX115" t="n">
        <v>0</v>
      </c>
      <c r="AY115" t="n">
        <v>0</v>
      </c>
      <c r="AZ115" t="n">
        <v>85.09999999999999</v>
      </c>
      <c r="BA115" t="n">
        <v>97.09999999999999</v>
      </c>
      <c r="BB115" t="n">
        <v>97.8</v>
      </c>
      <c r="BC115" t="n">
        <v>97.09999999999999</v>
      </c>
      <c r="BD115" t="n">
        <v>2.2</v>
      </c>
      <c r="BE115" t="n">
        <v>2.9</v>
      </c>
      <c r="BF115" t="n">
        <v>100</v>
      </c>
      <c r="BG115" t="n">
        <v>12.6</v>
      </c>
      <c r="BH115" t="n">
        <v>0</v>
      </c>
      <c r="BI115" t="n">
        <v>0</v>
      </c>
      <c r="BJ115" t="n">
        <v>85.09999999999999</v>
      </c>
      <c r="BK115" t="n">
        <v>97.09999999999999</v>
      </c>
      <c r="BL115" t="n">
        <v>97.8</v>
      </c>
      <c r="BM115" t="n">
        <v>97.09999999999999</v>
      </c>
      <c r="BN115" t="n">
        <v>2.2</v>
      </c>
      <c r="BO115" t="n">
        <v>2.9</v>
      </c>
      <c r="BP115" t="n">
        <v>0</v>
      </c>
      <c r="BQ115" t="n">
        <v>0</v>
      </c>
      <c r="BR115" t="n">
        <v>0</v>
      </c>
      <c r="BS115" t="n">
        <v>0</v>
      </c>
      <c r="BT115" t="n">
        <v>0</v>
      </c>
      <c r="BU115" t="n">
        <v>0</v>
      </c>
      <c r="BV115" t="n">
        <v>0</v>
      </c>
      <c r="BW115" t="n">
        <v>0</v>
      </c>
      <c r="BX115" t="n">
        <v>0</v>
      </c>
      <c r="BY115" t="n">
        <v>0</v>
      </c>
      <c r="BZ115" t="n">
        <v>29</v>
      </c>
      <c r="CA115" t="n">
        <v>3</v>
      </c>
      <c r="CB115" t="n">
        <v>0</v>
      </c>
      <c r="CC115" t="n">
        <v>2</v>
      </c>
      <c r="CD115" t="n">
        <v>22</v>
      </c>
      <c r="CE115" t="n">
        <v>17</v>
      </c>
      <c r="CF115" t="n">
        <v>25</v>
      </c>
      <c r="CG115" t="n">
        <v>19</v>
      </c>
      <c r="CH115" t="n">
        <v>29</v>
      </c>
      <c r="CI115" t="n">
        <v>3</v>
      </c>
      <c r="CJ115" t="n">
        <v>0</v>
      </c>
      <c r="CK115" t="n">
        <v>2</v>
      </c>
      <c r="CL115" t="n">
        <v>22</v>
      </c>
      <c r="CM115" t="n">
        <v>17</v>
      </c>
      <c r="CN115" t="n">
        <v>25</v>
      </c>
      <c r="CO115" t="n">
        <v>19</v>
      </c>
      <c r="CP115" t="n">
        <v>0</v>
      </c>
      <c r="CQ115" t="n">
        <v>0</v>
      </c>
      <c r="CR115" t="n">
        <v>0</v>
      </c>
      <c r="CS115" t="n">
        <v>0</v>
      </c>
      <c r="CT115" t="n">
        <v>0</v>
      </c>
      <c r="CU115" t="n">
        <v>0</v>
      </c>
      <c r="CV115" t="n">
        <v>0</v>
      </c>
      <c r="CW115" t="n">
        <v>0</v>
      </c>
      <c r="CX115" t="n">
        <v>69.7</v>
      </c>
      <c r="CY115" t="n">
        <v>90.5</v>
      </c>
      <c r="CZ115" t="n">
        <v>83.40000000000001</v>
      </c>
      <c r="DA115" t="n">
        <v>94.8</v>
      </c>
      <c r="DB115" t="n">
        <v>67.90000000000001</v>
      </c>
      <c r="DC115" t="n">
        <v>88.59999999999999</v>
      </c>
      <c r="DD115" t="n">
        <v>81.09999999999999</v>
      </c>
      <c r="DE115" t="n">
        <v>91.09999999999999</v>
      </c>
      <c r="DF115" t="n">
        <v>69.7</v>
      </c>
      <c r="DG115" t="n">
        <v>90.5</v>
      </c>
      <c r="DH115" t="n">
        <v>83.40000000000001</v>
      </c>
      <c r="DI115" t="n">
        <v>94.8</v>
      </c>
      <c r="DJ115" t="n">
        <v>67.90000000000001</v>
      </c>
      <c r="DK115" t="n">
        <v>88.59999999999999</v>
      </c>
      <c r="DL115" t="n">
        <v>81.09999999999999</v>
      </c>
      <c r="DM115" t="n">
        <v>91.09999999999999</v>
      </c>
      <c r="DN115" t="n">
        <v>0</v>
      </c>
      <c r="DO115" t="n">
        <v>0</v>
      </c>
      <c r="DP115" t="n">
        <v>0</v>
      </c>
      <c r="DQ115" t="n">
        <v>0</v>
      </c>
      <c r="DR115" t="n">
        <v>0</v>
      </c>
      <c r="DS115" t="n">
        <v>0</v>
      </c>
      <c r="DT115" t="n">
        <v>0</v>
      </c>
      <c r="DU115" t="n">
        <v>0</v>
      </c>
      <c r="DV115" t="inlineStr">
        <is>
          <t>2500 mmbtu</t>
        </is>
      </c>
    </row>
    <row r="116">
      <c r="A116" t="inlineStr">
        <is>
          <t>HENRY HUB BASIS - ICE FUTURES ENERGY DIV</t>
        </is>
      </c>
      <c r="B116" t="n">
        <v>230110</v>
      </c>
      <c r="C116" s="1" t="n">
        <v>44936</v>
      </c>
      <c r="D116" t="inlineStr">
        <is>
          <t>0233AG</t>
        </is>
      </c>
      <c r="E116" t="inlineStr">
        <is>
          <t>IFED</t>
        </is>
      </c>
      <c r="F116" t="inlineStr">
        <is>
          <t>01</t>
        </is>
      </c>
      <c r="G116" t="inlineStr">
        <is>
          <t xml:space="preserve">023 </t>
        </is>
      </c>
      <c r="H116" t="n">
        <v>106909</v>
      </c>
      <c r="I116" s="17" t="n">
        <v>364</v>
      </c>
      <c r="J116" s="17" t="n">
        <v>16786</v>
      </c>
      <c r="K116" t="n">
        <v>240</v>
      </c>
      <c r="L116" t="n">
        <v>104943</v>
      </c>
      <c r="M116" t="n">
        <v>85837</v>
      </c>
      <c r="N116" t="n">
        <v>105547</v>
      </c>
      <c r="O116" t="n">
        <v>102863</v>
      </c>
      <c r="P116" t="n">
        <v>1362</v>
      </c>
      <c r="Q116" t="n">
        <v>4046</v>
      </c>
      <c r="R116" t="n">
        <v>106909</v>
      </c>
      <c r="S116" t="n">
        <v>364</v>
      </c>
      <c r="T116" t="n">
        <v>16786</v>
      </c>
      <c r="U116" t="n">
        <v>240</v>
      </c>
      <c r="V116" t="n">
        <v>104943</v>
      </c>
      <c r="W116" t="n">
        <v>85837</v>
      </c>
      <c r="X116" t="n">
        <v>105547</v>
      </c>
      <c r="Y116" t="n">
        <v>102863</v>
      </c>
      <c r="Z116" t="n">
        <v>1362</v>
      </c>
      <c r="AA116" t="n">
        <v>4046</v>
      </c>
      <c r="AB116" t="n">
        <v>0</v>
      </c>
      <c r="AC116" t="n">
        <v>0</v>
      </c>
      <c r="AD116" t="n">
        <v>0</v>
      </c>
      <c r="AE116" t="n">
        <v>0</v>
      </c>
      <c r="AF116" t="n">
        <v>0</v>
      </c>
      <c r="AG116" t="n">
        <v>0</v>
      </c>
      <c r="AH116" t="n">
        <v>0</v>
      </c>
      <c r="AI116" t="n">
        <v>0</v>
      </c>
      <c r="AJ116" t="n">
        <v>0</v>
      </c>
      <c r="AK116" t="n">
        <v>0</v>
      </c>
      <c r="AL116" t="n">
        <v>-51118</v>
      </c>
      <c r="AM116" t="n">
        <v>-2368</v>
      </c>
      <c r="AN116" t="n">
        <v>-19190</v>
      </c>
      <c r="AO116" t="n">
        <v>-434</v>
      </c>
      <c r="AP116" t="n">
        <v>-48220</v>
      </c>
      <c r="AQ116" t="n">
        <v>-29711</v>
      </c>
      <c r="AR116" t="n">
        <v>-51022</v>
      </c>
      <c r="AS116" t="n">
        <v>-49335</v>
      </c>
      <c r="AT116" t="n">
        <v>-96</v>
      </c>
      <c r="AU116" t="n">
        <v>-1783</v>
      </c>
      <c r="AV116" t="n">
        <v>100</v>
      </c>
      <c r="AW116" t="n">
        <v>0.3</v>
      </c>
      <c r="AX116" t="n">
        <v>15.7</v>
      </c>
      <c r="AY116" t="n">
        <v>0.2</v>
      </c>
      <c r="AZ116" t="n">
        <v>98.2</v>
      </c>
      <c r="BA116" t="n">
        <v>80.3</v>
      </c>
      <c r="BB116" t="n">
        <v>98.7</v>
      </c>
      <c r="BC116" t="n">
        <v>96.2</v>
      </c>
      <c r="BD116" t="n">
        <v>1.3</v>
      </c>
      <c r="BE116" t="n">
        <v>3.8</v>
      </c>
      <c r="BF116" t="n">
        <v>100</v>
      </c>
      <c r="BG116" t="n">
        <v>0.3</v>
      </c>
      <c r="BH116" t="n">
        <v>15.7</v>
      </c>
      <c r="BI116" t="n">
        <v>0.2</v>
      </c>
      <c r="BJ116" t="n">
        <v>98.2</v>
      </c>
      <c r="BK116" t="n">
        <v>80.3</v>
      </c>
      <c r="BL116" t="n">
        <v>98.7</v>
      </c>
      <c r="BM116" t="n">
        <v>96.2</v>
      </c>
      <c r="BN116" t="n">
        <v>1.3</v>
      </c>
      <c r="BO116" t="n">
        <v>3.8</v>
      </c>
      <c r="BP116" t="n">
        <v>0</v>
      </c>
      <c r="BQ116" t="n">
        <v>0</v>
      </c>
      <c r="BR116" t="n">
        <v>0</v>
      </c>
      <c r="BS116" t="n">
        <v>0</v>
      </c>
      <c r="BT116" t="n">
        <v>0</v>
      </c>
      <c r="BU116" t="n">
        <v>0</v>
      </c>
      <c r="BV116" t="n">
        <v>0</v>
      </c>
      <c r="BW116" t="n">
        <v>0</v>
      </c>
      <c r="BX116" t="n">
        <v>0</v>
      </c>
      <c r="BY116" t="n">
        <v>0</v>
      </c>
      <c r="BZ116" t="n">
        <v>30</v>
      </c>
      <c r="CA116" t="n">
        <v>1</v>
      </c>
      <c r="CB116" t="n">
        <v>5</v>
      </c>
      <c r="CC116" t="n">
        <v>1</v>
      </c>
      <c r="CD116" t="n">
        <v>16</v>
      </c>
      <c r="CE116" t="n">
        <v>17</v>
      </c>
      <c r="CF116" t="n">
        <v>18</v>
      </c>
      <c r="CG116" t="n">
        <v>22</v>
      </c>
      <c r="CH116" t="n">
        <v>30</v>
      </c>
      <c r="CI116" t="n">
        <v>1</v>
      </c>
      <c r="CJ116" t="n">
        <v>5</v>
      </c>
      <c r="CK116" t="n">
        <v>1</v>
      </c>
      <c r="CL116" t="n">
        <v>16</v>
      </c>
      <c r="CM116" t="n">
        <v>17</v>
      </c>
      <c r="CN116" t="n">
        <v>18</v>
      </c>
      <c r="CO116" t="n">
        <v>22</v>
      </c>
      <c r="CP116" t="n">
        <v>0</v>
      </c>
      <c r="CQ116" t="n">
        <v>0</v>
      </c>
      <c r="CR116" t="n">
        <v>0</v>
      </c>
      <c r="CS116" t="n">
        <v>0</v>
      </c>
      <c r="CT116" t="n">
        <v>0</v>
      </c>
      <c r="CU116" t="n">
        <v>0</v>
      </c>
      <c r="CV116" t="n">
        <v>0</v>
      </c>
      <c r="CW116" t="n">
        <v>0</v>
      </c>
      <c r="CX116" t="n">
        <v>70.2</v>
      </c>
      <c r="CY116" t="n">
        <v>56.4</v>
      </c>
      <c r="CZ116" t="n">
        <v>89.59999999999999</v>
      </c>
      <c r="DA116" t="n">
        <v>76</v>
      </c>
      <c r="DB116" t="n">
        <v>69.7</v>
      </c>
      <c r="DC116" t="n">
        <v>56.2</v>
      </c>
      <c r="DD116" t="n">
        <v>87.8</v>
      </c>
      <c r="DE116" t="n">
        <v>75.09999999999999</v>
      </c>
      <c r="DF116" t="n">
        <v>70.2</v>
      </c>
      <c r="DG116" t="n">
        <v>56.4</v>
      </c>
      <c r="DH116" t="n">
        <v>89.59999999999999</v>
      </c>
      <c r="DI116" t="n">
        <v>76</v>
      </c>
      <c r="DJ116" t="n">
        <v>69.7</v>
      </c>
      <c r="DK116" t="n">
        <v>56.2</v>
      </c>
      <c r="DL116" t="n">
        <v>87.8</v>
      </c>
      <c r="DM116" t="n">
        <v>75.09999999999999</v>
      </c>
      <c r="DN116" t="n">
        <v>0</v>
      </c>
      <c r="DO116" t="n">
        <v>0</v>
      </c>
      <c r="DP116" t="n">
        <v>0</v>
      </c>
      <c r="DQ116" t="n">
        <v>0</v>
      </c>
      <c r="DR116" t="n">
        <v>0</v>
      </c>
      <c r="DS116" t="n">
        <v>0</v>
      </c>
      <c r="DT116" t="n">
        <v>0</v>
      </c>
      <c r="DU116" t="n">
        <v>0</v>
      </c>
      <c r="DV116" t="inlineStr">
        <is>
          <t>2500 mmbtu</t>
        </is>
      </c>
    </row>
    <row r="117">
      <c r="A117" t="inlineStr">
        <is>
          <t>HENRY HUB BASIS - ICE FUTURES ENERGY DIV</t>
        </is>
      </c>
      <c r="B117" t="n">
        <v>230103</v>
      </c>
      <c r="C117" s="1" t="n">
        <v>44929</v>
      </c>
      <c r="D117" t="inlineStr">
        <is>
          <t>0233AG</t>
        </is>
      </c>
      <c r="E117" t="inlineStr">
        <is>
          <t>IFED</t>
        </is>
      </c>
      <c r="F117" t="inlineStr">
        <is>
          <t>01</t>
        </is>
      </c>
      <c r="G117" t="inlineStr">
        <is>
          <t xml:space="preserve">023 </t>
        </is>
      </c>
      <c r="H117" t="n">
        <v>158027</v>
      </c>
      <c r="I117" s="17" t="n">
        <v>2732</v>
      </c>
      <c r="J117" s="17" t="n">
        <v>35976</v>
      </c>
      <c r="K117" t="n">
        <v>674</v>
      </c>
      <c r="L117" t="n">
        <v>153163</v>
      </c>
      <c r="M117" t="n">
        <v>115548</v>
      </c>
      <c r="N117" t="n">
        <v>156569</v>
      </c>
      <c r="O117" t="n">
        <v>152198</v>
      </c>
      <c r="P117" t="n">
        <v>1458</v>
      </c>
      <c r="Q117" t="n">
        <v>5829</v>
      </c>
      <c r="R117" t="n">
        <v>158027</v>
      </c>
      <c r="S117" t="n">
        <v>2732</v>
      </c>
      <c r="T117" t="n">
        <v>35976</v>
      </c>
      <c r="U117" t="n">
        <v>674</v>
      </c>
      <c r="V117" t="n">
        <v>153163</v>
      </c>
      <c r="W117" t="n">
        <v>115548</v>
      </c>
      <c r="X117" t="n">
        <v>156569</v>
      </c>
      <c r="Y117" t="n">
        <v>152198</v>
      </c>
      <c r="Z117" t="n">
        <v>1458</v>
      </c>
      <c r="AA117" t="n">
        <v>5829</v>
      </c>
      <c r="AB117" t="n">
        <v>0</v>
      </c>
      <c r="AC117" t="n">
        <v>0</v>
      </c>
      <c r="AD117" t="n">
        <v>0</v>
      </c>
      <c r="AE117" t="n">
        <v>0</v>
      </c>
      <c r="AF117" t="n">
        <v>0</v>
      </c>
      <c r="AG117" t="n">
        <v>0</v>
      </c>
      <c r="AH117" t="n">
        <v>0</v>
      </c>
      <c r="AI117" t="n">
        <v>0</v>
      </c>
      <c r="AJ117" t="n">
        <v>0</v>
      </c>
      <c r="AK117" t="n">
        <v>0</v>
      </c>
      <c r="AL117" t="n">
        <v>10130</v>
      </c>
      <c r="AM117" t="n">
        <v>-589</v>
      </c>
      <c r="AN117" t="n">
        <v>2511</v>
      </c>
      <c r="AO117" t="n">
        <v>434</v>
      </c>
      <c r="AP117" t="n">
        <v>10530</v>
      </c>
      <c r="AQ117" t="n">
        <v>7340</v>
      </c>
      <c r="AR117" t="n">
        <v>10375</v>
      </c>
      <c r="AS117" t="n">
        <v>10285</v>
      </c>
      <c r="AT117" t="n">
        <v>-245</v>
      </c>
      <c r="AU117" t="n">
        <v>-155</v>
      </c>
      <c r="AV117" t="n">
        <v>100</v>
      </c>
      <c r="AW117" t="n">
        <v>1.7</v>
      </c>
      <c r="AX117" t="n">
        <v>22.8</v>
      </c>
      <c r="AY117" t="n">
        <v>0.4</v>
      </c>
      <c r="AZ117" t="n">
        <v>96.90000000000001</v>
      </c>
      <c r="BA117" t="n">
        <v>73.09999999999999</v>
      </c>
      <c r="BB117" t="n">
        <v>99.09999999999999</v>
      </c>
      <c r="BC117" t="n">
        <v>96.3</v>
      </c>
      <c r="BD117" t="n">
        <v>0.9</v>
      </c>
      <c r="BE117" t="n">
        <v>3.7</v>
      </c>
      <c r="BF117" t="n">
        <v>100</v>
      </c>
      <c r="BG117" t="n">
        <v>1.7</v>
      </c>
      <c r="BH117" t="n">
        <v>22.8</v>
      </c>
      <c r="BI117" t="n">
        <v>0.4</v>
      </c>
      <c r="BJ117" t="n">
        <v>96.90000000000001</v>
      </c>
      <c r="BK117" t="n">
        <v>73.09999999999999</v>
      </c>
      <c r="BL117" t="n">
        <v>99.09999999999999</v>
      </c>
      <c r="BM117" t="n">
        <v>96.3</v>
      </c>
      <c r="BN117" t="n">
        <v>0.9</v>
      </c>
      <c r="BO117" t="n">
        <v>3.7</v>
      </c>
      <c r="BP117" t="n">
        <v>0</v>
      </c>
      <c r="BQ117" t="n">
        <v>0</v>
      </c>
      <c r="BR117" t="n">
        <v>0</v>
      </c>
      <c r="BS117" t="n">
        <v>0</v>
      </c>
      <c r="BT117" t="n">
        <v>0</v>
      </c>
      <c r="BU117" t="n">
        <v>0</v>
      </c>
      <c r="BV117" t="n">
        <v>0</v>
      </c>
      <c r="BW117" t="n">
        <v>0</v>
      </c>
      <c r="BX117" t="n">
        <v>0</v>
      </c>
      <c r="BY117" t="n">
        <v>0</v>
      </c>
      <c r="BZ117" t="n">
        <v>66</v>
      </c>
      <c r="CA117" t="n">
        <v>2</v>
      </c>
      <c r="CB117" t="n">
        <v>9</v>
      </c>
      <c r="CC117" t="n">
        <v>2</v>
      </c>
      <c r="CD117" t="n">
        <v>32</v>
      </c>
      <c r="CE117" t="n">
        <v>34</v>
      </c>
      <c r="CF117" t="n">
        <v>36</v>
      </c>
      <c r="CG117" t="n">
        <v>43</v>
      </c>
      <c r="CH117" t="n">
        <v>66</v>
      </c>
      <c r="CI117" t="n">
        <v>2</v>
      </c>
      <c r="CJ117" t="n">
        <v>9</v>
      </c>
      <c r="CK117" t="n">
        <v>2</v>
      </c>
      <c r="CL117" t="n">
        <v>32</v>
      </c>
      <c r="CM117" t="n">
        <v>34</v>
      </c>
      <c r="CN117" t="n">
        <v>36</v>
      </c>
      <c r="CO117" t="n">
        <v>43</v>
      </c>
      <c r="CP117" t="n">
        <v>0</v>
      </c>
      <c r="CQ117" t="n">
        <v>0</v>
      </c>
      <c r="CR117" t="n">
        <v>0</v>
      </c>
      <c r="CS117" t="n">
        <v>0</v>
      </c>
      <c r="CT117" t="n">
        <v>0</v>
      </c>
      <c r="CU117" t="n">
        <v>0</v>
      </c>
      <c r="CV117" t="n">
        <v>0</v>
      </c>
      <c r="CW117" t="n">
        <v>0</v>
      </c>
      <c r="CX117" t="n">
        <v>54.8</v>
      </c>
      <c r="CY117" t="n">
        <v>45.1</v>
      </c>
      <c r="CZ117" t="n">
        <v>75</v>
      </c>
      <c r="DA117" t="n">
        <v>65.90000000000001</v>
      </c>
      <c r="DB117" t="n">
        <v>54.4</v>
      </c>
      <c r="DC117" t="n">
        <v>44.3</v>
      </c>
      <c r="DD117" t="n">
        <v>74.40000000000001</v>
      </c>
      <c r="DE117" t="n">
        <v>63.2</v>
      </c>
      <c r="DF117" t="n">
        <v>54.8</v>
      </c>
      <c r="DG117" t="n">
        <v>45.1</v>
      </c>
      <c r="DH117" t="n">
        <v>75</v>
      </c>
      <c r="DI117" t="n">
        <v>65.90000000000001</v>
      </c>
      <c r="DJ117" t="n">
        <v>54.4</v>
      </c>
      <c r="DK117" t="n">
        <v>44.3</v>
      </c>
      <c r="DL117" t="n">
        <v>74.40000000000001</v>
      </c>
      <c r="DM117" t="n">
        <v>63.2</v>
      </c>
      <c r="DN117" t="n">
        <v>0</v>
      </c>
      <c r="DO117" t="n">
        <v>0</v>
      </c>
      <c r="DP117" t="n">
        <v>0</v>
      </c>
      <c r="DQ117" t="n">
        <v>0</v>
      </c>
      <c r="DR117" t="n">
        <v>0</v>
      </c>
      <c r="DS117" t="n">
        <v>0</v>
      </c>
      <c r="DT117" t="n">
        <v>0</v>
      </c>
      <c r="DU117" t="n">
        <v>0</v>
      </c>
      <c r="DV117" t="inlineStr">
        <is>
          <t>2500 mmbtu</t>
        </is>
      </c>
    </row>
    <row r="118">
      <c r="A118" t="inlineStr">
        <is>
          <t>HENRY HUB INDEX - ICE FUTURES ENERGY DIV</t>
        </is>
      </c>
      <c r="B118" t="n">
        <v>230110</v>
      </c>
      <c r="C118" s="1" t="n">
        <v>44936</v>
      </c>
      <c r="D118" t="inlineStr">
        <is>
          <t>0233AH</t>
        </is>
      </c>
      <c r="E118" t="inlineStr">
        <is>
          <t>IFED</t>
        </is>
      </c>
      <c r="F118" t="inlineStr">
        <is>
          <t>01</t>
        </is>
      </c>
      <c r="G118" t="inlineStr">
        <is>
          <t xml:space="preserve">023 </t>
        </is>
      </c>
      <c r="H118" t="n">
        <v>160641</v>
      </c>
      <c r="I118" s="17" t="n">
        <v>2732</v>
      </c>
      <c r="J118" s="17" t="n">
        <v>40116</v>
      </c>
      <c r="K118" t="n">
        <v>674</v>
      </c>
      <c r="L118" t="n">
        <v>154958</v>
      </c>
      <c r="M118" t="n">
        <v>116017</v>
      </c>
      <c r="N118" t="n">
        <v>158364</v>
      </c>
      <c r="O118" t="n">
        <v>156807</v>
      </c>
      <c r="P118" t="n">
        <v>2277</v>
      </c>
      <c r="Q118" t="n">
        <v>3834</v>
      </c>
      <c r="R118" t="n">
        <v>160641</v>
      </c>
      <c r="S118" t="n">
        <v>2732</v>
      </c>
      <c r="T118" t="n">
        <v>40116</v>
      </c>
      <c r="U118" t="n">
        <v>674</v>
      </c>
      <c r="V118" t="n">
        <v>154958</v>
      </c>
      <c r="W118" t="n">
        <v>116017</v>
      </c>
      <c r="X118" t="n">
        <v>158364</v>
      </c>
      <c r="Y118" t="n">
        <v>156807</v>
      </c>
      <c r="Z118" t="n">
        <v>2277</v>
      </c>
      <c r="AA118" t="n">
        <v>3834</v>
      </c>
      <c r="AB118" t="n">
        <v>0</v>
      </c>
      <c r="AC118" t="n">
        <v>0</v>
      </c>
      <c r="AD118" t="n">
        <v>0</v>
      </c>
      <c r="AE118" t="n">
        <v>0</v>
      </c>
      <c r="AF118" t="n">
        <v>0</v>
      </c>
      <c r="AG118" t="n">
        <v>0</v>
      </c>
      <c r="AH118" t="n">
        <v>0</v>
      </c>
      <c r="AI118" t="n">
        <v>0</v>
      </c>
      <c r="AJ118" t="n">
        <v>0</v>
      </c>
      <c r="AK118" t="n">
        <v>0</v>
      </c>
      <c r="AL118" t="n">
        <v>-53674</v>
      </c>
      <c r="AM118" t="n">
        <v>-12679</v>
      </c>
      <c r="AN118" t="n">
        <v>-14794</v>
      </c>
      <c r="AO118" t="n">
        <v>-2046</v>
      </c>
      <c r="AP118" t="n">
        <v>-38230</v>
      </c>
      <c r="AQ118" t="n">
        <v>-36946</v>
      </c>
      <c r="AR118" t="n">
        <v>-52955</v>
      </c>
      <c r="AS118" t="n">
        <v>-53786</v>
      </c>
      <c r="AT118" t="n">
        <v>-719</v>
      </c>
      <c r="AU118" t="n">
        <v>112</v>
      </c>
      <c r="AV118" t="n">
        <v>100</v>
      </c>
      <c r="AW118" t="n">
        <v>1.7</v>
      </c>
      <c r="AX118" t="n">
        <v>25</v>
      </c>
      <c r="AY118" t="n">
        <v>0.4</v>
      </c>
      <c r="AZ118" t="n">
        <v>96.5</v>
      </c>
      <c r="BA118" t="n">
        <v>72.2</v>
      </c>
      <c r="BB118" t="n">
        <v>98.59999999999999</v>
      </c>
      <c r="BC118" t="n">
        <v>97.59999999999999</v>
      </c>
      <c r="BD118" t="n">
        <v>1.4</v>
      </c>
      <c r="BE118" t="n">
        <v>2.4</v>
      </c>
      <c r="BF118" t="n">
        <v>100</v>
      </c>
      <c r="BG118" t="n">
        <v>1.7</v>
      </c>
      <c r="BH118" t="n">
        <v>25</v>
      </c>
      <c r="BI118" t="n">
        <v>0.4</v>
      </c>
      <c r="BJ118" t="n">
        <v>96.5</v>
      </c>
      <c r="BK118" t="n">
        <v>72.2</v>
      </c>
      <c r="BL118" t="n">
        <v>98.59999999999999</v>
      </c>
      <c r="BM118" t="n">
        <v>97.59999999999999</v>
      </c>
      <c r="BN118" t="n">
        <v>1.4</v>
      </c>
      <c r="BO118" t="n">
        <v>2.4</v>
      </c>
      <c r="BP118" t="n">
        <v>0</v>
      </c>
      <c r="BQ118" t="n">
        <v>0</v>
      </c>
      <c r="BR118" t="n">
        <v>0</v>
      </c>
      <c r="BS118" t="n">
        <v>0</v>
      </c>
      <c r="BT118" t="n">
        <v>0</v>
      </c>
      <c r="BU118" t="n">
        <v>0</v>
      </c>
      <c r="BV118" t="n">
        <v>0</v>
      </c>
      <c r="BW118" t="n">
        <v>0</v>
      </c>
      <c r="BX118" t="n">
        <v>0</v>
      </c>
      <c r="BY118" t="n">
        <v>0</v>
      </c>
      <c r="BZ118" t="n">
        <v>71</v>
      </c>
      <c r="CA118" t="n">
        <v>2</v>
      </c>
      <c r="CB118" t="n">
        <v>10</v>
      </c>
      <c r="CC118" t="n">
        <v>2</v>
      </c>
      <c r="CD118" t="n">
        <v>35</v>
      </c>
      <c r="CE118" t="n">
        <v>37</v>
      </c>
      <c r="CF118" t="n">
        <v>39</v>
      </c>
      <c r="CG118" t="n">
        <v>47</v>
      </c>
      <c r="CH118" t="n">
        <v>71</v>
      </c>
      <c r="CI118" t="n">
        <v>2</v>
      </c>
      <c r="CJ118" t="n">
        <v>10</v>
      </c>
      <c r="CK118" t="n">
        <v>2</v>
      </c>
      <c r="CL118" t="n">
        <v>35</v>
      </c>
      <c r="CM118" t="n">
        <v>37</v>
      </c>
      <c r="CN118" t="n">
        <v>39</v>
      </c>
      <c r="CO118" t="n">
        <v>47</v>
      </c>
      <c r="CP118" t="n">
        <v>0</v>
      </c>
      <c r="CQ118" t="n">
        <v>0</v>
      </c>
      <c r="CR118" t="n">
        <v>0</v>
      </c>
      <c r="CS118" t="n">
        <v>0</v>
      </c>
      <c r="CT118" t="n">
        <v>0</v>
      </c>
      <c r="CU118" t="n">
        <v>0</v>
      </c>
      <c r="CV118" t="n">
        <v>0</v>
      </c>
      <c r="CW118" t="n">
        <v>0</v>
      </c>
      <c r="CX118" t="n">
        <v>52.4</v>
      </c>
      <c r="CY118" t="n">
        <v>45.1</v>
      </c>
      <c r="CZ118" t="n">
        <v>71.7</v>
      </c>
      <c r="DA118" t="n">
        <v>63.2</v>
      </c>
      <c r="DB118" t="n">
        <v>52.3</v>
      </c>
      <c r="DC118" t="n">
        <v>43.7</v>
      </c>
      <c r="DD118" t="n">
        <v>67.2</v>
      </c>
      <c r="DE118" t="n">
        <v>61.3</v>
      </c>
      <c r="DF118" t="n">
        <v>52.4</v>
      </c>
      <c r="DG118" t="n">
        <v>45.1</v>
      </c>
      <c r="DH118" t="n">
        <v>71.7</v>
      </c>
      <c r="DI118" t="n">
        <v>63.2</v>
      </c>
      <c r="DJ118" t="n">
        <v>52.3</v>
      </c>
      <c r="DK118" t="n">
        <v>43.7</v>
      </c>
      <c r="DL118" t="n">
        <v>67.2</v>
      </c>
      <c r="DM118" t="n">
        <v>61.3</v>
      </c>
      <c r="DN118" t="n">
        <v>0</v>
      </c>
      <c r="DO118" t="n">
        <v>0</v>
      </c>
      <c r="DP118" t="n">
        <v>0</v>
      </c>
      <c r="DQ118" t="n">
        <v>0</v>
      </c>
      <c r="DR118" t="n">
        <v>0</v>
      </c>
      <c r="DS118" t="n">
        <v>0</v>
      </c>
      <c r="DT118" t="n">
        <v>0</v>
      </c>
      <c r="DU118" t="n">
        <v>0</v>
      </c>
      <c r="DV118" t="inlineStr">
        <is>
          <t>2500 mmbtu</t>
        </is>
      </c>
    </row>
    <row r="119">
      <c r="A119" t="inlineStr">
        <is>
          <t>HENRY HUB INDEX - ICE FUTURES ENERGY DIV</t>
        </is>
      </c>
      <c r="B119" t="n">
        <v>230103</v>
      </c>
      <c r="C119" s="1" t="n">
        <v>44929</v>
      </c>
      <c r="D119" t="inlineStr">
        <is>
          <t>0233AH</t>
        </is>
      </c>
      <c r="E119" t="inlineStr">
        <is>
          <t>IFED</t>
        </is>
      </c>
      <c r="F119" t="inlineStr">
        <is>
          <t>01</t>
        </is>
      </c>
      <c r="G119" t="inlineStr">
        <is>
          <t xml:space="preserve">023 </t>
        </is>
      </c>
      <c r="H119" t="n">
        <v>214315</v>
      </c>
      <c r="I119" s="17" t="n">
        <v>15411</v>
      </c>
      <c r="J119" s="17" t="n">
        <v>54910</v>
      </c>
      <c r="K119" t="n">
        <v>2720</v>
      </c>
      <c r="L119" t="n">
        <v>193188</v>
      </c>
      <c r="M119" t="n">
        <v>152963</v>
      </c>
      <c r="N119" t="n">
        <v>211319</v>
      </c>
      <c r="O119" t="n">
        <v>210593</v>
      </c>
      <c r="P119" t="n">
        <v>2996</v>
      </c>
      <c r="Q119" t="n">
        <v>3722</v>
      </c>
      <c r="R119" t="n">
        <v>214315</v>
      </c>
      <c r="S119" t="n">
        <v>15411</v>
      </c>
      <c r="T119" t="n">
        <v>54910</v>
      </c>
      <c r="U119" t="n">
        <v>2720</v>
      </c>
      <c r="V119" t="n">
        <v>193188</v>
      </c>
      <c r="W119" t="n">
        <v>152963</v>
      </c>
      <c r="X119" t="n">
        <v>211319</v>
      </c>
      <c r="Y119" t="n">
        <v>210593</v>
      </c>
      <c r="Z119" t="n">
        <v>2996</v>
      </c>
      <c r="AA119" t="n">
        <v>3722</v>
      </c>
      <c r="AB119" t="n">
        <v>0</v>
      </c>
      <c r="AC119" t="n">
        <v>0</v>
      </c>
      <c r="AD119" t="n">
        <v>0</v>
      </c>
      <c r="AE119" t="n">
        <v>0</v>
      </c>
      <c r="AF119" t="n">
        <v>0</v>
      </c>
      <c r="AG119" t="n">
        <v>0</v>
      </c>
      <c r="AH119" t="n">
        <v>0</v>
      </c>
      <c r="AI119" t="n">
        <v>0</v>
      </c>
      <c r="AJ119" t="n">
        <v>0</v>
      </c>
      <c r="AK119" t="n">
        <v>0</v>
      </c>
      <c r="AL119" t="n">
        <v>12574</v>
      </c>
      <c r="AM119" t="n">
        <v>-217</v>
      </c>
      <c r="AN119" t="n">
        <v>2945</v>
      </c>
      <c r="AO119" t="n">
        <v>62</v>
      </c>
      <c r="AP119" t="n">
        <v>13101</v>
      </c>
      <c r="AQ119" t="n">
        <v>9722</v>
      </c>
      <c r="AR119" t="n">
        <v>12946</v>
      </c>
      <c r="AS119" t="n">
        <v>12729</v>
      </c>
      <c r="AT119" t="n">
        <v>-372</v>
      </c>
      <c r="AU119" t="n">
        <v>-155</v>
      </c>
      <c r="AV119" t="n">
        <v>100</v>
      </c>
      <c r="AW119" t="n">
        <v>7.2</v>
      </c>
      <c r="AX119" t="n">
        <v>25.6</v>
      </c>
      <c r="AY119" t="n">
        <v>1.3</v>
      </c>
      <c r="AZ119" t="n">
        <v>90.09999999999999</v>
      </c>
      <c r="BA119" t="n">
        <v>71.40000000000001</v>
      </c>
      <c r="BB119" t="n">
        <v>98.59999999999999</v>
      </c>
      <c r="BC119" t="n">
        <v>98.3</v>
      </c>
      <c r="BD119" t="n">
        <v>1.4</v>
      </c>
      <c r="BE119" t="n">
        <v>1.7</v>
      </c>
      <c r="BF119" t="n">
        <v>100</v>
      </c>
      <c r="BG119" t="n">
        <v>7.2</v>
      </c>
      <c r="BH119" t="n">
        <v>25.6</v>
      </c>
      <c r="BI119" t="n">
        <v>1.3</v>
      </c>
      <c r="BJ119" t="n">
        <v>90.09999999999999</v>
      </c>
      <c r="BK119" t="n">
        <v>71.40000000000001</v>
      </c>
      <c r="BL119" t="n">
        <v>98.59999999999999</v>
      </c>
      <c r="BM119" t="n">
        <v>98.3</v>
      </c>
      <c r="BN119" t="n">
        <v>1.4</v>
      </c>
      <c r="BO119" t="n">
        <v>1.7</v>
      </c>
      <c r="BP119" t="n">
        <v>0</v>
      </c>
      <c r="BQ119" t="n">
        <v>0</v>
      </c>
      <c r="BR119" t="n">
        <v>0</v>
      </c>
      <c r="BS119" t="n">
        <v>0</v>
      </c>
      <c r="BT119" t="n">
        <v>0</v>
      </c>
      <c r="BU119" t="n">
        <v>0</v>
      </c>
      <c r="BV119" t="n">
        <v>0</v>
      </c>
      <c r="BW119" t="n">
        <v>0</v>
      </c>
      <c r="BX119" t="n">
        <v>0</v>
      </c>
      <c r="BY119" t="n">
        <v>0</v>
      </c>
      <c r="BZ119" t="n">
        <v>83</v>
      </c>
      <c r="CA119" t="n">
        <v>7</v>
      </c>
      <c r="CB119" t="n">
        <v>11</v>
      </c>
      <c r="CC119" t="n">
        <v>5</v>
      </c>
      <c r="CD119" t="n">
        <v>44</v>
      </c>
      <c r="CE119" t="n">
        <v>44</v>
      </c>
      <c r="CF119" t="n">
        <v>54</v>
      </c>
      <c r="CG119" t="n">
        <v>57</v>
      </c>
      <c r="CH119" t="n">
        <v>83</v>
      </c>
      <c r="CI119" t="n">
        <v>7</v>
      </c>
      <c r="CJ119" t="n">
        <v>11</v>
      </c>
      <c r="CK119" t="n">
        <v>5</v>
      </c>
      <c r="CL119" t="n">
        <v>44</v>
      </c>
      <c r="CM119" t="n">
        <v>44</v>
      </c>
      <c r="CN119" t="n">
        <v>54</v>
      </c>
      <c r="CO119" t="n">
        <v>57</v>
      </c>
      <c r="CP119" t="n">
        <v>0</v>
      </c>
      <c r="CQ119" t="n">
        <v>0</v>
      </c>
      <c r="CR119" t="n">
        <v>0</v>
      </c>
      <c r="CS119" t="n">
        <v>0</v>
      </c>
      <c r="CT119" t="n">
        <v>0</v>
      </c>
      <c r="CU119" t="n">
        <v>0</v>
      </c>
      <c r="CV119" t="n">
        <v>0</v>
      </c>
      <c r="CW119" t="n">
        <v>0</v>
      </c>
      <c r="CX119" t="n">
        <v>44</v>
      </c>
      <c r="CY119" t="n">
        <v>41.6</v>
      </c>
      <c r="CZ119" t="n">
        <v>60.4</v>
      </c>
      <c r="DA119" t="n">
        <v>59.8</v>
      </c>
      <c r="DB119" t="n">
        <v>43.9</v>
      </c>
      <c r="DC119" t="n">
        <v>40.2</v>
      </c>
      <c r="DD119" t="n">
        <v>59.9</v>
      </c>
      <c r="DE119" t="n">
        <v>56.7</v>
      </c>
      <c r="DF119" t="n">
        <v>44</v>
      </c>
      <c r="DG119" t="n">
        <v>41.6</v>
      </c>
      <c r="DH119" t="n">
        <v>60.4</v>
      </c>
      <c r="DI119" t="n">
        <v>59.8</v>
      </c>
      <c r="DJ119" t="n">
        <v>43.9</v>
      </c>
      <c r="DK119" t="n">
        <v>40.2</v>
      </c>
      <c r="DL119" t="n">
        <v>59.9</v>
      </c>
      <c r="DM119" t="n">
        <v>56.7</v>
      </c>
      <c r="DN119" t="n">
        <v>0</v>
      </c>
      <c r="DO119" t="n">
        <v>0</v>
      </c>
      <c r="DP119" t="n">
        <v>0</v>
      </c>
      <c r="DQ119" t="n">
        <v>0</v>
      </c>
      <c r="DR119" t="n">
        <v>0</v>
      </c>
      <c r="DS119" t="n">
        <v>0</v>
      </c>
      <c r="DT119" t="n">
        <v>0</v>
      </c>
      <c r="DU119" t="n">
        <v>0</v>
      </c>
      <c r="DV119" t="inlineStr">
        <is>
          <t>2500 mmbtu</t>
        </is>
      </c>
    </row>
    <row r="120">
      <c r="A120" t="inlineStr">
        <is>
          <t>HOUSTON SHIP CHANNEL (INDEX) - ICE FUTURES ENERGY DIV</t>
        </is>
      </c>
      <c r="B120" t="n">
        <v>230110</v>
      </c>
      <c r="C120" s="1" t="n">
        <v>44936</v>
      </c>
      <c r="D120" t="inlineStr">
        <is>
          <t>0233AM</t>
        </is>
      </c>
      <c r="E120" t="inlineStr">
        <is>
          <t>IFED</t>
        </is>
      </c>
      <c r="F120" t="inlineStr">
        <is>
          <t>01</t>
        </is>
      </c>
      <c r="G120" t="inlineStr">
        <is>
          <t xml:space="preserve">023 </t>
        </is>
      </c>
      <c r="H120" t="n">
        <v>305387</v>
      </c>
      <c r="I120" s="17" t="n">
        <v>0</v>
      </c>
      <c r="J120" s="17" t="n">
        <v>19655</v>
      </c>
      <c r="K120" t="n">
        <v>1457</v>
      </c>
      <c r="L120" t="n">
        <v>303160</v>
      </c>
      <c r="M120" t="n">
        <v>282139</v>
      </c>
      <c r="N120" t="n">
        <v>304617</v>
      </c>
      <c r="O120" t="n">
        <v>303251</v>
      </c>
      <c r="P120" t="n">
        <v>770</v>
      </c>
      <c r="Q120" t="n">
        <v>2136</v>
      </c>
      <c r="R120" t="n">
        <v>305387</v>
      </c>
      <c r="S120" t="n">
        <v>0</v>
      </c>
      <c r="T120" t="n">
        <v>19655</v>
      </c>
      <c r="U120" t="n">
        <v>1457</v>
      </c>
      <c r="V120" t="n">
        <v>303160</v>
      </c>
      <c r="W120" t="n">
        <v>282139</v>
      </c>
      <c r="X120" t="n">
        <v>304617</v>
      </c>
      <c r="Y120" t="n">
        <v>303251</v>
      </c>
      <c r="Z120" t="n">
        <v>770</v>
      </c>
      <c r="AA120" t="n">
        <v>2136</v>
      </c>
      <c r="AB120" t="n">
        <v>0</v>
      </c>
      <c r="AC120" t="n">
        <v>0</v>
      </c>
      <c r="AD120" t="n">
        <v>0</v>
      </c>
      <c r="AE120" t="n">
        <v>0</v>
      </c>
      <c r="AF120" t="n">
        <v>0</v>
      </c>
      <c r="AG120" t="n">
        <v>0</v>
      </c>
      <c r="AH120" t="n">
        <v>0</v>
      </c>
      <c r="AI120" t="n">
        <v>0</v>
      </c>
      <c r="AJ120" t="n">
        <v>0</v>
      </c>
      <c r="AK120" t="n">
        <v>0</v>
      </c>
      <c r="AL120" t="n">
        <v>-38136</v>
      </c>
      <c r="AM120" t="n">
        <v>-310</v>
      </c>
      <c r="AN120" t="n">
        <v>1482</v>
      </c>
      <c r="AO120" t="n">
        <v>-90</v>
      </c>
      <c r="AP120" t="n">
        <v>-37149</v>
      </c>
      <c r="AQ120" t="n">
        <v>-40130</v>
      </c>
      <c r="AR120" t="n">
        <v>-37549</v>
      </c>
      <c r="AS120" t="n">
        <v>-38738</v>
      </c>
      <c r="AT120" t="n">
        <v>-587</v>
      </c>
      <c r="AU120" t="n">
        <v>602</v>
      </c>
      <c r="AV120" t="n">
        <v>100</v>
      </c>
      <c r="AW120" t="n">
        <v>0</v>
      </c>
      <c r="AX120" t="n">
        <v>6.4</v>
      </c>
      <c r="AY120" t="n">
        <v>0.5</v>
      </c>
      <c r="AZ120" t="n">
        <v>99.3</v>
      </c>
      <c r="BA120" t="n">
        <v>92.40000000000001</v>
      </c>
      <c r="BB120" t="n">
        <v>99.7</v>
      </c>
      <c r="BC120" t="n">
        <v>99.3</v>
      </c>
      <c r="BD120" t="n">
        <v>0.3</v>
      </c>
      <c r="BE120" t="n">
        <v>0.7</v>
      </c>
      <c r="BF120" t="n">
        <v>100</v>
      </c>
      <c r="BG120" t="n">
        <v>0</v>
      </c>
      <c r="BH120" t="n">
        <v>6.4</v>
      </c>
      <c r="BI120" t="n">
        <v>0.5</v>
      </c>
      <c r="BJ120" t="n">
        <v>99.3</v>
      </c>
      <c r="BK120" t="n">
        <v>92.40000000000001</v>
      </c>
      <c r="BL120" t="n">
        <v>99.7</v>
      </c>
      <c r="BM120" t="n">
        <v>99.3</v>
      </c>
      <c r="BN120" t="n">
        <v>0.3</v>
      </c>
      <c r="BO120" t="n">
        <v>0.7</v>
      </c>
      <c r="BP120" t="n">
        <v>0</v>
      </c>
      <c r="BQ120" t="n">
        <v>0</v>
      </c>
      <c r="BR120" t="n">
        <v>0</v>
      </c>
      <c r="BS120" t="n">
        <v>0</v>
      </c>
      <c r="BT120" t="n">
        <v>0</v>
      </c>
      <c r="BU120" t="n">
        <v>0</v>
      </c>
      <c r="BV120" t="n">
        <v>0</v>
      </c>
      <c r="BW120" t="n">
        <v>0</v>
      </c>
      <c r="BX120" t="n">
        <v>0</v>
      </c>
      <c r="BY120" t="n">
        <v>0</v>
      </c>
      <c r="BZ120" t="n">
        <v>44</v>
      </c>
      <c r="CA120" t="n">
        <v>0</v>
      </c>
      <c r="CB120" t="n">
        <v>5</v>
      </c>
      <c r="CC120" t="n">
        <v>2</v>
      </c>
      <c r="CD120" t="n">
        <v>26</v>
      </c>
      <c r="CE120" t="n">
        <v>27</v>
      </c>
      <c r="CF120" t="n">
        <v>28</v>
      </c>
      <c r="CG120" t="n">
        <v>32</v>
      </c>
      <c r="CH120" t="n">
        <v>44</v>
      </c>
      <c r="CI120" t="n">
        <v>0</v>
      </c>
      <c r="CJ120" t="n">
        <v>5</v>
      </c>
      <c r="CK120" t="n">
        <v>2</v>
      </c>
      <c r="CL120" t="n">
        <v>26</v>
      </c>
      <c r="CM120" t="n">
        <v>27</v>
      </c>
      <c r="CN120" t="n">
        <v>28</v>
      </c>
      <c r="CO120" t="n">
        <v>32</v>
      </c>
      <c r="CP120" t="n">
        <v>0</v>
      </c>
      <c r="CQ120" t="n">
        <v>0</v>
      </c>
      <c r="CR120" t="n">
        <v>0</v>
      </c>
      <c r="CS120" t="n">
        <v>0</v>
      </c>
      <c r="CT120" t="n">
        <v>0</v>
      </c>
      <c r="CU120" t="n">
        <v>0</v>
      </c>
      <c r="CV120" t="n">
        <v>0</v>
      </c>
      <c r="CW120" t="n">
        <v>0</v>
      </c>
      <c r="CX120" t="n">
        <v>56.6</v>
      </c>
      <c r="CY120" t="n">
        <v>51.8</v>
      </c>
      <c r="CZ120" t="n">
        <v>85</v>
      </c>
      <c r="DA120" t="n">
        <v>72.8</v>
      </c>
      <c r="DB120" t="n">
        <v>56.5</v>
      </c>
      <c r="DC120" t="n">
        <v>50.8</v>
      </c>
      <c r="DD120" t="n">
        <v>84.5</v>
      </c>
      <c r="DE120" t="n">
        <v>70.40000000000001</v>
      </c>
      <c r="DF120" t="n">
        <v>56.6</v>
      </c>
      <c r="DG120" t="n">
        <v>51.8</v>
      </c>
      <c r="DH120" t="n">
        <v>85</v>
      </c>
      <c r="DI120" t="n">
        <v>72.8</v>
      </c>
      <c r="DJ120" t="n">
        <v>56.5</v>
      </c>
      <c r="DK120" t="n">
        <v>50.8</v>
      </c>
      <c r="DL120" t="n">
        <v>84.5</v>
      </c>
      <c r="DM120" t="n">
        <v>70.40000000000001</v>
      </c>
      <c r="DN120" t="n">
        <v>0</v>
      </c>
      <c r="DO120" t="n">
        <v>0</v>
      </c>
      <c r="DP120" t="n">
        <v>0</v>
      </c>
      <c r="DQ120" t="n">
        <v>0</v>
      </c>
      <c r="DR120" t="n">
        <v>0</v>
      </c>
      <c r="DS120" t="n">
        <v>0</v>
      </c>
      <c r="DT120" t="n">
        <v>0</v>
      </c>
      <c r="DU120" t="n">
        <v>0</v>
      </c>
      <c r="DV120" t="inlineStr">
        <is>
          <t>2500 mmbtu</t>
        </is>
      </c>
    </row>
    <row r="121">
      <c r="A121" t="inlineStr">
        <is>
          <t>HOUSTON SHIP CHANNEL (INDEX) - ICE FUTURES ENERGY DIV</t>
        </is>
      </c>
      <c r="B121" t="n">
        <v>230103</v>
      </c>
      <c r="C121" s="1" t="n">
        <v>44929</v>
      </c>
      <c r="D121" t="inlineStr">
        <is>
          <t>0233AM</t>
        </is>
      </c>
      <c r="E121" t="inlineStr">
        <is>
          <t>IFED</t>
        </is>
      </c>
      <c r="F121" t="inlineStr">
        <is>
          <t>01</t>
        </is>
      </c>
      <c r="G121" t="inlineStr">
        <is>
          <t xml:space="preserve">023 </t>
        </is>
      </c>
      <c r="H121" t="n">
        <v>343523</v>
      </c>
      <c r="I121" s="17" t="n">
        <v>310</v>
      </c>
      <c r="J121" s="17" t="n">
        <v>18173</v>
      </c>
      <c r="K121" t="n">
        <v>1547</v>
      </c>
      <c r="L121" t="n">
        <v>340309</v>
      </c>
      <c r="M121" t="n">
        <v>322269</v>
      </c>
      <c r="N121" t="n">
        <v>342166</v>
      </c>
      <c r="O121" t="n">
        <v>341989</v>
      </c>
      <c r="P121" t="n">
        <v>1357</v>
      </c>
      <c r="Q121" t="n">
        <v>1534</v>
      </c>
      <c r="R121" t="n">
        <v>343523</v>
      </c>
      <c r="S121" t="n">
        <v>310</v>
      </c>
      <c r="T121" t="n">
        <v>18173</v>
      </c>
      <c r="U121" t="n">
        <v>1547</v>
      </c>
      <c r="V121" t="n">
        <v>340309</v>
      </c>
      <c r="W121" t="n">
        <v>322269</v>
      </c>
      <c r="X121" t="n">
        <v>342166</v>
      </c>
      <c r="Y121" t="n">
        <v>341989</v>
      </c>
      <c r="Z121" t="n">
        <v>1357</v>
      </c>
      <c r="AA121" t="n">
        <v>1534</v>
      </c>
      <c r="AB121" t="n">
        <v>0</v>
      </c>
      <c r="AC121" t="n">
        <v>0</v>
      </c>
      <c r="AD121" t="n">
        <v>0</v>
      </c>
      <c r="AE121" t="n">
        <v>0</v>
      </c>
      <c r="AF121" t="n">
        <v>0</v>
      </c>
      <c r="AG121" t="n">
        <v>0</v>
      </c>
      <c r="AH121" t="n">
        <v>0</v>
      </c>
      <c r="AI121" t="n">
        <v>0</v>
      </c>
      <c r="AJ121" t="n">
        <v>0</v>
      </c>
      <c r="AK121" t="n">
        <v>0</v>
      </c>
      <c r="AL121" t="n">
        <v>12281</v>
      </c>
      <c r="AM121" t="n">
        <v>124</v>
      </c>
      <c r="AN121" t="n">
        <v>-456</v>
      </c>
      <c r="AO121" t="n">
        <v>-93</v>
      </c>
      <c r="AP121" t="n">
        <v>12281</v>
      </c>
      <c r="AQ121" t="n">
        <v>12644</v>
      </c>
      <c r="AR121" t="n">
        <v>12312</v>
      </c>
      <c r="AS121" t="n">
        <v>12095</v>
      </c>
      <c r="AT121" t="n">
        <v>-31</v>
      </c>
      <c r="AU121" t="n">
        <v>186</v>
      </c>
      <c r="AV121" t="n">
        <v>100</v>
      </c>
      <c r="AW121" t="n">
        <v>0.1</v>
      </c>
      <c r="AX121" t="n">
        <v>5.3</v>
      </c>
      <c r="AY121" t="n">
        <v>0.5</v>
      </c>
      <c r="AZ121" t="n">
        <v>99.09999999999999</v>
      </c>
      <c r="BA121" t="n">
        <v>93.8</v>
      </c>
      <c r="BB121" t="n">
        <v>99.59999999999999</v>
      </c>
      <c r="BC121" t="n">
        <v>99.59999999999999</v>
      </c>
      <c r="BD121" t="n">
        <v>0.4</v>
      </c>
      <c r="BE121" t="n">
        <v>0.4</v>
      </c>
      <c r="BF121" t="n">
        <v>100</v>
      </c>
      <c r="BG121" t="n">
        <v>0.1</v>
      </c>
      <c r="BH121" t="n">
        <v>5.3</v>
      </c>
      <c r="BI121" t="n">
        <v>0.5</v>
      </c>
      <c r="BJ121" t="n">
        <v>99.09999999999999</v>
      </c>
      <c r="BK121" t="n">
        <v>93.8</v>
      </c>
      <c r="BL121" t="n">
        <v>99.59999999999999</v>
      </c>
      <c r="BM121" t="n">
        <v>99.59999999999999</v>
      </c>
      <c r="BN121" t="n">
        <v>0.4</v>
      </c>
      <c r="BO121" t="n">
        <v>0.4</v>
      </c>
      <c r="BP121" t="n">
        <v>0</v>
      </c>
      <c r="BQ121" t="n">
        <v>0</v>
      </c>
      <c r="BR121" t="n">
        <v>0</v>
      </c>
      <c r="BS121" t="n">
        <v>0</v>
      </c>
      <c r="BT121" t="n">
        <v>0</v>
      </c>
      <c r="BU121" t="n">
        <v>0</v>
      </c>
      <c r="BV121" t="n">
        <v>0</v>
      </c>
      <c r="BW121" t="n">
        <v>0</v>
      </c>
      <c r="BX121" t="n">
        <v>0</v>
      </c>
      <c r="BY121" t="n">
        <v>0</v>
      </c>
      <c r="BZ121" t="n">
        <v>49</v>
      </c>
      <c r="CA121" t="n">
        <v>1</v>
      </c>
      <c r="CB121" t="n">
        <v>5</v>
      </c>
      <c r="CC121" t="n">
        <v>2</v>
      </c>
      <c r="CD121" t="n">
        <v>32</v>
      </c>
      <c r="CE121" t="n">
        <v>33</v>
      </c>
      <c r="CF121" t="n">
        <v>35</v>
      </c>
      <c r="CG121" t="n">
        <v>38</v>
      </c>
      <c r="CH121" t="n">
        <v>49</v>
      </c>
      <c r="CI121" t="n">
        <v>1</v>
      </c>
      <c r="CJ121" t="n">
        <v>5</v>
      </c>
      <c r="CK121" t="n">
        <v>2</v>
      </c>
      <c r="CL121" t="n">
        <v>32</v>
      </c>
      <c r="CM121" t="n">
        <v>33</v>
      </c>
      <c r="CN121" t="n">
        <v>35</v>
      </c>
      <c r="CO121" t="n">
        <v>38</v>
      </c>
      <c r="CP121" t="n">
        <v>0</v>
      </c>
      <c r="CQ121" t="n">
        <v>0</v>
      </c>
      <c r="CR121" t="n">
        <v>0</v>
      </c>
      <c r="CS121" t="n">
        <v>0</v>
      </c>
      <c r="CT121" t="n">
        <v>0</v>
      </c>
      <c r="CU121" t="n">
        <v>0</v>
      </c>
      <c r="CV121" t="n">
        <v>0</v>
      </c>
      <c r="CW121" t="n">
        <v>0</v>
      </c>
      <c r="CX121" t="n">
        <v>55.5</v>
      </c>
      <c r="CY121" t="n">
        <v>54</v>
      </c>
      <c r="CZ121" t="n">
        <v>84</v>
      </c>
      <c r="DA121" t="n">
        <v>73.8</v>
      </c>
      <c r="DB121" t="n">
        <v>55.2</v>
      </c>
      <c r="DC121" t="n">
        <v>53.6</v>
      </c>
      <c r="DD121" t="n">
        <v>82.90000000000001</v>
      </c>
      <c r="DE121" t="n">
        <v>70.8</v>
      </c>
      <c r="DF121" t="n">
        <v>55.5</v>
      </c>
      <c r="DG121" t="n">
        <v>54</v>
      </c>
      <c r="DH121" t="n">
        <v>84</v>
      </c>
      <c r="DI121" t="n">
        <v>73.8</v>
      </c>
      <c r="DJ121" t="n">
        <v>55.2</v>
      </c>
      <c r="DK121" t="n">
        <v>53.6</v>
      </c>
      <c r="DL121" t="n">
        <v>82.90000000000001</v>
      </c>
      <c r="DM121" t="n">
        <v>70.8</v>
      </c>
      <c r="DN121" t="n">
        <v>0</v>
      </c>
      <c r="DO121" t="n">
        <v>0</v>
      </c>
      <c r="DP121" t="n">
        <v>0</v>
      </c>
      <c r="DQ121" t="n">
        <v>0</v>
      </c>
      <c r="DR121" t="n">
        <v>0</v>
      </c>
      <c r="DS121" t="n">
        <v>0</v>
      </c>
      <c r="DT121" t="n">
        <v>0</v>
      </c>
      <c r="DU121" t="n">
        <v>0</v>
      </c>
      <c r="DV121" t="inlineStr">
        <is>
          <t>2500 mmbtu</t>
        </is>
      </c>
    </row>
    <row r="122">
      <c r="A122" t="inlineStr">
        <is>
          <t>MICHCON FINANCIAL INDEX - ICE FUTURES ENERGY DIV</t>
        </is>
      </c>
      <c r="B122" t="n">
        <v>230110</v>
      </c>
      <c r="C122" s="1" t="n">
        <v>44936</v>
      </c>
      <c r="D122" t="inlineStr">
        <is>
          <t>0233AN</t>
        </is>
      </c>
      <c r="E122" t="inlineStr">
        <is>
          <t>IFED</t>
        </is>
      </c>
      <c r="F122" t="inlineStr">
        <is>
          <t>01</t>
        </is>
      </c>
      <c r="G122" t="inlineStr">
        <is>
          <t xml:space="preserve">023 </t>
        </is>
      </c>
      <c r="H122" t="n">
        <v>29691</v>
      </c>
      <c r="I122" s="17" t="n">
        <v>5819</v>
      </c>
      <c r="J122" s="17" t="n">
        <v>695</v>
      </c>
      <c r="K122" t="n">
        <v>734</v>
      </c>
      <c r="L122" t="n">
        <v>21667</v>
      </c>
      <c r="M122" t="n">
        <v>26823</v>
      </c>
      <c r="N122" t="n">
        <v>28220</v>
      </c>
      <c r="O122" t="n">
        <v>28252</v>
      </c>
      <c r="P122" t="n">
        <v>1471</v>
      </c>
      <c r="Q122" t="n">
        <v>1439</v>
      </c>
      <c r="R122" t="n">
        <v>29691</v>
      </c>
      <c r="S122" t="n">
        <v>5819</v>
      </c>
      <c r="T122" t="n">
        <v>695</v>
      </c>
      <c r="U122" t="n">
        <v>734</v>
      </c>
      <c r="V122" t="n">
        <v>21667</v>
      </c>
      <c r="W122" t="n">
        <v>26823</v>
      </c>
      <c r="X122" t="n">
        <v>28220</v>
      </c>
      <c r="Y122" t="n">
        <v>28252</v>
      </c>
      <c r="Z122" t="n">
        <v>1471</v>
      </c>
      <c r="AA122" t="n">
        <v>1439</v>
      </c>
      <c r="AB122" t="n">
        <v>0</v>
      </c>
      <c r="AC122" t="n">
        <v>0</v>
      </c>
      <c r="AD122" t="n">
        <v>0</v>
      </c>
      <c r="AE122" t="n">
        <v>0</v>
      </c>
      <c r="AF122" t="n">
        <v>0</v>
      </c>
      <c r="AG122" t="n">
        <v>0</v>
      </c>
      <c r="AH122" t="n">
        <v>0</v>
      </c>
      <c r="AI122" t="n">
        <v>0</v>
      </c>
      <c r="AJ122" t="n">
        <v>0</v>
      </c>
      <c r="AK122" t="n">
        <v>0</v>
      </c>
      <c r="AL122" t="n">
        <v>-9901</v>
      </c>
      <c r="AM122" t="n">
        <v>-2335</v>
      </c>
      <c r="AN122" t="n">
        <v>-328</v>
      </c>
      <c r="AO122" t="n">
        <v>641</v>
      </c>
      <c r="AP122" t="n">
        <v>-7649</v>
      </c>
      <c r="AQ122" t="n">
        <v>-10053</v>
      </c>
      <c r="AR122" t="n">
        <v>-9343</v>
      </c>
      <c r="AS122" t="n">
        <v>-9740</v>
      </c>
      <c r="AT122" t="n">
        <v>-558</v>
      </c>
      <c r="AU122" t="n">
        <v>-161</v>
      </c>
      <c r="AV122" t="n">
        <v>100</v>
      </c>
      <c r="AW122" t="n">
        <v>19.6</v>
      </c>
      <c r="AX122" t="n">
        <v>2.3</v>
      </c>
      <c r="AY122" t="n">
        <v>2.5</v>
      </c>
      <c r="AZ122" t="n">
        <v>73</v>
      </c>
      <c r="BA122" t="n">
        <v>90.3</v>
      </c>
      <c r="BB122" t="n">
        <v>95</v>
      </c>
      <c r="BC122" t="n">
        <v>95.2</v>
      </c>
      <c r="BD122" t="n">
        <v>5</v>
      </c>
      <c r="BE122" t="n">
        <v>4.8</v>
      </c>
      <c r="BF122" t="n">
        <v>100</v>
      </c>
      <c r="BG122" t="n">
        <v>19.6</v>
      </c>
      <c r="BH122" t="n">
        <v>2.3</v>
      </c>
      <c r="BI122" t="n">
        <v>2.5</v>
      </c>
      <c r="BJ122" t="n">
        <v>73</v>
      </c>
      <c r="BK122" t="n">
        <v>90.3</v>
      </c>
      <c r="BL122" t="n">
        <v>95</v>
      </c>
      <c r="BM122" t="n">
        <v>95.2</v>
      </c>
      <c r="BN122" t="n">
        <v>5</v>
      </c>
      <c r="BO122" t="n">
        <v>4.8</v>
      </c>
      <c r="BP122" t="n">
        <v>0</v>
      </c>
      <c r="BQ122" t="n">
        <v>0</v>
      </c>
      <c r="BR122" t="n">
        <v>0</v>
      </c>
      <c r="BS122" t="n">
        <v>0</v>
      </c>
      <c r="BT122" t="n">
        <v>0</v>
      </c>
      <c r="BU122" t="n">
        <v>0</v>
      </c>
      <c r="BV122" t="n">
        <v>0</v>
      </c>
      <c r="BW122" t="n">
        <v>0</v>
      </c>
      <c r="BX122" t="n">
        <v>0</v>
      </c>
      <c r="BY122" t="n">
        <v>0</v>
      </c>
      <c r="BZ122" t="n">
        <v>26</v>
      </c>
      <c r="CA122" t="n">
        <v>1</v>
      </c>
      <c r="CB122" t="n">
        <v>3</v>
      </c>
      <c r="CC122" t="n">
        <v>1</v>
      </c>
      <c r="CD122" t="n">
        <v>11</v>
      </c>
      <c r="CE122" t="n">
        <v>14</v>
      </c>
      <c r="CF122" t="n">
        <v>13</v>
      </c>
      <c r="CG122" t="n">
        <v>17</v>
      </c>
      <c r="CH122" t="n">
        <v>26</v>
      </c>
      <c r="CI122" t="n">
        <v>1</v>
      </c>
      <c r="CJ122" t="n">
        <v>3</v>
      </c>
      <c r="CK122" t="n">
        <v>1</v>
      </c>
      <c r="CL122" t="n">
        <v>11</v>
      </c>
      <c r="CM122" t="n">
        <v>14</v>
      </c>
      <c r="CN122" t="n">
        <v>13</v>
      </c>
      <c r="CO122" t="n">
        <v>17</v>
      </c>
      <c r="CP122" t="n">
        <v>0</v>
      </c>
      <c r="CQ122" t="n">
        <v>0</v>
      </c>
      <c r="CR122" t="n">
        <v>0</v>
      </c>
      <c r="CS122" t="n">
        <v>0</v>
      </c>
      <c r="CT122" t="n">
        <v>0</v>
      </c>
      <c r="CU122" t="n">
        <v>0</v>
      </c>
      <c r="CV122" t="n">
        <v>0</v>
      </c>
      <c r="CW122" t="n">
        <v>0</v>
      </c>
      <c r="CX122" t="n">
        <v>78.8</v>
      </c>
      <c r="CY122" t="n">
        <v>63.5</v>
      </c>
      <c r="CZ122" t="n">
        <v>90.90000000000001</v>
      </c>
      <c r="DA122" t="n">
        <v>82.5</v>
      </c>
      <c r="DB122" t="n">
        <v>78.59999999999999</v>
      </c>
      <c r="DC122" t="n">
        <v>62.8</v>
      </c>
      <c r="DD122" t="n">
        <v>89.7</v>
      </c>
      <c r="DE122" t="n">
        <v>81.40000000000001</v>
      </c>
      <c r="DF122" t="n">
        <v>78.8</v>
      </c>
      <c r="DG122" t="n">
        <v>63.5</v>
      </c>
      <c r="DH122" t="n">
        <v>90.90000000000001</v>
      </c>
      <c r="DI122" t="n">
        <v>82.5</v>
      </c>
      <c r="DJ122" t="n">
        <v>78.59999999999999</v>
      </c>
      <c r="DK122" t="n">
        <v>62.8</v>
      </c>
      <c r="DL122" t="n">
        <v>89.7</v>
      </c>
      <c r="DM122" t="n">
        <v>81.40000000000001</v>
      </c>
      <c r="DN122" t="n">
        <v>0</v>
      </c>
      <c r="DO122" t="n">
        <v>0</v>
      </c>
      <c r="DP122" t="n">
        <v>0</v>
      </c>
      <c r="DQ122" t="n">
        <v>0</v>
      </c>
      <c r="DR122" t="n">
        <v>0</v>
      </c>
      <c r="DS122" t="n">
        <v>0</v>
      </c>
      <c r="DT122" t="n">
        <v>0</v>
      </c>
      <c r="DU122" t="n">
        <v>0</v>
      </c>
      <c r="DV122" t="inlineStr">
        <is>
          <t>MMBTU</t>
        </is>
      </c>
    </row>
    <row r="123">
      <c r="A123" t="inlineStr">
        <is>
          <t>MICHCON FINANCIAL INDEX - ICE FUTURES ENERGY DIV</t>
        </is>
      </c>
      <c r="B123" t="n">
        <v>230103</v>
      </c>
      <c r="C123" s="1" t="n">
        <v>44929</v>
      </c>
      <c r="D123" t="inlineStr">
        <is>
          <t>0233AN</t>
        </is>
      </c>
      <c r="E123" t="inlineStr">
        <is>
          <t>IFED</t>
        </is>
      </c>
      <c r="F123" t="inlineStr">
        <is>
          <t>01</t>
        </is>
      </c>
      <c r="G123" t="inlineStr">
        <is>
          <t xml:space="preserve">023 </t>
        </is>
      </c>
      <c r="H123" t="n">
        <v>39592</v>
      </c>
      <c r="I123" s="17" t="n">
        <v>8154</v>
      </c>
      <c r="J123" s="17" t="n">
        <v>1023</v>
      </c>
      <c r="K123" t="n">
        <v>93</v>
      </c>
      <c r="L123" t="n">
        <v>29316</v>
      </c>
      <c r="M123" t="n">
        <v>36876</v>
      </c>
      <c r="N123" t="n">
        <v>37563</v>
      </c>
      <c r="O123" t="n">
        <v>37992</v>
      </c>
      <c r="P123" t="n">
        <v>2029</v>
      </c>
      <c r="Q123" t="n">
        <v>1600</v>
      </c>
      <c r="R123" t="n">
        <v>39592</v>
      </c>
      <c r="S123" t="n">
        <v>8154</v>
      </c>
      <c r="T123" t="n">
        <v>1023</v>
      </c>
      <c r="U123" t="n">
        <v>93</v>
      </c>
      <c r="V123" t="n">
        <v>29316</v>
      </c>
      <c r="W123" t="n">
        <v>36876</v>
      </c>
      <c r="X123" t="n">
        <v>37563</v>
      </c>
      <c r="Y123" t="n">
        <v>37992</v>
      </c>
      <c r="Z123" t="n">
        <v>2029</v>
      </c>
      <c r="AA123" t="n">
        <v>1600</v>
      </c>
      <c r="AB123" t="n">
        <v>0</v>
      </c>
      <c r="AC123" t="n">
        <v>0</v>
      </c>
      <c r="AD123" t="n">
        <v>0</v>
      </c>
      <c r="AE123" t="n">
        <v>0</v>
      </c>
      <c r="AF123" t="n">
        <v>0</v>
      </c>
      <c r="AG123" t="n">
        <v>0</v>
      </c>
      <c r="AH123" t="n">
        <v>0</v>
      </c>
      <c r="AI123" t="n">
        <v>0</v>
      </c>
      <c r="AJ123" t="n">
        <v>0</v>
      </c>
      <c r="AK123" t="n">
        <v>0</v>
      </c>
      <c r="AL123" t="n">
        <v>434</v>
      </c>
      <c r="AM123" t="n">
        <v>-13</v>
      </c>
      <c r="AN123" t="n">
        <v>279</v>
      </c>
      <c r="AO123" t="n">
        <v>0</v>
      </c>
      <c r="AP123" t="n">
        <v>465</v>
      </c>
      <c r="AQ123" t="n">
        <v>279</v>
      </c>
      <c r="AR123" t="n">
        <v>452</v>
      </c>
      <c r="AS123" t="n">
        <v>558</v>
      </c>
      <c r="AT123" t="n">
        <v>-18</v>
      </c>
      <c r="AU123" t="n">
        <v>-124</v>
      </c>
      <c r="AV123" t="n">
        <v>100</v>
      </c>
      <c r="AW123" t="n">
        <v>20.6</v>
      </c>
      <c r="AX123" t="n">
        <v>2.6</v>
      </c>
      <c r="AY123" t="n">
        <v>0.2</v>
      </c>
      <c r="AZ123" t="n">
        <v>74</v>
      </c>
      <c r="BA123" t="n">
        <v>93.09999999999999</v>
      </c>
      <c r="BB123" t="n">
        <v>94.90000000000001</v>
      </c>
      <c r="BC123" t="n">
        <v>96</v>
      </c>
      <c r="BD123" t="n">
        <v>5.1</v>
      </c>
      <c r="BE123" t="n">
        <v>4</v>
      </c>
      <c r="BF123" t="n">
        <v>100</v>
      </c>
      <c r="BG123" t="n">
        <v>20.6</v>
      </c>
      <c r="BH123" t="n">
        <v>2.6</v>
      </c>
      <c r="BI123" t="n">
        <v>0.2</v>
      </c>
      <c r="BJ123" t="n">
        <v>74</v>
      </c>
      <c r="BK123" t="n">
        <v>93.09999999999999</v>
      </c>
      <c r="BL123" t="n">
        <v>94.90000000000001</v>
      </c>
      <c r="BM123" t="n">
        <v>96</v>
      </c>
      <c r="BN123" t="n">
        <v>5.1</v>
      </c>
      <c r="BO123" t="n">
        <v>4</v>
      </c>
      <c r="BP123" t="n">
        <v>0</v>
      </c>
      <c r="BQ123" t="n">
        <v>0</v>
      </c>
      <c r="BR123" t="n">
        <v>0</v>
      </c>
      <c r="BS123" t="n">
        <v>0</v>
      </c>
      <c r="BT123" t="n">
        <v>0</v>
      </c>
      <c r="BU123" t="n">
        <v>0</v>
      </c>
      <c r="BV123" t="n">
        <v>0</v>
      </c>
      <c r="BW123" t="n">
        <v>0</v>
      </c>
      <c r="BX123" t="n">
        <v>0</v>
      </c>
      <c r="BY123" t="n">
        <v>0</v>
      </c>
      <c r="BZ123" t="n">
        <v>32</v>
      </c>
      <c r="CA123" t="n">
        <v>4</v>
      </c>
      <c r="CB123" t="n">
        <v>3</v>
      </c>
      <c r="CC123" t="n">
        <v>1</v>
      </c>
      <c r="CD123" t="n">
        <v>15</v>
      </c>
      <c r="CE123" t="n">
        <v>16</v>
      </c>
      <c r="CF123" t="n">
        <v>19</v>
      </c>
      <c r="CG123" t="n">
        <v>20</v>
      </c>
      <c r="CH123" t="n">
        <v>32</v>
      </c>
      <c r="CI123" t="n">
        <v>4</v>
      </c>
      <c r="CJ123" t="n">
        <v>3</v>
      </c>
      <c r="CK123" t="n">
        <v>1</v>
      </c>
      <c r="CL123" t="n">
        <v>15</v>
      </c>
      <c r="CM123" t="n">
        <v>16</v>
      </c>
      <c r="CN123" t="n">
        <v>19</v>
      </c>
      <c r="CO123" t="n">
        <v>20</v>
      </c>
      <c r="CP123" t="n">
        <v>0</v>
      </c>
      <c r="CQ123" t="n">
        <v>0</v>
      </c>
      <c r="CR123" t="n">
        <v>0</v>
      </c>
      <c r="CS123" t="n">
        <v>0</v>
      </c>
      <c r="CT123" t="n">
        <v>0</v>
      </c>
      <c r="CU123" t="n">
        <v>0</v>
      </c>
      <c r="CV123" t="n">
        <v>0</v>
      </c>
      <c r="CW123" t="n">
        <v>0</v>
      </c>
      <c r="CX123" t="n">
        <v>64.2</v>
      </c>
      <c r="CY123" t="n">
        <v>59.4</v>
      </c>
      <c r="CZ123" t="n">
        <v>81.09999999999999</v>
      </c>
      <c r="DA123" t="n">
        <v>82.09999999999999</v>
      </c>
      <c r="DB123" t="n">
        <v>64</v>
      </c>
      <c r="DC123" t="n">
        <v>59.4</v>
      </c>
      <c r="DD123" t="n">
        <v>80.7</v>
      </c>
      <c r="DE123" t="n">
        <v>79.09999999999999</v>
      </c>
      <c r="DF123" t="n">
        <v>64.2</v>
      </c>
      <c r="DG123" t="n">
        <v>59.4</v>
      </c>
      <c r="DH123" t="n">
        <v>81.09999999999999</v>
      </c>
      <c r="DI123" t="n">
        <v>82.09999999999999</v>
      </c>
      <c r="DJ123" t="n">
        <v>64</v>
      </c>
      <c r="DK123" t="n">
        <v>59.4</v>
      </c>
      <c r="DL123" t="n">
        <v>80.7</v>
      </c>
      <c r="DM123" t="n">
        <v>79.09999999999999</v>
      </c>
      <c r="DN123" t="n">
        <v>0</v>
      </c>
      <c r="DO123" t="n">
        <v>0</v>
      </c>
      <c r="DP123" t="n">
        <v>0</v>
      </c>
      <c r="DQ123" t="n">
        <v>0</v>
      </c>
      <c r="DR123" t="n">
        <v>0</v>
      </c>
      <c r="DS123" t="n">
        <v>0</v>
      </c>
      <c r="DT123" t="n">
        <v>0</v>
      </c>
      <c r="DU123" t="n">
        <v>0</v>
      </c>
      <c r="DV123" t="inlineStr">
        <is>
          <t>MMBTU</t>
        </is>
      </c>
    </row>
    <row r="124">
      <c r="A124" t="inlineStr">
        <is>
          <t>MICHCON BASIS - ICE FUTURES ENERGY DIV</t>
        </is>
      </c>
      <c r="B124" t="n">
        <v>230110</v>
      </c>
      <c r="C124" s="1" t="n">
        <v>44936</v>
      </c>
      <c r="D124" t="inlineStr">
        <is>
          <t>0233AQ</t>
        </is>
      </c>
      <c r="E124" t="inlineStr">
        <is>
          <t>IFED</t>
        </is>
      </c>
      <c r="F124" t="inlineStr">
        <is>
          <t>01</t>
        </is>
      </c>
      <c r="G124" t="inlineStr">
        <is>
          <t xml:space="preserve">023 </t>
        </is>
      </c>
      <c r="H124" t="n">
        <v>236145</v>
      </c>
      <c r="I124" s="17" t="n">
        <v>7821</v>
      </c>
      <c r="J124" s="17" t="n">
        <v>5563</v>
      </c>
      <c r="K124" t="n">
        <v>5565</v>
      </c>
      <c r="L124" t="n">
        <v>211026</v>
      </c>
      <c r="M124" t="n">
        <v>218835</v>
      </c>
      <c r="N124" t="n">
        <v>224412</v>
      </c>
      <c r="O124" t="n">
        <v>229963</v>
      </c>
      <c r="P124" t="n">
        <v>11733</v>
      </c>
      <c r="Q124" t="n">
        <v>6182</v>
      </c>
      <c r="R124" t="n">
        <v>236145</v>
      </c>
      <c r="S124" t="n">
        <v>7821</v>
      </c>
      <c r="T124" t="n">
        <v>5563</v>
      </c>
      <c r="U124" t="n">
        <v>5565</v>
      </c>
      <c r="V124" t="n">
        <v>211026</v>
      </c>
      <c r="W124" t="n">
        <v>218835</v>
      </c>
      <c r="X124" t="n">
        <v>224412</v>
      </c>
      <c r="Y124" t="n">
        <v>229963</v>
      </c>
      <c r="Z124" t="n">
        <v>11733</v>
      </c>
      <c r="AA124" t="n">
        <v>6182</v>
      </c>
      <c r="AB124" t="n">
        <v>0</v>
      </c>
      <c r="AC124" t="n">
        <v>0</v>
      </c>
      <c r="AD124" t="n">
        <v>0</v>
      </c>
      <c r="AE124" t="n">
        <v>0</v>
      </c>
      <c r="AF124" t="n">
        <v>0</v>
      </c>
      <c r="AG124" t="n">
        <v>0</v>
      </c>
      <c r="AH124" t="n">
        <v>0</v>
      </c>
      <c r="AI124" t="n">
        <v>0</v>
      </c>
      <c r="AJ124" t="n">
        <v>0</v>
      </c>
      <c r="AK124" t="n">
        <v>0</v>
      </c>
      <c r="AL124" t="n">
        <v>-11209</v>
      </c>
      <c r="AM124" t="n">
        <v>-2456</v>
      </c>
      <c r="AN124" t="n">
        <v>2053</v>
      </c>
      <c r="AO124" t="n">
        <v>1009</v>
      </c>
      <c r="AP124" t="n">
        <v>-11562</v>
      </c>
      <c r="AQ124" t="n">
        <v>-15678</v>
      </c>
      <c r="AR124" t="n">
        <v>-13009</v>
      </c>
      <c r="AS124" t="n">
        <v>-12616</v>
      </c>
      <c r="AT124" t="n">
        <v>1800</v>
      </c>
      <c r="AU124" t="n">
        <v>1407</v>
      </c>
      <c r="AV124" t="n">
        <v>100</v>
      </c>
      <c r="AW124" t="n">
        <v>3.3</v>
      </c>
      <c r="AX124" t="n">
        <v>2.4</v>
      </c>
      <c r="AY124" t="n">
        <v>2.4</v>
      </c>
      <c r="AZ124" t="n">
        <v>89.40000000000001</v>
      </c>
      <c r="BA124" t="n">
        <v>92.7</v>
      </c>
      <c r="BB124" t="n">
        <v>95</v>
      </c>
      <c r="BC124" t="n">
        <v>97.40000000000001</v>
      </c>
      <c r="BD124" t="n">
        <v>5</v>
      </c>
      <c r="BE124" t="n">
        <v>2.6</v>
      </c>
      <c r="BF124" t="n">
        <v>100</v>
      </c>
      <c r="BG124" t="n">
        <v>3.3</v>
      </c>
      <c r="BH124" t="n">
        <v>2.4</v>
      </c>
      <c r="BI124" t="n">
        <v>2.4</v>
      </c>
      <c r="BJ124" t="n">
        <v>89.40000000000001</v>
      </c>
      <c r="BK124" t="n">
        <v>92.7</v>
      </c>
      <c r="BL124" t="n">
        <v>95</v>
      </c>
      <c r="BM124" t="n">
        <v>97.40000000000001</v>
      </c>
      <c r="BN124" t="n">
        <v>5</v>
      </c>
      <c r="BO124" t="n">
        <v>2.6</v>
      </c>
      <c r="BP124" t="n">
        <v>0</v>
      </c>
      <c r="BQ124" t="n">
        <v>0</v>
      </c>
      <c r="BR124" t="n">
        <v>0</v>
      </c>
      <c r="BS124" t="n">
        <v>0</v>
      </c>
      <c r="BT124" t="n">
        <v>0</v>
      </c>
      <c r="BU124" t="n">
        <v>0</v>
      </c>
      <c r="BV124" t="n">
        <v>0</v>
      </c>
      <c r="BW124" t="n">
        <v>0</v>
      </c>
      <c r="BX124" t="n">
        <v>0</v>
      </c>
      <c r="BY124" t="n">
        <v>0</v>
      </c>
      <c r="BZ124" t="n">
        <v>44</v>
      </c>
      <c r="CA124" t="n">
        <v>3</v>
      </c>
      <c r="CB124" t="n">
        <v>2</v>
      </c>
      <c r="CC124" t="n">
        <v>3</v>
      </c>
      <c r="CD124" t="n">
        <v>32</v>
      </c>
      <c r="CE124" t="n">
        <v>33</v>
      </c>
      <c r="CF124" t="n">
        <v>37</v>
      </c>
      <c r="CG124" t="n">
        <v>36</v>
      </c>
      <c r="CH124" t="n">
        <v>44</v>
      </c>
      <c r="CI124" t="n">
        <v>3</v>
      </c>
      <c r="CJ124" t="n">
        <v>2</v>
      </c>
      <c r="CK124" t="n">
        <v>3</v>
      </c>
      <c r="CL124" t="n">
        <v>32</v>
      </c>
      <c r="CM124" t="n">
        <v>33</v>
      </c>
      <c r="CN124" t="n">
        <v>37</v>
      </c>
      <c r="CO124" t="n">
        <v>36</v>
      </c>
      <c r="CP124" t="n">
        <v>0</v>
      </c>
      <c r="CQ124" t="n">
        <v>0</v>
      </c>
      <c r="CR124" t="n">
        <v>0</v>
      </c>
      <c r="CS124" t="n">
        <v>0</v>
      </c>
      <c r="CT124" t="n">
        <v>0</v>
      </c>
      <c r="CU124" t="n">
        <v>0</v>
      </c>
      <c r="CV124" t="n">
        <v>0</v>
      </c>
      <c r="CW124" t="n">
        <v>0</v>
      </c>
      <c r="CX124" t="n">
        <v>49.6</v>
      </c>
      <c r="CY124" t="n">
        <v>45.9</v>
      </c>
      <c r="CZ124" t="n">
        <v>68.3</v>
      </c>
      <c r="DA124" t="n">
        <v>65.40000000000001</v>
      </c>
      <c r="DB124" t="n">
        <v>46.5</v>
      </c>
      <c r="DC124" t="n">
        <v>43.6</v>
      </c>
      <c r="DD124" t="n">
        <v>59.6</v>
      </c>
      <c r="DE124" t="n">
        <v>59.4</v>
      </c>
      <c r="DF124" t="n">
        <v>49.6</v>
      </c>
      <c r="DG124" t="n">
        <v>45.9</v>
      </c>
      <c r="DH124" t="n">
        <v>68.3</v>
      </c>
      <c r="DI124" t="n">
        <v>65.40000000000001</v>
      </c>
      <c r="DJ124" t="n">
        <v>46.5</v>
      </c>
      <c r="DK124" t="n">
        <v>43.6</v>
      </c>
      <c r="DL124" t="n">
        <v>59.6</v>
      </c>
      <c r="DM124" t="n">
        <v>59.4</v>
      </c>
      <c r="DN124" t="n">
        <v>0</v>
      </c>
      <c r="DO124" t="n">
        <v>0</v>
      </c>
      <c r="DP124" t="n">
        <v>0</v>
      </c>
      <c r="DQ124" t="n">
        <v>0</v>
      </c>
      <c r="DR124" t="n">
        <v>0</v>
      </c>
      <c r="DS124" t="n">
        <v>0</v>
      </c>
      <c r="DT124" t="n">
        <v>0</v>
      </c>
      <c r="DU124" t="n">
        <v>0</v>
      </c>
      <c r="DV124" t="inlineStr">
        <is>
          <t>2500 mmbtu</t>
        </is>
      </c>
    </row>
    <row r="125">
      <c r="A125" t="inlineStr">
        <is>
          <t>MICHCON BASIS - ICE FUTURES ENERGY DIV</t>
        </is>
      </c>
      <c r="B125" t="n">
        <v>230103</v>
      </c>
      <c r="C125" s="1" t="n">
        <v>44929</v>
      </c>
      <c r="D125" t="inlineStr">
        <is>
          <t>0233AQ</t>
        </is>
      </c>
      <c r="E125" t="inlineStr">
        <is>
          <t>IFED</t>
        </is>
      </c>
      <c r="F125" t="inlineStr">
        <is>
          <t>01</t>
        </is>
      </c>
      <c r="G125" t="inlineStr">
        <is>
          <t xml:space="preserve">023 </t>
        </is>
      </c>
      <c r="H125" t="n">
        <v>247354</v>
      </c>
      <c r="I125" s="17" t="n">
        <v>10277</v>
      </c>
      <c r="J125" s="17" t="n">
        <v>3510</v>
      </c>
      <c r="K125" t="n">
        <v>4556</v>
      </c>
      <c r="L125" t="n">
        <v>222588</v>
      </c>
      <c r="M125" t="n">
        <v>234513</v>
      </c>
      <c r="N125" t="n">
        <v>237421</v>
      </c>
      <c r="O125" t="n">
        <v>242579</v>
      </c>
      <c r="P125" t="n">
        <v>9933</v>
      </c>
      <c r="Q125" t="n">
        <v>4775</v>
      </c>
      <c r="R125" t="n">
        <v>247354</v>
      </c>
      <c r="S125" t="n">
        <v>10277</v>
      </c>
      <c r="T125" t="n">
        <v>3510</v>
      </c>
      <c r="U125" t="n">
        <v>4556</v>
      </c>
      <c r="V125" t="n">
        <v>222588</v>
      </c>
      <c r="W125" t="n">
        <v>234513</v>
      </c>
      <c r="X125" t="n">
        <v>237421</v>
      </c>
      <c r="Y125" t="n">
        <v>242579</v>
      </c>
      <c r="Z125" t="n">
        <v>9933</v>
      </c>
      <c r="AA125" t="n">
        <v>4775</v>
      </c>
      <c r="AB125" t="n">
        <v>0</v>
      </c>
      <c r="AC125" t="n">
        <v>0</v>
      </c>
      <c r="AD125" t="n">
        <v>0</v>
      </c>
      <c r="AE125" t="n">
        <v>0</v>
      </c>
      <c r="AF125" t="n">
        <v>0</v>
      </c>
      <c r="AG125" t="n">
        <v>0</v>
      </c>
      <c r="AH125" t="n">
        <v>0</v>
      </c>
      <c r="AI125" t="n">
        <v>0</v>
      </c>
      <c r="AJ125" t="n">
        <v>0</v>
      </c>
      <c r="AK125" t="n">
        <v>0</v>
      </c>
      <c r="AL125" t="n">
        <v>1139</v>
      </c>
      <c r="AM125" t="n">
        <v>-56</v>
      </c>
      <c r="AN125" t="n">
        <v>260</v>
      </c>
      <c r="AO125" t="n">
        <v>-31</v>
      </c>
      <c r="AP125" t="n">
        <v>1166</v>
      </c>
      <c r="AQ125" t="n">
        <v>1056</v>
      </c>
      <c r="AR125" t="n">
        <v>1079</v>
      </c>
      <c r="AS125" t="n">
        <v>1285</v>
      </c>
      <c r="AT125" t="n">
        <v>60</v>
      </c>
      <c r="AU125" t="n">
        <v>-146</v>
      </c>
      <c r="AV125" t="n">
        <v>100</v>
      </c>
      <c r="AW125" t="n">
        <v>4.2</v>
      </c>
      <c r="AX125" t="n">
        <v>1.4</v>
      </c>
      <c r="AY125" t="n">
        <v>1.8</v>
      </c>
      <c r="AZ125" t="n">
        <v>90</v>
      </c>
      <c r="BA125" t="n">
        <v>94.8</v>
      </c>
      <c r="BB125" t="n">
        <v>96</v>
      </c>
      <c r="BC125" t="n">
        <v>98.09999999999999</v>
      </c>
      <c r="BD125" t="n">
        <v>4</v>
      </c>
      <c r="BE125" t="n">
        <v>1.9</v>
      </c>
      <c r="BF125" t="n">
        <v>100</v>
      </c>
      <c r="BG125" t="n">
        <v>4.2</v>
      </c>
      <c r="BH125" t="n">
        <v>1.4</v>
      </c>
      <c r="BI125" t="n">
        <v>1.8</v>
      </c>
      <c r="BJ125" t="n">
        <v>90</v>
      </c>
      <c r="BK125" t="n">
        <v>94.8</v>
      </c>
      <c r="BL125" t="n">
        <v>96</v>
      </c>
      <c r="BM125" t="n">
        <v>98.09999999999999</v>
      </c>
      <c r="BN125" t="n">
        <v>4</v>
      </c>
      <c r="BO125" t="n">
        <v>1.9</v>
      </c>
      <c r="BP125" t="n">
        <v>0</v>
      </c>
      <c r="BQ125" t="n">
        <v>0</v>
      </c>
      <c r="BR125" t="n">
        <v>0</v>
      </c>
      <c r="BS125" t="n">
        <v>0</v>
      </c>
      <c r="BT125" t="n">
        <v>0</v>
      </c>
      <c r="BU125" t="n">
        <v>0</v>
      </c>
      <c r="BV125" t="n">
        <v>0</v>
      </c>
      <c r="BW125" t="n">
        <v>0</v>
      </c>
      <c r="BX125" t="n">
        <v>0</v>
      </c>
      <c r="BY125" t="n">
        <v>0</v>
      </c>
      <c r="BZ125" t="n">
        <v>49</v>
      </c>
      <c r="CA125" t="n">
        <v>4</v>
      </c>
      <c r="CB125" t="n">
        <v>1</v>
      </c>
      <c r="CC125" t="n">
        <v>3</v>
      </c>
      <c r="CD125" t="n">
        <v>35</v>
      </c>
      <c r="CE125" t="n">
        <v>36</v>
      </c>
      <c r="CF125" t="n">
        <v>40</v>
      </c>
      <c r="CG125" t="n">
        <v>39</v>
      </c>
      <c r="CH125" t="n">
        <v>49</v>
      </c>
      <c r="CI125" t="n">
        <v>4</v>
      </c>
      <c r="CJ125" t="n">
        <v>1</v>
      </c>
      <c r="CK125" t="n">
        <v>3</v>
      </c>
      <c r="CL125" t="n">
        <v>35</v>
      </c>
      <c r="CM125" t="n">
        <v>36</v>
      </c>
      <c r="CN125" t="n">
        <v>40</v>
      </c>
      <c r="CO125" t="n">
        <v>39</v>
      </c>
      <c r="CP125" t="n">
        <v>0</v>
      </c>
      <c r="CQ125" t="n">
        <v>0</v>
      </c>
      <c r="CR125" t="n">
        <v>0</v>
      </c>
      <c r="CS125" t="n">
        <v>0</v>
      </c>
      <c r="CT125" t="n">
        <v>0</v>
      </c>
      <c r="CU125" t="n">
        <v>0</v>
      </c>
      <c r="CV125" t="n">
        <v>0</v>
      </c>
      <c r="CW125" t="n">
        <v>0</v>
      </c>
      <c r="CX125" t="n">
        <v>48.5</v>
      </c>
      <c r="CY125" t="n">
        <v>45.7</v>
      </c>
      <c r="CZ125" t="n">
        <v>67.09999999999999</v>
      </c>
      <c r="DA125" t="n">
        <v>64.59999999999999</v>
      </c>
      <c r="DB125" t="n">
        <v>45.1</v>
      </c>
      <c r="DC125" t="n">
        <v>43.4</v>
      </c>
      <c r="DD125" t="n">
        <v>59</v>
      </c>
      <c r="DE125" t="n">
        <v>58</v>
      </c>
      <c r="DF125" t="n">
        <v>48.5</v>
      </c>
      <c r="DG125" t="n">
        <v>45.7</v>
      </c>
      <c r="DH125" t="n">
        <v>67.09999999999999</v>
      </c>
      <c r="DI125" t="n">
        <v>64.59999999999999</v>
      </c>
      <c r="DJ125" t="n">
        <v>45.1</v>
      </c>
      <c r="DK125" t="n">
        <v>43.4</v>
      </c>
      <c r="DL125" t="n">
        <v>59</v>
      </c>
      <c r="DM125" t="n">
        <v>58</v>
      </c>
      <c r="DN125" t="n">
        <v>0</v>
      </c>
      <c r="DO125" t="n">
        <v>0</v>
      </c>
      <c r="DP125" t="n">
        <v>0</v>
      </c>
      <c r="DQ125" t="n">
        <v>0</v>
      </c>
      <c r="DR125" t="n">
        <v>0</v>
      </c>
      <c r="DS125" t="n">
        <v>0</v>
      </c>
      <c r="DT125" t="n">
        <v>0</v>
      </c>
      <c r="DU125" t="n">
        <v>0</v>
      </c>
      <c r="DV125" t="inlineStr">
        <is>
          <t>2500 mmbtu</t>
        </is>
      </c>
    </row>
    <row r="126">
      <c r="A126" t="inlineStr">
        <is>
          <t>NAT GAS LD1 for GDD -TEXOK - ICE FUTURES ENERGY DIV</t>
        </is>
      </c>
      <c r="B126" t="n">
        <v>230110</v>
      </c>
      <c r="C126" s="1" t="n">
        <v>44936</v>
      </c>
      <c r="D126" t="inlineStr">
        <is>
          <t>0233AT</t>
        </is>
      </c>
      <c r="E126" t="inlineStr">
        <is>
          <t>IFED</t>
        </is>
      </c>
      <c r="F126" t="inlineStr">
        <is>
          <t>01</t>
        </is>
      </c>
      <c r="G126" t="inlineStr">
        <is>
          <t xml:space="preserve">023 </t>
        </is>
      </c>
      <c r="H126" t="n">
        <v>37464</v>
      </c>
      <c r="I126" s="17" t="n">
        <v>0</v>
      </c>
      <c r="J126" s="17" t="n">
        <v>372</v>
      </c>
      <c r="K126" t="n">
        <v>0</v>
      </c>
      <c r="L126" t="n">
        <v>36288</v>
      </c>
      <c r="M126" t="n">
        <v>36751</v>
      </c>
      <c r="N126" t="n">
        <v>36288</v>
      </c>
      <c r="O126" t="n">
        <v>37123</v>
      </c>
      <c r="P126" t="n">
        <v>1176</v>
      </c>
      <c r="Q126" t="n">
        <v>341</v>
      </c>
      <c r="R126" t="n">
        <v>37464</v>
      </c>
      <c r="S126" t="n">
        <v>0</v>
      </c>
      <c r="T126" t="n">
        <v>372</v>
      </c>
      <c r="U126" t="n">
        <v>0</v>
      </c>
      <c r="V126" t="n">
        <v>36288</v>
      </c>
      <c r="W126" t="n">
        <v>36751</v>
      </c>
      <c r="X126" t="n">
        <v>36288</v>
      </c>
      <c r="Y126" t="n">
        <v>37123</v>
      </c>
      <c r="Z126" t="n">
        <v>1176</v>
      </c>
      <c r="AA126" t="n">
        <v>341</v>
      </c>
      <c r="AB126" t="n">
        <v>0</v>
      </c>
      <c r="AC126" t="n">
        <v>0</v>
      </c>
      <c r="AD126" t="n">
        <v>0</v>
      </c>
      <c r="AE126" t="n">
        <v>0</v>
      </c>
      <c r="AF126" t="n">
        <v>0</v>
      </c>
      <c r="AG126" t="n">
        <v>0</v>
      </c>
      <c r="AH126" t="n">
        <v>0</v>
      </c>
      <c r="AI126" t="n">
        <v>0</v>
      </c>
      <c r="AJ126" t="n">
        <v>0</v>
      </c>
      <c r="AK126" t="n">
        <v>0</v>
      </c>
      <c r="AL126" t="n">
        <v>-13159</v>
      </c>
      <c r="AM126" t="n">
        <v>0</v>
      </c>
      <c r="AN126" t="n">
        <v>-961</v>
      </c>
      <c r="AO126" t="n">
        <v>0</v>
      </c>
      <c r="AP126" t="n">
        <v>-13560</v>
      </c>
      <c r="AQ126" t="n">
        <v>-11981</v>
      </c>
      <c r="AR126" t="n">
        <v>-13560</v>
      </c>
      <c r="AS126" t="n">
        <v>-12942</v>
      </c>
      <c r="AT126" t="n">
        <v>401</v>
      </c>
      <c r="AU126" t="n">
        <v>-217</v>
      </c>
      <c r="AV126" t="n">
        <v>100</v>
      </c>
      <c r="AW126" t="n">
        <v>0</v>
      </c>
      <c r="AX126" t="n">
        <v>1</v>
      </c>
      <c r="AY126" t="n">
        <v>0</v>
      </c>
      <c r="AZ126" t="n">
        <v>96.90000000000001</v>
      </c>
      <c r="BA126" t="n">
        <v>98.09999999999999</v>
      </c>
      <c r="BB126" t="n">
        <v>96.90000000000001</v>
      </c>
      <c r="BC126" t="n">
        <v>99.09999999999999</v>
      </c>
      <c r="BD126" t="n">
        <v>3.1</v>
      </c>
      <c r="BE126" t="n">
        <v>0.9</v>
      </c>
      <c r="BF126" t="n">
        <v>100</v>
      </c>
      <c r="BG126" t="n">
        <v>0</v>
      </c>
      <c r="BH126" t="n">
        <v>1</v>
      </c>
      <c r="BI126" t="n">
        <v>0</v>
      </c>
      <c r="BJ126" t="n">
        <v>96.90000000000001</v>
      </c>
      <c r="BK126" t="n">
        <v>98.09999999999999</v>
      </c>
      <c r="BL126" t="n">
        <v>96.90000000000001</v>
      </c>
      <c r="BM126" t="n">
        <v>99.09999999999999</v>
      </c>
      <c r="BN126" t="n">
        <v>3.1</v>
      </c>
      <c r="BO126" t="n">
        <v>0.9</v>
      </c>
      <c r="BP126" t="n">
        <v>0</v>
      </c>
      <c r="BQ126" t="n">
        <v>0</v>
      </c>
      <c r="BR126" t="n">
        <v>0</v>
      </c>
      <c r="BS126" t="n">
        <v>0</v>
      </c>
      <c r="BT126" t="n">
        <v>0</v>
      </c>
      <c r="BU126" t="n">
        <v>0</v>
      </c>
      <c r="BV126" t="n">
        <v>0</v>
      </c>
      <c r="BW126" t="n">
        <v>0</v>
      </c>
      <c r="BX126" t="n">
        <v>0</v>
      </c>
      <c r="BY126" t="n">
        <v>0</v>
      </c>
      <c r="BZ126" t="n">
        <v>26</v>
      </c>
      <c r="CA126" t="n">
        <v>0</v>
      </c>
      <c r="CB126" t="n">
        <v>1</v>
      </c>
      <c r="CC126" t="n">
        <v>0</v>
      </c>
      <c r="CD126" t="n">
        <v>12</v>
      </c>
      <c r="CE126" t="n">
        <v>19</v>
      </c>
      <c r="CF126" t="n">
        <v>12</v>
      </c>
      <c r="CG126" t="n">
        <v>20</v>
      </c>
      <c r="CH126" t="n">
        <v>26</v>
      </c>
      <c r="CI126" t="n">
        <v>0</v>
      </c>
      <c r="CJ126" t="n">
        <v>1</v>
      </c>
      <c r="CK126" t="n">
        <v>0</v>
      </c>
      <c r="CL126" t="n">
        <v>12</v>
      </c>
      <c r="CM126" t="n">
        <v>19</v>
      </c>
      <c r="CN126" t="n">
        <v>12</v>
      </c>
      <c r="CO126" t="n">
        <v>20</v>
      </c>
      <c r="CP126" t="n">
        <v>0</v>
      </c>
      <c r="CQ126" t="n">
        <v>0</v>
      </c>
      <c r="CR126" t="n">
        <v>0</v>
      </c>
      <c r="CS126" t="n">
        <v>0</v>
      </c>
      <c r="CT126" t="n">
        <v>0</v>
      </c>
      <c r="CU126" t="n">
        <v>0</v>
      </c>
      <c r="CV126" t="n">
        <v>0</v>
      </c>
      <c r="CW126" t="n">
        <v>0</v>
      </c>
      <c r="CX126" t="n">
        <v>91</v>
      </c>
      <c r="CY126" t="n">
        <v>65.5</v>
      </c>
      <c r="CZ126" t="n">
        <v>95.2</v>
      </c>
      <c r="DA126" t="n">
        <v>83.7</v>
      </c>
      <c r="DB126" t="n">
        <v>89.7</v>
      </c>
      <c r="DC126" t="n">
        <v>64.59999999999999</v>
      </c>
      <c r="DD126" t="n">
        <v>92.8</v>
      </c>
      <c r="DE126" t="n">
        <v>82</v>
      </c>
      <c r="DF126" t="n">
        <v>91</v>
      </c>
      <c r="DG126" t="n">
        <v>65.5</v>
      </c>
      <c r="DH126" t="n">
        <v>95.2</v>
      </c>
      <c r="DI126" t="n">
        <v>83.7</v>
      </c>
      <c r="DJ126" t="n">
        <v>89.7</v>
      </c>
      <c r="DK126" t="n">
        <v>64.59999999999999</v>
      </c>
      <c r="DL126" t="n">
        <v>92.8</v>
      </c>
      <c r="DM126" t="n">
        <v>82</v>
      </c>
      <c r="DN126" t="n">
        <v>0</v>
      </c>
      <c r="DO126" t="n">
        <v>0</v>
      </c>
      <c r="DP126" t="n">
        <v>0</v>
      </c>
      <c r="DQ126" t="n">
        <v>0</v>
      </c>
      <c r="DR126" t="n">
        <v>0</v>
      </c>
      <c r="DS126" t="n">
        <v>0</v>
      </c>
      <c r="DT126" t="n">
        <v>0</v>
      </c>
      <c r="DU126" t="n">
        <v>0</v>
      </c>
      <c r="DV126" t="inlineStr">
        <is>
          <t>2500 mmbtu</t>
        </is>
      </c>
    </row>
    <row r="127">
      <c r="A127" t="inlineStr">
        <is>
          <t>NAT GAS LD1 for GDD -TEXOK - ICE FUTURES ENERGY DIV</t>
        </is>
      </c>
      <c r="B127" t="n">
        <v>230103</v>
      </c>
      <c r="C127" s="1" t="n">
        <v>44929</v>
      </c>
      <c r="D127" t="inlineStr">
        <is>
          <t>0233AT</t>
        </is>
      </c>
      <c r="E127" t="inlineStr">
        <is>
          <t>IFED</t>
        </is>
      </c>
      <c r="F127" t="inlineStr">
        <is>
          <t>01</t>
        </is>
      </c>
      <c r="G127" t="inlineStr">
        <is>
          <t xml:space="preserve">023 </t>
        </is>
      </c>
      <c r="H127" t="n">
        <v>50623</v>
      </c>
      <c r="I127" s="17" t="n">
        <v>0</v>
      </c>
      <c r="J127" s="17" t="n">
        <v>1333</v>
      </c>
      <c r="K127" t="n">
        <v>0</v>
      </c>
      <c r="L127" t="n">
        <v>49848</v>
      </c>
      <c r="M127" t="n">
        <v>48732</v>
      </c>
      <c r="N127" t="n">
        <v>49848</v>
      </c>
      <c r="O127" t="n">
        <v>50065</v>
      </c>
      <c r="P127" t="n">
        <v>775</v>
      </c>
      <c r="Q127" t="n">
        <v>558</v>
      </c>
      <c r="R127" t="n">
        <v>50623</v>
      </c>
      <c r="S127" t="n">
        <v>0</v>
      </c>
      <c r="T127" t="n">
        <v>1333</v>
      </c>
      <c r="U127" t="n">
        <v>0</v>
      </c>
      <c r="V127" t="n">
        <v>49848</v>
      </c>
      <c r="W127" t="n">
        <v>48732</v>
      </c>
      <c r="X127" t="n">
        <v>49848</v>
      </c>
      <c r="Y127" t="n">
        <v>50065</v>
      </c>
      <c r="Z127" t="n">
        <v>775</v>
      </c>
      <c r="AA127" t="n">
        <v>558</v>
      </c>
      <c r="AB127" t="n">
        <v>0</v>
      </c>
      <c r="AC127" t="n">
        <v>0</v>
      </c>
      <c r="AD127" t="n">
        <v>0</v>
      </c>
      <c r="AE127" t="n">
        <v>0</v>
      </c>
      <c r="AF127" t="n">
        <v>0</v>
      </c>
      <c r="AG127" t="n">
        <v>0</v>
      </c>
      <c r="AH127" t="n">
        <v>0</v>
      </c>
      <c r="AI127" t="n">
        <v>0</v>
      </c>
      <c r="AJ127" t="n">
        <v>0</v>
      </c>
      <c r="AK127" t="n">
        <v>0</v>
      </c>
      <c r="AL127" t="n">
        <v>0</v>
      </c>
      <c r="AM127" t="n">
        <v>0</v>
      </c>
      <c r="AN127" t="n">
        <v>0</v>
      </c>
      <c r="AO127" t="n">
        <v>0</v>
      </c>
      <c r="AP127" t="n">
        <v>0</v>
      </c>
      <c r="AQ127" t="n">
        <v>0</v>
      </c>
      <c r="AR127" t="n">
        <v>0</v>
      </c>
      <c r="AS127" t="n">
        <v>0</v>
      </c>
      <c r="AT127" t="n">
        <v>0</v>
      </c>
      <c r="AU127" t="n">
        <v>0</v>
      </c>
      <c r="AV127" t="n">
        <v>100</v>
      </c>
      <c r="AW127" t="n">
        <v>0</v>
      </c>
      <c r="AX127" t="n">
        <v>2.6</v>
      </c>
      <c r="AY127" t="n">
        <v>0</v>
      </c>
      <c r="AZ127" t="n">
        <v>98.5</v>
      </c>
      <c r="BA127" t="n">
        <v>96.3</v>
      </c>
      <c r="BB127" t="n">
        <v>98.5</v>
      </c>
      <c r="BC127" t="n">
        <v>98.90000000000001</v>
      </c>
      <c r="BD127" t="n">
        <v>1.5</v>
      </c>
      <c r="BE127" t="n">
        <v>1.1</v>
      </c>
      <c r="BF127" t="n">
        <v>100</v>
      </c>
      <c r="BG127" t="n">
        <v>0</v>
      </c>
      <c r="BH127" t="n">
        <v>2.6</v>
      </c>
      <c r="BI127" t="n">
        <v>0</v>
      </c>
      <c r="BJ127" t="n">
        <v>98.5</v>
      </c>
      <c r="BK127" t="n">
        <v>96.3</v>
      </c>
      <c r="BL127" t="n">
        <v>98.5</v>
      </c>
      <c r="BM127" t="n">
        <v>98.90000000000001</v>
      </c>
      <c r="BN127" t="n">
        <v>1.5</v>
      </c>
      <c r="BO127" t="n">
        <v>1.1</v>
      </c>
      <c r="BP127" t="n">
        <v>0</v>
      </c>
      <c r="BQ127" t="n">
        <v>0</v>
      </c>
      <c r="BR127" t="n">
        <v>0</v>
      </c>
      <c r="BS127" t="n">
        <v>0</v>
      </c>
      <c r="BT127" t="n">
        <v>0</v>
      </c>
      <c r="BU127" t="n">
        <v>0</v>
      </c>
      <c r="BV127" t="n">
        <v>0</v>
      </c>
      <c r="BW127" t="n">
        <v>0</v>
      </c>
      <c r="BX127" t="n">
        <v>0</v>
      </c>
      <c r="BY127" t="n">
        <v>0</v>
      </c>
      <c r="BZ127" t="n">
        <v>35</v>
      </c>
      <c r="CA127" t="n">
        <v>0</v>
      </c>
      <c r="CB127" t="n">
        <v>3</v>
      </c>
      <c r="CC127" t="n">
        <v>0</v>
      </c>
      <c r="CD127" t="n">
        <v>18</v>
      </c>
      <c r="CE127" t="n">
        <v>24</v>
      </c>
      <c r="CF127" t="n">
        <v>18</v>
      </c>
      <c r="CG127" t="n">
        <v>27</v>
      </c>
      <c r="CH127" t="n">
        <v>35</v>
      </c>
      <c r="CI127" t="n">
        <v>0</v>
      </c>
      <c r="CJ127" t="n">
        <v>3</v>
      </c>
      <c r="CK127" t="n">
        <v>0</v>
      </c>
      <c r="CL127" t="n">
        <v>18</v>
      </c>
      <c r="CM127" t="n">
        <v>24</v>
      </c>
      <c r="CN127" t="n">
        <v>18</v>
      </c>
      <c r="CO127" t="n">
        <v>27</v>
      </c>
      <c r="CP127" t="n">
        <v>0</v>
      </c>
      <c r="CQ127" t="n">
        <v>0</v>
      </c>
      <c r="CR127" t="n">
        <v>0</v>
      </c>
      <c r="CS127" t="n">
        <v>0</v>
      </c>
      <c r="CT127" t="n">
        <v>0</v>
      </c>
      <c r="CU127" t="n">
        <v>0</v>
      </c>
      <c r="CV127" t="n">
        <v>0</v>
      </c>
      <c r="CW127" t="n">
        <v>0</v>
      </c>
      <c r="CX127" t="n">
        <v>80.8</v>
      </c>
      <c r="CY127" t="n">
        <v>56.3</v>
      </c>
      <c r="CZ127" t="n">
        <v>90.8</v>
      </c>
      <c r="DA127" t="n">
        <v>74.09999999999999</v>
      </c>
      <c r="DB127" t="n">
        <v>74.40000000000001</v>
      </c>
      <c r="DC127" t="n">
        <v>55.4</v>
      </c>
      <c r="DD127" t="n">
        <v>82.09999999999999</v>
      </c>
      <c r="DE127" t="n">
        <v>71.2</v>
      </c>
      <c r="DF127" t="n">
        <v>80.8</v>
      </c>
      <c r="DG127" t="n">
        <v>56.3</v>
      </c>
      <c r="DH127" t="n">
        <v>90.8</v>
      </c>
      <c r="DI127" t="n">
        <v>74.09999999999999</v>
      </c>
      <c r="DJ127" t="n">
        <v>74.40000000000001</v>
      </c>
      <c r="DK127" t="n">
        <v>55.4</v>
      </c>
      <c r="DL127" t="n">
        <v>82.09999999999999</v>
      </c>
      <c r="DM127" t="n">
        <v>71.2</v>
      </c>
      <c r="DN127" t="n">
        <v>0</v>
      </c>
      <c r="DO127" t="n">
        <v>0</v>
      </c>
      <c r="DP127" t="n">
        <v>0</v>
      </c>
      <c r="DQ127" t="n">
        <v>0</v>
      </c>
      <c r="DR127" t="n">
        <v>0</v>
      </c>
      <c r="DS127" t="n">
        <v>0</v>
      </c>
      <c r="DT127" t="n">
        <v>0</v>
      </c>
      <c r="DU127" t="n">
        <v>0</v>
      </c>
      <c r="DV127" t="inlineStr">
        <is>
          <t>2500 mmbtu</t>
        </is>
      </c>
    </row>
    <row r="128">
      <c r="A128" t="inlineStr">
        <is>
          <t>NGPL TXOK BASIS - ICE FUTURES ENERGY DIV</t>
        </is>
      </c>
      <c r="B128" t="n">
        <v>230110</v>
      </c>
      <c r="C128" s="1" t="n">
        <v>44936</v>
      </c>
      <c r="D128" t="inlineStr">
        <is>
          <t>0233B1</t>
        </is>
      </c>
      <c r="E128" t="inlineStr">
        <is>
          <t>IFED</t>
        </is>
      </c>
      <c r="F128" t="inlineStr">
        <is>
          <t>01</t>
        </is>
      </c>
      <c r="G128" t="inlineStr">
        <is>
          <t xml:space="preserve">023 </t>
        </is>
      </c>
      <c r="H128" t="n">
        <v>279006</v>
      </c>
      <c r="I128" s="17" t="n">
        <v>14584</v>
      </c>
      <c r="J128" s="17" t="n">
        <v>13141</v>
      </c>
      <c r="K128" t="n">
        <v>405</v>
      </c>
      <c r="L128" t="n">
        <v>260690</v>
      </c>
      <c r="M128" t="n">
        <v>256911</v>
      </c>
      <c r="N128" t="n">
        <v>275679</v>
      </c>
      <c r="O128" t="n">
        <v>270457</v>
      </c>
      <c r="P128" t="n">
        <v>3327</v>
      </c>
      <c r="Q128" t="n">
        <v>8549</v>
      </c>
      <c r="R128" t="n">
        <v>279006</v>
      </c>
      <c r="S128" t="n">
        <v>14584</v>
      </c>
      <c r="T128" t="n">
        <v>13141</v>
      </c>
      <c r="U128" t="n">
        <v>405</v>
      </c>
      <c r="V128" t="n">
        <v>260690</v>
      </c>
      <c r="W128" t="n">
        <v>256911</v>
      </c>
      <c r="X128" t="n">
        <v>275679</v>
      </c>
      <c r="Y128" t="n">
        <v>270457</v>
      </c>
      <c r="Z128" t="n">
        <v>3327</v>
      </c>
      <c r="AA128" t="n">
        <v>8549</v>
      </c>
      <c r="AB128" t="n">
        <v>0</v>
      </c>
      <c r="AC128" t="n">
        <v>0</v>
      </c>
      <c r="AD128" t="n">
        <v>0</v>
      </c>
      <c r="AE128" t="n">
        <v>0</v>
      </c>
      <c r="AF128" t="n">
        <v>0</v>
      </c>
      <c r="AG128" t="n">
        <v>0</v>
      </c>
      <c r="AH128" t="n">
        <v>0</v>
      </c>
      <c r="AI128" t="n">
        <v>0</v>
      </c>
      <c r="AJ128" t="n">
        <v>0</v>
      </c>
      <c r="AK128" t="n">
        <v>0</v>
      </c>
      <c r="AL128" t="n">
        <v>-8482</v>
      </c>
      <c r="AM128" t="n">
        <v>6432</v>
      </c>
      <c r="AN128" t="n">
        <v>-1565</v>
      </c>
      <c r="AO128" t="n">
        <v>-48</v>
      </c>
      <c r="AP128" t="n">
        <v>-15874</v>
      </c>
      <c r="AQ128" t="n">
        <v>-5983</v>
      </c>
      <c r="AR128" t="n">
        <v>-9490</v>
      </c>
      <c r="AS128" t="n">
        <v>-7596</v>
      </c>
      <c r="AT128" t="n">
        <v>1008</v>
      </c>
      <c r="AU128" t="n">
        <v>-886</v>
      </c>
      <c r="AV128" t="n">
        <v>100</v>
      </c>
      <c r="AW128" t="n">
        <v>5.2</v>
      </c>
      <c r="AX128" t="n">
        <v>4.7</v>
      </c>
      <c r="AY128" t="n">
        <v>0.1</v>
      </c>
      <c r="AZ128" t="n">
        <v>93.40000000000001</v>
      </c>
      <c r="BA128" t="n">
        <v>92.09999999999999</v>
      </c>
      <c r="BB128" t="n">
        <v>98.8</v>
      </c>
      <c r="BC128" t="n">
        <v>96.90000000000001</v>
      </c>
      <c r="BD128" t="n">
        <v>1.2</v>
      </c>
      <c r="BE128" t="n">
        <v>3.1</v>
      </c>
      <c r="BF128" t="n">
        <v>100</v>
      </c>
      <c r="BG128" t="n">
        <v>5.2</v>
      </c>
      <c r="BH128" t="n">
        <v>4.7</v>
      </c>
      <c r="BI128" t="n">
        <v>0.1</v>
      </c>
      <c r="BJ128" t="n">
        <v>93.40000000000001</v>
      </c>
      <c r="BK128" t="n">
        <v>92.09999999999999</v>
      </c>
      <c r="BL128" t="n">
        <v>98.8</v>
      </c>
      <c r="BM128" t="n">
        <v>96.90000000000001</v>
      </c>
      <c r="BN128" t="n">
        <v>1.2</v>
      </c>
      <c r="BO128" t="n">
        <v>3.1</v>
      </c>
      <c r="BP128" t="n">
        <v>0</v>
      </c>
      <c r="BQ128" t="n">
        <v>0</v>
      </c>
      <c r="BR128" t="n">
        <v>0</v>
      </c>
      <c r="BS128" t="n">
        <v>0</v>
      </c>
      <c r="BT128" t="n">
        <v>0</v>
      </c>
      <c r="BU128" t="n">
        <v>0</v>
      </c>
      <c r="BV128" t="n">
        <v>0</v>
      </c>
      <c r="BW128" t="n">
        <v>0</v>
      </c>
      <c r="BX128" t="n">
        <v>0</v>
      </c>
      <c r="BY128" t="n">
        <v>0</v>
      </c>
      <c r="BZ128" t="n">
        <v>44</v>
      </c>
      <c r="CA128" t="n">
        <v>2</v>
      </c>
      <c r="CB128" t="n">
        <v>2</v>
      </c>
      <c r="CC128" t="n">
        <v>3</v>
      </c>
      <c r="CD128" t="n">
        <v>30</v>
      </c>
      <c r="CE128" t="n">
        <v>28</v>
      </c>
      <c r="CF128" t="n">
        <v>34</v>
      </c>
      <c r="CG128" t="n">
        <v>31</v>
      </c>
      <c r="CH128" t="n">
        <v>44</v>
      </c>
      <c r="CI128" t="n">
        <v>2</v>
      </c>
      <c r="CJ128" t="n">
        <v>2</v>
      </c>
      <c r="CK128" t="n">
        <v>3</v>
      </c>
      <c r="CL128" t="n">
        <v>30</v>
      </c>
      <c r="CM128" t="n">
        <v>28</v>
      </c>
      <c r="CN128" t="n">
        <v>34</v>
      </c>
      <c r="CO128" t="n">
        <v>31</v>
      </c>
      <c r="CP128" t="n">
        <v>0</v>
      </c>
      <c r="CQ128" t="n">
        <v>0</v>
      </c>
      <c r="CR128" t="n">
        <v>0</v>
      </c>
      <c r="CS128" t="n">
        <v>0</v>
      </c>
      <c r="CT128" t="n">
        <v>0</v>
      </c>
      <c r="CU128" t="n">
        <v>0</v>
      </c>
      <c r="CV128" t="n">
        <v>0</v>
      </c>
      <c r="CW128" t="n">
        <v>0</v>
      </c>
      <c r="CX128" t="n">
        <v>60.3</v>
      </c>
      <c r="CY128" t="n">
        <v>48.3</v>
      </c>
      <c r="CZ128" t="n">
        <v>77.59999999999999</v>
      </c>
      <c r="DA128" t="n">
        <v>71.2</v>
      </c>
      <c r="DB128" t="n">
        <v>60.3</v>
      </c>
      <c r="DC128" t="n">
        <v>47.7</v>
      </c>
      <c r="DD128" t="n">
        <v>76.3</v>
      </c>
      <c r="DE128" t="n">
        <v>67.40000000000001</v>
      </c>
      <c r="DF128" t="n">
        <v>60.3</v>
      </c>
      <c r="DG128" t="n">
        <v>48.3</v>
      </c>
      <c r="DH128" t="n">
        <v>77.59999999999999</v>
      </c>
      <c r="DI128" t="n">
        <v>71.2</v>
      </c>
      <c r="DJ128" t="n">
        <v>60.3</v>
      </c>
      <c r="DK128" t="n">
        <v>47.7</v>
      </c>
      <c r="DL128" t="n">
        <v>76.3</v>
      </c>
      <c r="DM128" t="n">
        <v>67.40000000000001</v>
      </c>
      <c r="DN128" t="n">
        <v>0</v>
      </c>
      <c r="DO128" t="n">
        <v>0</v>
      </c>
      <c r="DP128" t="n">
        <v>0</v>
      </c>
      <c r="DQ128" t="n">
        <v>0</v>
      </c>
      <c r="DR128" t="n">
        <v>0</v>
      </c>
      <c r="DS128" t="n">
        <v>0</v>
      </c>
      <c r="DT128" t="n">
        <v>0</v>
      </c>
      <c r="DU128" t="n">
        <v>0</v>
      </c>
      <c r="DV128" t="inlineStr">
        <is>
          <t>2500 mmbtu</t>
        </is>
      </c>
    </row>
    <row r="129">
      <c r="A129" t="inlineStr">
        <is>
          <t>NGPL TXOK BASIS - ICE FUTURES ENERGY DIV</t>
        </is>
      </c>
      <c r="B129" t="n">
        <v>230103</v>
      </c>
      <c r="C129" s="1" t="n">
        <v>44929</v>
      </c>
      <c r="D129" t="inlineStr">
        <is>
          <t>0233B1</t>
        </is>
      </c>
      <c r="E129" t="inlineStr">
        <is>
          <t>IFED</t>
        </is>
      </c>
      <c r="F129" t="inlineStr">
        <is>
          <t>01</t>
        </is>
      </c>
      <c r="G129" t="inlineStr">
        <is>
          <t xml:space="preserve">023 </t>
        </is>
      </c>
      <c r="H129" t="n">
        <v>287488</v>
      </c>
      <c r="I129" s="17" t="n">
        <v>8152</v>
      </c>
      <c r="J129" s="17" t="n">
        <v>14706</v>
      </c>
      <c r="K129" t="n">
        <v>453</v>
      </c>
      <c r="L129" t="n">
        <v>276564</v>
      </c>
      <c r="M129" t="n">
        <v>262894</v>
      </c>
      <c r="N129" t="n">
        <v>285169</v>
      </c>
      <c r="O129" t="n">
        <v>278053</v>
      </c>
      <c r="P129" t="n">
        <v>2319</v>
      </c>
      <c r="Q129" t="n">
        <v>9435</v>
      </c>
      <c r="R129" t="n">
        <v>287488</v>
      </c>
      <c r="S129" t="n">
        <v>8152</v>
      </c>
      <c r="T129" t="n">
        <v>14706</v>
      </c>
      <c r="U129" t="n">
        <v>453</v>
      </c>
      <c r="V129" t="n">
        <v>276564</v>
      </c>
      <c r="W129" t="n">
        <v>262894</v>
      </c>
      <c r="X129" t="n">
        <v>285169</v>
      </c>
      <c r="Y129" t="n">
        <v>278053</v>
      </c>
      <c r="Z129" t="n">
        <v>2319</v>
      </c>
      <c r="AA129" t="n">
        <v>9435</v>
      </c>
      <c r="AB129" t="n">
        <v>0</v>
      </c>
      <c r="AC129" t="n">
        <v>0</v>
      </c>
      <c r="AD129" t="n">
        <v>0</v>
      </c>
      <c r="AE129" t="n">
        <v>0</v>
      </c>
      <c r="AF129" t="n">
        <v>0</v>
      </c>
      <c r="AG129" t="n">
        <v>0</v>
      </c>
      <c r="AH129" t="n">
        <v>0</v>
      </c>
      <c r="AI129" t="n">
        <v>0</v>
      </c>
      <c r="AJ129" t="n">
        <v>0</v>
      </c>
      <c r="AK129" t="n">
        <v>0</v>
      </c>
      <c r="AL129" t="n">
        <v>10015</v>
      </c>
      <c r="AM129" t="n">
        <v>5996</v>
      </c>
      <c r="AN129" t="n">
        <v>-1276</v>
      </c>
      <c r="AO129" t="n">
        <v>53</v>
      </c>
      <c r="AP129" t="n">
        <v>3994</v>
      </c>
      <c r="AQ129" t="n">
        <v>14096</v>
      </c>
      <c r="AR129" t="n">
        <v>10043</v>
      </c>
      <c r="AS129" t="n">
        <v>12873</v>
      </c>
      <c r="AT129" t="n">
        <v>-28</v>
      </c>
      <c r="AU129" t="n">
        <v>-2858</v>
      </c>
      <c r="AV129" t="n">
        <v>100</v>
      </c>
      <c r="AW129" t="n">
        <v>2.8</v>
      </c>
      <c r="AX129" t="n">
        <v>5.1</v>
      </c>
      <c r="AY129" t="n">
        <v>0.2</v>
      </c>
      <c r="AZ129" t="n">
        <v>96.2</v>
      </c>
      <c r="BA129" t="n">
        <v>91.40000000000001</v>
      </c>
      <c r="BB129" t="n">
        <v>99.2</v>
      </c>
      <c r="BC129" t="n">
        <v>96.7</v>
      </c>
      <c r="BD129" t="n">
        <v>0.8</v>
      </c>
      <c r="BE129" t="n">
        <v>3.3</v>
      </c>
      <c r="BF129" t="n">
        <v>100</v>
      </c>
      <c r="BG129" t="n">
        <v>2.8</v>
      </c>
      <c r="BH129" t="n">
        <v>5.1</v>
      </c>
      <c r="BI129" t="n">
        <v>0.2</v>
      </c>
      <c r="BJ129" t="n">
        <v>96.2</v>
      </c>
      <c r="BK129" t="n">
        <v>91.40000000000001</v>
      </c>
      <c r="BL129" t="n">
        <v>99.2</v>
      </c>
      <c r="BM129" t="n">
        <v>96.7</v>
      </c>
      <c r="BN129" t="n">
        <v>0.8</v>
      </c>
      <c r="BO129" t="n">
        <v>3.3</v>
      </c>
      <c r="BP129" t="n">
        <v>0</v>
      </c>
      <c r="BQ129" t="n">
        <v>0</v>
      </c>
      <c r="BR129" t="n">
        <v>0</v>
      </c>
      <c r="BS129" t="n">
        <v>0</v>
      </c>
      <c r="BT129" t="n">
        <v>0</v>
      </c>
      <c r="BU129" t="n">
        <v>0</v>
      </c>
      <c r="BV129" t="n">
        <v>0</v>
      </c>
      <c r="BW129" t="n">
        <v>0</v>
      </c>
      <c r="BX129" t="n">
        <v>0</v>
      </c>
      <c r="BY129" t="n">
        <v>0</v>
      </c>
      <c r="BZ129" t="n">
        <v>45</v>
      </c>
      <c r="CA129" t="n">
        <v>2</v>
      </c>
      <c r="CB129" t="n">
        <v>1</v>
      </c>
      <c r="CC129" t="n">
        <v>1</v>
      </c>
      <c r="CD129" t="n">
        <v>33</v>
      </c>
      <c r="CE129" t="n">
        <v>28</v>
      </c>
      <c r="CF129" t="n">
        <v>35</v>
      </c>
      <c r="CG129" t="n">
        <v>30</v>
      </c>
      <c r="CH129" t="n">
        <v>45</v>
      </c>
      <c r="CI129" t="n">
        <v>2</v>
      </c>
      <c r="CJ129" t="n">
        <v>1</v>
      </c>
      <c r="CK129" t="n">
        <v>1</v>
      </c>
      <c r="CL129" t="n">
        <v>33</v>
      </c>
      <c r="CM129" t="n">
        <v>28</v>
      </c>
      <c r="CN129" t="n">
        <v>35</v>
      </c>
      <c r="CO129" t="n">
        <v>30</v>
      </c>
      <c r="CP129" t="n">
        <v>0</v>
      </c>
      <c r="CQ129" t="n">
        <v>0</v>
      </c>
      <c r="CR129" t="n">
        <v>0</v>
      </c>
      <c r="CS129" t="n">
        <v>0</v>
      </c>
      <c r="CT129" t="n">
        <v>0</v>
      </c>
      <c r="CU129" t="n">
        <v>0</v>
      </c>
      <c r="CV129" t="n">
        <v>0</v>
      </c>
      <c r="CW129" t="n">
        <v>0</v>
      </c>
      <c r="CX129" t="n">
        <v>63.8</v>
      </c>
      <c r="CY129" t="n">
        <v>41.6</v>
      </c>
      <c r="CZ129" t="n">
        <v>78.3</v>
      </c>
      <c r="DA129" t="n">
        <v>67.09999999999999</v>
      </c>
      <c r="DB129" t="n">
        <v>63.8</v>
      </c>
      <c r="DC129" t="n">
        <v>41.1</v>
      </c>
      <c r="DD129" t="n">
        <v>77.8</v>
      </c>
      <c r="DE129" t="n">
        <v>64.5</v>
      </c>
      <c r="DF129" t="n">
        <v>63.8</v>
      </c>
      <c r="DG129" t="n">
        <v>41.6</v>
      </c>
      <c r="DH129" t="n">
        <v>78.3</v>
      </c>
      <c r="DI129" t="n">
        <v>67.09999999999999</v>
      </c>
      <c r="DJ129" t="n">
        <v>63.8</v>
      </c>
      <c r="DK129" t="n">
        <v>41.1</v>
      </c>
      <c r="DL129" t="n">
        <v>77.8</v>
      </c>
      <c r="DM129" t="n">
        <v>64.5</v>
      </c>
      <c r="DN129" t="n">
        <v>0</v>
      </c>
      <c r="DO129" t="n">
        <v>0</v>
      </c>
      <c r="DP129" t="n">
        <v>0</v>
      </c>
      <c r="DQ129" t="n">
        <v>0</v>
      </c>
      <c r="DR129" t="n">
        <v>0</v>
      </c>
      <c r="DS129" t="n">
        <v>0</v>
      </c>
      <c r="DT129" t="n">
        <v>0</v>
      </c>
      <c r="DU129" t="n">
        <v>0</v>
      </c>
      <c r="DV129" t="inlineStr">
        <is>
          <t>2500 mmbtu</t>
        </is>
      </c>
    </row>
    <row r="130">
      <c r="A130" t="inlineStr">
        <is>
          <t>NNG VENTURA BASIS - ICE FUTURES ENERGY DIV</t>
        </is>
      </c>
      <c r="B130" t="n">
        <v>230110</v>
      </c>
      <c r="C130" s="1" t="n">
        <v>44936</v>
      </c>
      <c r="D130" t="inlineStr">
        <is>
          <t>0233BB</t>
        </is>
      </c>
      <c r="E130" t="inlineStr">
        <is>
          <t>IFED</t>
        </is>
      </c>
      <c r="F130" t="inlineStr">
        <is>
          <t>01</t>
        </is>
      </c>
      <c r="G130" t="inlineStr">
        <is>
          <t xml:space="preserve">023 </t>
        </is>
      </c>
      <c r="H130" t="n">
        <v>125231</v>
      </c>
      <c r="I130" s="17" t="n">
        <v>0</v>
      </c>
      <c r="J130" s="17" t="n">
        <v>0</v>
      </c>
      <c r="K130" t="n">
        <v>0</v>
      </c>
      <c r="L130" t="n">
        <v>122287</v>
      </c>
      <c r="M130" t="n">
        <v>120267</v>
      </c>
      <c r="N130" t="n">
        <v>122287</v>
      </c>
      <c r="O130" t="n">
        <v>120267</v>
      </c>
      <c r="P130" t="n">
        <v>2944</v>
      </c>
      <c r="Q130" t="n">
        <v>4964</v>
      </c>
      <c r="R130" t="n">
        <v>125231</v>
      </c>
      <c r="S130" t="n">
        <v>0</v>
      </c>
      <c r="T130" t="n">
        <v>0</v>
      </c>
      <c r="U130" t="n">
        <v>0</v>
      </c>
      <c r="V130" t="n">
        <v>122287</v>
      </c>
      <c r="W130" t="n">
        <v>120267</v>
      </c>
      <c r="X130" t="n">
        <v>122287</v>
      </c>
      <c r="Y130" t="n">
        <v>120267</v>
      </c>
      <c r="Z130" t="n">
        <v>2944</v>
      </c>
      <c r="AA130" t="n">
        <v>4964</v>
      </c>
      <c r="AB130" t="n">
        <v>0</v>
      </c>
      <c r="AC130" t="n">
        <v>0</v>
      </c>
      <c r="AD130" t="n">
        <v>0</v>
      </c>
      <c r="AE130" t="n">
        <v>0</v>
      </c>
      <c r="AF130" t="n">
        <v>0</v>
      </c>
      <c r="AG130" t="n">
        <v>0</v>
      </c>
      <c r="AH130" t="n">
        <v>0</v>
      </c>
      <c r="AI130" t="n">
        <v>0</v>
      </c>
      <c r="AJ130" t="n">
        <v>0</v>
      </c>
      <c r="AK130" t="n">
        <v>0</v>
      </c>
      <c r="AL130" t="n">
        <v>-7642</v>
      </c>
      <c r="AM130" t="n">
        <v>0</v>
      </c>
      <c r="AN130" t="n">
        <v>0</v>
      </c>
      <c r="AO130" t="n">
        <v>0</v>
      </c>
      <c r="AP130" t="n">
        <v>-6889</v>
      </c>
      <c r="AQ130" t="n">
        <v>-7415</v>
      </c>
      <c r="AR130" t="n">
        <v>-6889</v>
      </c>
      <c r="AS130" t="n">
        <v>-7415</v>
      </c>
      <c r="AT130" t="n">
        <v>-753</v>
      </c>
      <c r="AU130" t="n">
        <v>-227</v>
      </c>
      <c r="AV130" t="n">
        <v>100</v>
      </c>
      <c r="AW130" t="n">
        <v>0</v>
      </c>
      <c r="AX130" t="n">
        <v>0</v>
      </c>
      <c r="AY130" t="n">
        <v>0</v>
      </c>
      <c r="AZ130" t="n">
        <v>97.59999999999999</v>
      </c>
      <c r="BA130" t="n">
        <v>96</v>
      </c>
      <c r="BB130" t="n">
        <v>97.59999999999999</v>
      </c>
      <c r="BC130" t="n">
        <v>96</v>
      </c>
      <c r="BD130" t="n">
        <v>2.4</v>
      </c>
      <c r="BE130" t="n">
        <v>4</v>
      </c>
      <c r="BF130" t="n">
        <v>100</v>
      </c>
      <c r="BG130" t="n">
        <v>0</v>
      </c>
      <c r="BH130" t="n">
        <v>0</v>
      </c>
      <c r="BI130" t="n">
        <v>0</v>
      </c>
      <c r="BJ130" t="n">
        <v>97.59999999999999</v>
      </c>
      <c r="BK130" t="n">
        <v>96</v>
      </c>
      <c r="BL130" t="n">
        <v>97.59999999999999</v>
      </c>
      <c r="BM130" t="n">
        <v>96</v>
      </c>
      <c r="BN130" t="n">
        <v>2.4</v>
      </c>
      <c r="BO130" t="n">
        <v>4</v>
      </c>
      <c r="BP130" t="n">
        <v>0</v>
      </c>
      <c r="BQ130" t="n">
        <v>0</v>
      </c>
      <c r="BR130" t="n">
        <v>0</v>
      </c>
      <c r="BS130" t="n">
        <v>0</v>
      </c>
      <c r="BT130" t="n">
        <v>0</v>
      </c>
      <c r="BU130" t="n">
        <v>0</v>
      </c>
      <c r="BV130" t="n">
        <v>0</v>
      </c>
      <c r="BW130" t="n">
        <v>0</v>
      </c>
      <c r="BX130" t="n">
        <v>0</v>
      </c>
      <c r="BY130" t="n">
        <v>0</v>
      </c>
      <c r="BZ130" t="n">
        <v>24</v>
      </c>
      <c r="CA130" t="n">
        <v>0</v>
      </c>
      <c r="CB130" t="n">
        <v>0</v>
      </c>
      <c r="CC130" t="n">
        <v>0</v>
      </c>
      <c r="CD130" t="n">
        <v>18</v>
      </c>
      <c r="CE130" t="n">
        <v>18</v>
      </c>
      <c r="CF130" t="n">
        <v>18</v>
      </c>
      <c r="CG130" t="n">
        <v>18</v>
      </c>
      <c r="CH130" t="n">
        <v>24</v>
      </c>
      <c r="CI130" t="n">
        <v>0</v>
      </c>
      <c r="CJ130" t="n">
        <v>0</v>
      </c>
      <c r="CK130" t="n">
        <v>0</v>
      </c>
      <c r="CL130" t="n">
        <v>18</v>
      </c>
      <c r="CM130" t="n">
        <v>18</v>
      </c>
      <c r="CN130" t="n">
        <v>18</v>
      </c>
      <c r="CO130" t="n">
        <v>18</v>
      </c>
      <c r="CP130" t="n">
        <v>0</v>
      </c>
      <c r="CQ130" t="n">
        <v>0</v>
      </c>
      <c r="CR130" t="n">
        <v>0</v>
      </c>
      <c r="CS130" t="n">
        <v>0</v>
      </c>
      <c r="CT130" t="n">
        <v>0</v>
      </c>
      <c r="CU130" t="n">
        <v>0</v>
      </c>
      <c r="CV130" t="n">
        <v>0</v>
      </c>
      <c r="CW130" t="n">
        <v>0</v>
      </c>
      <c r="CX130" t="n">
        <v>65.40000000000001</v>
      </c>
      <c r="CY130" t="n">
        <v>74.8</v>
      </c>
      <c r="CZ130" t="n">
        <v>85.7</v>
      </c>
      <c r="DA130" t="n">
        <v>89.09999999999999</v>
      </c>
      <c r="DB130" t="n">
        <v>61.3</v>
      </c>
      <c r="DC130" t="n">
        <v>74.8</v>
      </c>
      <c r="DD130" t="n">
        <v>79.2</v>
      </c>
      <c r="DE130" t="n">
        <v>86.3</v>
      </c>
      <c r="DF130" t="n">
        <v>65.40000000000001</v>
      </c>
      <c r="DG130" t="n">
        <v>74.8</v>
      </c>
      <c r="DH130" t="n">
        <v>85.7</v>
      </c>
      <c r="DI130" t="n">
        <v>89.09999999999999</v>
      </c>
      <c r="DJ130" t="n">
        <v>61.3</v>
      </c>
      <c r="DK130" t="n">
        <v>74.8</v>
      </c>
      <c r="DL130" t="n">
        <v>79.2</v>
      </c>
      <c r="DM130" t="n">
        <v>86.3</v>
      </c>
      <c r="DN130" t="n">
        <v>0</v>
      </c>
      <c r="DO130" t="n">
        <v>0</v>
      </c>
      <c r="DP130" t="n">
        <v>0</v>
      </c>
      <c r="DQ130" t="n">
        <v>0</v>
      </c>
      <c r="DR130" t="n">
        <v>0</v>
      </c>
      <c r="DS130" t="n">
        <v>0</v>
      </c>
      <c r="DT130" t="n">
        <v>0</v>
      </c>
      <c r="DU130" t="n">
        <v>0</v>
      </c>
      <c r="DV130" t="inlineStr">
        <is>
          <t>2500 mmbtu</t>
        </is>
      </c>
    </row>
    <row r="131">
      <c r="A131" t="inlineStr">
        <is>
          <t>NNG VENTURA BASIS - ICE FUTURES ENERGY DIV</t>
        </is>
      </c>
      <c r="B131" t="n">
        <v>230103</v>
      </c>
      <c r="C131" s="1" t="n">
        <v>44929</v>
      </c>
      <c r="D131" t="inlineStr">
        <is>
          <t>0233BB</t>
        </is>
      </c>
      <c r="E131" t="inlineStr">
        <is>
          <t>IFED</t>
        </is>
      </c>
      <c r="F131" t="inlineStr">
        <is>
          <t>01</t>
        </is>
      </c>
      <c r="G131" t="inlineStr">
        <is>
          <t xml:space="preserve">023 </t>
        </is>
      </c>
      <c r="H131" t="n">
        <v>132873</v>
      </c>
      <c r="I131" s="17" t="n">
        <v>0</v>
      </c>
      <c r="J131" s="17" t="n">
        <v>0</v>
      </c>
      <c r="K131" t="n">
        <v>0</v>
      </c>
      <c r="L131" t="n">
        <v>129176</v>
      </c>
      <c r="M131" t="n">
        <v>127682</v>
      </c>
      <c r="N131" t="n">
        <v>129176</v>
      </c>
      <c r="O131" t="n">
        <v>127682</v>
      </c>
      <c r="P131" t="n">
        <v>3697</v>
      </c>
      <c r="Q131" t="n">
        <v>5191</v>
      </c>
      <c r="R131" t="n">
        <v>132873</v>
      </c>
      <c r="S131" t="n">
        <v>0</v>
      </c>
      <c r="T131" t="n">
        <v>0</v>
      </c>
      <c r="U131" t="n">
        <v>0</v>
      </c>
      <c r="V131" t="n">
        <v>129176</v>
      </c>
      <c r="W131" t="n">
        <v>127682</v>
      </c>
      <c r="X131" t="n">
        <v>129176</v>
      </c>
      <c r="Y131" t="n">
        <v>127682</v>
      </c>
      <c r="Z131" t="n">
        <v>3697</v>
      </c>
      <c r="AA131" t="n">
        <v>5191</v>
      </c>
      <c r="AB131" t="n">
        <v>0</v>
      </c>
      <c r="AC131" t="n">
        <v>0</v>
      </c>
      <c r="AD131" t="n">
        <v>0</v>
      </c>
      <c r="AE131" t="n">
        <v>0</v>
      </c>
      <c r="AF131" t="n">
        <v>0</v>
      </c>
      <c r="AG131" t="n">
        <v>0</v>
      </c>
      <c r="AH131" t="n">
        <v>0</v>
      </c>
      <c r="AI131" t="n">
        <v>0</v>
      </c>
      <c r="AJ131" t="n">
        <v>0</v>
      </c>
      <c r="AK131" t="n">
        <v>0</v>
      </c>
      <c r="AL131" t="n">
        <v>61</v>
      </c>
      <c r="AM131" t="n">
        <v>0</v>
      </c>
      <c r="AN131" t="n">
        <v>0</v>
      </c>
      <c r="AO131" t="n">
        <v>0</v>
      </c>
      <c r="AP131" t="n">
        <v>394</v>
      </c>
      <c r="AQ131" t="n">
        <v>-56</v>
      </c>
      <c r="AR131" t="n">
        <v>394</v>
      </c>
      <c r="AS131" t="n">
        <v>-56</v>
      </c>
      <c r="AT131" t="n">
        <v>-333</v>
      </c>
      <c r="AU131" t="n">
        <v>117</v>
      </c>
      <c r="AV131" t="n">
        <v>100</v>
      </c>
      <c r="AW131" t="n">
        <v>0</v>
      </c>
      <c r="AX131" t="n">
        <v>0</v>
      </c>
      <c r="AY131" t="n">
        <v>0</v>
      </c>
      <c r="AZ131" t="n">
        <v>97.2</v>
      </c>
      <c r="BA131" t="n">
        <v>96.09999999999999</v>
      </c>
      <c r="BB131" t="n">
        <v>97.2</v>
      </c>
      <c r="BC131" t="n">
        <v>96.09999999999999</v>
      </c>
      <c r="BD131" t="n">
        <v>2.8</v>
      </c>
      <c r="BE131" t="n">
        <v>3.9</v>
      </c>
      <c r="BF131" t="n">
        <v>100</v>
      </c>
      <c r="BG131" t="n">
        <v>0</v>
      </c>
      <c r="BH131" t="n">
        <v>0</v>
      </c>
      <c r="BI131" t="n">
        <v>0</v>
      </c>
      <c r="BJ131" t="n">
        <v>97.2</v>
      </c>
      <c r="BK131" t="n">
        <v>96.09999999999999</v>
      </c>
      <c r="BL131" t="n">
        <v>97.2</v>
      </c>
      <c r="BM131" t="n">
        <v>96.09999999999999</v>
      </c>
      <c r="BN131" t="n">
        <v>2.8</v>
      </c>
      <c r="BO131" t="n">
        <v>3.9</v>
      </c>
      <c r="BP131" t="n">
        <v>0</v>
      </c>
      <c r="BQ131" t="n">
        <v>0</v>
      </c>
      <c r="BR131" t="n">
        <v>0</v>
      </c>
      <c r="BS131" t="n">
        <v>0</v>
      </c>
      <c r="BT131" t="n">
        <v>0</v>
      </c>
      <c r="BU131" t="n">
        <v>0</v>
      </c>
      <c r="BV131" t="n">
        <v>0</v>
      </c>
      <c r="BW131" t="n">
        <v>0</v>
      </c>
      <c r="BX131" t="n">
        <v>0</v>
      </c>
      <c r="BY131" t="n">
        <v>0</v>
      </c>
      <c r="BZ131" t="n">
        <v>25</v>
      </c>
      <c r="CA131" t="n">
        <v>0</v>
      </c>
      <c r="CB131" t="n">
        <v>0</v>
      </c>
      <c r="CC131" t="n">
        <v>0</v>
      </c>
      <c r="CD131" t="n">
        <v>20</v>
      </c>
      <c r="CE131" t="n">
        <v>18</v>
      </c>
      <c r="CF131" t="n">
        <v>20</v>
      </c>
      <c r="CG131" t="n">
        <v>18</v>
      </c>
      <c r="CH131" t="n">
        <v>25</v>
      </c>
      <c r="CI131" t="n">
        <v>0</v>
      </c>
      <c r="CJ131" t="n">
        <v>0</v>
      </c>
      <c r="CK131" t="n">
        <v>0</v>
      </c>
      <c r="CL131" t="n">
        <v>20</v>
      </c>
      <c r="CM131" t="n">
        <v>18</v>
      </c>
      <c r="CN131" t="n">
        <v>20</v>
      </c>
      <c r="CO131" t="n">
        <v>18</v>
      </c>
      <c r="CP131" t="n">
        <v>0</v>
      </c>
      <c r="CQ131" t="n">
        <v>0</v>
      </c>
      <c r="CR131" t="n">
        <v>0</v>
      </c>
      <c r="CS131" t="n">
        <v>0</v>
      </c>
      <c r="CT131" t="n">
        <v>0</v>
      </c>
      <c r="CU131" t="n">
        <v>0</v>
      </c>
      <c r="CV131" t="n">
        <v>0</v>
      </c>
      <c r="CW131" t="n">
        <v>0</v>
      </c>
      <c r="CX131" t="n">
        <v>64</v>
      </c>
      <c r="CY131" t="n">
        <v>74.59999999999999</v>
      </c>
      <c r="CZ131" t="n">
        <v>83.59999999999999</v>
      </c>
      <c r="DA131" t="n">
        <v>89.8</v>
      </c>
      <c r="DB131" t="n">
        <v>60.6</v>
      </c>
      <c r="DC131" t="n">
        <v>74.5</v>
      </c>
      <c r="DD131" t="n">
        <v>78.5</v>
      </c>
      <c r="DE131" t="n">
        <v>87.40000000000001</v>
      </c>
      <c r="DF131" t="n">
        <v>64</v>
      </c>
      <c r="DG131" t="n">
        <v>74.59999999999999</v>
      </c>
      <c r="DH131" t="n">
        <v>83.59999999999999</v>
      </c>
      <c r="DI131" t="n">
        <v>89.8</v>
      </c>
      <c r="DJ131" t="n">
        <v>60.6</v>
      </c>
      <c r="DK131" t="n">
        <v>74.5</v>
      </c>
      <c r="DL131" t="n">
        <v>78.5</v>
      </c>
      <c r="DM131" t="n">
        <v>87.40000000000001</v>
      </c>
      <c r="DN131" t="n">
        <v>0</v>
      </c>
      <c r="DO131" t="n">
        <v>0</v>
      </c>
      <c r="DP131" t="n">
        <v>0</v>
      </c>
      <c r="DQ131" t="n">
        <v>0</v>
      </c>
      <c r="DR131" t="n">
        <v>0</v>
      </c>
      <c r="DS131" t="n">
        <v>0</v>
      </c>
      <c r="DT131" t="n">
        <v>0</v>
      </c>
      <c r="DU131" t="n">
        <v>0</v>
      </c>
      <c r="DV131" t="inlineStr">
        <is>
          <t>2500 mmbtu</t>
        </is>
      </c>
    </row>
    <row r="132">
      <c r="A132" t="inlineStr">
        <is>
          <t>NWP SUMAS BASIS - ICE FUTURES ENERGY DIV</t>
        </is>
      </c>
      <c r="B132" t="n">
        <v>230103</v>
      </c>
      <c r="C132" s="1" t="n">
        <v>44929</v>
      </c>
      <c r="D132" t="inlineStr">
        <is>
          <t>0233BC</t>
        </is>
      </c>
      <c r="E132" t="inlineStr">
        <is>
          <t>IFED</t>
        </is>
      </c>
      <c r="F132" t="inlineStr">
        <is>
          <t>01</t>
        </is>
      </c>
      <c r="G132" t="inlineStr">
        <is>
          <t xml:space="preserve">023 </t>
        </is>
      </c>
      <c r="H132" t="n">
        <v>76593</v>
      </c>
      <c r="I132" s="17" t="n">
        <v>0</v>
      </c>
      <c r="J132" s="17" t="n">
        <v>492</v>
      </c>
      <c r="K132" t="n">
        <v>93</v>
      </c>
      <c r="L132" t="n">
        <v>68011</v>
      </c>
      <c r="M132" t="n">
        <v>67338</v>
      </c>
      <c r="N132" t="n">
        <v>68104</v>
      </c>
      <c r="O132" t="n">
        <v>67923</v>
      </c>
      <c r="P132" t="n">
        <v>8489</v>
      </c>
      <c r="Q132" t="n">
        <v>8670</v>
      </c>
      <c r="R132" t="n">
        <v>76593</v>
      </c>
      <c r="S132" t="n">
        <v>0</v>
      </c>
      <c r="T132" t="n">
        <v>492</v>
      </c>
      <c r="U132" t="n">
        <v>93</v>
      </c>
      <c r="V132" t="n">
        <v>68011</v>
      </c>
      <c r="W132" t="n">
        <v>67338</v>
      </c>
      <c r="X132" t="n">
        <v>68104</v>
      </c>
      <c r="Y132" t="n">
        <v>67923</v>
      </c>
      <c r="Z132" t="n">
        <v>8489</v>
      </c>
      <c r="AA132" t="n">
        <v>8670</v>
      </c>
      <c r="AB132" t="n">
        <v>0</v>
      </c>
      <c r="AC132" t="n">
        <v>0</v>
      </c>
      <c r="AD132" t="n">
        <v>0</v>
      </c>
      <c r="AE132" t="n">
        <v>0</v>
      </c>
      <c r="AF132" t="n">
        <v>0</v>
      </c>
      <c r="AG132" t="n">
        <v>0</v>
      </c>
      <c r="AH132" t="n">
        <v>0</v>
      </c>
      <c r="AI132" t="n">
        <v>0</v>
      </c>
      <c r="AJ132" t="n">
        <v>0</v>
      </c>
      <c r="AK132" t="n">
        <v>0</v>
      </c>
      <c r="AL132" t="n">
        <v>3420</v>
      </c>
      <c r="AM132" t="n">
        <v>0</v>
      </c>
      <c r="AN132" t="n">
        <v>31</v>
      </c>
      <c r="AO132" t="n">
        <v>-31</v>
      </c>
      <c r="AP132" t="n">
        <v>3668</v>
      </c>
      <c r="AQ132" t="n">
        <v>3725</v>
      </c>
      <c r="AR132" t="n">
        <v>3637</v>
      </c>
      <c r="AS132" t="n">
        <v>3725</v>
      </c>
      <c r="AT132" t="n">
        <v>-217</v>
      </c>
      <c r="AU132" t="n">
        <v>-305</v>
      </c>
      <c r="AV132" t="n">
        <v>100</v>
      </c>
      <c r="AW132" t="n">
        <v>0</v>
      </c>
      <c r="AX132" t="n">
        <v>0.6</v>
      </c>
      <c r="AY132" t="n">
        <v>0.1</v>
      </c>
      <c r="AZ132" t="n">
        <v>88.8</v>
      </c>
      <c r="BA132" t="n">
        <v>87.90000000000001</v>
      </c>
      <c r="BB132" t="n">
        <v>88.90000000000001</v>
      </c>
      <c r="BC132" t="n">
        <v>88.7</v>
      </c>
      <c r="BD132" t="n">
        <v>11.1</v>
      </c>
      <c r="BE132" t="n">
        <v>11.3</v>
      </c>
      <c r="BF132" t="n">
        <v>100</v>
      </c>
      <c r="BG132" t="n">
        <v>0</v>
      </c>
      <c r="BH132" t="n">
        <v>0.6</v>
      </c>
      <c r="BI132" t="n">
        <v>0.1</v>
      </c>
      <c r="BJ132" t="n">
        <v>88.8</v>
      </c>
      <c r="BK132" t="n">
        <v>87.90000000000001</v>
      </c>
      <c r="BL132" t="n">
        <v>88.90000000000001</v>
      </c>
      <c r="BM132" t="n">
        <v>88.7</v>
      </c>
      <c r="BN132" t="n">
        <v>11.1</v>
      </c>
      <c r="BO132" t="n">
        <v>11.3</v>
      </c>
      <c r="BP132" t="n">
        <v>0</v>
      </c>
      <c r="BQ132" t="n">
        <v>0</v>
      </c>
      <c r="BR132" t="n">
        <v>0</v>
      </c>
      <c r="BS132" t="n">
        <v>0</v>
      </c>
      <c r="BT132" t="n">
        <v>0</v>
      </c>
      <c r="BU132" t="n">
        <v>0</v>
      </c>
      <c r="BV132" t="n">
        <v>0</v>
      </c>
      <c r="BW132" t="n">
        <v>0</v>
      </c>
      <c r="BX132" t="n">
        <v>0</v>
      </c>
      <c r="BY132" t="n">
        <v>0</v>
      </c>
      <c r="BZ132" t="n">
        <v>20</v>
      </c>
      <c r="CA132" t="n">
        <v>0</v>
      </c>
      <c r="CB132" t="n">
        <v>1</v>
      </c>
      <c r="CC132" t="n">
        <v>1</v>
      </c>
      <c r="CD132" t="n">
        <v>16</v>
      </c>
      <c r="CE132" t="n">
        <v>11</v>
      </c>
      <c r="CF132" t="n">
        <v>17</v>
      </c>
      <c r="CG132" t="n">
        <v>12</v>
      </c>
      <c r="CH132" t="n">
        <v>20</v>
      </c>
      <c r="CI132" t="n">
        <v>0</v>
      </c>
      <c r="CJ132" t="n">
        <v>1</v>
      </c>
      <c r="CK132" t="n">
        <v>1</v>
      </c>
      <c r="CL132" t="n">
        <v>16</v>
      </c>
      <c r="CM132" t="n">
        <v>11</v>
      </c>
      <c r="CN132" t="n">
        <v>17</v>
      </c>
      <c r="CO132" t="n">
        <v>12</v>
      </c>
      <c r="CP132" t="n">
        <v>0</v>
      </c>
      <c r="CQ132" t="n">
        <v>0</v>
      </c>
      <c r="CR132" t="n">
        <v>0</v>
      </c>
      <c r="CS132" t="n">
        <v>0</v>
      </c>
      <c r="CT132" t="n">
        <v>0</v>
      </c>
      <c r="CU132" t="n">
        <v>0</v>
      </c>
      <c r="CV132" t="n">
        <v>0</v>
      </c>
      <c r="CW132" t="n">
        <v>0</v>
      </c>
      <c r="CX132" t="n">
        <v>44.7</v>
      </c>
      <c r="CY132" t="n">
        <v>71.09999999999999</v>
      </c>
      <c r="CZ132" t="n">
        <v>68.3</v>
      </c>
      <c r="DA132" t="n">
        <v>86.7</v>
      </c>
      <c r="DB132" t="n">
        <v>44</v>
      </c>
      <c r="DC132" t="n">
        <v>69.40000000000001</v>
      </c>
      <c r="DD132" t="n">
        <v>66</v>
      </c>
      <c r="DE132" t="n">
        <v>82</v>
      </c>
      <c r="DF132" t="n">
        <v>44.7</v>
      </c>
      <c r="DG132" t="n">
        <v>71.09999999999999</v>
      </c>
      <c r="DH132" t="n">
        <v>68.3</v>
      </c>
      <c r="DI132" t="n">
        <v>86.7</v>
      </c>
      <c r="DJ132" t="n">
        <v>44</v>
      </c>
      <c r="DK132" t="n">
        <v>69.40000000000001</v>
      </c>
      <c r="DL132" t="n">
        <v>66</v>
      </c>
      <c r="DM132" t="n">
        <v>82</v>
      </c>
      <c r="DN132" t="n">
        <v>0</v>
      </c>
      <c r="DO132" t="n">
        <v>0</v>
      </c>
      <c r="DP132" t="n">
        <v>0</v>
      </c>
      <c r="DQ132" t="n">
        <v>0</v>
      </c>
      <c r="DR132" t="n">
        <v>0</v>
      </c>
      <c r="DS132" t="n">
        <v>0</v>
      </c>
      <c r="DT132" t="n">
        <v>0</v>
      </c>
      <c r="DU132" t="n">
        <v>0</v>
      </c>
      <c r="DV132" t="inlineStr">
        <is>
          <t>2500 mmbtu</t>
        </is>
      </c>
    </row>
    <row r="133">
      <c r="A133" t="inlineStr">
        <is>
          <t>ONEOK GAS TRANSPORTATION BASIS - ICE FUTURES ENERGY DIV</t>
        </is>
      </c>
      <c r="B133" t="n">
        <v>230110</v>
      </c>
      <c r="C133" s="1" t="n">
        <v>44936</v>
      </c>
      <c r="D133" t="inlineStr">
        <is>
          <t>0233BF</t>
        </is>
      </c>
      <c r="E133" t="inlineStr">
        <is>
          <t>IFED</t>
        </is>
      </c>
      <c r="F133" t="inlineStr">
        <is>
          <t>01</t>
        </is>
      </c>
      <c r="G133" t="inlineStr">
        <is>
          <t xml:space="preserve">023 </t>
        </is>
      </c>
      <c r="H133" t="n">
        <v>39059</v>
      </c>
      <c r="I133" s="17" t="n">
        <v>0</v>
      </c>
      <c r="J133" s="17" t="n">
        <v>0</v>
      </c>
      <c r="K133" t="n">
        <v>0</v>
      </c>
      <c r="L133" t="n">
        <v>33832</v>
      </c>
      <c r="M133" t="n">
        <v>37638</v>
      </c>
      <c r="N133" t="n">
        <v>33832</v>
      </c>
      <c r="O133" t="n">
        <v>37638</v>
      </c>
      <c r="P133" t="n">
        <v>5227</v>
      </c>
      <c r="Q133" t="n">
        <v>1421</v>
      </c>
      <c r="R133" t="n">
        <v>39059</v>
      </c>
      <c r="S133" t="n">
        <v>0</v>
      </c>
      <c r="T133" t="n">
        <v>0</v>
      </c>
      <c r="U133" t="n">
        <v>0</v>
      </c>
      <c r="V133" t="n">
        <v>33832</v>
      </c>
      <c r="W133" t="n">
        <v>37638</v>
      </c>
      <c r="X133" t="n">
        <v>33832</v>
      </c>
      <c r="Y133" t="n">
        <v>37638</v>
      </c>
      <c r="Z133" t="n">
        <v>5227</v>
      </c>
      <c r="AA133" t="n">
        <v>1421</v>
      </c>
      <c r="AB133" t="n">
        <v>0</v>
      </c>
      <c r="AC133" t="n">
        <v>0</v>
      </c>
      <c r="AD133" t="n">
        <v>0</v>
      </c>
      <c r="AE133" t="n">
        <v>0</v>
      </c>
      <c r="AF133" t="n">
        <v>0</v>
      </c>
      <c r="AG133" t="n">
        <v>0</v>
      </c>
      <c r="AH133" t="n">
        <v>0</v>
      </c>
      <c r="AI133" t="n">
        <v>0</v>
      </c>
      <c r="AJ133" t="n">
        <v>0</v>
      </c>
      <c r="AK133" t="n">
        <v>0</v>
      </c>
      <c r="AL133" t="n">
        <v>-2774</v>
      </c>
      <c r="AM133" t="n">
        <v>0</v>
      </c>
      <c r="AN133" t="n">
        <v>0</v>
      </c>
      <c r="AO133" t="n">
        <v>0</v>
      </c>
      <c r="AP133" t="n">
        <v>-2160</v>
      </c>
      <c r="AQ133" t="n">
        <v>-3624</v>
      </c>
      <c r="AR133" t="n">
        <v>-2160</v>
      </c>
      <c r="AS133" t="n">
        <v>-3624</v>
      </c>
      <c r="AT133" t="n">
        <v>-614</v>
      </c>
      <c r="AU133" t="n">
        <v>850</v>
      </c>
      <c r="AV133" t="n">
        <v>100</v>
      </c>
      <c r="AW133" t="n">
        <v>0</v>
      </c>
      <c r="AX133" t="n">
        <v>0</v>
      </c>
      <c r="AY133" t="n">
        <v>0</v>
      </c>
      <c r="AZ133" t="n">
        <v>86.59999999999999</v>
      </c>
      <c r="BA133" t="n">
        <v>96.40000000000001</v>
      </c>
      <c r="BB133" t="n">
        <v>86.59999999999999</v>
      </c>
      <c r="BC133" t="n">
        <v>96.40000000000001</v>
      </c>
      <c r="BD133" t="n">
        <v>13.4</v>
      </c>
      <c r="BE133" t="n">
        <v>3.6</v>
      </c>
      <c r="BF133" t="n">
        <v>100</v>
      </c>
      <c r="BG133" t="n">
        <v>0</v>
      </c>
      <c r="BH133" t="n">
        <v>0</v>
      </c>
      <c r="BI133" t="n">
        <v>0</v>
      </c>
      <c r="BJ133" t="n">
        <v>86.59999999999999</v>
      </c>
      <c r="BK133" t="n">
        <v>96.40000000000001</v>
      </c>
      <c r="BL133" t="n">
        <v>86.59999999999999</v>
      </c>
      <c r="BM133" t="n">
        <v>96.40000000000001</v>
      </c>
      <c r="BN133" t="n">
        <v>13.4</v>
      </c>
      <c r="BO133" t="n">
        <v>3.6</v>
      </c>
      <c r="BP133" t="n">
        <v>0</v>
      </c>
      <c r="BQ133" t="n">
        <v>0</v>
      </c>
      <c r="BR133" t="n">
        <v>0</v>
      </c>
      <c r="BS133" t="n">
        <v>0</v>
      </c>
      <c r="BT133" t="n">
        <v>0</v>
      </c>
      <c r="BU133" t="n">
        <v>0</v>
      </c>
      <c r="BV133" t="n">
        <v>0</v>
      </c>
      <c r="BW133" t="n">
        <v>0</v>
      </c>
      <c r="BX133" t="n">
        <v>0</v>
      </c>
      <c r="BY133" t="n">
        <v>0</v>
      </c>
      <c r="BZ133" t="n">
        <v>20</v>
      </c>
      <c r="CA133" t="n">
        <v>0</v>
      </c>
      <c r="CB133" t="n">
        <v>0</v>
      </c>
      <c r="CC133" t="n">
        <v>0</v>
      </c>
      <c r="CD133" t="n">
        <v>13</v>
      </c>
      <c r="CE133" t="n">
        <v>14</v>
      </c>
      <c r="CF133" t="n">
        <v>13</v>
      </c>
      <c r="CG133" t="n">
        <v>14</v>
      </c>
      <c r="CH133" t="n">
        <v>20</v>
      </c>
      <c r="CI133" t="n">
        <v>0</v>
      </c>
      <c r="CJ133" t="n">
        <v>0</v>
      </c>
      <c r="CK133" t="n">
        <v>0</v>
      </c>
      <c r="CL133" t="n">
        <v>13</v>
      </c>
      <c r="CM133" t="n">
        <v>14</v>
      </c>
      <c r="CN133" t="n">
        <v>13</v>
      </c>
      <c r="CO133" t="n">
        <v>14</v>
      </c>
      <c r="CP133" t="n">
        <v>0</v>
      </c>
      <c r="CQ133" t="n">
        <v>0</v>
      </c>
      <c r="CR133" t="n">
        <v>0</v>
      </c>
      <c r="CS133" t="n">
        <v>0</v>
      </c>
      <c r="CT133" t="n">
        <v>0</v>
      </c>
      <c r="CU133" t="n">
        <v>0</v>
      </c>
      <c r="CV133" t="n">
        <v>0</v>
      </c>
      <c r="CW133" t="n">
        <v>0</v>
      </c>
      <c r="CX133" t="n">
        <v>58.2</v>
      </c>
      <c r="CY133" t="n">
        <v>47.4</v>
      </c>
      <c r="CZ133" t="n">
        <v>81.59999999999999</v>
      </c>
      <c r="DA133" t="n">
        <v>79.2</v>
      </c>
      <c r="DB133" t="n">
        <v>49.9</v>
      </c>
      <c r="DC133" t="n">
        <v>46.4</v>
      </c>
      <c r="DD133" t="n">
        <v>70.5</v>
      </c>
      <c r="DE133" t="n">
        <v>77.40000000000001</v>
      </c>
      <c r="DF133" t="n">
        <v>58.2</v>
      </c>
      <c r="DG133" t="n">
        <v>47.4</v>
      </c>
      <c r="DH133" t="n">
        <v>81.59999999999999</v>
      </c>
      <c r="DI133" t="n">
        <v>79.2</v>
      </c>
      <c r="DJ133" t="n">
        <v>49.9</v>
      </c>
      <c r="DK133" t="n">
        <v>46.4</v>
      </c>
      <c r="DL133" t="n">
        <v>70.5</v>
      </c>
      <c r="DM133" t="n">
        <v>77.40000000000001</v>
      </c>
      <c r="DN133" t="n">
        <v>0</v>
      </c>
      <c r="DO133" t="n">
        <v>0</v>
      </c>
      <c r="DP133" t="n">
        <v>0</v>
      </c>
      <c r="DQ133" t="n">
        <v>0</v>
      </c>
      <c r="DR133" t="n">
        <v>0</v>
      </c>
      <c r="DS133" t="n">
        <v>0</v>
      </c>
      <c r="DT133" t="n">
        <v>0</v>
      </c>
      <c r="DU133" t="n">
        <v>0</v>
      </c>
      <c r="DV133" t="inlineStr">
        <is>
          <t>2500 mmbtu</t>
        </is>
      </c>
    </row>
    <row r="134">
      <c r="A134" t="inlineStr">
        <is>
          <t>ONEOK GAS TRANSPORTATION BASIS - ICE FUTURES ENERGY DIV</t>
        </is>
      </c>
      <c r="B134" t="n">
        <v>230103</v>
      </c>
      <c r="C134" s="1" t="n">
        <v>44929</v>
      </c>
      <c r="D134" t="inlineStr">
        <is>
          <t>0233BF</t>
        </is>
      </c>
      <c r="E134" t="inlineStr">
        <is>
          <t>IFED</t>
        </is>
      </c>
      <c r="F134" t="inlineStr">
        <is>
          <t>01</t>
        </is>
      </c>
      <c r="G134" t="inlineStr">
        <is>
          <t xml:space="preserve">023 </t>
        </is>
      </c>
      <c r="H134" t="n">
        <v>41833</v>
      </c>
      <c r="I134" s="17" t="n">
        <v>0</v>
      </c>
      <c r="J134" s="17" t="n">
        <v>0</v>
      </c>
      <c r="K134" t="n">
        <v>0</v>
      </c>
      <c r="L134" t="n">
        <v>35992</v>
      </c>
      <c r="M134" t="n">
        <v>41262</v>
      </c>
      <c r="N134" t="n">
        <v>35992</v>
      </c>
      <c r="O134" t="n">
        <v>41262</v>
      </c>
      <c r="P134" t="n">
        <v>5841</v>
      </c>
      <c r="Q134" t="n">
        <v>571</v>
      </c>
      <c r="R134" t="n">
        <v>41833</v>
      </c>
      <c r="S134" t="n">
        <v>0</v>
      </c>
      <c r="T134" t="n">
        <v>0</v>
      </c>
      <c r="U134" t="n">
        <v>0</v>
      </c>
      <c r="V134" t="n">
        <v>35992</v>
      </c>
      <c r="W134" t="n">
        <v>41262</v>
      </c>
      <c r="X134" t="n">
        <v>35992</v>
      </c>
      <c r="Y134" t="n">
        <v>41262</v>
      </c>
      <c r="Z134" t="n">
        <v>5841</v>
      </c>
      <c r="AA134" t="n">
        <v>571</v>
      </c>
      <c r="AB134" t="n">
        <v>0</v>
      </c>
      <c r="AC134" t="n">
        <v>0</v>
      </c>
      <c r="AD134" t="n">
        <v>0</v>
      </c>
      <c r="AE134" t="n">
        <v>0</v>
      </c>
      <c r="AF134" t="n">
        <v>0</v>
      </c>
      <c r="AG134" t="n">
        <v>0</v>
      </c>
      <c r="AH134" t="n">
        <v>0</v>
      </c>
      <c r="AI134" t="n">
        <v>0</v>
      </c>
      <c r="AJ134" t="n">
        <v>0</v>
      </c>
      <c r="AK134" t="n">
        <v>0</v>
      </c>
      <c r="AL134" t="n">
        <v>0</v>
      </c>
      <c r="AM134" t="n">
        <v>0</v>
      </c>
      <c r="AN134" t="n">
        <v>0</v>
      </c>
      <c r="AO134" t="n">
        <v>0</v>
      </c>
      <c r="AP134" t="n">
        <v>0</v>
      </c>
      <c r="AQ134" t="n">
        <v>0</v>
      </c>
      <c r="AR134" t="n">
        <v>0</v>
      </c>
      <c r="AS134" t="n">
        <v>0</v>
      </c>
      <c r="AT134" t="n">
        <v>0</v>
      </c>
      <c r="AU134" t="n">
        <v>0</v>
      </c>
      <c r="AV134" t="n">
        <v>100</v>
      </c>
      <c r="AW134" t="n">
        <v>0</v>
      </c>
      <c r="AX134" t="n">
        <v>0</v>
      </c>
      <c r="AY134" t="n">
        <v>0</v>
      </c>
      <c r="AZ134" t="n">
        <v>86</v>
      </c>
      <c r="BA134" t="n">
        <v>98.59999999999999</v>
      </c>
      <c r="BB134" t="n">
        <v>86</v>
      </c>
      <c r="BC134" t="n">
        <v>98.59999999999999</v>
      </c>
      <c r="BD134" t="n">
        <v>14</v>
      </c>
      <c r="BE134" t="n">
        <v>1.4</v>
      </c>
      <c r="BF134" t="n">
        <v>100</v>
      </c>
      <c r="BG134" t="n">
        <v>0</v>
      </c>
      <c r="BH134" t="n">
        <v>0</v>
      </c>
      <c r="BI134" t="n">
        <v>0</v>
      </c>
      <c r="BJ134" t="n">
        <v>86</v>
      </c>
      <c r="BK134" t="n">
        <v>98.59999999999999</v>
      </c>
      <c r="BL134" t="n">
        <v>86</v>
      </c>
      <c r="BM134" t="n">
        <v>98.59999999999999</v>
      </c>
      <c r="BN134" t="n">
        <v>14</v>
      </c>
      <c r="BO134" t="n">
        <v>1.4</v>
      </c>
      <c r="BP134" t="n">
        <v>0</v>
      </c>
      <c r="BQ134" t="n">
        <v>0</v>
      </c>
      <c r="BR134" t="n">
        <v>0</v>
      </c>
      <c r="BS134" t="n">
        <v>0</v>
      </c>
      <c r="BT134" t="n">
        <v>0</v>
      </c>
      <c r="BU134" t="n">
        <v>0</v>
      </c>
      <c r="BV134" t="n">
        <v>0</v>
      </c>
      <c r="BW134" t="n">
        <v>0</v>
      </c>
      <c r="BX134" t="n">
        <v>0</v>
      </c>
      <c r="BY134" t="n">
        <v>0</v>
      </c>
      <c r="BZ134" t="n">
        <v>22</v>
      </c>
      <c r="CA134" t="n">
        <v>0</v>
      </c>
      <c r="CB134" t="n">
        <v>0</v>
      </c>
      <c r="CC134" t="n">
        <v>0</v>
      </c>
      <c r="CD134" t="n">
        <v>15</v>
      </c>
      <c r="CE134" t="n">
        <v>15</v>
      </c>
      <c r="CF134" t="n">
        <v>15</v>
      </c>
      <c r="CG134" t="n">
        <v>15</v>
      </c>
      <c r="CH134" t="n">
        <v>22</v>
      </c>
      <c r="CI134" t="n">
        <v>0</v>
      </c>
      <c r="CJ134" t="n">
        <v>0</v>
      </c>
      <c r="CK134" t="n">
        <v>0</v>
      </c>
      <c r="CL134" t="n">
        <v>15</v>
      </c>
      <c r="CM134" t="n">
        <v>15</v>
      </c>
      <c r="CN134" t="n">
        <v>15</v>
      </c>
      <c r="CO134" t="n">
        <v>15</v>
      </c>
      <c r="CP134" t="n">
        <v>0</v>
      </c>
      <c r="CQ134" t="n">
        <v>0</v>
      </c>
      <c r="CR134" t="n">
        <v>0</v>
      </c>
      <c r="CS134" t="n">
        <v>0</v>
      </c>
      <c r="CT134" t="n">
        <v>0</v>
      </c>
      <c r="CU134" t="n">
        <v>0</v>
      </c>
      <c r="CV134" t="n">
        <v>0</v>
      </c>
      <c r="CW134" t="n">
        <v>0</v>
      </c>
      <c r="CX134" t="n">
        <v>52.3</v>
      </c>
      <c r="CY134" t="n">
        <v>43.2</v>
      </c>
      <c r="CZ134" t="n">
        <v>78.5</v>
      </c>
      <c r="DA134" t="n">
        <v>74.2</v>
      </c>
      <c r="DB134" t="n">
        <v>44.1</v>
      </c>
      <c r="DC134" t="n">
        <v>41.8</v>
      </c>
      <c r="DD134" t="n">
        <v>64.5</v>
      </c>
      <c r="DE134" t="n">
        <v>70.90000000000001</v>
      </c>
      <c r="DF134" t="n">
        <v>52.3</v>
      </c>
      <c r="DG134" t="n">
        <v>43.2</v>
      </c>
      <c r="DH134" t="n">
        <v>78.5</v>
      </c>
      <c r="DI134" t="n">
        <v>74.2</v>
      </c>
      <c r="DJ134" t="n">
        <v>44.1</v>
      </c>
      <c r="DK134" t="n">
        <v>41.8</v>
      </c>
      <c r="DL134" t="n">
        <v>64.5</v>
      </c>
      <c r="DM134" t="n">
        <v>70.90000000000001</v>
      </c>
      <c r="DN134" t="n">
        <v>0</v>
      </c>
      <c r="DO134" t="n">
        <v>0</v>
      </c>
      <c r="DP134" t="n">
        <v>0</v>
      </c>
      <c r="DQ134" t="n">
        <v>0</v>
      </c>
      <c r="DR134" t="n">
        <v>0</v>
      </c>
      <c r="DS134" t="n">
        <v>0</v>
      </c>
      <c r="DT134" t="n">
        <v>0</v>
      </c>
      <c r="DU134" t="n">
        <v>0</v>
      </c>
      <c r="DV134" t="inlineStr">
        <is>
          <t>2500 mmbtu</t>
        </is>
      </c>
    </row>
    <row r="135">
      <c r="A135" t="inlineStr">
        <is>
          <t>MALIN (BASIS) - ICE FUTURES ENERGY DIV</t>
        </is>
      </c>
      <c r="B135" t="n">
        <v>230110</v>
      </c>
      <c r="C135" s="1" t="n">
        <v>44936</v>
      </c>
      <c r="D135" t="inlineStr">
        <is>
          <t>0233BH</t>
        </is>
      </c>
      <c r="E135" t="inlineStr">
        <is>
          <t>IFED</t>
        </is>
      </c>
      <c r="F135" t="inlineStr">
        <is>
          <t>01</t>
        </is>
      </c>
      <c r="G135" t="inlineStr">
        <is>
          <t xml:space="preserve">023 </t>
        </is>
      </c>
      <c r="H135" t="n">
        <v>144881</v>
      </c>
      <c r="I135" s="17" t="n">
        <v>2758</v>
      </c>
      <c r="J135" s="17" t="n">
        <v>0</v>
      </c>
      <c r="K135" t="n">
        <v>0</v>
      </c>
      <c r="L135" t="n">
        <v>136872</v>
      </c>
      <c r="M135" t="n">
        <v>136321</v>
      </c>
      <c r="N135" t="n">
        <v>139630</v>
      </c>
      <c r="O135" t="n">
        <v>136321</v>
      </c>
      <c r="P135" t="n">
        <v>5251</v>
      </c>
      <c r="Q135" t="n">
        <v>8560</v>
      </c>
      <c r="R135" t="n">
        <v>144881</v>
      </c>
      <c r="S135" t="n">
        <v>2758</v>
      </c>
      <c r="T135" t="n">
        <v>0</v>
      </c>
      <c r="U135" t="n">
        <v>0</v>
      </c>
      <c r="V135" t="n">
        <v>136872</v>
      </c>
      <c r="W135" t="n">
        <v>136321</v>
      </c>
      <c r="X135" t="n">
        <v>139630</v>
      </c>
      <c r="Y135" t="n">
        <v>136321</v>
      </c>
      <c r="Z135" t="n">
        <v>5251</v>
      </c>
      <c r="AA135" t="n">
        <v>8560</v>
      </c>
      <c r="AB135" t="n">
        <v>0</v>
      </c>
      <c r="AC135" t="n">
        <v>0</v>
      </c>
      <c r="AD135" t="n">
        <v>0</v>
      </c>
      <c r="AE135" t="n">
        <v>0</v>
      </c>
      <c r="AF135" t="n">
        <v>0</v>
      </c>
      <c r="AG135" t="n">
        <v>0</v>
      </c>
      <c r="AH135" t="n">
        <v>0</v>
      </c>
      <c r="AI135" t="n">
        <v>0</v>
      </c>
      <c r="AJ135" t="n">
        <v>0</v>
      </c>
      <c r="AK135" t="n">
        <v>0</v>
      </c>
      <c r="AL135" t="n">
        <v>-4749</v>
      </c>
      <c r="AM135" t="n">
        <v>-688</v>
      </c>
      <c r="AN135" t="n">
        <v>0</v>
      </c>
      <c r="AO135" t="n">
        <v>-146</v>
      </c>
      <c r="AP135" t="n">
        <v>-7090</v>
      </c>
      <c r="AQ135" t="n">
        <v>-4610</v>
      </c>
      <c r="AR135" t="n">
        <v>-7924</v>
      </c>
      <c r="AS135" t="n">
        <v>-4756</v>
      </c>
      <c r="AT135" t="n">
        <v>3175</v>
      </c>
      <c r="AU135" t="n">
        <v>7</v>
      </c>
      <c r="AV135" t="n">
        <v>100</v>
      </c>
      <c r="AW135" t="n">
        <v>1.9</v>
      </c>
      <c r="AX135" t="n">
        <v>0</v>
      </c>
      <c r="AY135" t="n">
        <v>0</v>
      </c>
      <c r="AZ135" t="n">
        <v>94.5</v>
      </c>
      <c r="BA135" t="n">
        <v>94.09999999999999</v>
      </c>
      <c r="BB135" t="n">
        <v>96.40000000000001</v>
      </c>
      <c r="BC135" t="n">
        <v>94.09999999999999</v>
      </c>
      <c r="BD135" t="n">
        <v>3.6</v>
      </c>
      <c r="BE135" t="n">
        <v>5.9</v>
      </c>
      <c r="BF135" t="n">
        <v>100</v>
      </c>
      <c r="BG135" t="n">
        <v>1.9</v>
      </c>
      <c r="BH135" t="n">
        <v>0</v>
      </c>
      <c r="BI135" t="n">
        <v>0</v>
      </c>
      <c r="BJ135" t="n">
        <v>94.5</v>
      </c>
      <c r="BK135" t="n">
        <v>94.09999999999999</v>
      </c>
      <c r="BL135" t="n">
        <v>96.40000000000001</v>
      </c>
      <c r="BM135" t="n">
        <v>94.09999999999999</v>
      </c>
      <c r="BN135" t="n">
        <v>3.6</v>
      </c>
      <c r="BO135" t="n">
        <v>5.9</v>
      </c>
      <c r="BP135" t="n">
        <v>0</v>
      </c>
      <c r="BQ135" t="n">
        <v>0</v>
      </c>
      <c r="BR135" t="n">
        <v>0</v>
      </c>
      <c r="BS135" t="n">
        <v>0</v>
      </c>
      <c r="BT135" t="n">
        <v>0</v>
      </c>
      <c r="BU135" t="n">
        <v>0</v>
      </c>
      <c r="BV135" t="n">
        <v>0</v>
      </c>
      <c r="BW135" t="n">
        <v>0</v>
      </c>
      <c r="BX135" t="n">
        <v>0</v>
      </c>
      <c r="BY135" t="n">
        <v>0</v>
      </c>
      <c r="BZ135" t="n">
        <v>20</v>
      </c>
      <c r="CA135" t="n">
        <v>1</v>
      </c>
      <c r="CB135" t="n">
        <v>0</v>
      </c>
      <c r="CC135" t="n">
        <v>0</v>
      </c>
      <c r="CD135" t="n">
        <v>13</v>
      </c>
      <c r="CE135" t="n">
        <v>15</v>
      </c>
      <c r="CF135" t="n">
        <v>14</v>
      </c>
      <c r="CG135" t="n">
        <v>15</v>
      </c>
      <c r="CH135" t="n">
        <v>20</v>
      </c>
      <c r="CI135" t="n">
        <v>1</v>
      </c>
      <c r="CJ135" t="n">
        <v>0</v>
      </c>
      <c r="CK135" t="n">
        <v>0</v>
      </c>
      <c r="CL135" t="n">
        <v>13</v>
      </c>
      <c r="CM135" t="n">
        <v>15</v>
      </c>
      <c r="CN135" t="n">
        <v>14</v>
      </c>
      <c r="CO135" t="n">
        <v>15</v>
      </c>
      <c r="CP135" t="n">
        <v>0</v>
      </c>
      <c r="CQ135" t="n">
        <v>0</v>
      </c>
      <c r="CR135" t="n">
        <v>0</v>
      </c>
      <c r="CS135" t="n">
        <v>0</v>
      </c>
      <c r="CT135" t="n">
        <v>0</v>
      </c>
      <c r="CU135" t="n">
        <v>0</v>
      </c>
      <c r="CV135" t="n">
        <v>0</v>
      </c>
      <c r="CW135" t="n">
        <v>0</v>
      </c>
      <c r="CX135" t="n">
        <v>73.90000000000001</v>
      </c>
      <c r="CY135" t="n">
        <v>68.5</v>
      </c>
      <c r="CZ135" t="n">
        <v>89.59999999999999</v>
      </c>
      <c r="DA135" t="n">
        <v>88.09999999999999</v>
      </c>
      <c r="DB135" t="n">
        <v>66.3</v>
      </c>
      <c r="DC135" t="n">
        <v>55.9</v>
      </c>
      <c r="DD135" t="n">
        <v>75.2</v>
      </c>
      <c r="DE135" t="n">
        <v>71.3</v>
      </c>
      <c r="DF135" t="n">
        <v>73.90000000000001</v>
      </c>
      <c r="DG135" t="n">
        <v>68.5</v>
      </c>
      <c r="DH135" t="n">
        <v>89.59999999999999</v>
      </c>
      <c r="DI135" t="n">
        <v>88.09999999999999</v>
      </c>
      <c r="DJ135" t="n">
        <v>66.3</v>
      </c>
      <c r="DK135" t="n">
        <v>55.9</v>
      </c>
      <c r="DL135" t="n">
        <v>75.2</v>
      </c>
      <c r="DM135" t="n">
        <v>71.3</v>
      </c>
      <c r="DN135" t="n">
        <v>0</v>
      </c>
      <c r="DO135" t="n">
        <v>0</v>
      </c>
      <c r="DP135" t="n">
        <v>0</v>
      </c>
      <c r="DQ135" t="n">
        <v>0</v>
      </c>
      <c r="DR135" t="n">
        <v>0</v>
      </c>
      <c r="DS135" t="n">
        <v>0</v>
      </c>
      <c r="DT135" t="n">
        <v>0</v>
      </c>
      <c r="DU135" t="n">
        <v>0</v>
      </c>
      <c r="DV135" t="inlineStr">
        <is>
          <t>2500 mmbtu</t>
        </is>
      </c>
    </row>
    <row r="136">
      <c r="A136" t="inlineStr">
        <is>
          <t>MALIN (BASIS) - ICE FUTURES ENERGY DIV</t>
        </is>
      </c>
      <c r="B136" t="n">
        <v>230103</v>
      </c>
      <c r="C136" s="1" t="n">
        <v>44929</v>
      </c>
      <c r="D136" t="inlineStr">
        <is>
          <t>0233BH</t>
        </is>
      </c>
      <c r="E136" t="inlineStr">
        <is>
          <t>IFED</t>
        </is>
      </c>
      <c r="F136" t="inlineStr">
        <is>
          <t>01</t>
        </is>
      </c>
      <c r="G136" t="inlineStr">
        <is>
          <t xml:space="preserve">023 </t>
        </is>
      </c>
      <c r="H136" t="n">
        <v>149630</v>
      </c>
      <c r="I136" s="17" t="n">
        <v>3446</v>
      </c>
      <c r="J136" s="17" t="n">
        <v>0</v>
      </c>
      <c r="K136" t="n">
        <v>146</v>
      </c>
      <c r="L136" t="n">
        <v>143962</v>
      </c>
      <c r="M136" t="n">
        <v>140931</v>
      </c>
      <c r="N136" t="n">
        <v>147554</v>
      </c>
      <c r="O136" t="n">
        <v>141077</v>
      </c>
      <c r="P136" t="n">
        <v>2076</v>
      </c>
      <c r="Q136" t="n">
        <v>8553</v>
      </c>
      <c r="R136" t="n">
        <v>149630</v>
      </c>
      <c r="S136" t="n">
        <v>3446</v>
      </c>
      <c r="T136" t="n">
        <v>0</v>
      </c>
      <c r="U136" t="n">
        <v>146</v>
      </c>
      <c r="V136" t="n">
        <v>143962</v>
      </c>
      <c r="W136" t="n">
        <v>140931</v>
      </c>
      <c r="X136" t="n">
        <v>147554</v>
      </c>
      <c r="Y136" t="n">
        <v>141077</v>
      </c>
      <c r="Z136" t="n">
        <v>2076</v>
      </c>
      <c r="AA136" t="n">
        <v>8553</v>
      </c>
      <c r="AB136" t="n">
        <v>0</v>
      </c>
      <c r="AC136" t="n">
        <v>0</v>
      </c>
      <c r="AD136" t="n">
        <v>0</v>
      </c>
      <c r="AE136" t="n">
        <v>0</v>
      </c>
      <c r="AF136" t="n">
        <v>0</v>
      </c>
      <c r="AG136" t="n">
        <v>0</v>
      </c>
      <c r="AH136" t="n">
        <v>0</v>
      </c>
      <c r="AI136" t="n">
        <v>0</v>
      </c>
      <c r="AJ136" t="n">
        <v>0</v>
      </c>
      <c r="AK136" t="n">
        <v>0</v>
      </c>
      <c r="AL136" t="n">
        <v>179</v>
      </c>
      <c r="AM136" t="n">
        <v>0</v>
      </c>
      <c r="AN136" t="n">
        <v>0</v>
      </c>
      <c r="AO136" t="n">
        <v>0</v>
      </c>
      <c r="AP136" t="n">
        <v>344</v>
      </c>
      <c r="AQ136" t="n">
        <v>155</v>
      </c>
      <c r="AR136" t="n">
        <v>344</v>
      </c>
      <c r="AS136" t="n">
        <v>155</v>
      </c>
      <c r="AT136" t="n">
        <v>-165</v>
      </c>
      <c r="AU136" t="n">
        <v>24</v>
      </c>
      <c r="AV136" t="n">
        <v>100</v>
      </c>
      <c r="AW136" t="n">
        <v>2.3</v>
      </c>
      <c r="AX136" t="n">
        <v>0</v>
      </c>
      <c r="AY136" t="n">
        <v>0.1</v>
      </c>
      <c r="AZ136" t="n">
        <v>96.2</v>
      </c>
      <c r="BA136" t="n">
        <v>94.2</v>
      </c>
      <c r="BB136" t="n">
        <v>98.59999999999999</v>
      </c>
      <c r="BC136" t="n">
        <v>94.3</v>
      </c>
      <c r="BD136" t="n">
        <v>1.4</v>
      </c>
      <c r="BE136" t="n">
        <v>5.7</v>
      </c>
      <c r="BF136" t="n">
        <v>100</v>
      </c>
      <c r="BG136" t="n">
        <v>2.3</v>
      </c>
      <c r="BH136" t="n">
        <v>0</v>
      </c>
      <c r="BI136" t="n">
        <v>0.1</v>
      </c>
      <c r="BJ136" t="n">
        <v>96.2</v>
      </c>
      <c r="BK136" t="n">
        <v>94.2</v>
      </c>
      <c r="BL136" t="n">
        <v>98.59999999999999</v>
      </c>
      <c r="BM136" t="n">
        <v>94.3</v>
      </c>
      <c r="BN136" t="n">
        <v>1.4</v>
      </c>
      <c r="BO136" t="n">
        <v>5.7</v>
      </c>
      <c r="BP136" t="n">
        <v>0</v>
      </c>
      <c r="BQ136" t="n">
        <v>0</v>
      </c>
      <c r="BR136" t="n">
        <v>0</v>
      </c>
      <c r="BS136" t="n">
        <v>0</v>
      </c>
      <c r="BT136" t="n">
        <v>0</v>
      </c>
      <c r="BU136" t="n">
        <v>0</v>
      </c>
      <c r="BV136" t="n">
        <v>0</v>
      </c>
      <c r="BW136" t="n">
        <v>0</v>
      </c>
      <c r="BX136" t="n">
        <v>0</v>
      </c>
      <c r="BY136" t="n">
        <v>0</v>
      </c>
      <c r="BZ136" t="n">
        <v>24</v>
      </c>
      <c r="CA136" t="n">
        <v>2</v>
      </c>
      <c r="CB136" t="n">
        <v>0</v>
      </c>
      <c r="CC136" t="n">
        <v>1</v>
      </c>
      <c r="CD136" t="n">
        <v>15</v>
      </c>
      <c r="CE136" t="n">
        <v>17</v>
      </c>
      <c r="CF136" t="n">
        <v>17</v>
      </c>
      <c r="CG136" t="n">
        <v>18</v>
      </c>
      <c r="CH136" t="n">
        <v>24</v>
      </c>
      <c r="CI136" t="n">
        <v>2</v>
      </c>
      <c r="CJ136" t="n">
        <v>0</v>
      </c>
      <c r="CK136" t="n">
        <v>1</v>
      </c>
      <c r="CL136" t="n">
        <v>15</v>
      </c>
      <c r="CM136" t="n">
        <v>17</v>
      </c>
      <c r="CN136" t="n">
        <v>17</v>
      </c>
      <c r="CO136" t="n">
        <v>18</v>
      </c>
      <c r="CP136" t="n">
        <v>0</v>
      </c>
      <c r="CQ136" t="n">
        <v>0</v>
      </c>
      <c r="CR136" t="n">
        <v>0</v>
      </c>
      <c r="CS136" t="n">
        <v>0</v>
      </c>
      <c r="CT136" t="n">
        <v>0</v>
      </c>
      <c r="CU136" t="n">
        <v>0</v>
      </c>
      <c r="CV136" t="n">
        <v>0</v>
      </c>
      <c r="CW136" t="n">
        <v>0</v>
      </c>
      <c r="CX136" t="n">
        <v>72.09999999999999</v>
      </c>
      <c r="CY136" t="n">
        <v>66.90000000000001</v>
      </c>
      <c r="CZ136" t="n">
        <v>88.3</v>
      </c>
      <c r="DA136" t="n">
        <v>87</v>
      </c>
      <c r="DB136" t="n">
        <v>64.90000000000001</v>
      </c>
      <c r="DC136" t="n">
        <v>53.9</v>
      </c>
      <c r="DD136" t="n">
        <v>74.8</v>
      </c>
      <c r="DE136" t="n">
        <v>69.90000000000001</v>
      </c>
      <c r="DF136" t="n">
        <v>72.09999999999999</v>
      </c>
      <c r="DG136" t="n">
        <v>66.90000000000001</v>
      </c>
      <c r="DH136" t="n">
        <v>88.3</v>
      </c>
      <c r="DI136" t="n">
        <v>87</v>
      </c>
      <c r="DJ136" t="n">
        <v>64.90000000000001</v>
      </c>
      <c r="DK136" t="n">
        <v>53.9</v>
      </c>
      <c r="DL136" t="n">
        <v>74.8</v>
      </c>
      <c r="DM136" t="n">
        <v>69.90000000000001</v>
      </c>
      <c r="DN136" t="n">
        <v>0</v>
      </c>
      <c r="DO136" t="n">
        <v>0</v>
      </c>
      <c r="DP136" t="n">
        <v>0</v>
      </c>
      <c r="DQ136" t="n">
        <v>0</v>
      </c>
      <c r="DR136" t="n">
        <v>0</v>
      </c>
      <c r="DS136" t="n">
        <v>0</v>
      </c>
      <c r="DT136" t="n">
        <v>0</v>
      </c>
      <c r="DU136" t="n">
        <v>0</v>
      </c>
      <c r="DV136" t="inlineStr">
        <is>
          <t>2500 mmbtu</t>
        </is>
      </c>
    </row>
    <row r="137">
      <c r="A137" t="inlineStr">
        <is>
          <t>PANHANDLE BASIS - ICE FUTURES ENERGY DIV</t>
        </is>
      </c>
      <c r="B137" t="n">
        <v>230110</v>
      </c>
      <c r="C137" s="1" t="n">
        <v>44936</v>
      </c>
      <c r="D137" t="inlineStr">
        <is>
          <t>0233BL</t>
        </is>
      </c>
      <c r="E137" t="inlineStr">
        <is>
          <t>IFED</t>
        </is>
      </c>
      <c r="F137" t="inlineStr">
        <is>
          <t>01</t>
        </is>
      </c>
      <c r="G137" t="inlineStr">
        <is>
          <t xml:space="preserve">023 </t>
        </is>
      </c>
      <c r="H137" t="n">
        <v>112967</v>
      </c>
      <c r="I137" s="17" t="n">
        <v>4441</v>
      </c>
      <c r="J137" s="17" t="n">
        <v>4804</v>
      </c>
      <c r="K137" t="n">
        <v>1824</v>
      </c>
      <c r="L137" t="n">
        <v>91418</v>
      </c>
      <c r="M137" t="n">
        <v>92149</v>
      </c>
      <c r="N137" t="n">
        <v>97683</v>
      </c>
      <c r="O137" t="n">
        <v>98777</v>
      </c>
      <c r="P137" t="n">
        <v>15284</v>
      </c>
      <c r="Q137" t="n">
        <v>14190</v>
      </c>
      <c r="R137" t="n">
        <v>112967</v>
      </c>
      <c r="S137" t="n">
        <v>4441</v>
      </c>
      <c r="T137" t="n">
        <v>4804</v>
      </c>
      <c r="U137" t="n">
        <v>1824</v>
      </c>
      <c r="V137" t="n">
        <v>91418</v>
      </c>
      <c r="W137" t="n">
        <v>92149</v>
      </c>
      <c r="X137" t="n">
        <v>97683</v>
      </c>
      <c r="Y137" t="n">
        <v>98777</v>
      </c>
      <c r="Z137" t="n">
        <v>15284</v>
      </c>
      <c r="AA137" t="n">
        <v>14190</v>
      </c>
      <c r="AB137" t="n">
        <v>0</v>
      </c>
      <c r="AC137" t="n">
        <v>0</v>
      </c>
      <c r="AD137" t="n">
        <v>0</v>
      </c>
      <c r="AE137" t="n">
        <v>0</v>
      </c>
      <c r="AF137" t="n">
        <v>0</v>
      </c>
      <c r="AG137" t="n">
        <v>0</v>
      </c>
      <c r="AH137" t="n">
        <v>0</v>
      </c>
      <c r="AI137" t="n">
        <v>0</v>
      </c>
      <c r="AJ137" t="n">
        <v>0</v>
      </c>
      <c r="AK137" t="n">
        <v>0</v>
      </c>
      <c r="AL137" t="n">
        <v>-408</v>
      </c>
      <c r="AM137" t="n">
        <v>687</v>
      </c>
      <c r="AN137" t="n">
        <v>-2009</v>
      </c>
      <c r="AO137" t="n">
        <v>260</v>
      </c>
      <c r="AP137" t="n">
        <v>96</v>
      </c>
      <c r="AQ137" t="n">
        <v>7340</v>
      </c>
      <c r="AR137" t="n">
        <v>1043</v>
      </c>
      <c r="AS137" t="n">
        <v>5591</v>
      </c>
      <c r="AT137" t="n">
        <v>-1451</v>
      </c>
      <c r="AU137" t="n">
        <v>-5999</v>
      </c>
      <c r="AV137" t="n">
        <v>100</v>
      </c>
      <c r="AW137" t="n">
        <v>3.9</v>
      </c>
      <c r="AX137" t="n">
        <v>4.3</v>
      </c>
      <c r="AY137" t="n">
        <v>1.6</v>
      </c>
      <c r="AZ137" t="n">
        <v>80.90000000000001</v>
      </c>
      <c r="BA137" t="n">
        <v>81.59999999999999</v>
      </c>
      <c r="BB137" t="n">
        <v>86.5</v>
      </c>
      <c r="BC137" t="n">
        <v>87.40000000000001</v>
      </c>
      <c r="BD137" t="n">
        <v>13.5</v>
      </c>
      <c r="BE137" t="n">
        <v>12.6</v>
      </c>
      <c r="BF137" t="n">
        <v>100</v>
      </c>
      <c r="BG137" t="n">
        <v>3.9</v>
      </c>
      <c r="BH137" t="n">
        <v>4.3</v>
      </c>
      <c r="BI137" t="n">
        <v>1.6</v>
      </c>
      <c r="BJ137" t="n">
        <v>80.90000000000001</v>
      </c>
      <c r="BK137" t="n">
        <v>81.59999999999999</v>
      </c>
      <c r="BL137" t="n">
        <v>86.5</v>
      </c>
      <c r="BM137" t="n">
        <v>87.40000000000001</v>
      </c>
      <c r="BN137" t="n">
        <v>13.5</v>
      </c>
      <c r="BO137" t="n">
        <v>12.6</v>
      </c>
      <c r="BP137" t="n">
        <v>0</v>
      </c>
      <c r="BQ137" t="n">
        <v>0</v>
      </c>
      <c r="BR137" t="n">
        <v>0</v>
      </c>
      <c r="BS137" t="n">
        <v>0</v>
      </c>
      <c r="BT137" t="n">
        <v>0</v>
      </c>
      <c r="BU137" t="n">
        <v>0</v>
      </c>
      <c r="BV137" t="n">
        <v>0</v>
      </c>
      <c r="BW137" t="n">
        <v>0</v>
      </c>
      <c r="BX137" t="n">
        <v>0</v>
      </c>
      <c r="BY137" t="n">
        <v>0</v>
      </c>
      <c r="BZ137" t="n">
        <v>33</v>
      </c>
      <c r="CA137" t="n">
        <v>2</v>
      </c>
      <c r="CB137" t="n">
        <v>1</v>
      </c>
      <c r="CC137" t="n">
        <v>2</v>
      </c>
      <c r="CD137" t="n">
        <v>24</v>
      </c>
      <c r="CE137" t="n">
        <v>27</v>
      </c>
      <c r="CF137" t="n">
        <v>27</v>
      </c>
      <c r="CG137" t="n">
        <v>29</v>
      </c>
      <c r="CH137" t="n">
        <v>33</v>
      </c>
      <c r="CI137" t="n">
        <v>2</v>
      </c>
      <c r="CJ137" t="n">
        <v>1</v>
      </c>
      <c r="CK137" t="n">
        <v>2</v>
      </c>
      <c r="CL137" t="n">
        <v>24</v>
      </c>
      <c r="CM137" t="n">
        <v>27</v>
      </c>
      <c r="CN137" t="n">
        <v>27</v>
      </c>
      <c r="CO137" t="n">
        <v>29</v>
      </c>
      <c r="CP137" t="n">
        <v>0</v>
      </c>
      <c r="CQ137" t="n">
        <v>0</v>
      </c>
      <c r="CR137" t="n">
        <v>0</v>
      </c>
      <c r="CS137" t="n">
        <v>0</v>
      </c>
      <c r="CT137" t="n">
        <v>0</v>
      </c>
      <c r="CU137" t="n">
        <v>0</v>
      </c>
      <c r="CV137" t="n">
        <v>0</v>
      </c>
      <c r="CW137" t="n">
        <v>0</v>
      </c>
      <c r="CX137" t="n">
        <v>41.1</v>
      </c>
      <c r="CY137" t="n">
        <v>49.7</v>
      </c>
      <c r="CZ137" t="n">
        <v>63.5</v>
      </c>
      <c r="DA137" t="n">
        <v>64.7</v>
      </c>
      <c r="DB137" t="n">
        <v>34.2</v>
      </c>
      <c r="DC137" t="n">
        <v>47.6</v>
      </c>
      <c r="DD137" t="n">
        <v>55.2</v>
      </c>
      <c r="DE137" t="n">
        <v>62.2</v>
      </c>
      <c r="DF137" t="n">
        <v>41.1</v>
      </c>
      <c r="DG137" t="n">
        <v>49.7</v>
      </c>
      <c r="DH137" t="n">
        <v>63.5</v>
      </c>
      <c r="DI137" t="n">
        <v>64.7</v>
      </c>
      <c r="DJ137" t="n">
        <v>34.2</v>
      </c>
      <c r="DK137" t="n">
        <v>47.6</v>
      </c>
      <c r="DL137" t="n">
        <v>55.2</v>
      </c>
      <c r="DM137" t="n">
        <v>62.2</v>
      </c>
      <c r="DN137" t="n">
        <v>0</v>
      </c>
      <c r="DO137" t="n">
        <v>0</v>
      </c>
      <c r="DP137" t="n">
        <v>0</v>
      </c>
      <c r="DQ137" t="n">
        <v>0</v>
      </c>
      <c r="DR137" t="n">
        <v>0</v>
      </c>
      <c r="DS137" t="n">
        <v>0</v>
      </c>
      <c r="DT137" t="n">
        <v>0</v>
      </c>
      <c r="DU137" t="n">
        <v>0</v>
      </c>
      <c r="DV137" t="inlineStr">
        <is>
          <t>2500 mmbtu</t>
        </is>
      </c>
    </row>
    <row r="138">
      <c r="A138" t="inlineStr">
        <is>
          <t>PANHANDLE BASIS - ICE FUTURES ENERGY DIV</t>
        </is>
      </c>
      <c r="B138" t="n">
        <v>230103</v>
      </c>
      <c r="C138" s="1" t="n">
        <v>44929</v>
      </c>
      <c r="D138" t="inlineStr">
        <is>
          <t>0233BL</t>
        </is>
      </c>
      <c r="E138" t="inlineStr">
        <is>
          <t>IFED</t>
        </is>
      </c>
      <c r="F138" t="inlineStr">
        <is>
          <t>01</t>
        </is>
      </c>
      <c r="G138" t="inlineStr">
        <is>
          <t xml:space="preserve">023 </t>
        </is>
      </c>
      <c r="H138" t="n">
        <v>113375</v>
      </c>
      <c r="I138" s="17" t="n">
        <v>3754</v>
      </c>
      <c r="J138" s="17" t="n">
        <v>6813</v>
      </c>
      <c r="K138" t="n">
        <v>1564</v>
      </c>
      <c r="L138" t="n">
        <v>91322</v>
      </c>
      <c r="M138" t="n">
        <v>84809</v>
      </c>
      <c r="N138" t="n">
        <v>96640</v>
      </c>
      <c r="O138" t="n">
        <v>93186</v>
      </c>
      <c r="P138" t="n">
        <v>16735</v>
      </c>
      <c r="Q138" t="n">
        <v>20189</v>
      </c>
      <c r="R138" t="n">
        <v>113375</v>
      </c>
      <c r="S138" t="n">
        <v>3754</v>
      </c>
      <c r="T138" t="n">
        <v>6813</v>
      </c>
      <c r="U138" t="n">
        <v>1564</v>
      </c>
      <c r="V138" t="n">
        <v>91322</v>
      </c>
      <c r="W138" t="n">
        <v>84809</v>
      </c>
      <c r="X138" t="n">
        <v>96640</v>
      </c>
      <c r="Y138" t="n">
        <v>93186</v>
      </c>
      <c r="Z138" t="n">
        <v>16735</v>
      </c>
      <c r="AA138" t="n">
        <v>20189</v>
      </c>
      <c r="AB138" t="n">
        <v>0</v>
      </c>
      <c r="AC138" t="n">
        <v>0</v>
      </c>
      <c r="AD138" t="n">
        <v>0</v>
      </c>
      <c r="AE138" t="n">
        <v>0</v>
      </c>
      <c r="AF138" t="n">
        <v>0</v>
      </c>
      <c r="AG138" t="n">
        <v>0</v>
      </c>
      <c r="AH138" t="n">
        <v>0</v>
      </c>
      <c r="AI138" t="n">
        <v>0</v>
      </c>
      <c r="AJ138" t="n">
        <v>0</v>
      </c>
      <c r="AK138" t="n">
        <v>0</v>
      </c>
      <c r="AL138" t="n">
        <v>417</v>
      </c>
      <c r="AM138" t="n">
        <v>0</v>
      </c>
      <c r="AN138" t="n">
        <v>-772</v>
      </c>
      <c r="AO138" t="n">
        <v>-84</v>
      </c>
      <c r="AP138" t="n">
        <v>287</v>
      </c>
      <c r="AQ138" t="n">
        <v>85</v>
      </c>
      <c r="AR138" t="n">
        <v>203</v>
      </c>
      <c r="AS138" t="n">
        <v>-771</v>
      </c>
      <c r="AT138" t="n">
        <v>214</v>
      </c>
      <c r="AU138" t="n">
        <v>1188</v>
      </c>
      <c r="AV138" t="n">
        <v>100</v>
      </c>
      <c r="AW138" t="n">
        <v>3.3</v>
      </c>
      <c r="AX138" t="n">
        <v>6</v>
      </c>
      <c r="AY138" t="n">
        <v>1.4</v>
      </c>
      <c r="AZ138" t="n">
        <v>80.5</v>
      </c>
      <c r="BA138" t="n">
        <v>74.8</v>
      </c>
      <c r="BB138" t="n">
        <v>85.2</v>
      </c>
      <c r="BC138" t="n">
        <v>82.2</v>
      </c>
      <c r="BD138" t="n">
        <v>14.8</v>
      </c>
      <c r="BE138" t="n">
        <v>17.8</v>
      </c>
      <c r="BF138" t="n">
        <v>100</v>
      </c>
      <c r="BG138" t="n">
        <v>3.3</v>
      </c>
      <c r="BH138" t="n">
        <v>6</v>
      </c>
      <c r="BI138" t="n">
        <v>1.4</v>
      </c>
      <c r="BJ138" t="n">
        <v>80.5</v>
      </c>
      <c r="BK138" t="n">
        <v>74.8</v>
      </c>
      <c r="BL138" t="n">
        <v>85.2</v>
      </c>
      <c r="BM138" t="n">
        <v>82.2</v>
      </c>
      <c r="BN138" t="n">
        <v>14.8</v>
      </c>
      <c r="BO138" t="n">
        <v>17.8</v>
      </c>
      <c r="BP138" t="n">
        <v>0</v>
      </c>
      <c r="BQ138" t="n">
        <v>0</v>
      </c>
      <c r="BR138" t="n">
        <v>0</v>
      </c>
      <c r="BS138" t="n">
        <v>0</v>
      </c>
      <c r="BT138" t="n">
        <v>0</v>
      </c>
      <c r="BU138" t="n">
        <v>0</v>
      </c>
      <c r="BV138" t="n">
        <v>0</v>
      </c>
      <c r="BW138" t="n">
        <v>0</v>
      </c>
      <c r="BX138" t="n">
        <v>0</v>
      </c>
      <c r="BY138" t="n">
        <v>0</v>
      </c>
      <c r="BZ138" t="n">
        <v>32</v>
      </c>
      <c r="CA138" t="n">
        <v>1</v>
      </c>
      <c r="CB138" t="n">
        <v>2</v>
      </c>
      <c r="CC138" t="n">
        <v>3</v>
      </c>
      <c r="CD138" t="n">
        <v>24</v>
      </c>
      <c r="CE138" t="n">
        <v>25</v>
      </c>
      <c r="CF138" t="n">
        <v>27</v>
      </c>
      <c r="CG138" t="n">
        <v>28</v>
      </c>
      <c r="CH138" t="n">
        <v>32</v>
      </c>
      <c r="CI138" t="n">
        <v>1</v>
      </c>
      <c r="CJ138" t="n">
        <v>2</v>
      </c>
      <c r="CK138" t="n">
        <v>3</v>
      </c>
      <c r="CL138" t="n">
        <v>24</v>
      </c>
      <c r="CM138" t="n">
        <v>25</v>
      </c>
      <c r="CN138" t="n">
        <v>27</v>
      </c>
      <c r="CO138" t="n">
        <v>28</v>
      </c>
      <c r="CP138" t="n">
        <v>0</v>
      </c>
      <c r="CQ138" t="n">
        <v>0</v>
      </c>
      <c r="CR138" t="n">
        <v>0</v>
      </c>
      <c r="CS138" t="n">
        <v>0</v>
      </c>
      <c r="CT138" t="n">
        <v>0</v>
      </c>
      <c r="CU138" t="n">
        <v>0</v>
      </c>
      <c r="CV138" t="n">
        <v>0</v>
      </c>
      <c r="CW138" t="n">
        <v>0</v>
      </c>
      <c r="CX138" t="n">
        <v>41.1</v>
      </c>
      <c r="CY138" t="n">
        <v>47.6</v>
      </c>
      <c r="CZ138" t="n">
        <v>63.2</v>
      </c>
      <c r="DA138" t="n">
        <v>61.7</v>
      </c>
      <c r="DB138" t="n">
        <v>32.7</v>
      </c>
      <c r="DC138" t="n">
        <v>45</v>
      </c>
      <c r="DD138" t="n">
        <v>53.1</v>
      </c>
      <c r="DE138" t="n">
        <v>56.8</v>
      </c>
      <c r="DF138" t="n">
        <v>41.1</v>
      </c>
      <c r="DG138" t="n">
        <v>47.6</v>
      </c>
      <c r="DH138" t="n">
        <v>63.2</v>
      </c>
      <c r="DI138" t="n">
        <v>61.7</v>
      </c>
      <c r="DJ138" t="n">
        <v>32.7</v>
      </c>
      <c r="DK138" t="n">
        <v>45</v>
      </c>
      <c r="DL138" t="n">
        <v>53.1</v>
      </c>
      <c r="DM138" t="n">
        <v>56.8</v>
      </c>
      <c r="DN138" t="n">
        <v>0</v>
      </c>
      <c r="DO138" t="n">
        <v>0</v>
      </c>
      <c r="DP138" t="n">
        <v>0</v>
      </c>
      <c r="DQ138" t="n">
        <v>0</v>
      </c>
      <c r="DR138" t="n">
        <v>0</v>
      </c>
      <c r="DS138" t="n">
        <v>0</v>
      </c>
      <c r="DT138" t="n">
        <v>0</v>
      </c>
      <c r="DU138" t="n">
        <v>0</v>
      </c>
      <c r="DV138" t="inlineStr">
        <is>
          <t>2500 mmbtu</t>
        </is>
      </c>
    </row>
    <row r="139">
      <c r="A139" t="inlineStr">
        <is>
          <t>SONAT - TIER 1 POOL (ZONE 0) - ICE FUTURES ENERGY DIV</t>
        </is>
      </c>
      <c r="B139" t="n">
        <v>230110</v>
      </c>
      <c r="C139" s="1" t="n">
        <v>44936</v>
      </c>
      <c r="D139" t="inlineStr">
        <is>
          <t>0233C1</t>
        </is>
      </c>
      <c r="E139" t="inlineStr">
        <is>
          <t>IFED</t>
        </is>
      </c>
      <c r="F139" t="inlineStr">
        <is>
          <t>01</t>
        </is>
      </c>
      <c r="G139" t="inlineStr">
        <is>
          <t xml:space="preserve">023 </t>
        </is>
      </c>
      <c r="H139" t="n">
        <v>81261</v>
      </c>
      <c r="I139" s="17" t="n">
        <v>2445</v>
      </c>
      <c r="J139" s="17" t="n">
        <v>0</v>
      </c>
      <c r="K139" t="n">
        <v>0</v>
      </c>
      <c r="L139" t="n">
        <v>74386</v>
      </c>
      <c r="M139" t="n">
        <v>78053</v>
      </c>
      <c r="N139" t="n">
        <v>76831</v>
      </c>
      <c r="O139" t="n">
        <v>78053</v>
      </c>
      <c r="P139" t="n">
        <v>4430</v>
      </c>
      <c r="Q139" t="n">
        <v>3208</v>
      </c>
      <c r="R139" t="n">
        <v>81261</v>
      </c>
      <c r="S139" t="n">
        <v>2445</v>
      </c>
      <c r="T139" t="n">
        <v>0</v>
      </c>
      <c r="U139" t="n">
        <v>0</v>
      </c>
      <c r="V139" t="n">
        <v>74386</v>
      </c>
      <c r="W139" t="n">
        <v>78053</v>
      </c>
      <c r="X139" t="n">
        <v>76831</v>
      </c>
      <c r="Y139" t="n">
        <v>78053</v>
      </c>
      <c r="Z139" t="n">
        <v>4430</v>
      </c>
      <c r="AA139" t="n">
        <v>3208</v>
      </c>
      <c r="AB139" t="n">
        <v>0</v>
      </c>
      <c r="AC139" t="n">
        <v>0</v>
      </c>
      <c r="AD139" t="n">
        <v>0</v>
      </c>
      <c r="AE139" t="n">
        <v>0</v>
      </c>
      <c r="AF139" t="n">
        <v>0</v>
      </c>
      <c r="AG139" t="n">
        <v>0</v>
      </c>
      <c r="AH139" t="n">
        <v>0</v>
      </c>
      <c r="AI139" t="n">
        <v>0</v>
      </c>
      <c r="AJ139" t="n">
        <v>0</v>
      </c>
      <c r="AK139" t="n">
        <v>0</v>
      </c>
      <c r="AL139" t="n">
        <v>-5342</v>
      </c>
      <c r="AM139" t="n">
        <v>0</v>
      </c>
      <c r="AN139" t="n">
        <v>0</v>
      </c>
      <c r="AO139" t="n">
        <v>0</v>
      </c>
      <c r="AP139" t="n">
        <v>-6280</v>
      </c>
      <c r="AQ139" t="n">
        <v>-2788</v>
      </c>
      <c r="AR139" t="n">
        <v>-6280</v>
      </c>
      <c r="AS139" t="n">
        <v>-2788</v>
      </c>
      <c r="AT139" t="n">
        <v>938</v>
      </c>
      <c r="AU139" t="n">
        <v>-2554</v>
      </c>
      <c r="AV139" t="n">
        <v>100</v>
      </c>
      <c r="AW139" t="n">
        <v>3</v>
      </c>
      <c r="AX139" t="n">
        <v>0</v>
      </c>
      <c r="AY139" t="n">
        <v>0</v>
      </c>
      <c r="AZ139" t="n">
        <v>91.5</v>
      </c>
      <c r="BA139" t="n">
        <v>96.09999999999999</v>
      </c>
      <c r="BB139" t="n">
        <v>94.5</v>
      </c>
      <c r="BC139" t="n">
        <v>96.09999999999999</v>
      </c>
      <c r="BD139" t="n">
        <v>5.5</v>
      </c>
      <c r="BE139" t="n">
        <v>3.9</v>
      </c>
      <c r="BF139" t="n">
        <v>100</v>
      </c>
      <c r="BG139" t="n">
        <v>3</v>
      </c>
      <c r="BH139" t="n">
        <v>0</v>
      </c>
      <c r="BI139" t="n">
        <v>0</v>
      </c>
      <c r="BJ139" t="n">
        <v>91.5</v>
      </c>
      <c r="BK139" t="n">
        <v>96.09999999999999</v>
      </c>
      <c r="BL139" t="n">
        <v>94.5</v>
      </c>
      <c r="BM139" t="n">
        <v>96.09999999999999</v>
      </c>
      <c r="BN139" t="n">
        <v>5.5</v>
      </c>
      <c r="BO139" t="n">
        <v>3.9</v>
      </c>
      <c r="BP139" t="n">
        <v>0</v>
      </c>
      <c r="BQ139" t="n">
        <v>0</v>
      </c>
      <c r="BR139" t="n">
        <v>0</v>
      </c>
      <c r="BS139" t="n">
        <v>0</v>
      </c>
      <c r="BT139" t="n">
        <v>0</v>
      </c>
      <c r="BU139" t="n">
        <v>0</v>
      </c>
      <c r="BV139" t="n">
        <v>0</v>
      </c>
      <c r="BW139" t="n">
        <v>0</v>
      </c>
      <c r="BX139" t="n">
        <v>0</v>
      </c>
      <c r="BY139" t="n">
        <v>0</v>
      </c>
      <c r="BZ139" t="n">
        <v>25</v>
      </c>
      <c r="CA139" t="n">
        <v>1</v>
      </c>
      <c r="CB139" t="n">
        <v>0</v>
      </c>
      <c r="CC139" t="n">
        <v>0</v>
      </c>
      <c r="CD139" t="n">
        <v>14</v>
      </c>
      <c r="CE139" t="n">
        <v>16</v>
      </c>
      <c r="CF139" t="n">
        <v>15</v>
      </c>
      <c r="CG139" t="n">
        <v>16</v>
      </c>
      <c r="CH139" t="n">
        <v>25</v>
      </c>
      <c r="CI139" t="n">
        <v>1</v>
      </c>
      <c r="CJ139" t="n">
        <v>0</v>
      </c>
      <c r="CK139" t="n">
        <v>0</v>
      </c>
      <c r="CL139" t="n">
        <v>14</v>
      </c>
      <c r="CM139" t="n">
        <v>16</v>
      </c>
      <c r="CN139" t="n">
        <v>15</v>
      </c>
      <c r="CO139" t="n">
        <v>16</v>
      </c>
      <c r="CP139" t="n">
        <v>0</v>
      </c>
      <c r="CQ139" t="n">
        <v>0</v>
      </c>
      <c r="CR139" t="n">
        <v>0</v>
      </c>
      <c r="CS139" t="n">
        <v>0</v>
      </c>
      <c r="CT139" t="n">
        <v>0</v>
      </c>
      <c r="CU139" t="n">
        <v>0</v>
      </c>
      <c r="CV139" t="n">
        <v>0</v>
      </c>
      <c r="CW139" t="n">
        <v>0</v>
      </c>
      <c r="CX139" t="n">
        <v>49.5</v>
      </c>
      <c r="CY139" t="n">
        <v>66.90000000000001</v>
      </c>
      <c r="CZ139" t="n">
        <v>78.90000000000001</v>
      </c>
      <c r="DA139" t="n">
        <v>87.2</v>
      </c>
      <c r="DB139" t="n">
        <v>45.1</v>
      </c>
      <c r="DC139" t="n">
        <v>66.90000000000001</v>
      </c>
      <c r="DD139" t="n">
        <v>72.09999999999999</v>
      </c>
      <c r="DE139" t="n">
        <v>85.2</v>
      </c>
      <c r="DF139" t="n">
        <v>49.5</v>
      </c>
      <c r="DG139" t="n">
        <v>66.90000000000001</v>
      </c>
      <c r="DH139" t="n">
        <v>78.90000000000001</v>
      </c>
      <c r="DI139" t="n">
        <v>87.2</v>
      </c>
      <c r="DJ139" t="n">
        <v>45.1</v>
      </c>
      <c r="DK139" t="n">
        <v>66.90000000000001</v>
      </c>
      <c r="DL139" t="n">
        <v>72.09999999999999</v>
      </c>
      <c r="DM139" t="n">
        <v>85.2</v>
      </c>
      <c r="DN139" t="n">
        <v>0</v>
      </c>
      <c r="DO139" t="n">
        <v>0</v>
      </c>
      <c r="DP139" t="n">
        <v>0</v>
      </c>
      <c r="DQ139" t="n">
        <v>0</v>
      </c>
      <c r="DR139" t="n">
        <v>0</v>
      </c>
      <c r="DS139" t="n">
        <v>0</v>
      </c>
      <c r="DT139" t="n">
        <v>0</v>
      </c>
      <c r="DU139" t="n">
        <v>0</v>
      </c>
      <c r="DV139" t="inlineStr">
        <is>
          <t>2500 mmbtu</t>
        </is>
      </c>
    </row>
    <row r="140">
      <c r="A140" t="inlineStr">
        <is>
          <t>SONAT - TIER 1 POOL (ZONE 0) - ICE FUTURES ENERGY DIV</t>
        </is>
      </c>
      <c r="B140" t="n">
        <v>230103</v>
      </c>
      <c r="C140" s="1" t="n">
        <v>44929</v>
      </c>
      <c r="D140" t="inlineStr">
        <is>
          <t>0233C1</t>
        </is>
      </c>
      <c r="E140" t="inlineStr">
        <is>
          <t>IFED</t>
        </is>
      </c>
      <c r="F140" t="inlineStr">
        <is>
          <t>01</t>
        </is>
      </c>
      <c r="G140" t="inlineStr">
        <is>
          <t xml:space="preserve">023 </t>
        </is>
      </c>
      <c r="H140" t="n">
        <v>86603</v>
      </c>
      <c r="I140" s="17" t="n">
        <v>2445</v>
      </c>
      <c r="J140" s="17" t="n">
        <v>0</v>
      </c>
      <c r="K140" t="n">
        <v>0</v>
      </c>
      <c r="L140" t="n">
        <v>80666</v>
      </c>
      <c r="M140" t="n">
        <v>80841</v>
      </c>
      <c r="N140" t="n">
        <v>83111</v>
      </c>
      <c r="O140" t="n">
        <v>80841</v>
      </c>
      <c r="P140" t="n">
        <v>3492</v>
      </c>
      <c r="Q140" t="n">
        <v>5762</v>
      </c>
      <c r="R140" t="n">
        <v>86603</v>
      </c>
      <c r="S140" t="n">
        <v>2445</v>
      </c>
      <c r="T140" t="n">
        <v>0</v>
      </c>
      <c r="U140" t="n">
        <v>0</v>
      </c>
      <c r="V140" t="n">
        <v>80666</v>
      </c>
      <c r="W140" t="n">
        <v>80841</v>
      </c>
      <c r="X140" t="n">
        <v>83111</v>
      </c>
      <c r="Y140" t="n">
        <v>80841</v>
      </c>
      <c r="Z140" t="n">
        <v>3492</v>
      </c>
      <c r="AA140" t="n">
        <v>5762</v>
      </c>
      <c r="AB140" t="n">
        <v>0</v>
      </c>
      <c r="AC140" t="n">
        <v>0</v>
      </c>
      <c r="AD140" t="n">
        <v>0</v>
      </c>
      <c r="AE140" t="n">
        <v>0</v>
      </c>
      <c r="AF140" t="n">
        <v>0</v>
      </c>
      <c r="AG140" t="n">
        <v>0</v>
      </c>
      <c r="AH140" t="n">
        <v>0</v>
      </c>
      <c r="AI140" t="n">
        <v>0</v>
      </c>
      <c r="AJ140" t="n">
        <v>0</v>
      </c>
      <c r="AK140" t="n">
        <v>0</v>
      </c>
      <c r="AL140" t="n">
        <v>450</v>
      </c>
      <c r="AM140" t="n">
        <v>0</v>
      </c>
      <c r="AN140" t="n">
        <v>0</v>
      </c>
      <c r="AO140" t="n">
        <v>0</v>
      </c>
      <c r="AP140" t="n">
        <v>236</v>
      </c>
      <c r="AQ140" t="n">
        <v>456</v>
      </c>
      <c r="AR140" t="n">
        <v>236</v>
      </c>
      <c r="AS140" t="n">
        <v>456</v>
      </c>
      <c r="AT140" t="n">
        <v>214</v>
      </c>
      <c r="AU140" t="n">
        <v>-6</v>
      </c>
      <c r="AV140" t="n">
        <v>100</v>
      </c>
      <c r="AW140" t="n">
        <v>2.8</v>
      </c>
      <c r="AX140" t="n">
        <v>0</v>
      </c>
      <c r="AY140" t="n">
        <v>0</v>
      </c>
      <c r="AZ140" t="n">
        <v>93.09999999999999</v>
      </c>
      <c r="BA140" t="n">
        <v>93.3</v>
      </c>
      <c r="BB140" t="n">
        <v>96</v>
      </c>
      <c r="BC140" t="n">
        <v>93.3</v>
      </c>
      <c r="BD140" t="n">
        <v>4</v>
      </c>
      <c r="BE140" t="n">
        <v>6.7</v>
      </c>
      <c r="BF140" t="n">
        <v>100</v>
      </c>
      <c r="BG140" t="n">
        <v>2.8</v>
      </c>
      <c r="BH140" t="n">
        <v>0</v>
      </c>
      <c r="BI140" t="n">
        <v>0</v>
      </c>
      <c r="BJ140" t="n">
        <v>93.09999999999999</v>
      </c>
      <c r="BK140" t="n">
        <v>93.3</v>
      </c>
      <c r="BL140" t="n">
        <v>96</v>
      </c>
      <c r="BM140" t="n">
        <v>93.3</v>
      </c>
      <c r="BN140" t="n">
        <v>4</v>
      </c>
      <c r="BO140" t="n">
        <v>6.7</v>
      </c>
      <c r="BP140" t="n">
        <v>0</v>
      </c>
      <c r="BQ140" t="n">
        <v>0</v>
      </c>
      <c r="BR140" t="n">
        <v>0</v>
      </c>
      <c r="BS140" t="n">
        <v>0</v>
      </c>
      <c r="BT140" t="n">
        <v>0</v>
      </c>
      <c r="BU140" t="n">
        <v>0</v>
      </c>
      <c r="BV140" t="n">
        <v>0</v>
      </c>
      <c r="BW140" t="n">
        <v>0</v>
      </c>
      <c r="BX140" t="n">
        <v>0</v>
      </c>
      <c r="BY140" t="n">
        <v>0</v>
      </c>
      <c r="BZ140" t="n">
        <v>25</v>
      </c>
      <c r="CA140" t="n">
        <v>1</v>
      </c>
      <c r="CB140" t="n">
        <v>0</v>
      </c>
      <c r="CC140" t="n">
        <v>0</v>
      </c>
      <c r="CD140" t="n">
        <v>16</v>
      </c>
      <c r="CE140" t="n">
        <v>17</v>
      </c>
      <c r="CF140" t="n">
        <v>17</v>
      </c>
      <c r="CG140" t="n">
        <v>17</v>
      </c>
      <c r="CH140" t="n">
        <v>25</v>
      </c>
      <c r="CI140" t="n">
        <v>1</v>
      </c>
      <c r="CJ140" t="n">
        <v>0</v>
      </c>
      <c r="CK140" t="n">
        <v>0</v>
      </c>
      <c r="CL140" t="n">
        <v>16</v>
      </c>
      <c r="CM140" t="n">
        <v>17</v>
      </c>
      <c r="CN140" t="n">
        <v>17</v>
      </c>
      <c r="CO140" t="n">
        <v>17</v>
      </c>
      <c r="CP140" t="n">
        <v>0</v>
      </c>
      <c r="CQ140" t="n">
        <v>0</v>
      </c>
      <c r="CR140" t="n">
        <v>0</v>
      </c>
      <c r="CS140" t="n">
        <v>0</v>
      </c>
      <c r="CT140" t="n">
        <v>0</v>
      </c>
      <c r="CU140" t="n">
        <v>0</v>
      </c>
      <c r="CV140" t="n">
        <v>0</v>
      </c>
      <c r="CW140" t="n">
        <v>0</v>
      </c>
      <c r="CX140" t="n">
        <v>47.8</v>
      </c>
      <c r="CY140" t="n">
        <v>64.2</v>
      </c>
      <c r="CZ140" t="n">
        <v>79.09999999999999</v>
      </c>
      <c r="DA140" t="n">
        <v>85.09999999999999</v>
      </c>
      <c r="DB140" t="n">
        <v>44.5</v>
      </c>
      <c r="DC140" t="n">
        <v>64.2</v>
      </c>
      <c r="DD140" t="n">
        <v>72.5</v>
      </c>
      <c r="DE140" t="n">
        <v>82</v>
      </c>
      <c r="DF140" t="n">
        <v>47.8</v>
      </c>
      <c r="DG140" t="n">
        <v>64.2</v>
      </c>
      <c r="DH140" t="n">
        <v>79.09999999999999</v>
      </c>
      <c r="DI140" t="n">
        <v>85.09999999999999</v>
      </c>
      <c r="DJ140" t="n">
        <v>44.5</v>
      </c>
      <c r="DK140" t="n">
        <v>64.2</v>
      </c>
      <c r="DL140" t="n">
        <v>72.5</v>
      </c>
      <c r="DM140" t="n">
        <v>82</v>
      </c>
      <c r="DN140" t="n">
        <v>0</v>
      </c>
      <c r="DO140" t="n">
        <v>0</v>
      </c>
      <c r="DP140" t="n">
        <v>0</v>
      </c>
      <c r="DQ140" t="n">
        <v>0</v>
      </c>
      <c r="DR140" t="n">
        <v>0</v>
      </c>
      <c r="DS140" t="n">
        <v>0</v>
      </c>
      <c r="DT140" t="n">
        <v>0</v>
      </c>
      <c r="DU140" t="n">
        <v>0</v>
      </c>
      <c r="DV140" t="inlineStr">
        <is>
          <t>2500 mmbtu</t>
        </is>
      </c>
    </row>
    <row r="141">
      <c r="A141" t="inlineStr">
        <is>
          <t>TETCO M3 INDEX - ICE FUTURES ENERGY DIV</t>
        </is>
      </c>
      <c r="B141" t="n">
        <v>230110</v>
      </c>
      <c r="C141" s="1" t="n">
        <v>44936</v>
      </c>
      <c r="D141" t="inlineStr">
        <is>
          <t>0233CG</t>
        </is>
      </c>
      <c r="E141" t="inlineStr">
        <is>
          <t>IFED</t>
        </is>
      </c>
      <c r="F141" t="inlineStr">
        <is>
          <t>01</t>
        </is>
      </c>
      <c r="G141" t="inlineStr">
        <is>
          <t xml:space="preserve">023 </t>
        </is>
      </c>
      <c r="H141" t="n">
        <v>43136</v>
      </c>
      <c r="I141" s="17" t="n">
        <v>0</v>
      </c>
      <c r="J141" s="17" t="n">
        <v>0</v>
      </c>
      <c r="K141" t="n">
        <v>0</v>
      </c>
      <c r="L141" t="n">
        <v>40400</v>
      </c>
      <c r="M141" t="n">
        <v>41256</v>
      </c>
      <c r="N141" t="n">
        <v>40400</v>
      </c>
      <c r="O141" t="n">
        <v>41256</v>
      </c>
      <c r="P141" t="n">
        <v>2736</v>
      </c>
      <c r="Q141" t="n">
        <v>1880</v>
      </c>
      <c r="R141" t="n">
        <v>43136</v>
      </c>
      <c r="S141" t="n">
        <v>0</v>
      </c>
      <c r="T141" t="n">
        <v>0</v>
      </c>
      <c r="U141" t="n">
        <v>0</v>
      </c>
      <c r="V141" t="n">
        <v>40400</v>
      </c>
      <c r="W141" t="n">
        <v>41256</v>
      </c>
      <c r="X141" t="n">
        <v>40400</v>
      </c>
      <c r="Y141" t="n">
        <v>41256</v>
      </c>
      <c r="Z141" t="n">
        <v>2736</v>
      </c>
      <c r="AA141" t="n">
        <v>1880</v>
      </c>
      <c r="AB141" t="n">
        <v>0</v>
      </c>
      <c r="AC141" t="n">
        <v>0</v>
      </c>
      <c r="AD141" t="n">
        <v>0</v>
      </c>
      <c r="AE141" t="n">
        <v>0</v>
      </c>
      <c r="AF141" t="n">
        <v>0</v>
      </c>
      <c r="AG141" t="n">
        <v>0</v>
      </c>
      <c r="AH141" t="n">
        <v>0</v>
      </c>
      <c r="AI141" t="n">
        <v>0</v>
      </c>
      <c r="AJ141" t="n">
        <v>0</v>
      </c>
      <c r="AK141" t="n">
        <v>0</v>
      </c>
      <c r="AL141" t="n">
        <v>-9022</v>
      </c>
      <c r="AM141" t="n">
        <v>0</v>
      </c>
      <c r="AN141" t="n">
        <v>0</v>
      </c>
      <c r="AO141" t="n">
        <v>0</v>
      </c>
      <c r="AP141" t="n">
        <v>-9193</v>
      </c>
      <c r="AQ141" t="n">
        <v>-9581</v>
      </c>
      <c r="AR141" t="n">
        <v>-9193</v>
      </c>
      <c r="AS141" t="n">
        <v>-9581</v>
      </c>
      <c r="AT141" t="n">
        <v>171</v>
      </c>
      <c r="AU141" t="n">
        <v>559</v>
      </c>
      <c r="AV141" t="n">
        <v>100</v>
      </c>
      <c r="AW141" t="n">
        <v>0</v>
      </c>
      <c r="AX141" t="n">
        <v>0</v>
      </c>
      <c r="AY141" t="n">
        <v>0</v>
      </c>
      <c r="AZ141" t="n">
        <v>93.7</v>
      </c>
      <c r="BA141" t="n">
        <v>95.59999999999999</v>
      </c>
      <c r="BB141" t="n">
        <v>93.7</v>
      </c>
      <c r="BC141" t="n">
        <v>95.59999999999999</v>
      </c>
      <c r="BD141" t="n">
        <v>6.3</v>
      </c>
      <c r="BE141" t="n">
        <v>4.4</v>
      </c>
      <c r="BF141" t="n">
        <v>100</v>
      </c>
      <c r="BG141" t="n">
        <v>0</v>
      </c>
      <c r="BH141" t="n">
        <v>0</v>
      </c>
      <c r="BI141" t="n">
        <v>0</v>
      </c>
      <c r="BJ141" t="n">
        <v>93.7</v>
      </c>
      <c r="BK141" t="n">
        <v>95.59999999999999</v>
      </c>
      <c r="BL141" t="n">
        <v>93.7</v>
      </c>
      <c r="BM141" t="n">
        <v>95.59999999999999</v>
      </c>
      <c r="BN141" t="n">
        <v>6.3</v>
      </c>
      <c r="BO141" t="n">
        <v>4.4</v>
      </c>
      <c r="BP141" t="n">
        <v>0</v>
      </c>
      <c r="BQ141" t="n">
        <v>0</v>
      </c>
      <c r="BR141" t="n">
        <v>0</v>
      </c>
      <c r="BS141" t="n">
        <v>0</v>
      </c>
      <c r="BT141" t="n">
        <v>0</v>
      </c>
      <c r="BU141" t="n">
        <v>0</v>
      </c>
      <c r="BV141" t="n">
        <v>0</v>
      </c>
      <c r="BW141" t="n">
        <v>0</v>
      </c>
      <c r="BX141" t="n">
        <v>0</v>
      </c>
      <c r="BY141" t="n">
        <v>0</v>
      </c>
      <c r="BZ141" t="n">
        <v>20</v>
      </c>
      <c r="CA141" t="n">
        <v>0</v>
      </c>
      <c r="CB141" t="n">
        <v>0</v>
      </c>
      <c r="CC141" t="n">
        <v>0</v>
      </c>
      <c r="CD141" t="n">
        <v>11</v>
      </c>
      <c r="CE141" t="n">
        <v>13</v>
      </c>
      <c r="CF141" t="n">
        <v>11</v>
      </c>
      <c r="CG141" t="n">
        <v>13</v>
      </c>
      <c r="CH141" t="n">
        <v>20</v>
      </c>
      <c r="CI141" t="n">
        <v>0</v>
      </c>
      <c r="CJ141" t="n">
        <v>0</v>
      </c>
      <c r="CK141" t="n">
        <v>0</v>
      </c>
      <c r="CL141" t="n">
        <v>11</v>
      </c>
      <c r="CM141" t="n">
        <v>13</v>
      </c>
      <c r="CN141" t="n">
        <v>11</v>
      </c>
      <c r="CO141" t="n">
        <v>13</v>
      </c>
      <c r="CP141" t="n">
        <v>0</v>
      </c>
      <c r="CQ141" t="n">
        <v>0</v>
      </c>
      <c r="CR141" t="n">
        <v>0</v>
      </c>
      <c r="CS141" t="n">
        <v>0</v>
      </c>
      <c r="CT141" t="n">
        <v>0</v>
      </c>
      <c r="CU141" t="n">
        <v>0</v>
      </c>
      <c r="CV141" t="n">
        <v>0</v>
      </c>
      <c r="CW141" t="n">
        <v>0</v>
      </c>
      <c r="CX141" t="n">
        <v>67.3</v>
      </c>
      <c r="CY141" t="n">
        <v>65.7</v>
      </c>
      <c r="CZ141" t="n">
        <v>89.40000000000001</v>
      </c>
      <c r="DA141" t="n">
        <v>86.90000000000001</v>
      </c>
      <c r="DB141" t="n">
        <v>60.5</v>
      </c>
      <c r="DC141" t="n">
        <v>65.7</v>
      </c>
      <c r="DD141" t="n">
        <v>82.2</v>
      </c>
      <c r="DE141" t="n">
        <v>83.3</v>
      </c>
      <c r="DF141" t="n">
        <v>67.3</v>
      </c>
      <c r="DG141" t="n">
        <v>65.7</v>
      </c>
      <c r="DH141" t="n">
        <v>89.40000000000001</v>
      </c>
      <c r="DI141" t="n">
        <v>86.90000000000001</v>
      </c>
      <c r="DJ141" t="n">
        <v>60.5</v>
      </c>
      <c r="DK141" t="n">
        <v>65.7</v>
      </c>
      <c r="DL141" t="n">
        <v>82.2</v>
      </c>
      <c r="DM141" t="n">
        <v>83.3</v>
      </c>
      <c r="DN141" t="n">
        <v>0</v>
      </c>
      <c r="DO141" t="n">
        <v>0</v>
      </c>
      <c r="DP141" t="n">
        <v>0</v>
      </c>
      <c r="DQ141" t="n">
        <v>0</v>
      </c>
      <c r="DR141" t="n">
        <v>0</v>
      </c>
      <c r="DS141" t="n">
        <v>0</v>
      </c>
      <c r="DT141" t="n">
        <v>0</v>
      </c>
      <c r="DU141" t="n">
        <v>0</v>
      </c>
      <c r="DV141" t="inlineStr">
        <is>
          <t>2500 mmbtu</t>
        </is>
      </c>
    </row>
    <row r="142">
      <c r="A142" t="inlineStr">
        <is>
          <t>TETCO M3 INDEX - ICE FUTURES ENERGY DIV</t>
        </is>
      </c>
      <c r="B142" t="n">
        <v>230103</v>
      </c>
      <c r="C142" s="1" t="n">
        <v>44929</v>
      </c>
      <c r="D142" t="inlineStr">
        <is>
          <t>0233CG</t>
        </is>
      </c>
      <c r="E142" t="inlineStr">
        <is>
          <t>IFED</t>
        </is>
      </c>
      <c r="F142" t="inlineStr">
        <is>
          <t>01</t>
        </is>
      </c>
      <c r="G142" t="inlineStr">
        <is>
          <t xml:space="preserve">023 </t>
        </is>
      </c>
      <c r="H142" t="n">
        <v>52158</v>
      </c>
      <c r="I142" s="17" t="n">
        <v>0</v>
      </c>
      <c r="J142" s="17" t="n">
        <v>0</v>
      </c>
      <c r="K142" t="n">
        <v>0</v>
      </c>
      <c r="L142" t="n">
        <v>49593</v>
      </c>
      <c r="M142" t="n">
        <v>50837</v>
      </c>
      <c r="N142" t="n">
        <v>49593</v>
      </c>
      <c r="O142" t="n">
        <v>50837</v>
      </c>
      <c r="P142" t="n">
        <v>2565</v>
      </c>
      <c r="Q142" t="n">
        <v>1321</v>
      </c>
      <c r="R142" t="n">
        <v>52158</v>
      </c>
      <c r="S142" t="n">
        <v>0</v>
      </c>
      <c r="T142" t="n">
        <v>0</v>
      </c>
      <c r="U142" t="n">
        <v>0</v>
      </c>
      <c r="V142" t="n">
        <v>49593</v>
      </c>
      <c r="W142" t="n">
        <v>50837</v>
      </c>
      <c r="X142" t="n">
        <v>49593</v>
      </c>
      <c r="Y142" t="n">
        <v>50837</v>
      </c>
      <c r="Z142" t="n">
        <v>2565</v>
      </c>
      <c r="AA142" t="n">
        <v>1321</v>
      </c>
      <c r="AB142" t="n">
        <v>0</v>
      </c>
      <c r="AC142" t="n">
        <v>0</v>
      </c>
      <c r="AD142" t="n">
        <v>0</v>
      </c>
      <c r="AE142" t="n">
        <v>0</v>
      </c>
      <c r="AF142" t="n">
        <v>0</v>
      </c>
      <c r="AG142" t="n">
        <v>0</v>
      </c>
      <c r="AH142" t="n">
        <v>0</v>
      </c>
      <c r="AI142" t="n">
        <v>0</v>
      </c>
      <c r="AJ142" t="n">
        <v>0</v>
      </c>
      <c r="AK142" t="n">
        <v>0</v>
      </c>
      <c r="AL142" t="n">
        <v>-217</v>
      </c>
      <c r="AM142" t="n">
        <v>0</v>
      </c>
      <c r="AN142" t="n">
        <v>0</v>
      </c>
      <c r="AO142" t="n">
        <v>0</v>
      </c>
      <c r="AP142" t="n">
        <v>-307</v>
      </c>
      <c r="AQ142" t="n">
        <v>-248</v>
      </c>
      <c r="AR142" t="n">
        <v>-307</v>
      </c>
      <c r="AS142" t="n">
        <v>-248</v>
      </c>
      <c r="AT142" t="n">
        <v>90</v>
      </c>
      <c r="AU142" t="n">
        <v>31</v>
      </c>
      <c r="AV142" t="n">
        <v>100</v>
      </c>
      <c r="AW142" t="n">
        <v>0</v>
      </c>
      <c r="AX142" t="n">
        <v>0</v>
      </c>
      <c r="AY142" t="n">
        <v>0</v>
      </c>
      <c r="AZ142" t="n">
        <v>95.09999999999999</v>
      </c>
      <c r="BA142" t="n">
        <v>97.5</v>
      </c>
      <c r="BB142" t="n">
        <v>95.09999999999999</v>
      </c>
      <c r="BC142" t="n">
        <v>97.5</v>
      </c>
      <c r="BD142" t="n">
        <v>4.9</v>
      </c>
      <c r="BE142" t="n">
        <v>2.5</v>
      </c>
      <c r="BF142" t="n">
        <v>100</v>
      </c>
      <c r="BG142" t="n">
        <v>0</v>
      </c>
      <c r="BH142" t="n">
        <v>0</v>
      </c>
      <c r="BI142" t="n">
        <v>0</v>
      </c>
      <c r="BJ142" t="n">
        <v>95.09999999999999</v>
      </c>
      <c r="BK142" t="n">
        <v>97.5</v>
      </c>
      <c r="BL142" t="n">
        <v>95.09999999999999</v>
      </c>
      <c r="BM142" t="n">
        <v>97.5</v>
      </c>
      <c r="BN142" t="n">
        <v>4.9</v>
      </c>
      <c r="BO142" t="n">
        <v>2.5</v>
      </c>
      <c r="BP142" t="n">
        <v>0</v>
      </c>
      <c r="BQ142" t="n">
        <v>0</v>
      </c>
      <c r="BR142" t="n">
        <v>0</v>
      </c>
      <c r="BS142" t="n">
        <v>0</v>
      </c>
      <c r="BT142" t="n">
        <v>0</v>
      </c>
      <c r="BU142" t="n">
        <v>0</v>
      </c>
      <c r="BV142" t="n">
        <v>0</v>
      </c>
      <c r="BW142" t="n">
        <v>0</v>
      </c>
      <c r="BX142" t="n">
        <v>0</v>
      </c>
      <c r="BY142" t="n">
        <v>0</v>
      </c>
      <c r="BZ142" t="n">
        <v>25</v>
      </c>
      <c r="CA142" t="n">
        <v>0</v>
      </c>
      <c r="CB142" t="n">
        <v>0</v>
      </c>
      <c r="CC142" t="n">
        <v>0</v>
      </c>
      <c r="CD142" t="n">
        <v>14</v>
      </c>
      <c r="CE142" t="n">
        <v>18</v>
      </c>
      <c r="CF142" t="n">
        <v>14</v>
      </c>
      <c r="CG142" t="n">
        <v>18</v>
      </c>
      <c r="CH142" t="n">
        <v>25</v>
      </c>
      <c r="CI142" t="n">
        <v>0</v>
      </c>
      <c r="CJ142" t="n">
        <v>0</v>
      </c>
      <c r="CK142" t="n">
        <v>0</v>
      </c>
      <c r="CL142" t="n">
        <v>14</v>
      </c>
      <c r="CM142" t="n">
        <v>18</v>
      </c>
      <c r="CN142" t="n">
        <v>14</v>
      </c>
      <c r="CO142" t="n">
        <v>18</v>
      </c>
      <c r="CP142" t="n">
        <v>0</v>
      </c>
      <c r="CQ142" t="n">
        <v>0</v>
      </c>
      <c r="CR142" t="n">
        <v>0</v>
      </c>
      <c r="CS142" t="n">
        <v>0</v>
      </c>
      <c r="CT142" t="n">
        <v>0</v>
      </c>
      <c r="CU142" t="n">
        <v>0</v>
      </c>
      <c r="CV142" t="n">
        <v>0</v>
      </c>
      <c r="CW142" t="n">
        <v>0</v>
      </c>
      <c r="CX142" t="n">
        <v>66.3</v>
      </c>
      <c r="CY142" t="n">
        <v>64.09999999999999</v>
      </c>
      <c r="CZ142" t="n">
        <v>87.3</v>
      </c>
      <c r="DA142" t="n">
        <v>84</v>
      </c>
      <c r="DB142" t="n">
        <v>60.2</v>
      </c>
      <c r="DC142" t="n">
        <v>64.09999999999999</v>
      </c>
      <c r="DD142" t="n">
        <v>81</v>
      </c>
      <c r="DE142" t="n">
        <v>81.3</v>
      </c>
      <c r="DF142" t="n">
        <v>66.3</v>
      </c>
      <c r="DG142" t="n">
        <v>64.09999999999999</v>
      </c>
      <c r="DH142" t="n">
        <v>87.3</v>
      </c>
      <c r="DI142" t="n">
        <v>84</v>
      </c>
      <c r="DJ142" t="n">
        <v>60.2</v>
      </c>
      <c r="DK142" t="n">
        <v>64.09999999999999</v>
      </c>
      <c r="DL142" t="n">
        <v>81</v>
      </c>
      <c r="DM142" t="n">
        <v>81.3</v>
      </c>
      <c r="DN142" t="n">
        <v>0</v>
      </c>
      <c r="DO142" t="n">
        <v>0</v>
      </c>
      <c r="DP142" t="n">
        <v>0</v>
      </c>
      <c r="DQ142" t="n">
        <v>0</v>
      </c>
      <c r="DR142" t="n">
        <v>0</v>
      </c>
      <c r="DS142" t="n">
        <v>0</v>
      </c>
      <c r="DT142" t="n">
        <v>0</v>
      </c>
      <c r="DU142" t="n">
        <v>0</v>
      </c>
      <c r="DV142" t="inlineStr">
        <is>
          <t>2500 mmbtu</t>
        </is>
      </c>
    </row>
    <row r="143">
      <c r="A143" t="inlineStr">
        <is>
          <t>TETCO M3 BASIS - ICE FUTURES ENERGY DIV</t>
        </is>
      </c>
      <c r="B143" t="n">
        <v>230110</v>
      </c>
      <c r="C143" s="1" t="n">
        <v>44936</v>
      </c>
      <c r="D143" t="inlineStr">
        <is>
          <t>0233CH</t>
        </is>
      </c>
      <c r="E143" t="inlineStr">
        <is>
          <t>IFED</t>
        </is>
      </c>
      <c r="F143" t="inlineStr">
        <is>
          <t>01</t>
        </is>
      </c>
      <c r="G143" t="inlineStr">
        <is>
          <t xml:space="preserve">023 </t>
        </is>
      </c>
      <c r="H143" t="n">
        <v>174906</v>
      </c>
      <c r="I143" s="17" t="n">
        <v>1668</v>
      </c>
      <c r="J143" s="17" t="n">
        <v>4867</v>
      </c>
      <c r="K143" t="n">
        <v>4168</v>
      </c>
      <c r="L143" t="n">
        <v>161248</v>
      </c>
      <c r="M143" t="n">
        <v>158002</v>
      </c>
      <c r="N143" t="n">
        <v>167084</v>
      </c>
      <c r="O143" t="n">
        <v>167037</v>
      </c>
      <c r="P143" t="n">
        <v>7822</v>
      </c>
      <c r="Q143" t="n">
        <v>7869</v>
      </c>
      <c r="R143" t="n">
        <v>174906</v>
      </c>
      <c r="S143" t="n">
        <v>1668</v>
      </c>
      <c r="T143" t="n">
        <v>4867</v>
      </c>
      <c r="U143" t="n">
        <v>4168</v>
      </c>
      <c r="V143" t="n">
        <v>161248</v>
      </c>
      <c r="W143" t="n">
        <v>158002</v>
      </c>
      <c r="X143" t="n">
        <v>167084</v>
      </c>
      <c r="Y143" t="n">
        <v>167037</v>
      </c>
      <c r="Z143" t="n">
        <v>7822</v>
      </c>
      <c r="AA143" t="n">
        <v>7869</v>
      </c>
      <c r="AB143" t="n">
        <v>0</v>
      </c>
      <c r="AC143" t="n">
        <v>0</v>
      </c>
      <c r="AD143" t="n">
        <v>0</v>
      </c>
      <c r="AE143" t="n">
        <v>0</v>
      </c>
      <c r="AF143" t="n">
        <v>0</v>
      </c>
      <c r="AG143" t="n">
        <v>0</v>
      </c>
      <c r="AH143" t="n">
        <v>0</v>
      </c>
      <c r="AI143" t="n">
        <v>0</v>
      </c>
      <c r="AJ143" t="n">
        <v>0</v>
      </c>
      <c r="AK143" t="n">
        <v>0</v>
      </c>
      <c r="AL143" t="n">
        <v>-14766</v>
      </c>
      <c r="AM143" t="n">
        <v>-1558</v>
      </c>
      <c r="AN143" t="n">
        <v>-2527</v>
      </c>
      <c r="AO143" t="n">
        <v>869</v>
      </c>
      <c r="AP143" t="n">
        <v>-12927</v>
      </c>
      <c r="AQ143" t="n">
        <v>-13304</v>
      </c>
      <c r="AR143" t="n">
        <v>-13616</v>
      </c>
      <c r="AS143" t="n">
        <v>-14962</v>
      </c>
      <c r="AT143" t="n">
        <v>-1150</v>
      </c>
      <c r="AU143" t="n">
        <v>196</v>
      </c>
      <c r="AV143" t="n">
        <v>100</v>
      </c>
      <c r="AW143" t="n">
        <v>1</v>
      </c>
      <c r="AX143" t="n">
        <v>2.8</v>
      </c>
      <c r="AY143" t="n">
        <v>2.4</v>
      </c>
      <c r="AZ143" t="n">
        <v>92.2</v>
      </c>
      <c r="BA143" t="n">
        <v>90.3</v>
      </c>
      <c r="BB143" t="n">
        <v>95.5</v>
      </c>
      <c r="BC143" t="n">
        <v>95.5</v>
      </c>
      <c r="BD143" t="n">
        <v>4.5</v>
      </c>
      <c r="BE143" t="n">
        <v>4.5</v>
      </c>
      <c r="BF143" t="n">
        <v>100</v>
      </c>
      <c r="BG143" t="n">
        <v>1</v>
      </c>
      <c r="BH143" t="n">
        <v>2.8</v>
      </c>
      <c r="BI143" t="n">
        <v>2.4</v>
      </c>
      <c r="BJ143" t="n">
        <v>92.2</v>
      </c>
      <c r="BK143" t="n">
        <v>90.3</v>
      </c>
      <c r="BL143" t="n">
        <v>95.5</v>
      </c>
      <c r="BM143" t="n">
        <v>95.5</v>
      </c>
      <c r="BN143" t="n">
        <v>4.5</v>
      </c>
      <c r="BO143" t="n">
        <v>4.5</v>
      </c>
      <c r="BP143" t="n">
        <v>0</v>
      </c>
      <c r="BQ143" t="n">
        <v>0</v>
      </c>
      <c r="BR143" t="n">
        <v>0</v>
      </c>
      <c r="BS143" t="n">
        <v>0</v>
      </c>
      <c r="BT143" t="n">
        <v>0</v>
      </c>
      <c r="BU143" t="n">
        <v>0</v>
      </c>
      <c r="BV143" t="n">
        <v>0</v>
      </c>
      <c r="BW143" t="n">
        <v>0</v>
      </c>
      <c r="BX143" t="n">
        <v>0</v>
      </c>
      <c r="BY143" t="n">
        <v>0</v>
      </c>
      <c r="BZ143" t="n">
        <v>48</v>
      </c>
      <c r="CA143" t="n">
        <v>5</v>
      </c>
      <c r="CB143" t="n">
        <v>3</v>
      </c>
      <c r="CC143" t="n">
        <v>5</v>
      </c>
      <c r="CD143" t="n">
        <v>26</v>
      </c>
      <c r="CE143" t="n">
        <v>32</v>
      </c>
      <c r="CF143" t="n">
        <v>33</v>
      </c>
      <c r="CG143" t="n">
        <v>38</v>
      </c>
      <c r="CH143" t="n">
        <v>48</v>
      </c>
      <c r="CI143" t="n">
        <v>5</v>
      </c>
      <c r="CJ143" t="n">
        <v>3</v>
      </c>
      <c r="CK143" t="n">
        <v>5</v>
      </c>
      <c r="CL143" t="n">
        <v>26</v>
      </c>
      <c r="CM143" t="n">
        <v>32</v>
      </c>
      <c r="CN143" t="n">
        <v>33</v>
      </c>
      <c r="CO143" t="n">
        <v>38</v>
      </c>
      <c r="CP143" t="n">
        <v>0</v>
      </c>
      <c r="CQ143" t="n">
        <v>0</v>
      </c>
      <c r="CR143" t="n">
        <v>0</v>
      </c>
      <c r="CS143" t="n">
        <v>0</v>
      </c>
      <c r="CT143" t="n">
        <v>0</v>
      </c>
      <c r="CU143" t="n">
        <v>0</v>
      </c>
      <c r="CV143" t="n">
        <v>0</v>
      </c>
      <c r="CW143" t="n">
        <v>0</v>
      </c>
      <c r="CX143" t="n">
        <v>48.9</v>
      </c>
      <c r="CY143" t="n">
        <v>46.4</v>
      </c>
      <c r="CZ143" t="n">
        <v>72.3</v>
      </c>
      <c r="DA143" t="n">
        <v>62.8</v>
      </c>
      <c r="DB143" t="n">
        <v>48.9</v>
      </c>
      <c r="DC143" t="n">
        <v>46.4</v>
      </c>
      <c r="DD143" t="n">
        <v>67.59999999999999</v>
      </c>
      <c r="DE143" t="n">
        <v>60.6</v>
      </c>
      <c r="DF143" t="n">
        <v>48.9</v>
      </c>
      <c r="DG143" t="n">
        <v>46.4</v>
      </c>
      <c r="DH143" t="n">
        <v>72.3</v>
      </c>
      <c r="DI143" t="n">
        <v>62.8</v>
      </c>
      <c r="DJ143" t="n">
        <v>48.9</v>
      </c>
      <c r="DK143" t="n">
        <v>46.4</v>
      </c>
      <c r="DL143" t="n">
        <v>67.59999999999999</v>
      </c>
      <c r="DM143" t="n">
        <v>60.6</v>
      </c>
      <c r="DN143" t="n">
        <v>0</v>
      </c>
      <c r="DO143" t="n">
        <v>0</v>
      </c>
      <c r="DP143" t="n">
        <v>0</v>
      </c>
      <c r="DQ143" t="n">
        <v>0</v>
      </c>
      <c r="DR143" t="n">
        <v>0</v>
      </c>
      <c r="DS143" t="n">
        <v>0</v>
      </c>
      <c r="DT143" t="n">
        <v>0</v>
      </c>
      <c r="DU143" t="n">
        <v>0</v>
      </c>
      <c r="DV143" t="inlineStr">
        <is>
          <t>2500 mm btu</t>
        </is>
      </c>
    </row>
    <row r="144">
      <c r="A144" t="inlineStr">
        <is>
          <t>TETCO M3 BASIS - ICE FUTURES ENERGY DIV</t>
        </is>
      </c>
      <c r="B144" t="n">
        <v>230103</v>
      </c>
      <c r="C144" s="1" t="n">
        <v>44929</v>
      </c>
      <c r="D144" t="inlineStr">
        <is>
          <t>0233CH</t>
        </is>
      </c>
      <c r="E144" t="inlineStr">
        <is>
          <t>IFED</t>
        </is>
      </c>
      <c r="F144" t="inlineStr">
        <is>
          <t>01</t>
        </is>
      </c>
      <c r="G144" t="inlineStr">
        <is>
          <t xml:space="preserve">023 </t>
        </is>
      </c>
      <c r="H144" t="n">
        <v>189672</v>
      </c>
      <c r="I144" s="17" t="n">
        <v>3226</v>
      </c>
      <c r="J144" s="17" t="n">
        <v>7394</v>
      </c>
      <c r="K144" t="n">
        <v>3299</v>
      </c>
      <c r="L144" t="n">
        <v>174175</v>
      </c>
      <c r="M144" t="n">
        <v>171306</v>
      </c>
      <c r="N144" t="n">
        <v>180700</v>
      </c>
      <c r="O144" t="n">
        <v>181999</v>
      </c>
      <c r="P144" t="n">
        <v>8972</v>
      </c>
      <c r="Q144" t="n">
        <v>7673</v>
      </c>
      <c r="R144" t="n">
        <v>189672</v>
      </c>
      <c r="S144" t="n">
        <v>3226</v>
      </c>
      <c r="T144" t="n">
        <v>7394</v>
      </c>
      <c r="U144" t="n">
        <v>3299</v>
      </c>
      <c r="V144" t="n">
        <v>174175</v>
      </c>
      <c r="W144" t="n">
        <v>171306</v>
      </c>
      <c r="X144" t="n">
        <v>180700</v>
      </c>
      <c r="Y144" t="n">
        <v>181999</v>
      </c>
      <c r="Z144" t="n">
        <v>8972</v>
      </c>
      <c r="AA144" t="n">
        <v>7673</v>
      </c>
      <c r="AB144" t="n">
        <v>0</v>
      </c>
      <c r="AC144" t="n">
        <v>0</v>
      </c>
      <c r="AD144" t="n">
        <v>0</v>
      </c>
      <c r="AE144" t="n">
        <v>0</v>
      </c>
      <c r="AF144" t="n">
        <v>0</v>
      </c>
      <c r="AG144" t="n">
        <v>0</v>
      </c>
      <c r="AH144" t="n">
        <v>0</v>
      </c>
      <c r="AI144" t="n">
        <v>0</v>
      </c>
      <c r="AJ144" t="n">
        <v>0</v>
      </c>
      <c r="AK144" t="n">
        <v>0</v>
      </c>
      <c r="AL144" t="n">
        <v>1529</v>
      </c>
      <c r="AM144" t="n">
        <v>1711</v>
      </c>
      <c r="AN144" t="n">
        <v>1852</v>
      </c>
      <c r="AO144" t="n">
        <v>-454</v>
      </c>
      <c r="AP144" t="n">
        <v>925</v>
      </c>
      <c r="AQ144" t="n">
        <v>-140</v>
      </c>
      <c r="AR144" t="n">
        <v>2182</v>
      </c>
      <c r="AS144" t="n">
        <v>1258</v>
      </c>
      <c r="AT144" t="n">
        <v>-653</v>
      </c>
      <c r="AU144" t="n">
        <v>271</v>
      </c>
      <c r="AV144" t="n">
        <v>100</v>
      </c>
      <c r="AW144" t="n">
        <v>1.7</v>
      </c>
      <c r="AX144" t="n">
        <v>3.9</v>
      </c>
      <c r="AY144" t="n">
        <v>1.7</v>
      </c>
      <c r="AZ144" t="n">
        <v>91.8</v>
      </c>
      <c r="BA144" t="n">
        <v>90.3</v>
      </c>
      <c r="BB144" t="n">
        <v>95.3</v>
      </c>
      <c r="BC144" t="n">
        <v>96</v>
      </c>
      <c r="BD144" t="n">
        <v>4.7</v>
      </c>
      <c r="BE144" t="n">
        <v>4</v>
      </c>
      <c r="BF144" t="n">
        <v>100</v>
      </c>
      <c r="BG144" t="n">
        <v>1.7</v>
      </c>
      <c r="BH144" t="n">
        <v>3.9</v>
      </c>
      <c r="BI144" t="n">
        <v>1.7</v>
      </c>
      <c r="BJ144" t="n">
        <v>91.8</v>
      </c>
      <c r="BK144" t="n">
        <v>90.3</v>
      </c>
      <c r="BL144" t="n">
        <v>95.3</v>
      </c>
      <c r="BM144" t="n">
        <v>96</v>
      </c>
      <c r="BN144" t="n">
        <v>4.7</v>
      </c>
      <c r="BO144" t="n">
        <v>4</v>
      </c>
      <c r="BP144" t="n">
        <v>0</v>
      </c>
      <c r="BQ144" t="n">
        <v>0</v>
      </c>
      <c r="BR144" t="n">
        <v>0</v>
      </c>
      <c r="BS144" t="n">
        <v>0</v>
      </c>
      <c r="BT144" t="n">
        <v>0</v>
      </c>
      <c r="BU144" t="n">
        <v>0</v>
      </c>
      <c r="BV144" t="n">
        <v>0</v>
      </c>
      <c r="BW144" t="n">
        <v>0</v>
      </c>
      <c r="BX144" t="n">
        <v>0</v>
      </c>
      <c r="BY144" t="n">
        <v>0</v>
      </c>
      <c r="BZ144" t="n">
        <v>49</v>
      </c>
      <c r="CA144" t="n">
        <v>5</v>
      </c>
      <c r="CB144" t="n">
        <v>4</v>
      </c>
      <c r="CC144" t="n">
        <v>4</v>
      </c>
      <c r="CD144" t="n">
        <v>25</v>
      </c>
      <c r="CE144" t="n">
        <v>32</v>
      </c>
      <c r="CF144" t="n">
        <v>33</v>
      </c>
      <c r="CG144" t="n">
        <v>37</v>
      </c>
      <c r="CH144" t="n">
        <v>49</v>
      </c>
      <c r="CI144" t="n">
        <v>5</v>
      </c>
      <c r="CJ144" t="n">
        <v>4</v>
      </c>
      <c r="CK144" t="n">
        <v>4</v>
      </c>
      <c r="CL144" t="n">
        <v>25</v>
      </c>
      <c r="CM144" t="n">
        <v>32</v>
      </c>
      <c r="CN144" t="n">
        <v>33</v>
      </c>
      <c r="CO144" t="n">
        <v>37</v>
      </c>
      <c r="CP144" t="n">
        <v>0</v>
      </c>
      <c r="CQ144" t="n">
        <v>0</v>
      </c>
      <c r="CR144" t="n">
        <v>0</v>
      </c>
      <c r="CS144" t="n">
        <v>0</v>
      </c>
      <c r="CT144" t="n">
        <v>0</v>
      </c>
      <c r="CU144" t="n">
        <v>0</v>
      </c>
      <c r="CV144" t="n">
        <v>0</v>
      </c>
      <c r="CW144" t="n">
        <v>0</v>
      </c>
      <c r="CX144" t="n">
        <v>48.5</v>
      </c>
      <c r="CY144" t="n">
        <v>45</v>
      </c>
      <c r="CZ144" t="n">
        <v>71.7</v>
      </c>
      <c r="DA144" t="n">
        <v>61.2</v>
      </c>
      <c r="DB144" t="n">
        <v>48.2</v>
      </c>
      <c r="DC144" t="n">
        <v>45</v>
      </c>
      <c r="DD144" t="n">
        <v>67.3</v>
      </c>
      <c r="DE144" t="n">
        <v>59.1</v>
      </c>
      <c r="DF144" t="n">
        <v>48.5</v>
      </c>
      <c r="DG144" t="n">
        <v>45</v>
      </c>
      <c r="DH144" t="n">
        <v>71.7</v>
      </c>
      <c r="DI144" t="n">
        <v>61.2</v>
      </c>
      <c r="DJ144" t="n">
        <v>48.2</v>
      </c>
      <c r="DK144" t="n">
        <v>45</v>
      </c>
      <c r="DL144" t="n">
        <v>67.3</v>
      </c>
      <c r="DM144" t="n">
        <v>59.1</v>
      </c>
      <c r="DN144" t="n">
        <v>0</v>
      </c>
      <c r="DO144" t="n">
        <v>0</v>
      </c>
      <c r="DP144" t="n">
        <v>0</v>
      </c>
      <c r="DQ144" t="n">
        <v>0</v>
      </c>
      <c r="DR144" t="n">
        <v>0</v>
      </c>
      <c r="DS144" t="n">
        <v>0</v>
      </c>
      <c r="DT144" t="n">
        <v>0</v>
      </c>
      <c r="DU144" t="n">
        <v>0</v>
      </c>
      <c r="DV144" t="inlineStr">
        <is>
          <t>2500 mm btu</t>
        </is>
      </c>
    </row>
    <row r="145">
      <c r="A145" t="inlineStr">
        <is>
          <t>TGT ZONE 1 BASIS - ICE FUTURES ENERGY DIV</t>
        </is>
      </c>
      <c r="B145" t="n">
        <v>230110</v>
      </c>
      <c r="C145" s="1" t="n">
        <v>44936</v>
      </c>
      <c r="D145" t="inlineStr">
        <is>
          <t>0233CM</t>
        </is>
      </c>
      <c r="E145" t="inlineStr">
        <is>
          <t>IFED</t>
        </is>
      </c>
      <c r="F145" t="inlineStr">
        <is>
          <t>01</t>
        </is>
      </c>
      <c r="G145" t="inlineStr">
        <is>
          <t xml:space="preserve">023 </t>
        </is>
      </c>
      <c r="H145" t="n">
        <v>83543</v>
      </c>
      <c r="I145" s="17" t="n">
        <v>2885</v>
      </c>
      <c r="J145" s="17" t="n">
        <v>0</v>
      </c>
      <c r="K145" t="n">
        <v>112</v>
      </c>
      <c r="L145" t="n">
        <v>75428</v>
      </c>
      <c r="M145" t="n">
        <v>75208</v>
      </c>
      <c r="N145" t="n">
        <v>78425</v>
      </c>
      <c r="O145" t="n">
        <v>75320</v>
      </c>
      <c r="P145" t="n">
        <v>5118</v>
      </c>
      <c r="Q145" t="n">
        <v>8223</v>
      </c>
      <c r="R145" t="n">
        <v>83543</v>
      </c>
      <c r="S145" t="n">
        <v>2885</v>
      </c>
      <c r="T145" t="n">
        <v>0</v>
      </c>
      <c r="U145" t="n">
        <v>112</v>
      </c>
      <c r="V145" t="n">
        <v>75428</v>
      </c>
      <c r="W145" t="n">
        <v>75208</v>
      </c>
      <c r="X145" t="n">
        <v>78425</v>
      </c>
      <c r="Y145" t="n">
        <v>75320</v>
      </c>
      <c r="Z145" t="n">
        <v>5118</v>
      </c>
      <c r="AA145" t="n">
        <v>8223</v>
      </c>
      <c r="AB145" t="n">
        <v>0</v>
      </c>
      <c r="AC145" t="n">
        <v>0</v>
      </c>
      <c r="AD145" t="n">
        <v>0</v>
      </c>
      <c r="AE145" t="n">
        <v>0</v>
      </c>
      <c r="AF145" t="n">
        <v>0</v>
      </c>
      <c r="AG145" t="n">
        <v>0</v>
      </c>
      <c r="AH145" t="n">
        <v>0</v>
      </c>
      <c r="AI145" t="n">
        <v>0</v>
      </c>
      <c r="AJ145" t="n">
        <v>0</v>
      </c>
      <c r="AK145" t="n">
        <v>0</v>
      </c>
      <c r="AL145" t="n">
        <v>-6102</v>
      </c>
      <c r="AM145" t="n">
        <v>558</v>
      </c>
      <c r="AN145" t="n">
        <v>0</v>
      </c>
      <c r="AO145" t="n">
        <v>0</v>
      </c>
      <c r="AP145" t="n">
        <v>-7715</v>
      </c>
      <c r="AQ145" t="n">
        <v>-6604</v>
      </c>
      <c r="AR145" t="n">
        <v>-7157</v>
      </c>
      <c r="AS145" t="n">
        <v>-6604</v>
      </c>
      <c r="AT145" t="n">
        <v>1055</v>
      </c>
      <c r="AU145" t="n">
        <v>502</v>
      </c>
      <c r="AV145" t="n">
        <v>100</v>
      </c>
      <c r="AW145" t="n">
        <v>3.5</v>
      </c>
      <c r="AX145" t="n">
        <v>0</v>
      </c>
      <c r="AY145" t="n">
        <v>0.1</v>
      </c>
      <c r="AZ145" t="n">
        <v>90.3</v>
      </c>
      <c r="BA145" t="n">
        <v>90</v>
      </c>
      <c r="BB145" t="n">
        <v>93.90000000000001</v>
      </c>
      <c r="BC145" t="n">
        <v>90.2</v>
      </c>
      <c r="BD145" t="n">
        <v>6.1</v>
      </c>
      <c r="BE145" t="n">
        <v>9.800000000000001</v>
      </c>
      <c r="BF145" t="n">
        <v>100</v>
      </c>
      <c r="BG145" t="n">
        <v>3.5</v>
      </c>
      <c r="BH145" t="n">
        <v>0</v>
      </c>
      <c r="BI145" t="n">
        <v>0.1</v>
      </c>
      <c r="BJ145" t="n">
        <v>90.3</v>
      </c>
      <c r="BK145" t="n">
        <v>90</v>
      </c>
      <c r="BL145" t="n">
        <v>93.90000000000001</v>
      </c>
      <c r="BM145" t="n">
        <v>90.2</v>
      </c>
      <c r="BN145" t="n">
        <v>6.1</v>
      </c>
      <c r="BO145" t="n">
        <v>9.800000000000001</v>
      </c>
      <c r="BP145" t="n">
        <v>0</v>
      </c>
      <c r="BQ145" t="n">
        <v>0</v>
      </c>
      <c r="BR145" t="n">
        <v>0</v>
      </c>
      <c r="BS145" t="n">
        <v>0</v>
      </c>
      <c r="BT145" t="n">
        <v>0</v>
      </c>
      <c r="BU145" t="n">
        <v>0</v>
      </c>
      <c r="BV145" t="n">
        <v>0</v>
      </c>
      <c r="BW145" t="n">
        <v>0</v>
      </c>
      <c r="BX145" t="n">
        <v>0</v>
      </c>
      <c r="BY145" t="n">
        <v>0</v>
      </c>
      <c r="BZ145" t="n">
        <v>30</v>
      </c>
      <c r="CA145" t="n">
        <v>2</v>
      </c>
      <c r="CB145" t="n">
        <v>0</v>
      </c>
      <c r="CC145" t="n">
        <v>1</v>
      </c>
      <c r="CD145" t="n">
        <v>20</v>
      </c>
      <c r="CE145" t="n">
        <v>19</v>
      </c>
      <c r="CF145" t="n">
        <v>22</v>
      </c>
      <c r="CG145" t="n">
        <v>20</v>
      </c>
      <c r="CH145" t="n">
        <v>30</v>
      </c>
      <c r="CI145" t="n">
        <v>2</v>
      </c>
      <c r="CJ145" t="n">
        <v>0</v>
      </c>
      <c r="CK145" t="n">
        <v>1</v>
      </c>
      <c r="CL145" t="n">
        <v>20</v>
      </c>
      <c r="CM145" t="n">
        <v>19</v>
      </c>
      <c r="CN145" t="n">
        <v>22</v>
      </c>
      <c r="CO145" t="n">
        <v>20</v>
      </c>
      <c r="CP145" t="n">
        <v>0</v>
      </c>
      <c r="CQ145" t="n">
        <v>0</v>
      </c>
      <c r="CR145" t="n">
        <v>0</v>
      </c>
      <c r="CS145" t="n">
        <v>0</v>
      </c>
      <c r="CT145" t="n">
        <v>0</v>
      </c>
      <c r="CU145" t="n">
        <v>0</v>
      </c>
      <c r="CV145" t="n">
        <v>0</v>
      </c>
      <c r="CW145" t="n">
        <v>0</v>
      </c>
      <c r="CX145" t="n">
        <v>51.3</v>
      </c>
      <c r="CY145" t="n">
        <v>58.5</v>
      </c>
      <c r="CZ145" t="n">
        <v>72.8</v>
      </c>
      <c r="DA145" t="n">
        <v>74.2</v>
      </c>
      <c r="DB145" t="n">
        <v>49.3</v>
      </c>
      <c r="DC145" t="n">
        <v>55.4</v>
      </c>
      <c r="DD145" t="n">
        <v>70.90000000000001</v>
      </c>
      <c r="DE145" t="n">
        <v>70</v>
      </c>
      <c r="DF145" t="n">
        <v>51.3</v>
      </c>
      <c r="DG145" t="n">
        <v>58.5</v>
      </c>
      <c r="DH145" t="n">
        <v>72.8</v>
      </c>
      <c r="DI145" t="n">
        <v>74.2</v>
      </c>
      <c r="DJ145" t="n">
        <v>49.3</v>
      </c>
      <c r="DK145" t="n">
        <v>55.4</v>
      </c>
      <c r="DL145" t="n">
        <v>70.90000000000001</v>
      </c>
      <c r="DM145" t="n">
        <v>70</v>
      </c>
      <c r="DN145" t="n">
        <v>0</v>
      </c>
      <c r="DO145" t="n">
        <v>0</v>
      </c>
      <c r="DP145" t="n">
        <v>0</v>
      </c>
      <c r="DQ145" t="n">
        <v>0</v>
      </c>
      <c r="DR145" t="n">
        <v>0</v>
      </c>
      <c r="DS145" t="n">
        <v>0</v>
      </c>
      <c r="DT145" t="n">
        <v>0</v>
      </c>
      <c r="DU145" t="n">
        <v>0</v>
      </c>
      <c r="DV145" t="inlineStr">
        <is>
          <t>2500 MMBtus</t>
        </is>
      </c>
    </row>
    <row r="146">
      <c r="A146" t="inlineStr">
        <is>
          <t>TGT ZONE 1 BASIS - ICE FUTURES ENERGY DIV</t>
        </is>
      </c>
      <c r="B146" t="n">
        <v>230103</v>
      </c>
      <c r="C146" s="1" t="n">
        <v>44929</v>
      </c>
      <c r="D146" t="inlineStr">
        <is>
          <t>0233CM</t>
        </is>
      </c>
      <c r="E146" t="inlineStr">
        <is>
          <t>IFED</t>
        </is>
      </c>
      <c r="F146" t="inlineStr">
        <is>
          <t>01</t>
        </is>
      </c>
      <c r="G146" t="inlineStr">
        <is>
          <t xml:space="preserve">023 </t>
        </is>
      </c>
      <c r="H146" t="n">
        <v>89645</v>
      </c>
      <c r="I146" s="17" t="n">
        <v>2327</v>
      </c>
      <c r="J146" s="17" t="n">
        <v>0</v>
      </c>
      <c r="K146" t="n">
        <v>112</v>
      </c>
      <c r="L146" t="n">
        <v>83143</v>
      </c>
      <c r="M146" t="n">
        <v>81812</v>
      </c>
      <c r="N146" t="n">
        <v>85582</v>
      </c>
      <c r="O146" t="n">
        <v>81924</v>
      </c>
      <c r="P146" t="n">
        <v>4063</v>
      </c>
      <c r="Q146" t="n">
        <v>7721</v>
      </c>
      <c r="R146" t="n">
        <v>89645</v>
      </c>
      <c r="S146" t="n">
        <v>2327</v>
      </c>
      <c r="T146" t="n">
        <v>0</v>
      </c>
      <c r="U146" t="n">
        <v>112</v>
      </c>
      <c r="V146" t="n">
        <v>83143</v>
      </c>
      <c r="W146" t="n">
        <v>81812</v>
      </c>
      <c r="X146" t="n">
        <v>85582</v>
      </c>
      <c r="Y146" t="n">
        <v>81924</v>
      </c>
      <c r="Z146" t="n">
        <v>4063</v>
      </c>
      <c r="AA146" t="n">
        <v>7721</v>
      </c>
      <c r="AB146" t="n">
        <v>0</v>
      </c>
      <c r="AC146" t="n">
        <v>0</v>
      </c>
      <c r="AD146" t="n">
        <v>0</v>
      </c>
      <c r="AE146" t="n">
        <v>0</v>
      </c>
      <c r="AF146" t="n">
        <v>0</v>
      </c>
      <c r="AG146" t="n">
        <v>0</v>
      </c>
      <c r="AH146" t="n">
        <v>0</v>
      </c>
      <c r="AI146" t="n">
        <v>0</v>
      </c>
      <c r="AJ146" t="n">
        <v>0</v>
      </c>
      <c r="AK146" t="n">
        <v>0</v>
      </c>
      <c r="AL146" t="n">
        <v>0</v>
      </c>
      <c r="AM146" t="n">
        <v>0</v>
      </c>
      <c r="AN146" t="n">
        <v>0</v>
      </c>
      <c r="AO146" t="n">
        <v>0</v>
      </c>
      <c r="AP146" t="n">
        <v>0</v>
      </c>
      <c r="AQ146" t="n">
        <v>0</v>
      </c>
      <c r="AR146" t="n">
        <v>0</v>
      </c>
      <c r="AS146" t="n">
        <v>0</v>
      </c>
      <c r="AT146" t="n">
        <v>0</v>
      </c>
      <c r="AU146" t="n">
        <v>0</v>
      </c>
      <c r="AV146" t="n">
        <v>100</v>
      </c>
      <c r="AW146" t="n">
        <v>2.6</v>
      </c>
      <c r="AX146" t="n">
        <v>0</v>
      </c>
      <c r="AY146" t="n">
        <v>0.1</v>
      </c>
      <c r="AZ146" t="n">
        <v>92.7</v>
      </c>
      <c r="BA146" t="n">
        <v>91.3</v>
      </c>
      <c r="BB146" t="n">
        <v>95.5</v>
      </c>
      <c r="BC146" t="n">
        <v>91.40000000000001</v>
      </c>
      <c r="BD146" t="n">
        <v>4.5</v>
      </c>
      <c r="BE146" t="n">
        <v>8.6</v>
      </c>
      <c r="BF146" t="n">
        <v>100</v>
      </c>
      <c r="BG146" t="n">
        <v>2.6</v>
      </c>
      <c r="BH146" t="n">
        <v>0</v>
      </c>
      <c r="BI146" t="n">
        <v>0.1</v>
      </c>
      <c r="BJ146" t="n">
        <v>92.7</v>
      </c>
      <c r="BK146" t="n">
        <v>91.3</v>
      </c>
      <c r="BL146" t="n">
        <v>95.5</v>
      </c>
      <c r="BM146" t="n">
        <v>91.40000000000001</v>
      </c>
      <c r="BN146" t="n">
        <v>4.5</v>
      </c>
      <c r="BO146" t="n">
        <v>8.6</v>
      </c>
      <c r="BP146" t="n">
        <v>0</v>
      </c>
      <c r="BQ146" t="n">
        <v>0</v>
      </c>
      <c r="BR146" t="n">
        <v>0</v>
      </c>
      <c r="BS146" t="n">
        <v>0</v>
      </c>
      <c r="BT146" t="n">
        <v>0</v>
      </c>
      <c r="BU146" t="n">
        <v>0</v>
      </c>
      <c r="BV146" t="n">
        <v>0</v>
      </c>
      <c r="BW146" t="n">
        <v>0</v>
      </c>
      <c r="BX146" t="n">
        <v>0</v>
      </c>
      <c r="BY146" t="n">
        <v>0</v>
      </c>
      <c r="BZ146" t="n">
        <v>33</v>
      </c>
      <c r="CA146" t="n">
        <v>3</v>
      </c>
      <c r="CB146" t="n">
        <v>0</v>
      </c>
      <c r="CC146" t="n">
        <v>1</v>
      </c>
      <c r="CD146" t="n">
        <v>22</v>
      </c>
      <c r="CE146" t="n">
        <v>21</v>
      </c>
      <c r="CF146" t="n">
        <v>25</v>
      </c>
      <c r="CG146" t="n">
        <v>22</v>
      </c>
      <c r="CH146" t="n">
        <v>33</v>
      </c>
      <c r="CI146" t="n">
        <v>3</v>
      </c>
      <c r="CJ146" t="n">
        <v>0</v>
      </c>
      <c r="CK146" t="n">
        <v>1</v>
      </c>
      <c r="CL146" t="n">
        <v>22</v>
      </c>
      <c r="CM146" t="n">
        <v>21</v>
      </c>
      <c r="CN146" t="n">
        <v>25</v>
      </c>
      <c r="CO146" t="n">
        <v>22</v>
      </c>
      <c r="CP146" t="n">
        <v>0</v>
      </c>
      <c r="CQ146" t="n">
        <v>0</v>
      </c>
      <c r="CR146" t="n">
        <v>0</v>
      </c>
      <c r="CS146" t="n">
        <v>0</v>
      </c>
      <c r="CT146" t="n">
        <v>0</v>
      </c>
      <c r="CU146" t="n">
        <v>0</v>
      </c>
      <c r="CV146" t="n">
        <v>0</v>
      </c>
      <c r="CW146" t="n">
        <v>0</v>
      </c>
      <c r="CX146" t="n">
        <v>47.6</v>
      </c>
      <c r="CY146" t="n">
        <v>52.4</v>
      </c>
      <c r="CZ146" t="n">
        <v>70.40000000000001</v>
      </c>
      <c r="DA146" t="n">
        <v>68.5</v>
      </c>
      <c r="DB146" t="n">
        <v>44.5</v>
      </c>
      <c r="DC146" t="n">
        <v>48.5</v>
      </c>
      <c r="DD146" t="n">
        <v>67.40000000000001</v>
      </c>
      <c r="DE146" t="n">
        <v>63.4</v>
      </c>
      <c r="DF146" t="n">
        <v>47.6</v>
      </c>
      <c r="DG146" t="n">
        <v>52.4</v>
      </c>
      <c r="DH146" t="n">
        <v>70.40000000000001</v>
      </c>
      <c r="DI146" t="n">
        <v>68.5</v>
      </c>
      <c r="DJ146" t="n">
        <v>44.5</v>
      </c>
      <c r="DK146" t="n">
        <v>48.5</v>
      </c>
      <c r="DL146" t="n">
        <v>67.40000000000001</v>
      </c>
      <c r="DM146" t="n">
        <v>63.4</v>
      </c>
      <c r="DN146" t="n">
        <v>0</v>
      </c>
      <c r="DO146" t="n">
        <v>0</v>
      </c>
      <c r="DP146" t="n">
        <v>0</v>
      </c>
      <c r="DQ146" t="n">
        <v>0</v>
      </c>
      <c r="DR146" t="n">
        <v>0</v>
      </c>
      <c r="DS146" t="n">
        <v>0</v>
      </c>
      <c r="DT146" t="n">
        <v>0</v>
      </c>
      <c r="DU146" t="n">
        <v>0</v>
      </c>
      <c r="DV146" t="inlineStr">
        <is>
          <t>2500 MMBtus</t>
        </is>
      </c>
    </row>
    <row r="147">
      <c r="A147" t="inlineStr">
        <is>
          <t>TRANSCO STN 85 MONTHLY INDEX - ICE FUTURES ENERGY DIV</t>
        </is>
      </c>
      <c r="B147" t="n">
        <v>230103</v>
      </c>
      <c r="C147" s="1" t="n">
        <v>44929</v>
      </c>
      <c r="D147" t="inlineStr">
        <is>
          <t>0233CS</t>
        </is>
      </c>
      <c r="E147" t="inlineStr">
        <is>
          <t>IFED</t>
        </is>
      </c>
      <c r="F147" t="inlineStr">
        <is>
          <t>01</t>
        </is>
      </c>
      <c r="G147" t="inlineStr">
        <is>
          <t xml:space="preserve">023 </t>
        </is>
      </c>
      <c r="H147" t="n">
        <v>29210</v>
      </c>
      <c r="I147" s="17" t="n">
        <v>372</v>
      </c>
      <c r="J147" s="17" t="n">
        <v>0</v>
      </c>
      <c r="K147" t="n">
        <v>0</v>
      </c>
      <c r="L147" t="n">
        <v>26783</v>
      </c>
      <c r="M147" t="n">
        <v>27883</v>
      </c>
      <c r="N147" t="n">
        <v>27155</v>
      </c>
      <c r="O147" t="n">
        <v>27883</v>
      </c>
      <c r="P147" t="n">
        <v>2055</v>
      </c>
      <c r="Q147" t="n">
        <v>1327</v>
      </c>
      <c r="R147" t="n">
        <v>29210</v>
      </c>
      <c r="S147" t="n">
        <v>372</v>
      </c>
      <c r="T147" t="n">
        <v>0</v>
      </c>
      <c r="U147" t="n">
        <v>0</v>
      </c>
      <c r="V147" t="n">
        <v>26783</v>
      </c>
      <c r="W147" t="n">
        <v>27883</v>
      </c>
      <c r="X147" t="n">
        <v>27155</v>
      </c>
      <c r="Y147" t="n">
        <v>27883</v>
      </c>
      <c r="Z147" t="n">
        <v>2055</v>
      </c>
      <c r="AA147" t="n">
        <v>1327</v>
      </c>
      <c r="AB147" t="n">
        <v>0</v>
      </c>
      <c r="AC147" t="n">
        <v>0</v>
      </c>
      <c r="AD147" t="n">
        <v>0</v>
      </c>
      <c r="AE147" t="n">
        <v>0</v>
      </c>
      <c r="AF147" t="n">
        <v>0</v>
      </c>
      <c r="AG147" t="n">
        <v>0</v>
      </c>
      <c r="AH147" t="n">
        <v>0</v>
      </c>
      <c r="AI147" t="n">
        <v>0</v>
      </c>
      <c r="AJ147" t="n">
        <v>0</v>
      </c>
      <c r="AK147" t="n">
        <v>0</v>
      </c>
      <c r="AL147" t="n">
        <v>465</v>
      </c>
      <c r="AM147" t="n">
        <v>0</v>
      </c>
      <c r="AN147" t="n">
        <v>0</v>
      </c>
      <c r="AO147" t="n">
        <v>0</v>
      </c>
      <c r="AP147" t="n">
        <v>341</v>
      </c>
      <c r="AQ147" t="n">
        <v>155</v>
      </c>
      <c r="AR147" t="n">
        <v>341</v>
      </c>
      <c r="AS147" t="n">
        <v>155</v>
      </c>
      <c r="AT147" t="n">
        <v>124</v>
      </c>
      <c r="AU147" t="n">
        <v>310</v>
      </c>
      <c r="AV147" t="n">
        <v>100</v>
      </c>
      <c r="AW147" t="n">
        <v>1.3</v>
      </c>
      <c r="AX147" t="n">
        <v>0</v>
      </c>
      <c r="AY147" t="n">
        <v>0</v>
      </c>
      <c r="AZ147" t="n">
        <v>91.7</v>
      </c>
      <c r="BA147" t="n">
        <v>95.5</v>
      </c>
      <c r="BB147" t="n">
        <v>93</v>
      </c>
      <c r="BC147" t="n">
        <v>95.5</v>
      </c>
      <c r="BD147" t="n">
        <v>7</v>
      </c>
      <c r="BE147" t="n">
        <v>4.5</v>
      </c>
      <c r="BF147" t="n">
        <v>100</v>
      </c>
      <c r="BG147" t="n">
        <v>1.3</v>
      </c>
      <c r="BH147" t="n">
        <v>0</v>
      </c>
      <c r="BI147" t="n">
        <v>0</v>
      </c>
      <c r="BJ147" t="n">
        <v>91.7</v>
      </c>
      <c r="BK147" t="n">
        <v>95.5</v>
      </c>
      <c r="BL147" t="n">
        <v>93</v>
      </c>
      <c r="BM147" t="n">
        <v>95.5</v>
      </c>
      <c r="BN147" t="n">
        <v>7</v>
      </c>
      <c r="BO147" t="n">
        <v>4.5</v>
      </c>
      <c r="BP147" t="n">
        <v>0</v>
      </c>
      <c r="BQ147" t="n">
        <v>0</v>
      </c>
      <c r="BR147" t="n">
        <v>0</v>
      </c>
      <c r="BS147" t="n">
        <v>0</v>
      </c>
      <c r="BT147" t="n">
        <v>0</v>
      </c>
      <c r="BU147" t="n">
        <v>0</v>
      </c>
      <c r="BV147" t="n">
        <v>0</v>
      </c>
      <c r="BW147" t="n">
        <v>0</v>
      </c>
      <c r="BX147" t="n">
        <v>0</v>
      </c>
      <c r="BY147" t="n">
        <v>0</v>
      </c>
      <c r="BZ147" t="n">
        <v>22</v>
      </c>
      <c r="CA147" t="n">
        <v>1</v>
      </c>
      <c r="CB147" t="n">
        <v>0</v>
      </c>
      <c r="CC147" t="n">
        <v>0</v>
      </c>
      <c r="CD147" t="n">
        <v>14</v>
      </c>
      <c r="CE147" t="n">
        <v>10</v>
      </c>
      <c r="CF147" t="n">
        <v>15</v>
      </c>
      <c r="CG147" t="n">
        <v>10</v>
      </c>
      <c r="CH147" t="n">
        <v>22</v>
      </c>
      <c r="CI147" t="n">
        <v>1</v>
      </c>
      <c r="CJ147" t="n">
        <v>0</v>
      </c>
      <c r="CK147" t="n">
        <v>0</v>
      </c>
      <c r="CL147" t="n">
        <v>14</v>
      </c>
      <c r="CM147" t="n">
        <v>10</v>
      </c>
      <c r="CN147" t="n">
        <v>15</v>
      </c>
      <c r="CO147" t="n">
        <v>10</v>
      </c>
      <c r="CP147" t="n">
        <v>0</v>
      </c>
      <c r="CQ147" t="n">
        <v>0</v>
      </c>
      <c r="CR147" t="n">
        <v>0</v>
      </c>
      <c r="CS147" t="n">
        <v>0</v>
      </c>
      <c r="CT147" t="n">
        <v>0</v>
      </c>
      <c r="CU147" t="n">
        <v>0</v>
      </c>
      <c r="CV147" t="n">
        <v>0</v>
      </c>
      <c r="CW147" t="n">
        <v>0</v>
      </c>
      <c r="CX147" t="n">
        <v>47.7</v>
      </c>
      <c r="CY147" t="n">
        <v>62.9</v>
      </c>
      <c r="CZ147" t="n">
        <v>72.40000000000001</v>
      </c>
      <c r="DA147" t="n">
        <v>92</v>
      </c>
      <c r="DB147" t="n">
        <v>43.9</v>
      </c>
      <c r="DC147" t="n">
        <v>62.3</v>
      </c>
      <c r="DD147" t="n">
        <v>65.2</v>
      </c>
      <c r="DE147" t="n">
        <v>83.2</v>
      </c>
      <c r="DF147" t="n">
        <v>47.7</v>
      </c>
      <c r="DG147" t="n">
        <v>62.9</v>
      </c>
      <c r="DH147" t="n">
        <v>72.40000000000001</v>
      </c>
      <c r="DI147" t="n">
        <v>92</v>
      </c>
      <c r="DJ147" t="n">
        <v>43.9</v>
      </c>
      <c r="DK147" t="n">
        <v>62.3</v>
      </c>
      <c r="DL147" t="n">
        <v>65.2</v>
      </c>
      <c r="DM147" t="n">
        <v>83.2</v>
      </c>
      <c r="DN147" t="n">
        <v>0</v>
      </c>
      <c r="DO147" t="n">
        <v>0</v>
      </c>
      <c r="DP147" t="n">
        <v>0</v>
      </c>
      <c r="DQ147" t="n">
        <v>0</v>
      </c>
      <c r="DR147" t="n">
        <v>0</v>
      </c>
      <c r="DS147" t="n">
        <v>0</v>
      </c>
      <c r="DT147" t="n">
        <v>0</v>
      </c>
      <c r="DU147" t="n">
        <v>0</v>
      </c>
      <c r="DV147" t="inlineStr">
        <is>
          <t>mmbtu</t>
        </is>
      </c>
    </row>
    <row r="148">
      <c r="A148" t="inlineStr">
        <is>
          <t>TRANSCO ZONE 6 BASIS - ICE FUTURES ENERGY DIV</t>
        </is>
      </c>
      <c r="B148" t="n">
        <v>230110</v>
      </c>
      <c r="C148" s="1" t="n">
        <v>44936</v>
      </c>
      <c r="D148" t="inlineStr">
        <is>
          <t>0233CU</t>
        </is>
      </c>
      <c r="E148" t="inlineStr">
        <is>
          <t>IFED</t>
        </is>
      </c>
      <c r="F148" t="inlineStr">
        <is>
          <t>01</t>
        </is>
      </c>
      <c r="G148" t="inlineStr">
        <is>
          <t xml:space="preserve">023 </t>
        </is>
      </c>
      <c r="H148" t="n">
        <v>146397</v>
      </c>
      <c r="I148" s="17" t="n">
        <v>1445</v>
      </c>
      <c r="J148" s="17" t="n">
        <v>3514</v>
      </c>
      <c r="K148" t="n">
        <v>0</v>
      </c>
      <c r="L148" t="n">
        <v>141793</v>
      </c>
      <c r="M148" t="n">
        <v>137291</v>
      </c>
      <c r="N148" t="n">
        <v>143238</v>
      </c>
      <c r="O148" t="n">
        <v>140805</v>
      </c>
      <c r="P148" t="n">
        <v>3159</v>
      </c>
      <c r="Q148" t="n">
        <v>5592</v>
      </c>
      <c r="R148" t="n">
        <v>146397</v>
      </c>
      <c r="S148" t="n">
        <v>1445</v>
      </c>
      <c r="T148" t="n">
        <v>3514</v>
      </c>
      <c r="U148" t="n">
        <v>0</v>
      </c>
      <c r="V148" t="n">
        <v>141793</v>
      </c>
      <c r="W148" t="n">
        <v>137291</v>
      </c>
      <c r="X148" t="n">
        <v>143238</v>
      </c>
      <c r="Y148" t="n">
        <v>140805</v>
      </c>
      <c r="Z148" t="n">
        <v>3159</v>
      </c>
      <c r="AA148" t="n">
        <v>5592</v>
      </c>
      <c r="AB148" t="n">
        <v>0</v>
      </c>
      <c r="AC148" t="n">
        <v>0</v>
      </c>
      <c r="AD148" t="n">
        <v>0</v>
      </c>
      <c r="AE148" t="n">
        <v>0</v>
      </c>
      <c r="AF148" t="n">
        <v>0</v>
      </c>
      <c r="AG148" t="n">
        <v>0</v>
      </c>
      <c r="AH148" t="n">
        <v>0</v>
      </c>
      <c r="AI148" t="n">
        <v>0</v>
      </c>
      <c r="AJ148" t="n">
        <v>0</v>
      </c>
      <c r="AK148" t="n">
        <v>0</v>
      </c>
      <c r="AL148" t="n">
        <v>-9624</v>
      </c>
      <c r="AM148" t="n">
        <v>639</v>
      </c>
      <c r="AN148" t="n">
        <v>-655</v>
      </c>
      <c r="AO148" t="n">
        <v>0</v>
      </c>
      <c r="AP148" t="n">
        <v>-9586</v>
      </c>
      <c r="AQ148" t="n">
        <v>-10180</v>
      </c>
      <c r="AR148" t="n">
        <v>-8947</v>
      </c>
      <c r="AS148" t="n">
        <v>-10835</v>
      </c>
      <c r="AT148" t="n">
        <v>-677</v>
      </c>
      <c r="AU148" t="n">
        <v>1211</v>
      </c>
      <c r="AV148" t="n">
        <v>100</v>
      </c>
      <c r="AW148" t="n">
        <v>1</v>
      </c>
      <c r="AX148" t="n">
        <v>2.4</v>
      </c>
      <c r="AY148" t="n">
        <v>0</v>
      </c>
      <c r="AZ148" t="n">
        <v>96.90000000000001</v>
      </c>
      <c r="BA148" t="n">
        <v>93.8</v>
      </c>
      <c r="BB148" t="n">
        <v>97.8</v>
      </c>
      <c r="BC148" t="n">
        <v>96.2</v>
      </c>
      <c r="BD148" t="n">
        <v>2.2</v>
      </c>
      <c r="BE148" t="n">
        <v>3.8</v>
      </c>
      <c r="BF148" t="n">
        <v>100</v>
      </c>
      <c r="BG148" t="n">
        <v>1</v>
      </c>
      <c r="BH148" t="n">
        <v>2.4</v>
      </c>
      <c r="BI148" t="n">
        <v>0</v>
      </c>
      <c r="BJ148" t="n">
        <v>96.90000000000001</v>
      </c>
      <c r="BK148" t="n">
        <v>93.8</v>
      </c>
      <c r="BL148" t="n">
        <v>97.8</v>
      </c>
      <c r="BM148" t="n">
        <v>96.2</v>
      </c>
      <c r="BN148" t="n">
        <v>2.2</v>
      </c>
      <c r="BO148" t="n">
        <v>3.8</v>
      </c>
      <c r="BP148" t="n">
        <v>0</v>
      </c>
      <c r="BQ148" t="n">
        <v>0</v>
      </c>
      <c r="BR148" t="n">
        <v>0</v>
      </c>
      <c r="BS148" t="n">
        <v>0</v>
      </c>
      <c r="BT148" t="n">
        <v>0</v>
      </c>
      <c r="BU148" t="n">
        <v>0</v>
      </c>
      <c r="BV148" t="n">
        <v>0</v>
      </c>
      <c r="BW148" t="n">
        <v>0</v>
      </c>
      <c r="BX148" t="n">
        <v>0</v>
      </c>
      <c r="BY148" t="n">
        <v>0</v>
      </c>
      <c r="BZ148" t="n">
        <v>41</v>
      </c>
      <c r="CA148" t="n">
        <v>1</v>
      </c>
      <c r="CB148" t="n">
        <v>1</v>
      </c>
      <c r="CC148" t="n">
        <v>0</v>
      </c>
      <c r="CD148" t="n">
        <v>28</v>
      </c>
      <c r="CE148" t="n">
        <v>27</v>
      </c>
      <c r="CF148" t="n">
        <v>29</v>
      </c>
      <c r="CG148" t="n">
        <v>28</v>
      </c>
      <c r="CH148" t="n">
        <v>41</v>
      </c>
      <c r="CI148" t="n">
        <v>1</v>
      </c>
      <c r="CJ148" t="n">
        <v>1</v>
      </c>
      <c r="CK148" t="n">
        <v>0</v>
      </c>
      <c r="CL148" t="n">
        <v>28</v>
      </c>
      <c r="CM148" t="n">
        <v>27</v>
      </c>
      <c r="CN148" t="n">
        <v>29</v>
      </c>
      <c r="CO148" t="n">
        <v>28</v>
      </c>
      <c r="CP148" t="n">
        <v>0</v>
      </c>
      <c r="CQ148" t="n">
        <v>0</v>
      </c>
      <c r="CR148" t="n">
        <v>0</v>
      </c>
      <c r="CS148" t="n">
        <v>0</v>
      </c>
      <c r="CT148" t="n">
        <v>0</v>
      </c>
      <c r="CU148" t="n">
        <v>0</v>
      </c>
      <c r="CV148" t="n">
        <v>0</v>
      </c>
      <c r="CW148" t="n">
        <v>0</v>
      </c>
      <c r="CX148" t="n">
        <v>59.5</v>
      </c>
      <c r="CY148" t="n">
        <v>48.4</v>
      </c>
      <c r="CZ148" t="n">
        <v>73.09999999999999</v>
      </c>
      <c r="DA148" t="n">
        <v>66.3</v>
      </c>
      <c r="DB148" t="n">
        <v>55.7</v>
      </c>
      <c r="DC148" t="n">
        <v>46.1</v>
      </c>
      <c r="DD148" t="n">
        <v>68.59999999999999</v>
      </c>
      <c r="DE148" t="n">
        <v>62.1</v>
      </c>
      <c r="DF148" t="n">
        <v>59.5</v>
      </c>
      <c r="DG148" t="n">
        <v>48.4</v>
      </c>
      <c r="DH148" t="n">
        <v>73.09999999999999</v>
      </c>
      <c r="DI148" t="n">
        <v>66.3</v>
      </c>
      <c r="DJ148" t="n">
        <v>55.7</v>
      </c>
      <c r="DK148" t="n">
        <v>46.1</v>
      </c>
      <c r="DL148" t="n">
        <v>68.59999999999999</v>
      </c>
      <c r="DM148" t="n">
        <v>62.1</v>
      </c>
      <c r="DN148" t="n">
        <v>0</v>
      </c>
      <c r="DO148" t="n">
        <v>0</v>
      </c>
      <c r="DP148" t="n">
        <v>0</v>
      </c>
      <c r="DQ148" t="n">
        <v>0</v>
      </c>
      <c r="DR148" t="n">
        <v>0</v>
      </c>
      <c r="DS148" t="n">
        <v>0</v>
      </c>
      <c r="DT148" t="n">
        <v>0</v>
      </c>
      <c r="DU148" t="n">
        <v>0</v>
      </c>
      <c r="DV148" t="inlineStr">
        <is>
          <t>mmbtu</t>
        </is>
      </c>
    </row>
    <row r="149">
      <c r="A149" t="inlineStr">
        <is>
          <t>TRANSCO ZONE 6 BASIS - ICE FUTURES ENERGY DIV</t>
        </is>
      </c>
      <c r="B149" t="n">
        <v>230103</v>
      </c>
      <c r="C149" s="1" t="n">
        <v>44929</v>
      </c>
      <c r="D149" t="inlineStr">
        <is>
          <t>0233CU</t>
        </is>
      </c>
      <c r="E149" t="inlineStr">
        <is>
          <t>IFED</t>
        </is>
      </c>
      <c r="F149" t="inlineStr">
        <is>
          <t>01</t>
        </is>
      </c>
      <c r="G149" t="inlineStr">
        <is>
          <t xml:space="preserve">023 </t>
        </is>
      </c>
      <c r="H149" t="n">
        <v>156021</v>
      </c>
      <c r="I149" s="17" t="n">
        <v>806</v>
      </c>
      <c r="J149" s="17" t="n">
        <v>4169</v>
      </c>
      <c r="K149" t="n">
        <v>0</v>
      </c>
      <c r="L149" t="n">
        <v>151379</v>
      </c>
      <c r="M149" t="n">
        <v>147471</v>
      </c>
      <c r="N149" t="n">
        <v>152185</v>
      </c>
      <c r="O149" t="n">
        <v>151640</v>
      </c>
      <c r="P149" t="n">
        <v>3836</v>
      </c>
      <c r="Q149" t="n">
        <v>4381</v>
      </c>
      <c r="R149" t="n">
        <v>156021</v>
      </c>
      <c r="S149" t="n">
        <v>806</v>
      </c>
      <c r="T149" t="n">
        <v>4169</v>
      </c>
      <c r="U149" t="n">
        <v>0</v>
      </c>
      <c r="V149" t="n">
        <v>151379</v>
      </c>
      <c r="W149" t="n">
        <v>147471</v>
      </c>
      <c r="X149" t="n">
        <v>152185</v>
      </c>
      <c r="Y149" t="n">
        <v>151640</v>
      </c>
      <c r="Z149" t="n">
        <v>3836</v>
      </c>
      <c r="AA149" t="n">
        <v>4381</v>
      </c>
      <c r="AB149" t="n">
        <v>0</v>
      </c>
      <c r="AC149" t="n">
        <v>0</v>
      </c>
      <c r="AD149" t="n">
        <v>0</v>
      </c>
      <c r="AE149" t="n">
        <v>0</v>
      </c>
      <c r="AF149" t="n">
        <v>0</v>
      </c>
      <c r="AG149" t="n">
        <v>0</v>
      </c>
      <c r="AH149" t="n">
        <v>0</v>
      </c>
      <c r="AI149" t="n">
        <v>0</v>
      </c>
      <c r="AJ149" t="n">
        <v>0</v>
      </c>
      <c r="AK149" t="n">
        <v>0</v>
      </c>
      <c r="AL149" t="n">
        <v>2469</v>
      </c>
      <c r="AM149" t="n">
        <v>186</v>
      </c>
      <c r="AN149" t="n">
        <v>158</v>
      </c>
      <c r="AO149" t="n">
        <v>0</v>
      </c>
      <c r="AP149" t="n">
        <v>2134</v>
      </c>
      <c r="AQ149" t="n">
        <v>1300</v>
      </c>
      <c r="AR149" t="n">
        <v>2320</v>
      </c>
      <c r="AS149" t="n">
        <v>1458</v>
      </c>
      <c r="AT149" t="n">
        <v>149</v>
      </c>
      <c r="AU149" t="n">
        <v>1011</v>
      </c>
      <c r="AV149" t="n">
        <v>100</v>
      </c>
      <c r="AW149" t="n">
        <v>0.5</v>
      </c>
      <c r="AX149" t="n">
        <v>2.7</v>
      </c>
      <c r="AY149" t="n">
        <v>0</v>
      </c>
      <c r="AZ149" t="n">
        <v>97</v>
      </c>
      <c r="BA149" t="n">
        <v>94.5</v>
      </c>
      <c r="BB149" t="n">
        <v>97.5</v>
      </c>
      <c r="BC149" t="n">
        <v>97.2</v>
      </c>
      <c r="BD149" t="n">
        <v>2.5</v>
      </c>
      <c r="BE149" t="n">
        <v>2.8</v>
      </c>
      <c r="BF149" t="n">
        <v>100</v>
      </c>
      <c r="BG149" t="n">
        <v>0.5</v>
      </c>
      <c r="BH149" t="n">
        <v>2.7</v>
      </c>
      <c r="BI149" t="n">
        <v>0</v>
      </c>
      <c r="BJ149" t="n">
        <v>97</v>
      </c>
      <c r="BK149" t="n">
        <v>94.5</v>
      </c>
      <c r="BL149" t="n">
        <v>97.5</v>
      </c>
      <c r="BM149" t="n">
        <v>97.2</v>
      </c>
      <c r="BN149" t="n">
        <v>2.5</v>
      </c>
      <c r="BO149" t="n">
        <v>2.8</v>
      </c>
      <c r="BP149" t="n">
        <v>0</v>
      </c>
      <c r="BQ149" t="n">
        <v>0</v>
      </c>
      <c r="BR149" t="n">
        <v>0</v>
      </c>
      <c r="BS149" t="n">
        <v>0</v>
      </c>
      <c r="BT149" t="n">
        <v>0</v>
      </c>
      <c r="BU149" t="n">
        <v>0</v>
      </c>
      <c r="BV149" t="n">
        <v>0</v>
      </c>
      <c r="BW149" t="n">
        <v>0</v>
      </c>
      <c r="BX149" t="n">
        <v>0</v>
      </c>
      <c r="BY149" t="n">
        <v>0</v>
      </c>
      <c r="BZ149" t="n">
        <v>45</v>
      </c>
      <c r="CA149" t="n">
        <v>1</v>
      </c>
      <c r="CB149" t="n">
        <v>2</v>
      </c>
      <c r="CC149" t="n">
        <v>0</v>
      </c>
      <c r="CD149" t="n">
        <v>30</v>
      </c>
      <c r="CE149" t="n">
        <v>29</v>
      </c>
      <c r="CF149" t="n">
        <v>31</v>
      </c>
      <c r="CG149" t="n">
        <v>31</v>
      </c>
      <c r="CH149" t="n">
        <v>45</v>
      </c>
      <c r="CI149" t="n">
        <v>1</v>
      </c>
      <c r="CJ149" t="n">
        <v>2</v>
      </c>
      <c r="CK149" t="n">
        <v>0</v>
      </c>
      <c r="CL149" t="n">
        <v>30</v>
      </c>
      <c r="CM149" t="n">
        <v>29</v>
      </c>
      <c r="CN149" t="n">
        <v>31</v>
      </c>
      <c r="CO149" t="n">
        <v>31</v>
      </c>
      <c r="CP149" t="n">
        <v>0</v>
      </c>
      <c r="CQ149" t="n">
        <v>0</v>
      </c>
      <c r="CR149" t="n">
        <v>0</v>
      </c>
      <c r="CS149" t="n">
        <v>0</v>
      </c>
      <c r="CT149" t="n">
        <v>0</v>
      </c>
      <c r="CU149" t="n">
        <v>0</v>
      </c>
      <c r="CV149" t="n">
        <v>0</v>
      </c>
      <c r="CW149" t="n">
        <v>0</v>
      </c>
      <c r="CX149" t="n">
        <v>59.3</v>
      </c>
      <c r="CY149" t="n">
        <v>47.7</v>
      </c>
      <c r="CZ149" t="n">
        <v>72.7</v>
      </c>
      <c r="DA149" t="n">
        <v>65.8</v>
      </c>
      <c r="DB149" t="n">
        <v>55.6</v>
      </c>
      <c r="DC149" t="n">
        <v>45.3</v>
      </c>
      <c r="DD149" t="n">
        <v>68.5</v>
      </c>
      <c r="DE149" t="n">
        <v>61.9</v>
      </c>
      <c r="DF149" t="n">
        <v>59.3</v>
      </c>
      <c r="DG149" t="n">
        <v>47.7</v>
      </c>
      <c r="DH149" t="n">
        <v>72.7</v>
      </c>
      <c r="DI149" t="n">
        <v>65.8</v>
      </c>
      <c r="DJ149" t="n">
        <v>55.6</v>
      </c>
      <c r="DK149" t="n">
        <v>45.3</v>
      </c>
      <c r="DL149" t="n">
        <v>68.5</v>
      </c>
      <c r="DM149" t="n">
        <v>61.9</v>
      </c>
      <c r="DN149" t="n">
        <v>0</v>
      </c>
      <c r="DO149" t="n">
        <v>0</v>
      </c>
      <c r="DP149" t="n">
        <v>0</v>
      </c>
      <c r="DQ149" t="n">
        <v>0</v>
      </c>
      <c r="DR149" t="n">
        <v>0</v>
      </c>
      <c r="DS149" t="n">
        <v>0</v>
      </c>
      <c r="DT149" t="n">
        <v>0</v>
      </c>
      <c r="DU149" t="n">
        <v>0</v>
      </c>
      <c r="DV149" t="inlineStr">
        <is>
          <t>mmbtu</t>
        </is>
      </c>
    </row>
    <row r="150">
      <c r="A150" t="inlineStr">
        <is>
          <t>TRANSCO ZONE 6 MONTHLY INDEX - ICE FUTURES ENERGY DIV</t>
        </is>
      </c>
      <c r="B150" t="n">
        <v>230110</v>
      </c>
      <c r="C150" s="1" t="n">
        <v>44936</v>
      </c>
      <c r="D150" t="inlineStr">
        <is>
          <t>0233CV</t>
        </is>
      </c>
      <c r="E150" t="inlineStr">
        <is>
          <t>IFED</t>
        </is>
      </c>
      <c r="F150" t="inlineStr">
        <is>
          <t>01</t>
        </is>
      </c>
      <c r="G150" t="inlineStr">
        <is>
          <t xml:space="preserve">023 </t>
        </is>
      </c>
      <c r="H150" t="n">
        <v>45207</v>
      </c>
      <c r="I150" s="17" t="n">
        <v>0</v>
      </c>
      <c r="J150" s="17" t="n">
        <v>0</v>
      </c>
      <c r="K150" t="n">
        <v>0</v>
      </c>
      <c r="L150" t="n">
        <v>42849</v>
      </c>
      <c r="M150" t="n">
        <v>44035</v>
      </c>
      <c r="N150" t="n">
        <v>42849</v>
      </c>
      <c r="O150" t="n">
        <v>44035</v>
      </c>
      <c r="P150" t="n">
        <v>2358</v>
      </c>
      <c r="Q150" t="n">
        <v>1172</v>
      </c>
      <c r="R150" t="n">
        <v>45207</v>
      </c>
      <c r="S150" t="n">
        <v>0</v>
      </c>
      <c r="T150" t="n">
        <v>0</v>
      </c>
      <c r="U150" t="n">
        <v>0</v>
      </c>
      <c r="V150" t="n">
        <v>42849</v>
      </c>
      <c r="W150" t="n">
        <v>44035</v>
      </c>
      <c r="X150" t="n">
        <v>42849</v>
      </c>
      <c r="Y150" t="n">
        <v>44035</v>
      </c>
      <c r="Z150" t="n">
        <v>2358</v>
      </c>
      <c r="AA150" t="n">
        <v>1172</v>
      </c>
      <c r="AB150" t="n">
        <v>0</v>
      </c>
      <c r="AC150" t="n">
        <v>0</v>
      </c>
      <c r="AD150" t="n">
        <v>0</v>
      </c>
      <c r="AE150" t="n">
        <v>0</v>
      </c>
      <c r="AF150" t="n">
        <v>0</v>
      </c>
      <c r="AG150" t="n">
        <v>0</v>
      </c>
      <c r="AH150" t="n">
        <v>0</v>
      </c>
      <c r="AI150" t="n">
        <v>0</v>
      </c>
      <c r="AJ150" t="n">
        <v>0</v>
      </c>
      <c r="AK150" t="n">
        <v>0</v>
      </c>
      <c r="AL150" t="n">
        <v>-4630</v>
      </c>
      <c r="AM150" t="n">
        <v>-589</v>
      </c>
      <c r="AN150" t="n">
        <v>0</v>
      </c>
      <c r="AO150" t="n">
        <v>0</v>
      </c>
      <c r="AP150" t="n">
        <v>-4879</v>
      </c>
      <c r="AQ150" t="n">
        <v>-4543</v>
      </c>
      <c r="AR150" t="n">
        <v>-5468</v>
      </c>
      <c r="AS150" t="n">
        <v>-4543</v>
      </c>
      <c r="AT150" t="n">
        <v>838</v>
      </c>
      <c r="AU150" t="n">
        <v>-87</v>
      </c>
      <c r="AV150" t="n">
        <v>100</v>
      </c>
      <c r="AW150" t="n">
        <v>0</v>
      </c>
      <c r="AX150" t="n">
        <v>0</v>
      </c>
      <c r="AY150" t="n">
        <v>0</v>
      </c>
      <c r="AZ150" t="n">
        <v>94.8</v>
      </c>
      <c r="BA150" t="n">
        <v>97.40000000000001</v>
      </c>
      <c r="BB150" t="n">
        <v>94.8</v>
      </c>
      <c r="BC150" t="n">
        <v>97.40000000000001</v>
      </c>
      <c r="BD150" t="n">
        <v>5.2</v>
      </c>
      <c r="BE150" t="n">
        <v>2.6</v>
      </c>
      <c r="BF150" t="n">
        <v>100</v>
      </c>
      <c r="BG150" t="n">
        <v>0</v>
      </c>
      <c r="BH150" t="n">
        <v>0</v>
      </c>
      <c r="BI150" t="n">
        <v>0</v>
      </c>
      <c r="BJ150" t="n">
        <v>94.8</v>
      </c>
      <c r="BK150" t="n">
        <v>97.40000000000001</v>
      </c>
      <c r="BL150" t="n">
        <v>94.8</v>
      </c>
      <c r="BM150" t="n">
        <v>97.40000000000001</v>
      </c>
      <c r="BN150" t="n">
        <v>5.2</v>
      </c>
      <c r="BO150" t="n">
        <v>2.6</v>
      </c>
      <c r="BP150" t="n">
        <v>0</v>
      </c>
      <c r="BQ150" t="n">
        <v>0</v>
      </c>
      <c r="BR150" t="n">
        <v>0</v>
      </c>
      <c r="BS150" t="n">
        <v>0</v>
      </c>
      <c r="BT150" t="n">
        <v>0</v>
      </c>
      <c r="BU150" t="n">
        <v>0</v>
      </c>
      <c r="BV150" t="n">
        <v>0</v>
      </c>
      <c r="BW150" t="n">
        <v>0</v>
      </c>
      <c r="BX150" t="n">
        <v>0</v>
      </c>
      <c r="BY150" t="n">
        <v>0</v>
      </c>
      <c r="BZ150" t="n">
        <v>24</v>
      </c>
      <c r="CA150" t="n">
        <v>0</v>
      </c>
      <c r="CB150" t="n">
        <v>0</v>
      </c>
      <c r="CC150" t="n">
        <v>0</v>
      </c>
      <c r="CD150" t="n">
        <v>13</v>
      </c>
      <c r="CE150" t="n">
        <v>14</v>
      </c>
      <c r="CF150" t="n">
        <v>13</v>
      </c>
      <c r="CG150" t="n">
        <v>14</v>
      </c>
      <c r="CH150" t="n">
        <v>24</v>
      </c>
      <c r="CI150" t="n">
        <v>0</v>
      </c>
      <c r="CJ150" t="n">
        <v>0</v>
      </c>
      <c r="CK150" t="n">
        <v>0</v>
      </c>
      <c r="CL150" t="n">
        <v>13</v>
      </c>
      <c r="CM150" t="n">
        <v>14</v>
      </c>
      <c r="CN150" t="n">
        <v>13</v>
      </c>
      <c r="CO150" t="n">
        <v>14</v>
      </c>
      <c r="CP150" t="n">
        <v>0</v>
      </c>
      <c r="CQ150" t="n">
        <v>0</v>
      </c>
      <c r="CR150" t="n">
        <v>0</v>
      </c>
      <c r="CS150" t="n">
        <v>0</v>
      </c>
      <c r="CT150" t="n">
        <v>0</v>
      </c>
      <c r="CU150" t="n">
        <v>0</v>
      </c>
      <c r="CV150" t="n">
        <v>0</v>
      </c>
      <c r="CW150" t="n">
        <v>0</v>
      </c>
      <c r="CX150" t="n">
        <v>62.4</v>
      </c>
      <c r="CY150" t="n">
        <v>73.90000000000001</v>
      </c>
      <c r="CZ150" t="n">
        <v>88.40000000000001</v>
      </c>
      <c r="DA150" t="n">
        <v>89.2</v>
      </c>
      <c r="DB150" t="n">
        <v>59.3</v>
      </c>
      <c r="DC150" t="n">
        <v>73.2</v>
      </c>
      <c r="DD150" t="n">
        <v>85.3</v>
      </c>
      <c r="DE150" t="n">
        <v>88.5</v>
      </c>
      <c r="DF150" t="n">
        <v>62.4</v>
      </c>
      <c r="DG150" t="n">
        <v>73.90000000000001</v>
      </c>
      <c r="DH150" t="n">
        <v>88.40000000000001</v>
      </c>
      <c r="DI150" t="n">
        <v>89.2</v>
      </c>
      <c r="DJ150" t="n">
        <v>59.3</v>
      </c>
      <c r="DK150" t="n">
        <v>73.2</v>
      </c>
      <c r="DL150" t="n">
        <v>85.3</v>
      </c>
      <c r="DM150" t="n">
        <v>88.5</v>
      </c>
      <c r="DN150" t="n">
        <v>0</v>
      </c>
      <c r="DO150" t="n">
        <v>0</v>
      </c>
      <c r="DP150" t="n">
        <v>0</v>
      </c>
      <c r="DQ150" t="n">
        <v>0</v>
      </c>
      <c r="DR150" t="n">
        <v>0</v>
      </c>
      <c r="DS150" t="n">
        <v>0</v>
      </c>
      <c r="DT150" t="n">
        <v>0</v>
      </c>
      <c r="DU150" t="n">
        <v>0</v>
      </c>
      <c r="DV150" t="inlineStr">
        <is>
          <t>mmbtu</t>
        </is>
      </c>
    </row>
    <row r="151">
      <c r="A151" t="inlineStr">
        <is>
          <t>TRANSCO ZONE 6 MONTHLY INDEX - ICE FUTURES ENERGY DIV</t>
        </is>
      </c>
      <c r="B151" t="n">
        <v>230103</v>
      </c>
      <c r="C151" s="1" t="n">
        <v>44929</v>
      </c>
      <c r="D151" t="inlineStr">
        <is>
          <t>0233CV</t>
        </is>
      </c>
      <c r="E151" t="inlineStr">
        <is>
          <t>IFED</t>
        </is>
      </c>
      <c r="F151" t="inlineStr">
        <is>
          <t>01</t>
        </is>
      </c>
      <c r="G151" t="inlineStr">
        <is>
          <t xml:space="preserve">023 </t>
        </is>
      </c>
      <c r="H151" t="n">
        <v>49837</v>
      </c>
      <c r="I151" s="17" t="n">
        <v>589</v>
      </c>
      <c r="J151" s="17" t="n">
        <v>0</v>
      </c>
      <c r="K151" t="n">
        <v>0</v>
      </c>
      <c r="L151" t="n">
        <v>47728</v>
      </c>
      <c r="M151" t="n">
        <v>48578</v>
      </c>
      <c r="N151" t="n">
        <v>48317</v>
      </c>
      <c r="O151" t="n">
        <v>48578</v>
      </c>
      <c r="P151" t="n">
        <v>1520</v>
      </c>
      <c r="Q151" t="n">
        <v>1259</v>
      </c>
      <c r="R151" t="n">
        <v>49837</v>
      </c>
      <c r="S151" t="n">
        <v>589</v>
      </c>
      <c r="T151" t="n">
        <v>0</v>
      </c>
      <c r="U151" t="n">
        <v>0</v>
      </c>
      <c r="V151" t="n">
        <v>47728</v>
      </c>
      <c r="W151" t="n">
        <v>48578</v>
      </c>
      <c r="X151" t="n">
        <v>48317</v>
      </c>
      <c r="Y151" t="n">
        <v>48578</v>
      </c>
      <c r="Z151" t="n">
        <v>1520</v>
      </c>
      <c r="AA151" t="n">
        <v>1259</v>
      </c>
      <c r="AB151" t="n">
        <v>0</v>
      </c>
      <c r="AC151" t="n">
        <v>0</v>
      </c>
      <c r="AD151" t="n">
        <v>0</v>
      </c>
      <c r="AE151" t="n">
        <v>0</v>
      </c>
      <c r="AF151" t="n">
        <v>0</v>
      </c>
      <c r="AG151" t="n">
        <v>0</v>
      </c>
      <c r="AH151" t="n">
        <v>0</v>
      </c>
      <c r="AI151" t="n">
        <v>0</v>
      </c>
      <c r="AJ151" t="n">
        <v>0</v>
      </c>
      <c r="AK151" t="n">
        <v>0</v>
      </c>
      <c r="AL151" t="n">
        <v>31</v>
      </c>
      <c r="AM151" t="n">
        <v>0</v>
      </c>
      <c r="AN151" t="n">
        <v>0</v>
      </c>
      <c r="AO151" t="n">
        <v>0</v>
      </c>
      <c r="AP151" t="n">
        <v>31</v>
      </c>
      <c r="AQ151" t="n">
        <v>31</v>
      </c>
      <c r="AR151" t="n">
        <v>31</v>
      </c>
      <c r="AS151" t="n">
        <v>31</v>
      </c>
      <c r="AT151" t="n">
        <v>0</v>
      </c>
      <c r="AU151" t="n">
        <v>0</v>
      </c>
      <c r="AV151" t="n">
        <v>100</v>
      </c>
      <c r="AW151" t="n">
        <v>1.2</v>
      </c>
      <c r="AX151" t="n">
        <v>0</v>
      </c>
      <c r="AY151" t="n">
        <v>0</v>
      </c>
      <c r="AZ151" t="n">
        <v>95.8</v>
      </c>
      <c r="BA151" t="n">
        <v>97.5</v>
      </c>
      <c r="BB151" t="n">
        <v>97</v>
      </c>
      <c r="BC151" t="n">
        <v>97.5</v>
      </c>
      <c r="BD151" t="n">
        <v>3</v>
      </c>
      <c r="BE151" t="n">
        <v>2.5</v>
      </c>
      <c r="BF151" t="n">
        <v>100</v>
      </c>
      <c r="BG151" t="n">
        <v>1.2</v>
      </c>
      <c r="BH151" t="n">
        <v>0</v>
      </c>
      <c r="BI151" t="n">
        <v>0</v>
      </c>
      <c r="BJ151" t="n">
        <v>95.8</v>
      </c>
      <c r="BK151" t="n">
        <v>97.5</v>
      </c>
      <c r="BL151" t="n">
        <v>97</v>
      </c>
      <c r="BM151" t="n">
        <v>97.5</v>
      </c>
      <c r="BN151" t="n">
        <v>3</v>
      </c>
      <c r="BO151" t="n">
        <v>2.5</v>
      </c>
      <c r="BP151" t="n">
        <v>0</v>
      </c>
      <c r="BQ151" t="n">
        <v>0</v>
      </c>
      <c r="BR151" t="n">
        <v>0</v>
      </c>
      <c r="BS151" t="n">
        <v>0</v>
      </c>
      <c r="BT151" t="n">
        <v>0</v>
      </c>
      <c r="BU151" t="n">
        <v>0</v>
      </c>
      <c r="BV151" t="n">
        <v>0</v>
      </c>
      <c r="BW151" t="n">
        <v>0</v>
      </c>
      <c r="BX151" t="n">
        <v>0</v>
      </c>
      <c r="BY151" t="n">
        <v>0</v>
      </c>
      <c r="BZ151" t="n">
        <v>27</v>
      </c>
      <c r="CA151" t="n">
        <v>1</v>
      </c>
      <c r="CB151" t="n">
        <v>0</v>
      </c>
      <c r="CC151" t="n">
        <v>0</v>
      </c>
      <c r="CD151" t="n">
        <v>15</v>
      </c>
      <c r="CE151" t="n">
        <v>15</v>
      </c>
      <c r="CF151" t="n">
        <v>16</v>
      </c>
      <c r="CG151" t="n">
        <v>15</v>
      </c>
      <c r="CH151" t="n">
        <v>27</v>
      </c>
      <c r="CI151" t="n">
        <v>1</v>
      </c>
      <c r="CJ151" t="n">
        <v>0</v>
      </c>
      <c r="CK151" t="n">
        <v>0</v>
      </c>
      <c r="CL151" t="n">
        <v>15</v>
      </c>
      <c r="CM151" t="n">
        <v>15</v>
      </c>
      <c r="CN151" t="n">
        <v>16</v>
      </c>
      <c r="CO151" t="n">
        <v>15</v>
      </c>
      <c r="CP151" t="n">
        <v>0</v>
      </c>
      <c r="CQ151" t="n">
        <v>0</v>
      </c>
      <c r="CR151" t="n">
        <v>0</v>
      </c>
      <c r="CS151" t="n">
        <v>0</v>
      </c>
      <c r="CT151" t="n">
        <v>0</v>
      </c>
      <c r="CU151" t="n">
        <v>0</v>
      </c>
      <c r="CV151" t="n">
        <v>0</v>
      </c>
      <c r="CW151" t="n">
        <v>0</v>
      </c>
      <c r="CX151" t="n">
        <v>62.3</v>
      </c>
      <c r="CY151" t="n">
        <v>67.8</v>
      </c>
      <c r="CZ151" t="n">
        <v>86.90000000000001</v>
      </c>
      <c r="DA151" t="n">
        <v>86.2</v>
      </c>
      <c r="DB151" t="n">
        <v>58.4</v>
      </c>
      <c r="DC151" t="n">
        <v>67.2</v>
      </c>
      <c r="DD151" t="n">
        <v>83</v>
      </c>
      <c r="DE151" t="n">
        <v>85.59999999999999</v>
      </c>
      <c r="DF151" t="n">
        <v>62.3</v>
      </c>
      <c r="DG151" t="n">
        <v>67.8</v>
      </c>
      <c r="DH151" t="n">
        <v>86.90000000000001</v>
      </c>
      <c r="DI151" t="n">
        <v>86.2</v>
      </c>
      <c r="DJ151" t="n">
        <v>58.4</v>
      </c>
      <c r="DK151" t="n">
        <v>67.2</v>
      </c>
      <c r="DL151" t="n">
        <v>83</v>
      </c>
      <c r="DM151" t="n">
        <v>85.59999999999999</v>
      </c>
      <c r="DN151" t="n">
        <v>0</v>
      </c>
      <c r="DO151" t="n">
        <v>0</v>
      </c>
      <c r="DP151" t="n">
        <v>0</v>
      </c>
      <c r="DQ151" t="n">
        <v>0</v>
      </c>
      <c r="DR151" t="n">
        <v>0</v>
      </c>
      <c r="DS151" t="n">
        <v>0</v>
      </c>
      <c r="DT151" t="n">
        <v>0</v>
      </c>
      <c r="DU151" t="n">
        <v>0</v>
      </c>
      <c r="DV151" t="inlineStr">
        <is>
          <t>mmbtu</t>
        </is>
      </c>
    </row>
    <row r="152">
      <c r="A152" t="inlineStr">
        <is>
          <t>TRANSCO STATION 85-ZONE 4 BASI - ICE FUTURES ENERGY DIV</t>
        </is>
      </c>
      <c r="B152" t="n">
        <v>230110</v>
      </c>
      <c r="C152" s="1" t="n">
        <v>44936</v>
      </c>
      <c r="D152" t="inlineStr">
        <is>
          <t>0233CW</t>
        </is>
      </c>
      <c r="E152" t="inlineStr">
        <is>
          <t>IFED</t>
        </is>
      </c>
      <c r="F152" t="inlineStr">
        <is>
          <t>01</t>
        </is>
      </c>
      <c r="G152" t="inlineStr">
        <is>
          <t xml:space="preserve">023 </t>
        </is>
      </c>
      <c r="H152" t="n">
        <v>142456</v>
      </c>
      <c r="I152" s="17" t="n">
        <v>16187</v>
      </c>
      <c r="J152" s="17" t="n">
        <v>0</v>
      </c>
      <c r="K152" t="n">
        <v>162</v>
      </c>
      <c r="L152" t="n">
        <v>116883</v>
      </c>
      <c r="M152" t="n">
        <v>140431</v>
      </c>
      <c r="N152" t="n">
        <v>133232</v>
      </c>
      <c r="O152" t="n">
        <v>140593</v>
      </c>
      <c r="P152" t="n">
        <v>9224</v>
      </c>
      <c r="Q152" t="n">
        <v>1863</v>
      </c>
      <c r="R152" t="n">
        <v>142456</v>
      </c>
      <c r="S152" t="n">
        <v>16187</v>
      </c>
      <c r="T152" t="n">
        <v>0</v>
      </c>
      <c r="U152" t="n">
        <v>162</v>
      </c>
      <c r="V152" t="n">
        <v>116883</v>
      </c>
      <c r="W152" t="n">
        <v>140431</v>
      </c>
      <c r="X152" t="n">
        <v>133232</v>
      </c>
      <c r="Y152" t="n">
        <v>140593</v>
      </c>
      <c r="Z152" t="n">
        <v>9224</v>
      </c>
      <c r="AA152" t="n">
        <v>1863</v>
      </c>
      <c r="AB152" t="n">
        <v>0</v>
      </c>
      <c r="AC152" t="n">
        <v>0</v>
      </c>
      <c r="AD152" t="n">
        <v>0</v>
      </c>
      <c r="AE152" t="n">
        <v>0</v>
      </c>
      <c r="AF152" t="n">
        <v>0</v>
      </c>
      <c r="AG152" t="n">
        <v>0</v>
      </c>
      <c r="AH152" t="n">
        <v>0</v>
      </c>
      <c r="AI152" t="n">
        <v>0</v>
      </c>
      <c r="AJ152" t="n">
        <v>0</v>
      </c>
      <c r="AK152" t="n">
        <v>0</v>
      </c>
      <c r="AL152" t="n">
        <v>-15984</v>
      </c>
      <c r="AM152" t="n">
        <v>-1003</v>
      </c>
      <c r="AN152" t="n">
        <v>0</v>
      </c>
      <c r="AO152" t="n">
        <v>-164</v>
      </c>
      <c r="AP152" t="n">
        <v>-14512</v>
      </c>
      <c r="AQ152" t="n">
        <v>-13340</v>
      </c>
      <c r="AR152" t="n">
        <v>-15679</v>
      </c>
      <c r="AS152" t="n">
        <v>-13504</v>
      </c>
      <c r="AT152" t="n">
        <v>-305</v>
      </c>
      <c r="AU152" t="n">
        <v>-2480</v>
      </c>
      <c r="AV152" t="n">
        <v>100</v>
      </c>
      <c r="AW152" t="n">
        <v>11.4</v>
      </c>
      <c r="AX152" t="n">
        <v>0</v>
      </c>
      <c r="AY152" t="n">
        <v>0.1</v>
      </c>
      <c r="AZ152" t="n">
        <v>82</v>
      </c>
      <c r="BA152" t="n">
        <v>98.59999999999999</v>
      </c>
      <c r="BB152" t="n">
        <v>93.5</v>
      </c>
      <c r="BC152" t="n">
        <v>98.7</v>
      </c>
      <c r="BD152" t="n">
        <v>6.5</v>
      </c>
      <c r="BE152" t="n">
        <v>1.3</v>
      </c>
      <c r="BF152" t="n">
        <v>100</v>
      </c>
      <c r="BG152" t="n">
        <v>11.4</v>
      </c>
      <c r="BH152" t="n">
        <v>0</v>
      </c>
      <c r="BI152" t="n">
        <v>0.1</v>
      </c>
      <c r="BJ152" t="n">
        <v>82</v>
      </c>
      <c r="BK152" t="n">
        <v>98.59999999999999</v>
      </c>
      <c r="BL152" t="n">
        <v>93.5</v>
      </c>
      <c r="BM152" t="n">
        <v>98.7</v>
      </c>
      <c r="BN152" t="n">
        <v>6.5</v>
      </c>
      <c r="BO152" t="n">
        <v>1.3</v>
      </c>
      <c r="BP152" t="n">
        <v>0</v>
      </c>
      <c r="BQ152" t="n">
        <v>0</v>
      </c>
      <c r="BR152" t="n">
        <v>0</v>
      </c>
      <c r="BS152" t="n">
        <v>0</v>
      </c>
      <c r="BT152" t="n">
        <v>0</v>
      </c>
      <c r="BU152" t="n">
        <v>0</v>
      </c>
      <c r="BV152" t="n">
        <v>0</v>
      </c>
      <c r="BW152" t="n">
        <v>0</v>
      </c>
      <c r="BX152" t="n">
        <v>0</v>
      </c>
      <c r="BY152" t="n">
        <v>0</v>
      </c>
      <c r="BZ152" t="n">
        <v>48</v>
      </c>
      <c r="CA152" t="n">
        <v>2</v>
      </c>
      <c r="CB152" t="n">
        <v>0</v>
      </c>
      <c r="CC152" t="n">
        <v>1</v>
      </c>
      <c r="CD152" t="n">
        <v>33</v>
      </c>
      <c r="CE152" t="n">
        <v>35</v>
      </c>
      <c r="CF152" t="n">
        <v>35</v>
      </c>
      <c r="CG152" t="n">
        <v>36</v>
      </c>
      <c r="CH152" t="n">
        <v>48</v>
      </c>
      <c r="CI152" t="n">
        <v>2</v>
      </c>
      <c r="CJ152" t="n">
        <v>0</v>
      </c>
      <c r="CK152" t="n">
        <v>1</v>
      </c>
      <c r="CL152" t="n">
        <v>33</v>
      </c>
      <c r="CM152" t="n">
        <v>35</v>
      </c>
      <c r="CN152" t="n">
        <v>35</v>
      </c>
      <c r="CO152" t="n">
        <v>36</v>
      </c>
      <c r="CP152" t="n">
        <v>0</v>
      </c>
      <c r="CQ152" t="n">
        <v>0</v>
      </c>
      <c r="CR152" t="n">
        <v>0</v>
      </c>
      <c r="CS152" t="n">
        <v>0</v>
      </c>
      <c r="CT152" t="n">
        <v>0</v>
      </c>
      <c r="CU152" t="n">
        <v>0</v>
      </c>
      <c r="CV152" t="n">
        <v>0</v>
      </c>
      <c r="CW152" t="n">
        <v>0</v>
      </c>
      <c r="CX152" t="n">
        <v>38.6</v>
      </c>
      <c r="CY152" t="n">
        <v>37.1</v>
      </c>
      <c r="CZ152" t="n">
        <v>57</v>
      </c>
      <c r="DA152" t="n">
        <v>62.5</v>
      </c>
      <c r="DB152" t="n">
        <v>38.5</v>
      </c>
      <c r="DC152" t="n">
        <v>32.9</v>
      </c>
      <c r="DD152" t="n">
        <v>54.9</v>
      </c>
      <c r="DE152" t="n">
        <v>50.8</v>
      </c>
      <c r="DF152" t="n">
        <v>38.6</v>
      </c>
      <c r="DG152" t="n">
        <v>37.1</v>
      </c>
      <c r="DH152" t="n">
        <v>57</v>
      </c>
      <c r="DI152" t="n">
        <v>62.5</v>
      </c>
      <c r="DJ152" t="n">
        <v>38.5</v>
      </c>
      <c r="DK152" t="n">
        <v>32.9</v>
      </c>
      <c r="DL152" t="n">
        <v>54.9</v>
      </c>
      <c r="DM152" t="n">
        <v>50.8</v>
      </c>
      <c r="DN152" t="n">
        <v>0</v>
      </c>
      <c r="DO152" t="n">
        <v>0</v>
      </c>
      <c r="DP152" t="n">
        <v>0</v>
      </c>
      <c r="DQ152" t="n">
        <v>0</v>
      </c>
      <c r="DR152" t="n">
        <v>0</v>
      </c>
      <c r="DS152" t="n">
        <v>0</v>
      </c>
      <c r="DT152" t="n">
        <v>0</v>
      </c>
      <c r="DU152" t="n">
        <v>0</v>
      </c>
      <c r="DV152" t="inlineStr">
        <is>
          <t>2500 mm btu</t>
        </is>
      </c>
    </row>
    <row r="153">
      <c r="A153" t="inlineStr">
        <is>
          <t>TRANSCO STATION 85-ZONE 4 BASI - ICE FUTURES ENERGY DIV</t>
        </is>
      </c>
      <c r="B153" t="n">
        <v>230103</v>
      </c>
      <c r="C153" s="1" t="n">
        <v>44929</v>
      </c>
      <c r="D153" t="inlineStr">
        <is>
          <t>0233CW</t>
        </is>
      </c>
      <c r="E153" t="inlineStr">
        <is>
          <t>IFED</t>
        </is>
      </c>
      <c r="F153" t="inlineStr">
        <is>
          <t>01</t>
        </is>
      </c>
      <c r="G153" t="inlineStr">
        <is>
          <t xml:space="preserve">023 </t>
        </is>
      </c>
      <c r="H153" t="n">
        <v>158440</v>
      </c>
      <c r="I153" s="17" t="n">
        <v>17190</v>
      </c>
      <c r="J153" s="17" t="n">
        <v>0</v>
      </c>
      <c r="K153" t="n">
        <v>326</v>
      </c>
      <c r="L153" t="n">
        <v>131395</v>
      </c>
      <c r="M153" t="n">
        <v>153771</v>
      </c>
      <c r="N153" t="n">
        <v>148911</v>
      </c>
      <c r="O153" t="n">
        <v>154097</v>
      </c>
      <c r="P153" t="n">
        <v>9529</v>
      </c>
      <c r="Q153" t="n">
        <v>4343</v>
      </c>
      <c r="R153" t="n">
        <v>158440</v>
      </c>
      <c r="S153" t="n">
        <v>17190</v>
      </c>
      <c r="T153" t="n">
        <v>0</v>
      </c>
      <c r="U153" t="n">
        <v>326</v>
      </c>
      <c r="V153" t="n">
        <v>131395</v>
      </c>
      <c r="W153" t="n">
        <v>153771</v>
      </c>
      <c r="X153" t="n">
        <v>148911</v>
      </c>
      <c r="Y153" t="n">
        <v>154097</v>
      </c>
      <c r="Z153" t="n">
        <v>9529</v>
      </c>
      <c r="AA153" t="n">
        <v>4343</v>
      </c>
      <c r="AB153" t="n">
        <v>0</v>
      </c>
      <c r="AC153" t="n">
        <v>0</v>
      </c>
      <c r="AD153" t="n">
        <v>0</v>
      </c>
      <c r="AE153" t="n">
        <v>0</v>
      </c>
      <c r="AF153" t="n">
        <v>0</v>
      </c>
      <c r="AG153" t="n">
        <v>0</v>
      </c>
      <c r="AH153" t="n">
        <v>0</v>
      </c>
      <c r="AI153" t="n">
        <v>0</v>
      </c>
      <c r="AJ153" t="n">
        <v>0</v>
      </c>
      <c r="AK153" t="n">
        <v>0</v>
      </c>
      <c r="AL153" t="n">
        <v>1336</v>
      </c>
      <c r="AM153" t="n">
        <v>-2093</v>
      </c>
      <c r="AN153" t="n">
        <v>0</v>
      </c>
      <c r="AO153" t="n">
        <v>0</v>
      </c>
      <c r="AP153" t="n">
        <v>1379</v>
      </c>
      <c r="AQ153" t="n">
        <v>1280</v>
      </c>
      <c r="AR153" t="n">
        <v>-714</v>
      </c>
      <c r="AS153" t="n">
        <v>1280</v>
      </c>
      <c r="AT153" t="n">
        <v>2050</v>
      </c>
      <c r="AU153" t="n">
        <v>56</v>
      </c>
      <c r="AV153" t="n">
        <v>100</v>
      </c>
      <c r="AW153" t="n">
        <v>10.8</v>
      </c>
      <c r="AX153" t="n">
        <v>0</v>
      </c>
      <c r="AY153" t="n">
        <v>0.2</v>
      </c>
      <c r="AZ153" t="n">
        <v>82.90000000000001</v>
      </c>
      <c r="BA153" t="n">
        <v>97.09999999999999</v>
      </c>
      <c r="BB153" t="n">
        <v>94</v>
      </c>
      <c r="BC153" t="n">
        <v>97.3</v>
      </c>
      <c r="BD153" t="n">
        <v>6</v>
      </c>
      <c r="BE153" t="n">
        <v>2.7</v>
      </c>
      <c r="BF153" t="n">
        <v>100</v>
      </c>
      <c r="BG153" t="n">
        <v>10.8</v>
      </c>
      <c r="BH153" t="n">
        <v>0</v>
      </c>
      <c r="BI153" t="n">
        <v>0.2</v>
      </c>
      <c r="BJ153" t="n">
        <v>82.90000000000001</v>
      </c>
      <c r="BK153" t="n">
        <v>97.09999999999999</v>
      </c>
      <c r="BL153" t="n">
        <v>94</v>
      </c>
      <c r="BM153" t="n">
        <v>97.3</v>
      </c>
      <c r="BN153" t="n">
        <v>6</v>
      </c>
      <c r="BO153" t="n">
        <v>2.7</v>
      </c>
      <c r="BP153" t="n">
        <v>0</v>
      </c>
      <c r="BQ153" t="n">
        <v>0</v>
      </c>
      <c r="BR153" t="n">
        <v>0</v>
      </c>
      <c r="BS153" t="n">
        <v>0</v>
      </c>
      <c r="BT153" t="n">
        <v>0</v>
      </c>
      <c r="BU153" t="n">
        <v>0</v>
      </c>
      <c r="BV153" t="n">
        <v>0</v>
      </c>
      <c r="BW153" t="n">
        <v>0</v>
      </c>
      <c r="BX153" t="n">
        <v>0</v>
      </c>
      <c r="BY153" t="n">
        <v>0</v>
      </c>
      <c r="BZ153" t="n">
        <v>48</v>
      </c>
      <c r="CA153" t="n">
        <v>4</v>
      </c>
      <c r="CB153" t="n">
        <v>0</v>
      </c>
      <c r="CC153" t="n">
        <v>2</v>
      </c>
      <c r="CD153" t="n">
        <v>30</v>
      </c>
      <c r="CE153" t="n">
        <v>34</v>
      </c>
      <c r="CF153" t="n">
        <v>34</v>
      </c>
      <c r="CG153" t="n">
        <v>36</v>
      </c>
      <c r="CH153" t="n">
        <v>48</v>
      </c>
      <c r="CI153" t="n">
        <v>4</v>
      </c>
      <c r="CJ153" t="n">
        <v>0</v>
      </c>
      <c r="CK153" t="n">
        <v>2</v>
      </c>
      <c r="CL153" t="n">
        <v>30</v>
      </c>
      <c r="CM153" t="n">
        <v>34</v>
      </c>
      <c r="CN153" t="n">
        <v>34</v>
      </c>
      <c r="CO153" t="n">
        <v>36</v>
      </c>
      <c r="CP153" t="n">
        <v>0</v>
      </c>
      <c r="CQ153" t="n">
        <v>0</v>
      </c>
      <c r="CR153" t="n">
        <v>0</v>
      </c>
      <c r="CS153" t="n">
        <v>0</v>
      </c>
      <c r="CT153" t="n">
        <v>0</v>
      </c>
      <c r="CU153" t="n">
        <v>0</v>
      </c>
      <c r="CV153" t="n">
        <v>0</v>
      </c>
      <c r="CW153" t="n">
        <v>0</v>
      </c>
      <c r="CX153" t="n">
        <v>36.5</v>
      </c>
      <c r="CY153" t="n">
        <v>36.3</v>
      </c>
      <c r="CZ153" t="n">
        <v>54.5</v>
      </c>
      <c r="DA153" t="n">
        <v>59.9</v>
      </c>
      <c r="DB153" t="n">
        <v>36.3</v>
      </c>
      <c r="DC153" t="n">
        <v>32.6</v>
      </c>
      <c r="DD153" t="n">
        <v>52.2</v>
      </c>
      <c r="DE153" t="n">
        <v>49</v>
      </c>
      <c r="DF153" t="n">
        <v>36.5</v>
      </c>
      <c r="DG153" t="n">
        <v>36.3</v>
      </c>
      <c r="DH153" t="n">
        <v>54.5</v>
      </c>
      <c r="DI153" t="n">
        <v>59.9</v>
      </c>
      <c r="DJ153" t="n">
        <v>36.3</v>
      </c>
      <c r="DK153" t="n">
        <v>32.6</v>
      </c>
      <c r="DL153" t="n">
        <v>52.2</v>
      </c>
      <c r="DM153" t="n">
        <v>49</v>
      </c>
      <c r="DN153" t="n">
        <v>0</v>
      </c>
      <c r="DO153" t="n">
        <v>0</v>
      </c>
      <c r="DP153" t="n">
        <v>0</v>
      </c>
      <c r="DQ153" t="n">
        <v>0</v>
      </c>
      <c r="DR153" t="n">
        <v>0</v>
      </c>
      <c r="DS153" t="n">
        <v>0</v>
      </c>
      <c r="DT153" t="n">
        <v>0</v>
      </c>
      <c r="DU153" t="n">
        <v>0</v>
      </c>
      <c r="DV153" t="inlineStr">
        <is>
          <t>2500 mm btu</t>
        </is>
      </c>
    </row>
    <row r="154">
      <c r="A154" t="inlineStr">
        <is>
          <t>WAHA INDEX - ICE FUTURES ENERGY DIV</t>
        </is>
      </c>
      <c r="B154" t="n">
        <v>230110</v>
      </c>
      <c r="C154" s="1" t="n">
        <v>44936</v>
      </c>
      <c r="D154" t="inlineStr">
        <is>
          <t>0233D4</t>
        </is>
      </c>
      <c r="E154" t="inlineStr">
        <is>
          <t>IFED</t>
        </is>
      </c>
      <c r="F154" t="inlineStr">
        <is>
          <t>01</t>
        </is>
      </c>
      <c r="G154" t="inlineStr">
        <is>
          <t xml:space="preserve">023 </t>
        </is>
      </c>
      <c r="H154" t="n">
        <v>34029</v>
      </c>
      <c r="I154" s="17" t="n">
        <v>0</v>
      </c>
      <c r="J154" s="17" t="n">
        <v>6478</v>
      </c>
      <c r="K154" t="n">
        <v>180</v>
      </c>
      <c r="L154" t="n">
        <v>32326</v>
      </c>
      <c r="M154" t="n">
        <v>26028</v>
      </c>
      <c r="N154" t="n">
        <v>32506</v>
      </c>
      <c r="O154" t="n">
        <v>32686</v>
      </c>
      <c r="P154" t="n">
        <v>1523</v>
      </c>
      <c r="Q154" t="n">
        <v>1343</v>
      </c>
      <c r="R154" t="n">
        <v>34029</v>
      </c>
      <c r="S154" t="n">
        <v>0</v>
      </c>
      <c r="T154" t="n">
        <v>6478</v>
      </c>
      <c r="U154" t="n">
        <v>180</v>
      </c>
      <c r="V154" t="n">
        <v>32326</v>
      </c>
      <c r="W154" t="n">
        <v>26028</v>
      </c>
      <c r="X154" t="n">
        <v>32506</v>
      </c>
      <c r="Y154" t="n">
        <v>32686</v>
      </c>
      <c r="Z154" t="n">
        <v>1523</v>
      </c>
      <c r="AA154" t="n">
        <v>1343</v>
      </c>
      <c r="AB154" t="n">
        <v>0</v>
      </c>
      <c r="AC154" t="n">
        <v>0</v>
      </c>
      <c r="AD154" t="n">
        <v>0</v>
      </c>
      <c r="AE154" t="n">
        <v>0</v>
      </c>
      <c r="AF154" t="n">
        <v>0</v>
      </c>
      <c r="AG154" t="n">
        <v>0</v>
      </c>
      <c r="AH154" t="n">
        <v>0</v>
      </c>
      <c r="AI154" t="n">
        <v>0</v>
      </c>
      <c r="AJ154" t="n">
        <v>0</v>
      </c>
      <c r="AK154" t="n">
        <v>0</v>
      </c>
      <c r="AL154" t="n">
        <v>-11667</v>
      </c>
      <c r="AM154" t="n">
        <v>-230</v>
      </c>
      <c r="AN154" t="n">
        <v>2832</v>
      </c>
      <c r="AO154" t="n">
        <v>-135</v>
      </c>
      <c r="AP154" t="n">
        <v>-10800</v>
      </c>
      <c r="AQ154" t="n">
        <v>-15068</v>
      </c>
      <c r="AR154" t="n">
        <v>-11165</v>
      </c>
      <c r="AS154" t="n">
        <v>-12371</v>
      </c>
      <c r="AT154" t="n">
        <v>-502</v>
      </c>
      <c r="AU154" t="n">
        <v>704</v>
      </c>
      <c r="AV154" t="n">
        <v>100</v>
      </c>
      <c r="AW154" t="n">
        <v>0</v>
      </c>
      <c r="AX154" t="n">
        <v>19</v>
      </c>
      <c r="AY154" t="n">
        <v>0.5</v>
      </c>
      <c r="AZ154" t="n">
        <v>95</v>
      </c>
      <c r="BA154" t="n">
        <v>76.5</v>
      </c>
      <c r="BB154" t="n">
        <v>95.5</v>
      </c>
      <c r="BC154" t="n">
        <v>96.09999999999999</v>
      </c>
      <c r="BD154" t="n">
        <v>4.5</v>
      </c>
      <c r="BE154" t="n">
        <v>3.9</v>
      </c>
      <c r="BF154" t="n">
        <v>100</v>
      </c>
      <c r="BG154" t="n">
        <v>0</v>
      </c>
      <c r="BH154" t="n">
        <v>19</v>
      </c>
      <c r="BI154" t="n">
        <v>0.5</v>
      </c>
      <c r="BJ154" t="n">
        <v>95</v>
      </c>
      <c r="BK154" t="n">
        <v>76.5</v>
      </c>
      <c r="BL154" t="n">
        <v>95.5</v>
      </c>
      <c r="BM154" t="n">
        <v>96.09999999999999</v>
      </c>
      <c r="BN154" t="n">
        <v>4.5</v>
      </c>
      <c r="BO154" t="n">
        <v>3.9</v>
      </c>
      <c r="BP154" t="n">
        <v>0</v>
      </c>
      <c r="BQ154" t="n">
        <v>0</v>
      </c>
      <c r="BR154" t="n">
        <v>0</v>
      </c>
      <c r="BS154" t="n">
        <v>0</v>
      </c>
      <c r="BT154" t="n">
        <v>0</v>
      </c>
      <c r="BU154" t="n">
        <v>0</v>
      </c>
      <c r="BV154" t="n">
        <v>0</v>
      </c>
      <c r="BW154" t="n">
        <v>0</v>
      </c>
      <c r="BX154" t="n">
        <v>0</v>
      </c>
      <c r="BY154" t="n">
        <v>0</v>
      </c>
      <c r="BZ154" t="n">
        <v>31</v>
      </c>
      <c r="CA154" t="n">
        <v>0</v>
      </c>
      <c r="CB154" t="n">
        <v>4</v>
      </c>
      <c r="CC154" t="n">
        <v>1</v>
      </c>
      <c r="CD154" t="n">
        <v>19</v>
      </c>
      <c r="CE154" t="n">
        <v>16</v>
      </c>
      <c r="CF154" t="n">
        <v>20</v>
      </c>
      <c r="CG154" t="n">
        <v>20</v>
      </c>
      <c r="CH154" t="n">
        <v>31</v>
      </c>
      <c r="CI154" t="n">
        <v>0</v>
      </c>
      <c r="CJ154" t="n">
        <v>4</v>
      </c>
      <c r="CK154" t="n">
        <v>1</v>
      </c>
      <c r="CL154" t="n">
        <v>19</v>
      </c>
      <c r="CM154" t="n">
        <v>16</v>
      </c>
      <c r="CN154" t="n">
        <v>20</v>
      </c>
      <c r="CO154" t="n">
        <v>20</v>
      </c>
      <c r="CP154" t="n">
        <v>0</v>
      </c>
      <c r="CQ154" t="n">
        <v>0</v>
      </c>
      <c r="CR154" t="n">
        <v>0</v>
      </c>
      <c r="CS154" t="n">
        <v>0</v>
      </c>
      <c r="CT154" t="n">
        <v>0</v>
      </c>
      <c r="CU154" t="n">
        <v>0</v>
      </c>
      <c r="CV154" t="n">
        <v>0</v>
      </c>
      <c r="CW154" t="n">
        <v>0</v>
      </c>
      <c r="CX154" t="n">
        <v>52.2</v>
      </c>
      <c r="CY154" t="n">
        <v>59.8</v>
      </c>
      <c r="CZ154" t="n">
        <v>74.90000000000001</v>
      </c>
      <c r="DA154" t="n">
        <v>81.09999999999999</v>
      </c>
      <c r="DB154" t="n">
        <v>51.2</v>
      </c>
      <c r="DC154" t="n">
        <v>57.2</v>
      </c>
      <c r="DD154" t="n">
        <v>70.40000000000001</v>
      </c>
      <c r="DE154" t="n">
        <v>75</v>
      </c>
      <c r="DF154" t="n">
        <v>52.2</v>
      </c>
      <c r="DG154" t="n">
        <v>59.8</v>
      </c>
      <c r="DH154" t="n">
        <v>74.90000000000001</v>
      </c>
      <c r="DI154" t="n">
        <v>81.09999999999999</v>
      </c>
      <c r="DJ154" t="n">
        <v>51.2</v>
      </c>
      <c r="DK154" t="n">
        <v>57.2</v>
      </c>
      <c r="DL154" t="n">
        <v>70.40000000000001</v>
      </c>
      <c r="DM154" t="n">
        <v>75</v>
      </c>
      <c r="DN154" t="n">
        <v>0</v>
      </c>
      <c r="DO154" t="n">
        <v>0</v>
      </c>
      <c r="DP154" t="n">
        <v>0</v>
      </c>
      <c r="DQ154" t="n">
        <v>0</v>
      </c>
      <c r="DR154" t="n">
        <v>0</v>
      </c>
      <c r="DS154" t="n">
        <v>0</v>
      </c>
      <c r="DT154" t="n">
        <v>0</v>
      </c>
      <c r="DU154" t="n">
        <v>0</v>
      </c>
      <c r="DV154" t="inlineStr">
        <is>
          <t>2500 mm btu</t>
        </is>
      </c>
    </row>
    <row r="155">
      <c r="A155" t="inlineStr">
        <is>
          <t>WAHA INDEX - ICE FUTURES ENERGY DIV</t>
        </is>
      </c>
      <c r="B155" t="n">
        <v>230103</v>
      </c>
      <c r="C155" s="1" t="n">
        <v>44929</v>
      </c>
      <c r="D155" t="inlineStr">
        <is>
          <t>0233D4</t>
        </is>
      </c>
      <c r="E155" t="inlineStr">
        <is>
          <t>IFED</t>
        </is>
      </c>
      <c r="F155" t="inlineStr">
        <is>
          <t>01</t>
        </is>
      </c>
      <c r="G155" t="inlineStr">
        <is>
          <t xml:space="preserve">023 </t>
        </is>
      </c>
      <c r="H155" t="n">
        <v>45696</v>
      </c>
      <c r="I155" s="17" t="n">
        <v>230</v>
      </c>
      <c r="J155" s="17" t="n">
        <v>3646</v>
      </c>
      <c r="K155" t="n">
        <v>315</v>
      </c>
      <c r="L155" t="n">
        <v>43126</v>
      </c>
      <c r="M155" t="n">
        <v>41096</v>
      </c>
      <c r="N155" t="n">
        <v>43671</v>
      </c>
      <c r="O155" t="n">
        <v>45057</v>
      </c>
      <c r="P155" t="n">
        <v>2025</v>
      </c>
      <c r="Q155" t="n">
        <v>639</v>
      </c>
      <c r="R155" t="n">
        <v>45696</v>
      </c>
      <c r="S155" t="n">
        <v>230</v>
      </c>
      <c r="T155" t="n">
        <v>3646</v>
      </c>
      <c r="U155" t="n">
        <v>315</v>
      </c>
      <c r="V155" t="n">
        <v>43126</v>
      </c>
      <c r="W155" t="n">
        <v>41096</v>
      </c>
      <c r="X155" t="n">
        <v>43671</v>
      </c>
      <c r="Y155" t="n">
        <v>45057</v>
      </c>
      <c r="Z155" t="n">
        <v>2025</v>
      </c>
      <c r="AA155" t="n">
        <v>639</v>
      </c>
      <c r="AB155" t="n">
        <v>0</v>
      </c>
      <c r="AC155" t="n">
        <v>0</v>
      </c>
      <c r="AD155" t="n">
        <v>0</v>
      </c>
      <c r="AE155" t="n">
        <v>0</v>
      </c>
      <c r="AF155" t="n">
        <v>0</v>
      </c>
      <c r="AG155" t="n">
        <v>0</v>
      </c>
      <c r="AH155" t="n">
        <v>0</v>
      </c>
      <c r="AI155" t="n">
        <v>0</v>
      </c>
      <c r="AJ155" t="n">
        <v>0</v>
      </c>
      <c r="AK155" t="n">
        <v>0</v>
      </c>
      <c r="AL155" t="n">
        <v>-4</v>
      </c>
      <c r="AM155" t="n">
        <v>-132</v>
      </c>
      <c r="AN155" t="n">
        <v>-96</v>
      </c>
      <c r="AO155" t="n">
        <v>284</v>
      </c>
      <c r="AP155" t="n">
        <v>678</v>
      </c>
      <c r="AQ155" t="n">
        <v>-130</v>
      </c>
      <c r="AR155" t="n">
        <v>830</v>
      </c>
      <c r="AS155" t="n">
        <v>58</v>
      </c>
      <c r="AT155" t="n">
        <v>-834</v>
      </c>
      <c r="AU155" t="n">
        <v>-62</v>
      </c>
      <c r="AV155" t="n">
        <v>100</v>
      </c>
      <c r="AW155" t="n">
        <v>0.5</v>
      </c>
      <c r="AX155" t="n">
        <v>8</v>
      </c>
      <c r="AY155" t="n">
        <v>0.7</v>
      </c>
      <c r="AZ155" t="n">
        <v>94.40000000000001</v>
      </c>
      <c r="BA155" t="n">
        <v>89.90000000000001</v>
      </c>
      <c r="BB155" t="n">
        <v>95.59999999999999</v>
      </c>
      <c r="BC155" t="n">
        <v>98.59999999999999</v>
      </c>
      <c r="BD155" t="n">
        <v>4.4</v>
      </c>
      <c r="BE155" t="n">
        <v>1.4</v>
      </c>
      <c r="BF155" t="n">
        <v>100</v>
      </c>
      <c r="BG155" t="n">
        <v>0.5</v>
      </c>
      <c r="BH155" t="n">
        <v>8</v>
      </c>
      <c r="BI155" t="n">
        <v>0.7</v>
      </c>
      <c r="BJ155" t="n">
        <v>94.40000000000001</v>
      </c>
      <c r="BK155" t="n">
        <v>89.90000000000001</v>
      </c>
      <c r="BL155" t="n">
        <v>95.59999999999999</v>
      </c>
      <c r="BM155" t="n">
        <v>98.59999999999999</v>
      </c>
      <c r="BN155" t="n">
        <v>4.4</v>
      </c>
      <c r="BO155" t="n">
        <v>1.4</v>
      </c>
      <c r="BP155" t="n">
        <v>0</v>
      </c>
      <c r="BQ155" t="n">
        <v>0</v>
      </c>
      <c r="BR155" t="n">
        <v>0</v>
      </c>
      <c r="BS155" t="n">
        <v>0</v>
      </c>
      <c r="BT155" t="n">
        <v>0</v>
      </c>
      <c r="BU155" t="n">
        <v>0</v>
      </c>
      <c r="BV155" t="n">
        <v>0</v>
      </c>
      <c r="BW155" t="n">
        <v>0</v>
      </c>
      <c r="BX155" t="n">
        <v>0</v>
      </c>
      <c r="BY155" t="n">
        <v>0</v>
      </c>
      <c r="BZ155" t="n">
        <v>35</v>
      </c>
      <c r="CA155" t="n">
        <v>1</v>
      </c>
      <c r="CB155" t="n">
        <v>4</v>
      </c>
      <c r="CC155" t="n">
        <v>2</v>
      </c>
      <c r="CD155" t="n">
        <v>22</v>
      </c>
      <c r="CE155" t="n">
        <v>19</v>
      </c>
      <c r="CF155" t="n">
        <v>24</v>
      </c>
      <c r="CG155" t="n">
        <v>24</v>
      </c>
      <c r="CH155" t="n">
        <v>35</v>
      </c>
      <c r="CI155" t="n">
        <v>1</v>
      </c>
      <c r="CJ155" t="n">
        <v>4</v>
      </c>
      <c r="CK155" t="n">
        <v>2</v>
      </c>
      <c r="CL155" t="n">
        <v>22</v>
      </c>
      <c r="CM155" t="n">
        <v>19</v>
      </c>
      <c r="CN155" t="n">
        <v>24</v>
      </c>
      <c r="CO155" t="n">
        <v>24</v>
      </c>
      <c r="CP155" t="n">
        <v>0</v>
      </c>
      <c r="CQ155" t="n">
        <v>0</v>
      </c>
      <c r="CR155" t="n">
        <v>0</v>
      </c>
      <c r="CS155" t="n">
        <v>0</v>
      </c>
      <c r="CT155" t="n">
        <v>0</v>
      </c>
      <c r="CU155" t="n">
        <v>0</v>
      </c>
      <c r="CV155" t="n">
        <v>0</v>
      </c>
      <c r="CW155" t="n">
        <v>0</v>
      </c>
      <c r="CX155" t="n">
        <v>46.6</v>
      </c>
      <c r="CY155" t="n">
        <v>59.1</v>
      </c>
      <c r="CZ155" t="n">
        <v>66.2</v>
      </c>
      <c r="DA155" t="n">
        <v>78.8</v>
      </c>
      <c r="DB155" t="n">
        <v>39.4</v>
      </c>
      <c r="DC155" t="n">
        <v>57.4</v>
      </c>
      <c r="DD155" t="n">
        <v>54.2</v>
      </c>
      <c r="DE155" t="n">
        <v>69.5</v>
      </c>
      <c r="DF155" t="n">
        <v>46.6</v>
      </c>
      <c r="DG155" t="n">
        <v>59.1</v>
      </c>
      <c r="DH155" t="n">
        <v>66.2</v>
      </c>
      <c r="DI155" t="n">
        <v>78.8</v>
      </c>
      <c r="DJ155" t="n">
        <v>39.4</v>
      </c>
      <c r="DK155" t="n">
        <v>57.4</v>
      </c>
      <c r="DL155" t="n">
        <v>54.2</v>
      </c>
      <c r="DM155" t="n">
        <v>69.5</v>
      </c>
      <c r="DN155" t="n">
        <v>0</v>
      </c>
      <c r="DO155" t="n">
        <v>0</v>
      </c>
      <c r="DP155" t="n">
        <v>0</v>
      </c>
      <c r="DQ155" t="n">
        <v>0</v>
      </c>
      <c r="DR155" t="n">
        <v>0</v>
      </c>
      <c r="DS155" t="n">
        <v>0</v>
      </c>
      <c r="DT155" t="n">
        <v>0</v>
      </c>
      <c r="DU155" t="n">
        <v>0</v>
      </c>
      <c r="DV155" t="inlineStr">
        <is>
          <t>2500 mm btu</t>
        </is>
      </c>
    </row>
    <row r="156">
      <c r="A156" t="inlineStr">
        <is>
          <t>TETCO M2 Basis (Receipts) - ICE FUTURES ENERGY DIV</t>
        </is>
      </c>
      <c r="B156" t="n">
        <v>230110</v>
      </c>
      <c r="C156" s="1" t="n">
        <v>44936</v>
      </c>
      <c r="D156" t="inlineStr">
        <is>
          <t>0233DR</t>
        </is>
      </c>
      <c r="E156" t="inlineStr">
        <is>
          <t>IFED</t>
        </is>
      </c>
      <c r="F156" t="inlineStr">
        <is>
          <t>01</t>
        </is>
      </c>
      <c r="G156" t="inlineStr">
        <is>
          <t xml:space="preserve">023 </t>
        </is>
      </c>
      <c r="H156" t="n">
        <v>309993</v>
      </c>
      <c r="I156" s="17" t="n">
        <v>0</v>
      </c>
      <c r="J156" s="17" t="n">
        <v>2413</v>
      </c>
      <c r="K156" t="n">
        <v>0</v>
      </c>
      <c r="L156" t="n">
        <v>300503</v>
      </c>
      <c r="M156" t="n">
        <v>300123</v>
      </c>
      <c r="N156" t="n">
        <v>300503</v>
      </c>
      <c r="O156" t="n">
        <v>302536</v>
      </c>
      <c r="P156" t="n">
        <v>9490</v>
      </c>
      <c r="Q156" t="n">
        <v>7457</v>
      </c>
      <c r="R156" t="n">
        <v>309993</v>
      </c>
      <c r="S156" t="n">
        <v>0</v>
      </c>
      <c r="T156" t="n">
        <v>2413</v>
      </c>
      <c r="U156" t="n">
        <v>0</v>
      </c>
      <c r="V156" t="n">
        <v>300503</v>
      </c>
      <c r="W156" t="n">
        <v>300123</v>
      </c>
      <c r="X156" t="n">
        <v>300503</v>
      </c>
      <c r="Y156" t="n">
        <v>302536</v>
      </c>
      <c r="Z156" t="n">
        <v>9490</v>
      </c>
      <c r="AA156" t="n">
        <v>7457</v>
      </c>
      <c r="AB156" t="n">
        <v>0</v>
      </c>
      <c r="AC156" t="n">
        <v>0</v>
      </c>
      <c r="AD156" t="n">
        <v>0</v>
      </c>
      <c r="AE156" t="n">
        <v>0</v>
      </c>
      <c r="AF156" t="n">
        <v>0</v>
      </c>
      <c r="AG156" t="n">
        <v>0</v>
      </c>
      <c r="AH156" t="n">
        <v>0</v>
      </c>
      <c r="AI156" t="n">
        <v>0</v>
      </c>
      <c r="AJ156" t="n">
        <v>0</v>
      </c>
      <c r="AK156" t="n">
        <v>0</v>
      </c>
      <c r="AL156" t="n">
        <v>-14870</v>
      </c>
      <c r="AM156" t="n">
        <v>0</v>
      </c>
      <c r="AN156" t="n">
        <v>-981</v>
      </c>
      <c r="AO156" t="n">
        <v>-279</v>
      </c>
      <c r="AP156" t="n">
        <v>-14672</v>
      </c>
      <c r="AQ156" t="n">
        <v>-14463</v>
      </c>
      <c r="AR156" t="n">
        <v>-14951</v>
      </c>
      <c r="AS156" t="n">
        <v>-15723</v>
      </c>
      <c r="AT156" t="n">
        <v>81</v>
      </c>
      <c r="AU156" t="n">
        <v>853</v>
      </c>
      <c r="AV156" t="n">
        <v>100</v>
      </c>
      <c r="AW156" t="n">
        <v>0</v>
      </c>
      <c r="AX156" t="n">
        <v>0.8</v>
      </c>
      <c r="AY156" t="n">
        <v>0</v>
      </c>
      <c r="AZ156" t="n">
        <v>96.90000000000001</v>
      </c>
      <c r="BA156" t="n">
        <v>96.8</v>
      </c>
      <c r="BB156" t="n">
        <v>96.90000000000001</v>
      </c>
      <c r="BC156" t="n">
        <v>97.59999999999999</v>
      </c>
      <c r="BD156" t="n">
        <v>3.1</v>
      </c>
      <c r="BE156" t="n">
        <v>2.4</v>
      </c>
      <c r="BF156" t="n">
        <v>100</v>
      </c>
      <c r="BG156" t="n">
        <v>0</v>
      </c>
      <c r="BH156" t="n">
        <v>0.8</v>
      </c>
      <c r="BI156" t="n">
        <v>0</v>
      </c>
      <c r="BJ156" t="n">
        <v>96.90000000000001</v>
      </c>
      <c r="BK156" t="n">
        <v>96.8</v>
      </c>
      <c r="BL156" t="n">
        <v>96.90000000000001</v>
      </c>
      <c r="BM156" t="n">
        <v>97.59999999999999</v>
      </c>
      <c r="BN156" t="n">
        <v>3.1</v>
      </c>
      <c r="BO156" t="n">
        <v>2.4</v>
      </c>
      <c r="BP156" t="n">
        <v>0</v>
      </c>
      <c r="BQ156" t="n">
        <v>0</v>
      </c>
      <c r="BR156" t="n">
        <v>0</v>
      </c>
      <c r="BS156" t="n">
        <v>0</v>
      </c>
      <c r="BT156" t="n">
        <v>0</v>
      </c>
      <c r="BU156" t="n">
        <v>0</v>
      </c>
      <c r="BV156" t="n">
        <v>0</v>
      </c>
      <c r="BW156" t="n">
        <v>0</v>
      </c>
      <c r="BX156" t="n">
        <v>0</v>
      </c>
      <c r="BY156" t="n">
        <v>0</v>
      </c>
      <c r="BZ156" t="n">
        <v>33</v>
      </c>
      <c r="CA156" t="n">
        <v>0</v>
      </c>
      <c r="CB156" t="n">
        <v>1</v>
      </c>
      <c r="CC156" t="n">
        <v>0</v>
      </c>
      <c r="CD156" t="n">
        <v>25</v>
      </c>
      <c r="CE156" t="n">
        <v>18</v>
      </c>
      <c r="CF156" t="n">
        <v>25</v>
      </c>
      <c r="CG156" t="n">
        <v>19</v>
      </c>
      <c r="CH156" t="n">
        <v>33</v>
      </c>
      <c r="CI156" t="n">
        <v>0</v>
      </c>
      <c r="CJ156" t="n">
        <v>1</v>
      </c>
      <c r="CK156" t="n">
        <v>0</v>
      </c>
      <c r="CL156" t="n">
        <v>25</v>
      </c>
      <c r="CM156" t="n">
        <v>18</v>
      </c>
      <c r="CN156" t="n">
        <v>25</v>
      </c>
      <c r="CO156" t="n">
        <v>19</v>
      </c>
      <c r="CP156" t="n">
        <v>0</v>
      </c>
      <c r="CQ156" t="n">
        <v>0</v>
      </c>
      <c r="CR156" t="n">
        <v>0</v>
      </c>
      <c r="CS156" t="n">
        <v>0</v>
      </c>
      <c r="CT156" t="n">
        <v>0</v>
      </c>
      <c r="CU156" t="n">
        <v>0</v>
      </c>
      <c r="CV156" t="n">
        <v>0</v>
      </c>
      <c r="CW156" t="n">
        <v>0</v>
      </c>
      <c r="CX156" t="n">
        <v>55.8</v>
      </c>
      <c r="CY156" t="n">
        <v>70.3</v>
      </c>
      <c r="CZ156" t="n">
        <v>73.5</v>
      </c>
      <c r="DA156" t="n">
        <v>94.40000000000001</v>
      </c>
      <c r="DB156" t="n">
        <v>55.8</v>
      </c>
      <c r="DC156" t="n">
        <v>69.5</v>
      </c>
      <c r="DD156" t="n">
        <v>73.2</v>
      </c>
      <c r="DE156" t="n">
        <v>93.59999999999999</v>
      </c>
      <c r="DF156" t="n">
        <v>55.8</v>
      </c>
      <c r="DG156" t="n">
        <v>70.3</v>
      </c>
      <c r="DH156" t="n">
        <v>73.5</v>
      </c>
      <c r="DI156" t="n">
        <v>94.40000000000001</v>
      </c>
      <c r="DJ156" t="n">
        <v>55.8</v>
      </c>
      <c r="DK156" t="n">
        <v>69.5</v>
      </c>
      <c r="DL156" t="n">
        <v>73.2</v>
      </c>
      <c r="DM156" t="n">
        <v>93.59999999999999</v>
      </c>
      <c r="DN156" t="n">
        <v>0</v>
      </c>
      <c r="DO156" t="n">
        <v>0</v>
      </c>
      <c r="DP156" t="n">
        <v>0</v>
      </c>
      <c r="DQ156" t="n">
        <v>0</v>
      </c>
      <c r="DR156" t="n">
        <v>0</v>
      </c>
      <c r="DS156" t="n">
        <v>0</v>
      </c>
      <c r="DT156" t="n">
        <v>0</v>
      </c>
      <c r="DU156" t="n">
        <v>0</v>
      </c>
      <c r="DV156" t="inlineStr">
        <is>
          <t>2500 MM Btus</t>
        </is>
      </c>
    </row>
    <row r="157">
      <c r="A157" t="inlineStr">
        <is>
          <t>TETCO M2 Basis (Receipts) - ICE FUTURES ENERGY DIV</t>
        </is>
      </c>
      <c r="B157" t="n">
        <v>230103</v>
      </c>
      <c r="C157" s="1" t="n">
        <v>44929</v>
      </c>
      <c r="D157" t="inlineStr">
        <is>
          <t>0233DR</t>
        </is>
      </c>
      <c r="E157" t="inlineStr">
        <is>
          <t>IFED</t>
        </is>
      </c>
      <c r="F157" t="inlineStr">
        <is>
          <t>01</t>
        </is>
      </c>
      <c r="G157" t="inlineStr">
        <is>
          <t xml:space="preserve">023 </t>
        </is>
      </c>
      <c r="H157" t="n">
        <v>324863</v>
      </c>
      <c r="I157" s="17" t="n">
        <v>0</v>
      </c>
      <c r="J157" s="17" t="n">
        <v>3394</v>
      </c>
      <c r="K157" t="n">
        <v>279</v>
      </c>
      <c r="L157" t="n">
        <v>315175</v>
      </c>
      <c r="M157" t="n">
        <v>314586</v>
      </c>
      <c r="N157" t="n">
        <v>315454</v>
      </c>
      <c r="O157" t="n">
        <v>318259</v>
      </c>
      <c r="P157" t="n">
        <v>9409</v>
      </c>
      <c r="Q157" t="n">
        <v>6604</v>
      </c>
      <c r="R157" t="n">
        <v>324863</v>
      </c>
      <c r="S157" t="n">
        <v>0</v>
      </c>
      <c r="T157" t="n">
        <v>3394</v>
      </c>
      <c r="U157" t="n">
        <v>279</v>
      </c>
      <c r="V157" t="n">
        <v>315175</v>
      </c>
      <c r="W157" t="n">
        <v>314586</v>
      </c>
      <c r="X157" t="n">
        <v>315454</v>
      </c>
      <c r="Y157" t="n">
        <v>318259</v>
      </c>
      <c r="Z157" t="n">
        <v>9409</v>
      </c>
      <c r="AA157" t="n">
        <v>6604</v>
      </c>
      <c r="AB157" t="n">
        <v>0</v>
      </c>
      <c r="AC157" t="n">
        <v>0</v>
      </c>
      <c r="AD157" t="n">
        <v>0</v>
      </c>
      <c r="AE157" t="n">
        <v>0</v>
      </c>
      <c r="AF157" t="n">
        <v>0</v>
      </c>
      <c r="AG157" t="n">
        <v>0</v>
      </c>
      <c r="AH157" t="n">
        <v>0</v>
      </c>
      <c r="AI157" t="n">
        <v>0</v>
      </c>
      <c r="AJ157" t="n">
        <v>0</v>
      </c>
      <c r="AK157" t="n">
        <v>0</v>
      </c>
      <c r="AL157" t="n">
        <v>2695</v>
      </c>
      <c r="AM157" t="n">
        <v>0</v>
      </c>
      <c r="AN157" t="n">
        <v>217</v>
      </c>
      <c r="AO157" t="n">
        <v>0</v>
      </c>
      <c r="AP157" t="n">
        <v>3001</v>
      </c>
      <c r="AQ157" t="n">
        <v>2664</v>
      </c>
      <c r="AR157" t="n">
        <v>3001</v>
      </c>
      <c r="AS157" t="n">
        <v>2881</v>
      </c>
      <c r="AT157" t="n">
        <v>-306</v>
      </c>
      <c r="AU157" t="n">
        <v>-186</v>
      </c>
      <c r="AV157" t="n">
        <v>100</v>
      </c>
      <c r="AW157" t="n">
        <v>0</v>
      </c>
      <c r="AX157" t="n">
        <v>1</v>
      </c>
      <c r="AY157" t="n">
        <v>0.1</v>
      </c>
      <c r="AZ157" t="n">
        <v>97</v>
      </c>
      <c r="BA157" t="n">
        <v>96.8</v>
      </c>
      <c r="BB157" t="n">
        <v>97.09999999999999</v>
      </c>
      <c r="BC157" t="n">
        <v>98</v>
      </c>
      <c r="BD157" t="n">
        <v>2.9</v>
      </c>
      <c r="BE157" t="n">
        <v>2</v>
      </c>
      <c r="BF157" t="n">
        <v>100</v>
      </c>
      <c r="BG157" t="n">
        <v>0</v>
      </c>
      <c r="BH157" t="n">
        <v>1</v>
      </c>
      <c r="BI157" t="n">
        <v>0.1</v>
      </c>
      <c r="BJ157" t="n">
        <v>97</v>
      </c>
      <c r="BK157" t="n">
        <v>96.8</v>
      </c>
      <c r="BL157" t="n">
        <v>97.09999999999999</v>
      </c>
      <c r="BM157" t="n">
        <v>98</v>
      </c>
      <c r="BN157" t="n">
        <v>2.9</v>
      </c>
      <c r="BO157" t="n">
        <v>2</v>
      </c>
      <c r="BP157" t="n">
        <v>0</v>
      </c>
      <c r="BQ157" t="n">
        <v>0</v>
      </c>
      <c r="BR157" t="n">
        <v>0</v>
      </c>
      <c r="BS157" t="n">
        <v>0</v>
      </c>
      <c r="BT157" t="n">
        <v>0</v>
      </c>
      <c r="BU157" t="n">
        <v>0</v>
      </c>
      <c r="BV157" t="n">
        <v>0</v>
      </c>
      <c r="BW157" t="n">
        <v>0</v>
      </c>
      <c r="BX157" t="n">
        <v>0</v>
      </c>
      <c r="BY157" t="n">
        <v>0</v>
      </c>
      <c r="BZ157" t="n">
        <v>38</v>
      </c>
      <c r="CA157" t="n">
        <v>0</v>
      </c>
      <c r="CB157" t="n">
        <v>3</v>
      </c>
      <c r="CC157" t="n">
        <v>1</v>
      </c>
      <c r="CD157" t="n">
        <v>27</v>
      </c>
      <c r="CE157" t="n">
        <v>20</v>
      </c>
      <c r="CF157" t="n">
        <v>28</v>
      </c>
      <c r="CG157" t="n">
        <v>23</v>
      </c>
      <c r="CH157" t="n">
        <v>38</v>
      </c>
      <c r="CI157" t="n">
        <v>0</v>
      </c>
      <c r="CJ157" t="n">
        <v>3</v>
      </c>
      <c r="CK157" t="n">
        <v>1</v>
      </c>
      <c r="CL157" t="n">
        <v>27</v>
      </c>
      <c r="CM157" t="n">
        <v>20</v>
      </c>
      <c r="CN157" t="n">
        <v>28</v>
      </c>
      <c r="CO157" t="n">
        <v>23</v>
      </c>
      <c r="CP157" t="n">
        <v>0</v>
      </c>
      <c r="CQ157" t="n">
        <v>0</v>
      </c>
      <c r="CR157" t="n">
        <v>0</v>
      </c>
      <c r="CS157" t="n">
        <v>0</v>
      </c>
      <c r="CT157" t="n">
        <v>0</v>
      </c>
      <c r="CU157" t="n">
        <v>0</v>
      </c>
      <c r="CV157" t="n">
        <v>0</v>
      </c>
      <c r="CW157" t="n">
        <v>0</v>
      </c>
      <c r="CX157" t="n">
        <v>55.1</v>
      </c>
      <c r="CY157" t="n">
        <v>70.3</v>
      </c>
      <c r="CZ157" t="n">
        <v>72.59999999999999</v>
      </c>
      <c r="DA157" t="n">
        <v>93.8</v>
      </c>
      <c r="DB157" t="n">
        <v>55</v>
      </c>
      <c r="DC157" t="n">
        <v>69.5</v>
      </c>
      <c r="DD157" t="n">
        <v>72.2</v>
      </c>
      <c r="DE157" t="n">
        <v>93.09999999999999</v>
      </c>
      <c r="DF157" t="n">
        <v>55.1</v>
      </c>
      <c r="DG157" t="n">
        <v>70.3</v>
      </c>
      <c r="DH157" t="n">
        <v>72.59999999999999</v>
      </c>
      <c r="DI157" t="n">
        <v>93.8</v>
      </c>
      <c r="DJ157" t="n">
        <v>55</v>
      </c>
      <c r="DK157" t="n">
        <v>69.5</v>
      </c>
      <c r="DL157" t="n">
        <v>72.2</v>
      </c>
      <c r="DM157" t="n">
        <v>93.09999999999999</v>
      </c>
      <c r="DN157" t="n">
        <v>0</v>
      </c>
      <c r="DO157" t="n">
        <v>0</v>
      </c>
      <c r="DP157" t="n">
        <v>0</v>
      </c>
      <c r="DQ157" t="n">
        <v>0</v>
      </c>
      <c r="DR157" t="n">
        <v>0</v>
      </c>
      <c r="DS157" t="n">
        <v>0</v>
      </c>
      <c r="DT157" t="n">
        <v>0</v>
      </c>
      <c r="DU157" t="n">
        <v>0</v>
      </c>
      <c r="DV157" t="inlineStr">
        <is>
          <t>2500 MM Btus</t>
        </is>
      </c>
    </row>
    <row r="158">
      <c r="A158" t="inlineStr">
        <is>
          <t>TRANSCO LEIDY BASIS - ICE FUTURES ENERGY DIV</t>
        </is>
      </c>
      <c r="B158" t="n">
        <v>230110</v>
      </c>
      <c r="C158" s="1" t="n">
        <v>44936</v>
      </c>
      <c r="D158" t="inlineStr">
        <is>
          <t>0233DT</t>
        </is>
      </c>
      <c r="E158" t="inlineStr">
        <is>
          <t>IFED</t>
        </is>
      </c>
      <c r="F158" t="inlineStr">
        <is>
          <t>01</t>
        </is>
      </c>
      <c r="G158" t="inlineStr">
        <is>
          <t xml:space="preserve">023 </t>
        </is>
      </c>
      <c r="H158" t="n">
        <v>101484</v>
      </c>
      <c r="I158" s="17" t="n">
        <v>0</v>
      </c>
      <c r="J158" s="17" t="n">
        <v>5665</v>
      </c>
      <c r="K158" t="n">
        <v>1183</v>
      </c>
      <c r="L158" t="n">
        <v>94071</v>
      </c>
      <c r="M158" t="n">
        <v>88543</v>
      </c>
      <c r="N158" t="n">
        <v>95254</v>
      </c>
      <c r="O158" t="n">
        <v>95391</v>
      </c>
      <c r="P158" t="n">
        <v>6230</v>
      </c>
      <c r="Q158" t="n">
        <v>6093</v>
      </c>
      <c r="R158" t="n">
        <v>101484</v>
      </c>
      <c r="S158" t="n">
        <v>0</v>
      </c>
      <c r="T158" t="n">
        <v>5665</v>
      </c>
      <c r="U158" t="n">
        <v>1183</v>
      </c>
      <c r="V158" t="n">
        <v>94071</v>
      </c>
      <c r="W158" t="n">
        <v>88543</v>
      </c>
      <c r="X158" t="n">
        <v>95254</v>
      </c>
      <c r="Y158" t="n">
        <v>95391</v>
      </c>
      <c r="Z158" t="n">
        <v>6230</v>
      </c>
      <c r="AA158" t="n">
        <v>6093</v>
      </c>
      <c r="AB158" t="n">
        <v>0</v>
      </c>
      <c r="AC158" t="n">
        <v>0</v>
      </c>
      <c r="AD158" t="n">
        <v>0</v>
      </c>
      <c r="AE158" t="n">
        <v>0</v>
      </c>
      <c r="AF158" t="n">
        <v>0</v>
      </c>
      <c r="AG158" t="n">
        <v>0</v>
      </c>
      <c r="AH158" t="n">
        <v>0</v>
      </c>
      <c r="AI158" t="n">
        <v>0</v>
      </c>
      <c r="AJ158" t="n">
        <v>0</v>
      </c>
      <c r="AK158" t="n">
        <v>0</v>
      </c>
      <c r="AL158" t="n">
        <v>-387</v>
      </c>
      <c r="AM158" t="n">
        <v>-568</v>
      </c>
      <c r="AN158" t="n">
        <v>-66</v>
      </c>
      <c r="AO158" t="n">
        <v>-362</v>
      </c>
      <c r="AP158" t="n">
        <v>1721</v>
      </c>
      <c r="AQ158" t="n">
        <v>227</v>
      </c>
      <c r="AR158" t="n">
        <v>791</v>
      </c>
      <c r="AS158" t="n">
        <v>-201</v>
      </c>
      <c r="AT158" t="n">
        <v>-1178</v>
      </c>
      <c r="AU158" t="n">
        <v>-186</v>
      </c>
      <c r="AV158" t="n">
        <v>100</v>
      </c>
      <c r="AW158" t="n">
        <v>0</v>
      </c>
      <c r="AX158" t="n">
        <v>5.6</v>
      </c>
      <c r="AY158" t="n">
        <v>1.2</v>
      </c>
      <c r="AZ158" t="n">
        <v>92.7</v>
      </c>
      <c r="BA158" t="n">
        <v>87.2</v>
      </c>
      <c r="BB158" t="n">
        <v>93.90000000000001</v>
      </c>
      <c r="BC158" t="n">
        <v>94</v>
      </c>
      <c r="BD158" t="n">
        <v>6.1</v>
      </c>
      <c r="BE158" t="n">
        <v>6</v>
      </c>
      <c r="BF158" t="n">
        <v>100</v>
      </c>
      <c r="BG158" t="n">
        <v>0</v>
      </c>
      <c r="BH158" t="n">
        <v>5.6</v>
      </c>
      <c r="BI158" t="n">
        <v>1.2</v>
      </c>
      <c r="BJ158" t="n">
        <v>92.7</v>
      </c>
      <c r="BK158" t="n">
        <v>87.2</v>
      </c>
      <c r="BL158" t="n">
        <v>93.90000000000001</v>
      </c>
      <c r="BM158" t="n">
        <v>94</v>
      </c>
      <c r="BN158" t="n">
        <v>6.1</v>
      </c>
      <c r="BO158" t="n">
        <v>6</v>
      </c>
      <c r="BP158" t="n">
        <v>0</v>
      </c>
      <c r="BQ158" t="n">
        <v>0</v>
      </c>
      <c r="BR158" t="n">
        <v>0</v>
      </c>
      <c r="BS158" t="n">
        <v>0</v>
      </c>
      <c r="BT158" t="n">
        <v>0</v>
      </c>
      <c r="BU158" t="n">
        <v>0</v>
      </c>
      <c r="BV158" t="n">
        <v>0</v>
      </c>
      <c r="BW158" t="n">
        <v>0</v>
      </c>
      <c r="BX158" t="n">
        <v>0</v>
      </c>
      <c r="BY158" t="n">
        <v>0</v>
      </c>
      <c r="BZ158" t="n">
        <v>27</v>
      </c>
      <c r="CA158" t="n">
        <v>0</v>
      </c>
      <c r="CB158" t="n">
        <v>3</v>
      </c>
      <c r="CC158" t="n">
        <v>2</v>
      </c>
      <c r="CD158" t="n">
        <v>19</v>
      </c>
      <c r="CE158" t="n">
        <v>14</v>
      </c>
      <c r="CF158" t="n">
        <v>21</v>
      </c>
      <c r="CG158" t="n">
        <v>17</v>
      </c>
      <c r="CH158" t="n">
        <v>27</v>
      </c>
      <c r="CI158" t="n">
        <v>0</v>
      </c>
      <c r="CJ158" t="n">
        <v>3</v>
      </c>
      <c r="CK158" t="n">
        <v>2</v>
      </c>
      <c r="CL158" t="n">
        <v>19</v>
      </c>
      <c r="CM158" t="n">
        <v>14</v>
      </c>
      <c r="CN158" t="n">
        <v>21</v>
      </c>
      <c r="CO158" t="n">
        <v>17</v>
      </c>
      <c r="CP158" t="n">
        <v>0</v>
      </c>
      <c r="CQ158" t="n">
        <v>0</v>
      </c>
      <c r="CR158" t="n">
        <v>0</v>
      </c>
      <c r="CS158" t="n">
        <v>0</v>
      </c>
      <c r="CT158" t="n">
        <v>0</v>
      </c>
      <c r="CU158" t="n">
        <v>0</v>
      </c>
      <c r="CV158" t="n">
        <v>0</v>
      </c>
      <c r="CW158" t="n">
        <v>0</v>
      </c>
      <c r="CX158" t="n">
        <v>47.3</v>
      </c>
      <c r="CY158" t="n">
        <v>45.4</v>
      </c>
      <c r="CZ158" t="n">
        <v>73.2</v>
      </c>
      <c r="DA158" t="n">
        <v>76.3</v>
      </c>
      <c r="DB158" t="n">
        <v>46.5</v>
      </c>
      <c r="DC158" t="n">
        <v>43.1</v>
      </c>
      <c r="DD158" t="n">
        <v>65.7</v>
      </c>
      <c r="DE158" t="n">
        <v>65.2</v>
      </c>
      <c r="DF158" t="n">
        <v>47.3</v>
      </c>
      <c r="DG158" t="n">
        <v>45.4</v>
      </c>
      <c r="DH158" t="n">
        <v>73.2</v>
      </c>
      <c r="DI158" t="n">
        <v>76.3</v>
      </c>
      <c r="DJ158" t="n">
        <v>46.5</v>
      </c>
      <c r="DK158" t="n">
        <v>43.1</v>
      </c>
      <c r="DL158" t="n">
        <v>65.7</v>
      </c>
      <c r="DM158" t="n">
        <v>65.2</v>
      </c>
      <c r="DN158" t="n">
        <v>0</v>
      </c>
      <c r="DO158" t="n">
        <v>0</v>
      </c>
      <c r="DP158" t="n">
        <v>0</v>
      </c>
      <c r="DQ158" t="n">
        <v>0</v>
      </c>
      <c r="DR158" t="n">
        <v>0</v>
      </c>
      <c r="DS158" t="n">
        <v>0</v>
      </c>
      <c r="DT158" t="n">
        <v>0</v>
      </c>
      <c r="DU158" t="n">
        <v>0</v>
      </c>
      <c r="DV158" t="inlineStr">
        <is>
          <t>2500 mm btu</t>
        </is>
      </c>
    </row>
    <row r="159">
      <c r="A159" t="inlineStr">
        <is>
          <t>TRANSCO LEIDY BASIS - ICE FUTURES ENERGY DIV</t>
        </is>
      </c>
      <c r="B159" t="n">
        <v>230103</v>
      </c>
      <c r="C159" s="1" t="n">
        <v>44929</v>
      </c>
      <c r="D159" t="inlineStr">
        <is>
          <t>0233DT</t>
        </is>
      </c>
      <c r="E159" t="inlineStr">
        <is>
          <t>IFED</t>
        </is>
      </c>
      <c r="F159" t="inlineStr">
        <is>
          <t>01</t>
        </is>
      </c>
      <c r="G159" t="inlineStr">
        <is>
          <t xml:space="preserve">023 </t>
        </is>
      </c>
      <c r="H159" t="n">
        <v>101871</v>
      </c>
      <c r="I159" s="17" t="n">
        <v>568</v>
      </c>
      <c r="J159" s="17" t="n">
        <v>5731</v>
      </c>
      <c r="K159" t="n">
        <v>1545</v>
      </c>
      <c r="L159" t="n">
        <v>92350</v>
      </c>
      <c r="M159" t="n">
        <v>88316</v>
      </c>
      <c r="N159" t="n">
        <v>94463</v>
      </c>
      <c r="O159" t="n">
        <v>95592</v>
      </c>
      <c r="P159" t="n">
        <v>7408</v>
      </c>
      <c r="Q159" t="n">
        <v>6279</v>
      </c>
      <c r="R159" t="n">
        <v>101871</v>
      </c>
      <c r="S159" t="n">
        <v>568</v>
      </c>
      <c r="T159" t="n">
        <v>5731</v>
      </c>
      <c r="U159" t="n">
        <v>1545</v>
      </c>
      <c r="V159" t="n">
        <v>92350</v>
      </c>
      <c r="W159" t="n">
        <v>88316</v>
      </c>
      <c r="X159" t="n">
        <v>94463</v>
      </c>
      <c r="Y159" t="n">
        <v>95592</v>
      </c>
      <c r="Z159" t="n">
        <v>7408</v>
      </c>
      <c r="AA159" t="n">
        <v>6279</v>
      </c>
      <c r="AB159" t="n">
        <v>0</v>
      </c>
      <c r="AC159" t="n">
        <v>0</v>
      </c>
      <c r="AD159" t="n">
        <v>0</v>
      </c>
      <c r="AE159" t="n">
        <v>0</v>
      </c>
      <c r="AF159" t="n">
        <v>0</v>
      </c>
      <c r="AG159" t="n">
        <v>0</v>
      </c>
      <c r="AH159" t="n">
        <v>0</v>
      </c>
      <c r="AI159" t="n">
        <v>0</v>
      </c>
      <c r="AJ159" t="n">
        <v>0</v>
      </c>
      <c r="AK159" t="n">
        <v>0</v>
      </c>
      <c r="AL159" t="n">
        <v>-281</v>
      </c>
      <c r="AM159" t="n">
        <v>0</v>
      </c>
      <c r="AN159" t="n">
        <v>642</v>
      </c>
      <c r="AO159" t="n">
        <v>214</v>
      </c>
      <c r="AP159" t="n">
        <v>575</v>
      </c>
      <c r="AQ159" t="n">
        <v>-67</v>
      </c>
      <c r="AR159" t="n">
        <v>789</v>
      </c>
      <c r="AS159" t="n">
        <v>789</v>
      </c>
      <c r="AT159" t="n">
        <v>-1070</v>
      </c>
      <c r="AU159" t="n">
        <v>-1070</v>
      </c>
      <c r="AV159" t="n">
        <v>100</v>
      </c>
      <c r="AW159" t="n">
        <v>0.6</v>
      </c>
      <c r="AX159" t="n">
        <v>5.6</v>
      </c>
      <c r="AY159" t="n">
        <v>1.5</v>
      </c>
      <c r="AZ159" t="n">
        <v>90.7</v>
      </c>
      <c r="BA159" t="n">
        <v>86.7</v>
      </c>
      <c r="BB159" t="n">
        <v>92.7</v>
      </c>
      <c r="BC159" t="n">
        <v>93.8</v>
      </c>
      <c r="BD159" t="n">
        <v>7.3</v>
      </c>
      <c r="BE159" t="n">
        <v>6.2</v>
      </c>
      <c r="BF159" t="n">
        <v>100</v>
      </c>
      <c r="BG159" t="n">
        <v>0.6</v>
      </c>
      <c r="BH159" t="n">
        <v>5.6</v>
      </c>
      <c r="BI159" t="n">
        <v>1.5</v>
      </c>
      <c r="BJ159" t="n">
        <v>90.7</v>
      </c>
      <c r="BK159" t="n">
        <v>86.7</v>
      </c>
      <c r="BL159" t="n">
        <v>92.7</v>
      </c>
      <c r="BM159" t="n">
        <v>93.8</v>
      </c>
      <c r="BN159" t="n">
        <v>7.3</v>
      </c>
      <c r="BO159" t="n">
        <v>6.2</v>
      </c>
      <c r="BP159" t="n">
        <v>0</v>
      </c>
      <c r="BQ159" t="n">
        <v>0</v>
      </c>
      <c r="BR159" t="n">
        <v>0</v>
      </c>
      <c r="BS159" t="n">
        <v>0</v>
      </c>
      <c r="BT159" t="n">
        <v>0</v>
      </c>
      <c r="BU159" t="n">
        <v>0</v>
      </c>
      <c r="BV159" t="n">
        <v>0</v>
      </c>
      <c r="BW159" t="n">
        <v>0</v>
      </c>
      <c r="BX159" t="n">
        <v>0</v>
      </c>
      <c r="BY159" t="n">
        <v>0</v>
      </c>
      <c r="BZ159" t="n">
        <v>27</v>
      </c>
      <c r="CA159" t="n">
        <v>1</v>
      </c>
      <c r="CB159" t="n">
        <v>2</v>
      </c>
      <c r="CC159" t="n">
        <v>2</v>
      </c>
      <c r="CD159" t="n">
        <v>19</v>
      </c>
      <c r="CE159" t="n">
        <v>14</v>
      </c>
      <c r="CF159" t="n">
        <v>21</v>
      </c>
      <c r="CG159" t="n">
        <v>17</v>
      </c>
      <c r="CH159" t="n">
        <v>27</v>
      </c>
      <c r="CI159" t="n">
        <v>1</v>
      </c>
      <c r="CJ159" t="n">
        <v>2</v>
      </c>
      <c r="CK159" t="n">
        <v>2</v>
      </c>
      <c r="CL159" t="n">
        <v>19</v>
      </c>
      <c r="CM159" t="n">
        <v>14</v>
      </c>
      <c r="CN159" t="n">
        <v>21</v>
      </c>
      <c r="CO159" t="n">
        <v>17</v>
      </c>
      <c r="CP159" t="n">
        <v>0</v>
      </c>
      <c r="CQ159" t="n">
        <v>0</v>
      </c>
      <c r="CR159" t="n">
        <v>0</v>
      </c>
      <c r="CS159" t="n">
        <v>0</v>
      </c>
      <c r="CT159" t="n">
        <v>0</v>
      </c>
      <c r="CU159" t="n">
        <v>0</v>
      </c>
      <c r="CV159" t="n">
        <v>0</v>
      </c>
      <c r="CW159" t="n">
        <v>0</v>
      </c>
      <c r="CX159" t="n">
        <v>44.2</v>
      </c>
      <c r="CY159" t="n">
        <v>46.5</v>
      </c>
      <c r="CZ159" t="n">
        <v>70.40000000000001</v>
      </c>
      <c r="DA159" t="n">
        <v>74.8</v>
      </c>
      <c r="DB159" t="n">
        <v>43.4</v>
      </c>
      <c r="DC159" t="n">
        <v>42.9</v>
      </c>
      <c r="DD159" t="n">
        <v>61.6</v>
      </c>
      <c r="DE159" t="n">
        <v>65.09999999999999</v>
      </c>
      <c r="DF159" t="n">
        <v>44.2</v>
      </c>
      <c r="DG159" t="n">
        <v>46.5</v>
      </c>
      <c r="DH159" t="n">
        <v>70.40000000000001</v>
      </c>
      <c r="DI159" t="n">
        <v>74.8</v>
      </c>
      <c r="DJ159" t="n">
        <v>43.4</v>
      </c>
      <c r="DK159" t="n">
        <v>42.9</v>
      </c>
      <c r="DL159" t="n">
        <v>61.6</v>
      </c>
      <c r="DM159" t="n">
        <v>65.09999999999999</v>
      </c>
      <c r="DN159" t="n">
        <v>0</v>
      </c>
      <c r="DO159" t="n">
        <v>0</v>
      </c>
      <c r="DP159" t="n">
        <v>0</v>
      </c>
      <c r="DQ159" t="n">
        <v>0</v>
      </c>
      <c r="DR159" t="n">
        <v>0</v>
      </c>
      <c r="DS159" t="n">
        <v>0</v>
      </c>
      <c r="DT159" t="n">
        <v>0</v>
      </c>
      <c r="DU159" t="n">
        <v>0</v>
      </c>
      <c r="DV159" t="inlineStr">
        <is>
          <t>2500 mm btu</t>
        </is>
      </c>
    </row>
    <row r="160">
      <c r="A160" t="inlineStr">
        <is>
          <t>TETCO M2 Index (Receipts) - ICE FUTURES ENERGY DIV</t>
        </is>
      </c>
      <c r="B160" t="n">
        <v>230110</v>
      </c>
      <c r="C160" s="1" t="n">
        <v>44936</v>
      </c>
      <c r="D160" t="inlineStr">
        <is>
          <t>0233DW</t>
        </is>
      </c>
      <c r="E160" t="inlineStr">
        <is>
          <t>IFED</t>
        </is>
      </c>
      <c r="F160" t="inlineStr">
        <is>
          <t>01</t>
        </is>
      </c>
      <c r="G160" t="inlineStr">
        <is>
          <t xml:space="preserve">023 </t>
        </is>
      </c>
      <c r="H160" t="n">
        <v>26273</v>
      </c>
      <c r="I160" s="17" t="n">
        <v>1147</v>
      </c>
      <c r="J160" s="17" t="n">
        <v>0</v>
      </c>
      <c r="K160" t="n">
        <v>0</v>
      </c>
      <c r="L160" t="n">
        <v>24766</v>
      </c>
      <c r="M160" t="n">
        <v>24385</v>
      </c>
      <c r="N160" t="n">
        <v>25913</v>
      </c>
      <c r="O160" t="n">
        <v>24385</v>
      </c>
      <c r="P160" t="n">
        <v>360</v>
      </c>
      <c r="Q160" t="n">
        <v>1888</v>
      </c>
      <c r="R160" t="n">
        <v>26273</v>
      </c>
      <c r="S160" t="n">
        <v>1147</v>
      </c>
      <c r="T160" t="n">
        <v>0</v>
      </c>
      <c r="U160" t="n">
        <v>0</v>
      </c>
      <c r="V160" t="n">
        <v>24766</v>
      </c>
      <c r="W160" t="n">
        <v>24385</v>
      </c>
      <c r="X160" t="n">
        <v>25913</v>
      </c>
      <c r="Y160" t="n">
        <v>24385</v>
      </c>
      <c r="Z160" t="n">
        <v>360</v>
      </c>
      <c r="AA160" t="n">
        <v>1888</v>
      </c>
      <c r="AB160" t="n">
        <v>0</v>
      </c>
      <c r="AC160" t="n">
        <v>0</v>
      </c>
      <c r="AD160" t="n">
        <v>0</v>
      </c>
      <c r="AE160" t="n">
        <v>0</v>
      </c>
      <c r="AF160" t="n">
        <v>0</v>
      </c>
      <c r="AG160" t="n">
        <v>0</v>
      </c>
      <c r="AH160" t="n">
        <v>0</v>
      </c>
      <c r="AI160" t="n">
        <v>0</v>
      </c>
      <c r="AJ160" t="n">
        <v>0</v>
      </c>
      <c r="AK160" t="n">
        <v>0</v>
      </c>
      <c r="AL160" t="n">
        <v>-8091</v>
      </c>
      <c r="AM160" t="n">
        <v>-868</v>
      </c>
      <c r="AN160" t="n">
        <v>0</v>
      </c>
      <c r="AO160" t="n">
        <v>0</v>
      </c>
      <c r="AP160" t="n">
        <v>-7006</v>
      </c>
      <c r="AQ160" t="n">
        <v>-7998</v>
      </c>
      <c r="AR160" t="n">
        <v>-7874</v>
      </c>
      <c r="AS160" t="n">
        <v>-7998</v>
      </c>
      <c r="AT160" t="n">
        <v>-217</v>
      </c>
      <c r="AU160" t="n">
        <v>-93</v>
      </c>
      <c r="AV160" t="n">
        <v>100</v>
      </c>
      <c r="AW160" t="n">
        <v>4.4</v>
      </c>
      <c r="AX160" t="n">
        <v>0</v>
      </c>
      <c r="AY160" t="n">
        <v>0</v>
      </c>
      <c r="AZ160" t="n">
        <v>94.3</v>
      </c>
      <c r="BA160" t="n">
        <v>92.8</v>
      </c>
      <c r="BB160" t="n">
        <v>98.59999999999999</v>
      </c>
      <c r="BC160" t="n">
        <v>92.8</v>
      </c>
      <c r="BD160" t="n">
        <v>1.4</v>
      </c>
      <c r="BE160" t="n">
        <v>7.2</v>
      </c>
      <c r="BF160" t="n">
        <v>100</v>
      </c>
      <c r="BG160" t="n">
        <v>4.4</v>
      </c>
      <c r="BH160" t="n">
        <v>0</v>
      </c>
      <c r="BI160" t="n">
        <v>0</v>
      </c>
      <c r="BJ160" t="n">
        <v>94.3</v>
      </c>
      <c r="BK160" t="n">
        <v>92.8</v>
      </c>
      <c r="BL160" t="n">
        <v>98.59999999999999</v>
      </c>
      <c r="BM160" t="n">
        <v>92.8</v>
      </c>
      <c r="BN160" t="n">
        <v>1.4</v>
      </c>
      <c r="BO160" t="n">
        <v>7.2</v>
      </c>
      <c r="BP160" t="n">
        <v>0</v>
      </c>
      <c r="BQ160" t="n">
        <v>0</v>
      </c>
      <c r="BR160" t="n">
        <v>0</v>
      </c>
      <c r="BS160" t="n">
        <v>0</v>
      </c>
      <c r="BT160" t="n">
        <v>0</v>
      </c>
      <c r="BU160" t="n">
        <v>0</v>
      </c>
      <c r="BV160" t="n">
        <v>0</v>
      </c>
      <c r="BW160" t="n">
        <v>0</v>
      </c>
      <c r="BX160" t="n">
        <v>0</v>
      </c>
      <c r="BY160" t="n">
        <v>0</v>
      </c>
      <c r="BZ160" t="n">
        <v>20</v>
      </c>
      <c r="CA160" t="n">
        <v>2</v>
      </c>
      <c r="CB160" t="n">
        <v>0</v>
      </c>
      <c r="CC160" t="n">
        <v>0</v>
      </c>
      <c r="CD160" t="n">
        <v>10</v>
      </c>
      <c r="CE160" t="n">
        <v>10</v>
      </c>
      <c r="CF160" t="n">
        <v>12</v>
      </c>
      <c r="CG160" t="n">
        <v>10</v>
      </c>
      <c r="CH160" t="n">
        <v>20</v>
      </c>
      <c r="CI160" t="n">
        <v>2</v>
      </c>
      <c r="CJ160" t="n">
        <v>0</v>
      </c>
      <c r="CK160" t="n">
        <v>0</v>
      </c>
      <c r="CL160" t="n">
        <v>10</v>
      </c>
      <c r="CM160" t="n">
        <v>10</v>
      </c>
      <c r="CN160" t="n">
        <v>12</v>
      </c>
      <c r="CO160" t="n">
        <v>10</v>
      </c>
      <c r="CP160" t="n">
        <v>0</v>
      </c>
      <c r="CQ160" t="n">
        <v>0</v>
      </c>
      <c r="CR160" t="n">
        <v>0</v>
      </c>
      <c r="CS160" t="n">
        <v>0</v>
      </c>
      <c r="CT160" t="n">
        <v>0</v>
      </c>
      <c r="CU160" t="n">
        <v>0</v>
      </c>
      <c r="CV160" t="n">
        <v>0</v>
      </c>
      <c r="CW160" t="n">
        <v>0</v>
      </c>
      <c r="CX160" t="n">
        <v>73.3</v>
      </c>
      <c r="CY160" t="n">
        <v>73.09999999999999</v>
      </c>
      <c r="CZ160" t="n">
        <v>91.8</v>
      </c>
      <c r="DA160" t="n">
        <v>88.7</v>
      </c>
      <c r="DB160" t="n">
        <v>71.90000000000001</v>
      </c>
      <c r="DC160" t="n">
        <v>73.09999999999999</v>
      </c>
      <c r="DD160" t="n">
        <v>89.8</v>
      </c>
      <c r="DE160" t="n">
        <v>88.3</v>
      </c>
      <c r="DF160" t="n">
        <v>73.3</v>
      </c>
      <c r="DG160" t="n">
        <v>73.09999999999999</v>
      </c>
      <c r="DH160" t="n">
        <v>91.8</v>
      </c>
      <c r="DI160" t="n">
        <v>88.7</v>
      </c>
      <c r="DJ160" t="n">
        <v>71.90000000000001</v>
      </c>
      <c r="DK160" t="n">
        <v>73.09999999999999</v>
      </c>
      <c r="DL160" t="n">
        <v>89.8</v>
      </c>
      <c r="DM160" t="n">
        <v>88.3</v>
      </c>
      <c r="DN160" t="n">
        <v>0</v>
      </c>
      <c r="DO160" t="n">
        <v>0</v>
      </c>
      <c r="DP160" t="n">
        <v>0</v>
      </c>
      <c r="DQ160" t="n">
        <v>0</v>
      </c>
      <c r="DR160" t="n">
        <v>0</v>
      </c>
      <c r="DS160" t="n">
        <v>0</v>
      </c>
      <c r="DT160" t="n">
        <v>0</v>
      </c>
      <c r="DU160" t="n">
        <v>0</v>
      </c>
      <c r="DV160" t="inlineStr">
        <is>
          <t>2500 MM Btus</t>
        </is>
      </c>
    </row>
    <row r="161">
      <c r="A161" t="inlineStr">
        <is>
          <t>TETCO M2 Index (Receipts) - ICE FUTURES ENERGY DIV</t>
        </is>
      </c>
      <c r="B161" t="n">
        <v>230103</v>
      </c>
      <c r="C161" s="1" t="n">
        <v>44929</v>
      </c>
      <c r="D161" t="inlineStr">
        <is>
          <t>0233DW</t>
        </is>
      </c>
      <c r="E161" t="inlineStr">
        <is>
          <t>IFED</t>
        </is>
      </c>
      <c r="F161" t="inlineStr">
        <is>
          <t>01</t>
        </is>
      </c>
      <c r="G161" t="inlineStr">
        <is>
          <t xml:space="preserve">023 </t>
        </is>
      </c>
      <c r="H161" t="n">
        <v>34364</v>
      </c>
      <c r="I161" s="17" t="n">
        <v>2015</v>
      </c>
      <c r="J161" s="17" t="n">
        <v>0</v>
      </c>
      <c r="K161" t="n">
        <v>0</v>
      </c>
      <c r="L161" t="n">
        <v>31772</v>
      </c>
      <c r="M161" t="n">
        <v>32383</v>
      </c>
      <c r="N161" t="n">
        <v>33787</v>
      </c>
      <c r="O161" t="n">
        <v>32383</v>
      </c>
      <c r="P161" t="n">
        <v>577</v>
      </c>
      <c r="Q161" t="n">
        <v>1981</v>
      </c>
      <c r="R161" t="n">
        <v>34364</v>
      </c>
      <c r="S161" t="n">
        <v>2015</v>
      </c>
      <c r="T161" t="n">
        <v>0</v>
      </c>
      <c r="U161" t="n">
        <v>0</v>
      </c>
      <c r="V161" t="n">
        <v>31772</v>
      </c>
      <c r="W161" t="n">
        <v>32383</v>
      </c>
      <c r="X161" t="n">
        <v>33787</v>
      </c>
      <c r="Y161" t="n">
        <v>32383</v>
      </c>
      <c r="Z161" t="n">
        <v>577</v>
      </c>
      <c r="AA161" t="n">
        <v>1981</v>
      </c>
      <c r="AB161" t="n">
        <v>0</v>
      </c>
      <c r="AC161" t="n">
        <v>0</v>
      </c>
      <c r="AD161" t="n">
        <v>0</v>
      </c>
      <c r="AE161" t="n">
        <v>0</v>
      </c>
      <c r="AF161" t="n">
        <v>0</v>
      </c>
      <c r="AG161" t="n">
        <v>0</v>
      </c>
      <c r="AH161" t="n">
        <v>0</v>
      </c>
      <c r="AI161" t="n">
        <v>0</v>
      </c>
      <c r="AJ161" t="n">
        <v>0</v>
      </c>
      <c r="AK161" t="n">
        <v>0</v>
      </c>
      <c r="AL161" t="n">
        <v>186</v>
      </c>
      <c r="AM161" t="n">
        <v>93</v>
      </c>
      <c r="AN161" t="n">
        <v>0</v>
      </c>
      <c r="AO161" t="n">
        <v>0</v>
      </c>
      <c r="AP161" t="n">
        <v>93</v>
      </c>
      <c r="AQ161" t="n">
        <v>31</v>
      </c>
      <c r="AR161" t="n">
        <v>186</v>
      </c>
      <c r="AS161" t="n">
        <v>31</v>
      </c>
      <c r="AT161" t="n">
        <v>0</v>
      </c>
      <c r="AU161" t="n">
        <v>155</v>
      </c>
      <c r="AV161" t="n">
        <v>100</v>
      </c>
      <c r="AW161" t="n">
        <v>5.9</v>
      </c>
      <c r="AX161" t="n">
        <v>0</v>
      </c>
      <c r="AY161" t="n">
        <v>0</v>
      </c>
      <c r="AZ161" t="n">
        <v>92.5</v>
      </c>
      <c r="BA161" t="n">
        <v>94.2</v>
      </c>
      <c r="BB161" t="n">
        <v>98.3</v>
      </c>
      <c r="BC161" t="n">
        <v>94.2</v>
      </c>
      <c r="BD161" t="n">
        <v>1.7</v>
      </c>
      <c r="BE161" t="n">
        <v>5.8</v>
      </c>
      <c r="BF161" t="n">
        <v>100</v>
      </c>
      <c r="BG161" t="n">
        <v>5.9</v>
      </c>
      <c r="BH161" t="n">
        <v>0</v>
      </c>
      <c r="BI161" t="n">
        <v>0</v>
      </c>
      <c r="BJ161" t="n">
        <v>92.5</v>
      </c>
      <c r="BK161" t="n">
        <v>94.2</v>
      </c>
      <c r="BL161" t="n">
        <v>98.3</v>
      </c>
      <c r="BM161" t="n">
        <v>94.2</v>
      </c>
      <c r="BN161" t="n">
        <v>1.7</v>
      </c>
      <c r="BO161" t="n">
        <v>5.8</v>
      </c>
      <c r="BP161" t="n">
        <v>0</v>
      </c>
      <c r="BQ161" t="n">
        <v>0</v>
      </c>
      <c r="BR161" t="n">
        <v>0</v>
      </c>
      <c r="BS161" t="n">
        <v>0</v>
      </c>
      <c r="BT161" t="n">
        <v>0</v>
      </c>
      <c r="BU161" t="n">
        <v>0</v>
      </c>
      <c r="BV161" t="n">
        <v>0</v>
      </c>
      <c r="BW161" t="n">
        <v>0</v>
      </c>
      <c r="BX161" t="n">
        <v>0</v>
      </c>
      <c r="BY161" t="n">
        <v>0</v>
      </c>
      <c r="BZ161" t="n">
        <v>24</v>
      </c>
      <c r="CA161" t="n">
        <v>2</v>
      </c>
      <c r="CB161" t="n">
        <v>0</v>
      </c>
      <c r="CC161" t="n">
        <v>0</v>
      </c>
      <c r="CD161" t="n">
        <v>11</v>
      </c>
      <c r="CE161" t="n">
        <v>13</v>
      </c>
      <c r="CF161" t="n">
        <v>13</v>
      </c>
      <c r="CG161" t="n">
        <v>13</v>
      </c>
      <c r="CH161" t="n">
        <v>24</v>
      </c>
      <c r="CI161" t="n">
        <v>2</v>
      </c>
      <c r="CJ161" t="n">
        <v>0</v>
      </c>
      <c r="CK161" t="n">
        <v>0</v>
      </c>
      <c r="CL161" t="n">
        <v>11</v>
      </c>
      <c r="CM161" t="n">
        <v>13</v>
      </c>
      <c r="CN161" t="n">
        <v>13</v>
      </c>
      <c r="CO161" t="n">
        <v>13</v>
      </c>
      <c r="CP161" t="n">
        <v>0</v>
      </c>
      <c r="CQ161" t="n">
        <v>0</v>
      </c>
      <c r="CR161" t="n">
        <v>0</v>
      </c>
      <c r="CS161" t="n">
        <v>0</v>
      </c>
      <c r="CT161" t="n">
        <v>0</v>
      </c>
      <c r="CU161" t="n">
        <v>0</v>
      </c>
      <c r="CV161" t="n">
        <v>0</v>
      </c>
      <c r="CW161" t="n">
        <v>0</v>
      </c>
      <c r="CX161" t="n">
        <v>71.3</v>
      </c>
      <c r="CY161" t="n">
        <v>70.09999999999999</v>
      </c>
      <c r="CZ161" t="n">
        <v>90.7</v>
      </c>
      <c r="DA161" t="n">
        <v>85.59999999999999</v>
      </c>
      <c r="DB161" t="n">
        <v>70.90000000000001</v>
      </c>
      <c r="DC161" t="n">
        <v>70.09999999999999</v>
      </c>
      <c r="DD161" t="n">
        <v>88.5</v>
      </c>
      <c r="DE161" t="n">
        <v>85.40000000000001</v>
      </c>
      <c r="DF161" t="n">
        <v>71.3</v>
      </c>
      <c r="DG161" t="n">
        <v>70.09999999999999</v>
      </c>
      <c r="DH161" t="n">
        <v>90.7</v>
      </c>
      <c r="DI161" t="n">
        <v>85.59999999999999</v>
      </c>
      <c r="DJ161" t="n">
        <v>70.90000000000001</v>
      </c>
      <c r="DK161" t="n">
        <v>70.09999999999999</v>
      </c>
      <c r="DL161" t="n">
        <v>88.5</v>
      </c>
      <c r="DM161" t="n">
        <v>85.40000000000001</v>
      </c>
      <c r="DN161" t="n">
        <v>0</v>
      </c>
      <c r="DO161" t="n">
        <v>0</v>
      </c>
      <c r="DP161" t="n">
        <v>0</v>
      </c>
      <c r="DQ161" t="n">
        <v>0</v>
      </c>
      <c r="DR161" t="n">
        <v>0</v>
      </c>
      <c r="DS161" t="n">
        <v>0</v>
      </c>
      <c r="DT161" t="n">
        <v>0</v>
      </c>
      <c r="DU161" t="n">
        <v>0</v>
      </c>
      <c r="DV161" t="inlineStr">
        <is>
          <t>2500 MM Btus</t>
        </is>
      </c>
    </row>
    <row r="162">
      <c r="A162" t="inlineStr">
        <is>
          <t>REX ZONE 3 BASIS - ICE FUTURES ENERGY DIV</t>
        </is>
      </c>
      <c r="B162" t="n">
        <v>230110</v>
      </c>
      <c r="C162" s="1" t="n">
        <v>44936</v>
      </c>
      <c r="D162" t="inlineStr">
        <is>
          <t>0233EB</t>
        </is>
      </c>
      <c r="E162" t="inlineStr">
        <is>
          <t>IFED</t>
        </is>
      </c>
      <c r="F162" t="inlineStr">
        <is>
          <t>01</t>
        </is>
      </c>
      <c r="G162" t="inlineStr">
        <is>
          <t xml:space="preserve">023 </t>
        </is>
      </c>
      <c r="H162" t="n">
        <v>248469</v>
      </c>
      <c r="I162" s="17" t="n">
        <v>3532</v>
      </c>
      <c r="J162" s="17" t="n">
        <v>2526</v>
      </c>
      <c r="K162" t="n">
        <v>6023</v>
      </c>
      <c r="L162" t="n">
        <v>230106</v>
      </c>
      <c r="M162" t="n">
        <v>236252</v>
      </c>
      <c r="N162" t="n">
        <v>239661</v>
      </c>
      <c r="O162" t="n">
        <v>244801</v>
      </c>
      <c r="P162" t="n">
        <v>8808</v>
      </c>
      <c r="Q162" t="n">
        <v>3668</v>
      </c>
      <c r="R162" t="n">
        <v>248469</v>
      </c>
      <c r="S162" t="n">
        <v>3532</v>
      </c>
      <c r="T162" t="n">
        <v>2526</v>
      </c>
      <c r="U162" t="n">
        <v>6023</v>
      </c>
      <c r="V162" t="n">
        <v>230106</v>
      </c>
      <c r="W162" t="n">
        <v>236252</v>
      </c>
      <c r="X162" t="n">
        <v>239661</v>
      </c>
      <c r="Y162" t="n">
        <v>244801</v>
      </c>
      <c r="Z162" t="n">
        <v>8808</v>
      </c>
      <c r="AA162" t="n">
        <v>3668</v>
      </c>
      <c r="AB162" t="n">
        <v>0</v>
      </c>
      <c r="AC162" t="n">
        <v>0</v>
      </c>
      <c r="AD162" t="n">
        <v>0</v>
      </c>
      <c r="AE162" t="n">
        <v>0</v>
      </c>
      <c r="AF162" t="n">
        <v>0</v>
      </c>
      <c r="AG162" t="n">
        <v>0</v>
      </c>
      <c r="AH162" t="n">
        <v>0</v>
      </c>
      <c r="AI162" t="n">
        <v>0</v>
      </c>
      <c r="AJ162" t="n">
        <v>0</v>
      </c>
      <c r="AK162" t="n">
        <v>0</v>
      </c>
      <c r="AL162" t="n">
        <v>-14249</v>
      </c>
      <c r="AM162" t="n">
        <v>-7</v>
      </c>
      <c r="AN162" t="n">
        <v>-1228</v>
      </c>
      <c r="AO162" t="n">
        <v>-2828</v>
      </c>
      <c r="AP162" t="n">
        <v>-14170</v>
      </c>
      <c r="AQ162" t="n">
        <v>-8715</v>
      </c>
      <c r="AR162" t="n">
        <v>-17005</v>
      </c>
      <c r="AS162" t="n">
        <v>-12771</v>
      </c>
      <c r="AT162" t="n">
        <v>2756</v>
      </c>
      <c r="AU162" t="n">
        <v>-1478</v>
      </c>
      <c r="AV162" t="n">
        <v>100</v>
      </c>
      <c r="AW162" t="n">
        <v>1.4</v>
      </c>
      <c r="AX162" t="n">
        <v>1</v>
      </c>
      <c r="AY162" t="n">
        <v>2.4</v>
      </c>
      <c r="AZ162" t="n">
        <v>92.59999999999999</v>
      </c>
      <c r="BA162" t="n">
        <v>95.09999999999999</v>
      </c>
      <c r="BB162" t="n">
        <v>96.5</v>
      </c>
      <c r="BC162" t="n">
        <v>98.5</v>
      </c>
      <c r="BD162" t="n">
        <v>3.5</v>
      </c>
      <c r="BE162" t="n">
        <v>1.5</v>
      </c>
      <c r="BF162" t="n">
        <v>100</v>
      </c>
      <c r="BG162" t="n">
        <v>1.4</v>
      </c>
      <c r="BH162" t="n">
        <v>1</v>
      </c>
      <c r="BI162" t="n">
        <v>2.4</v>
      </c>
      <c r="BJ162" t="n">
        <v>92.59999999999999</v>
      </c>
      <c r="BK162" t="n">
        <v>95.09999999999999</v>
      </c>
      <c r="BL162" t="n">
        <v>96.5</v>
      </c>
      <c r="BM162" t="n">
        <v>98.5</v>
      </c>
      <c r="BN162" t="n">
        <v>3.5</v>
      </c>
      <c r="BO162" t="n">
        <v>1.5</v>
      </c>
      <c r="BP162" t="n">
        <v>0</v>
      </c>
      <c r="BQ162" t="n">
        <v>0</v>
      </c>
      <c r="BR162" t="n">
        <v>0</v>
      </c>
      <c r="BS162" t="n">
        <v>0</v>
      </c>
      <c r="BT162" t="n">
        <v>0</v>
      </c>
      <c r="BU162" t="n">
        <v>0</v>
      </c>
      <c r="BV162" t="n">
        <v>0</v>
      </c>
      <c r="BW162" t="n">
        <v>0</v>
      </c>
      <c r="BX162" t="n">
        <v>0</v>
      </c>
      <c r="BY162" t="n">
        <v>0</v>
      </c>
      <c r="BZ162" t="n">
        <v>36</v>
      </c>
      <c r="CA162" t="n">
        <v>2</v>
      </c>
      <c r="CB162" t="n">
        <v>1</v>
      </c>
      <c r="CC162" t="n">
        <v>3</v>
      </c>
      <c r="CD162" t="n">
        <v>22</v>
      </c>
      <c r="CE162" t="n">
        <v>24</v>
      </c>
      <c r="CF162" t="n">
        <v>25</v>
      </c>
      <c r="CG162" t="n">
        <v>27</v>
      </c>
      <c r="CH162" t="n">
        <v>36</v>
      </c>
      <c r="CI162" t="n">
        <v>2</v>
      </c>
      <c r="CJ162" t="n">
        <v>1</v>
      </c>
      <c r="CK162" t="n">
        <v>3</v>
      </c>
      <c r="CL162" t="n">
        <v>22</v>
      </c>
      <c r="CM162" t="n">
        <v>24</v>
      </c>
      <c r="CN162" t="n">
        <v>25</v>
      </c>
      <c r="CO162" t="n">
        <v>27</v>
      </c>
      <c r="CP162" t="n">
        <v>0</v>
      </c>
      <c r="CQ162" t="n">
        <v>0</v>
      </c>
      <c r="CR162" t="n">
        <v>0</v>
      </c>
      <c r="CS162" t="n">
        <v>0</v>
      </c>
      <c r="CT162" t="n">
        <v>0</v>
      </c>
      <c r="CU162" t="n">
        <v>0</v>
      </c>
      <c r="CV162" t="n">
        <v>0</v>
      </c>
      <c r="CW162" t="n">
        <v>0</v>
      </c>
      <c r="CX162" t="n">
        <v>53.4</v>
      </c>
      <c r="CY162" t="n">
        <v>51.4</v>
      </c>
      <c r="CZ162" t="n">
        <v>74.5</v>
      </c>
      <c r="DA162" t="n">
        <v>69.2</v>
      </c>
      <c r="DB162" t="n">
        <v>50.6</v>
      </c>
      <c r="DC162" t="n">
        <v>49.7</v>
      </c>
      <c r="DD162" t="n">
        <v>71</v>
      </c>
      <c r="DE162" t="n">
        <v>67.2</v>
      </c>
      <c r="DF162" t="n">
        <v>53.4</v>
      </c>
      <c r="DG162" t="n">
        <v>51.4</v>
      </c>
      <c r="DH162" t="n">
        <v>74.5</v>
      </c>
      <c r="DI162" t="n">
        <v>69.2</v>
      </c>
      <c r="DJ162" t="n">
        <v>50.6</v>
      </c>
      <c r="DK162" t="n">
        <v>49.7</v>
      </c>
      <c r="DL162" t="n">
        <v>71</v>
      </c>
      <c r="DM162" t="n">
        <v>67.2</v>
      </c>
      <c r="DN162" t="n">
        <v>0</v>
      </c>
      <c r="DO162" t="n">
        <v>0</v>
      </c>
      <c r="DP162" t="n">
        <v>0</v>
      </c>
      <c r="DQ162" t="n">
        <v>0</v>
      </c>
      <c r="DR162" t="n">
        <v>0</v>
      </c>
      <c r="DS162" t="n">
        <v>0</v>
      </c>
      <c r="DT162" t="n">
        <v>0</v>
      </c>
      <c r="DU162" t="n">
        <v>0</v>
      </c>
      <c r="DV162" t="inlineStr">
        <is>
          <t>2500 MMBtus</t>
        </is>
      </c>
    </row>
    <row r="163">
      <c r="A163" t="inlineStr">
        <is>
          <t>REX ZONE 3 BASIS - ICE FUTURES ENERGY DIV</t>
        </is>
      </c>
      <c r="B163" t="n">
        <v>230103</v>
      </c>
      <c r="C163" s="1" t="n">
        <v>44929</v>
      </c>
      <c r="D163" t="inlineStr">
        <is>
          <t>0233EB</t>
        </is>
      </c>
      <c r="E163" t="inlineStr">
        <is>
          <t>IFED</t>
        </is>
      </c>
      <c r="F163" t="inlineStr">
        <is>
          <t>01</t>
        </is>
      </c>
      <c r="G163" t="inlineStr">
        <is>
          <t xml:space="preserve">023 </t>
        </is>
      </c>
      <c r="H163" t="n">
        <v>262718</v>
      </c>
      <c r="I163" s="17" t="n">
        <v>3539</v>
      </c>
      <c r="J163" s="17" t="n">
        <v>3754</v>
      </c>
      <c r="K163" t="n">
        <v>8851</v>
      </c>
      <c r="L163" t="n">
        <v>244276</v>
      </c>
      <c r="M163" t="n">
        <v>244967</v>
      </c>
      <c r="N163" t="n">
        <v>256666</v>
      </c>
      <c r="O163" t="n">
        <v>257572</v>
      </c>
      <c r="P163" t="n">
        <v>6052</v>
      </c>
      <c r="Q163" t="n">
        <v>5146</v>
      </c>
      <c r="R163" t="n">
        <v>262718</v>
      </c>
      <c r="S163" t="n">
        <v>3539</v>
      </c>
      <c r="T163" t="n">
        <v>3754</v>
      </c>
      <c r="U163" t="n">
        <v>8851</v>
      </c>
      <c r="V163" t="n">
        <v>244276</v>
      </c>
      <c r="W163" t="n">
        <v>244967</v>
      </c>
      <c r="X163" t="n">
        <v>256666</v>
      </c>
      <c r="Y163" t="n">
        <v>257572</v>
      </c>
      <c r="Z163" t="n">
        <v>6052</v>
      </c>
      <c r="AA163" t="n">
        <v>5146</v>
      </c>
      <c r="AB163" t="n">
        <v>0</v>
      </c>
      <c r="AC163" t="n">
        <v>0</v>
      </c>
      <c r="AD163" t="n">
        <v>0</v>
      </c>
      <c r="AE163" t="n">
        <v>0</v>
      </c>
      <c r="AF163" t="n">
        <v>0</v>
      </c>
      <c r="AG163" t="n">
        <v>0</v>
      </c>
      <c r="AH163" t="n">
        <v>0</v>
      </c>
      <c r="AI163" t="n">
        <v>0</v>
      </c>
      <c r="AJ163" t="n">
        <v>0</v>
      </c>
      <c r="AK163" t="n">
        <v>0</v>
      </c>
      <c r="AL163" t="n">
        <v>398</v>
      </c>
      <c r="AM163" t="n">
        <v>-2192</v>
      </c>
      <c r="AN163" t="n">
        <v>320</v>
      </c>
      <c r="AO163" t="n">
        <v>1090</v>
      </c>
      <c r="AP163" t="n">
        <v>1476</v>
      </c>
      <c r="AQ163" t="n">
        <v>-1651</v>
      </c>
      <c r="AR163" t="n">
        <v>374</v>
      </c>
      <c r="AS163" t="n">
        <v>-241</v>
      </c>
      <c r="AT163" t="n">
        <v>24</v>
      </c>
      <c r="AU163" t="n">
        <v>639</v>
      </c>
      <c r="AV163" t="n">
        <v>100</v>
      </c>
      <c r="AW163" t="n">
        <v>1.3</v>
      </c>
      <c r="AX163" t="n">
        <v>1.4</v>
      </c>
      <c r="AY163" t="n">
        <v>3.4</v>
      </c>
      <c r="AZ163" t="n">
        <v>93</v>
      </c>
      <c r="BA163" t="n">
        <v>93.2</v>
      </c>
      <c r="BB163" t="n">
        <v>97.7</v>
      </c>
      <c r="BC163" t="n">
        <v>98</v>
      </c>
      <c r="BD163" t="n">
        <v>2.3</v>
      </c>
      <c r="BE163" t="n">
        <v>2</v>
      </c>
      <c r="BF163" t="n">
        <v>100</v>
      </c>
      <c r="BG163" t="n">
        <v>1.3</v>
      </c>
      <c r="BH163" t="n">
        <v>1.4</v>
      </c>
      <c r="BI163" t="n">
        <v>3.4</v>
      </c>
      <c r="BJ163" t="n">
        <v>93</v>
      </c>
      <c r="BK163" t="n">
        <v>93.2</v>
      </c>
      <c r="BL163" t="n">
        <v>97.7</v>
      </c>
      <c r="BM163" t="n">
        <v>98</v>
      </c>
      <c r="BN163" t="n">
        <v>2.3</v>
      </c>
      <c r="BO163" t="n">
        <v>2</v>
      </c>
      <c r="BP163" t="n">
        <v>0</v>
      </c>
      <c r="BQ163" t="n">
        <v>0</v>
      </c>
      <c r="BR163" t="n">
        <v>0</v>
      </c>
      <c r="BS163" t="n">
        <v>0</v>
      </c>
      <c r="BT163" t="n">
        <v>0</v>
      </c>
      <c r="BU163" t="n">
        <v>0</v>
      </c>
      <c r="BV163" t="n">
        <v>0</v>
      </c>
      <c r="BW163" t="n">
        <v>0</v>
      </c>
      <c r="BX163" t="n">
        <v>0</v>
      </c>
      <c r="BY163" t="n">
        <v>0</v>
      </c>
      <c r="BZ163" t="n">
        <v>39</v>
      </c>
      <c r="CA163" t="n">
        <v>3</v>
      </c>
      <c r="CB163" t="n">
        <v>1</v>
      </c>
      <c r="CC163" t="n">
        <v>4</v>
      </c>
      <c r="CD163" t="n">
        <v>24</v>
      </c>
      <c r="CE163" t="n">
        <v>25</v>
      </c>
      <c r="CF163" t="n">
        <v>28</v>
      </c>
      <c r="CG163" t="n">
        <v>29</v>
      </c>
      <c r="CH163" t="n">
        <v>39</v>
      </c>
      <c r="CI163" t="n">
        <v>3</v>
      </c>
      <c r="CJ163" t="n">
        <v>1</v>
      </c>
      <c r="CK163" t="n">
        <v>4</v>
      </c>
      <c r="CL163" t="n">
        <v>24</v>
      </c>
      <c r="CM163" t="n">
        <v>25</v>
      </c>
      <c r="CN163" t="n">
        <v>28</v>
      </c>
      <c r="CO163" t="n">
        <v>29</v>
      </c>
      <c r="CP163" t="n">
        <v>0</v>
      </c>
      <c r="CQ163" t="n">
        <v>0</v>
      </c>
      <c r="CR163" t="n">
        <v>0</v>
      </c>
      <c r="CS163" t="n">
        <v>0</v>
      </c>
      <c r="CT163" t="n">
        <v>0</v>
      </c>
      <c r="CU163" t="n">
        <v>0</v>
      </c>
      <c r="CV163" t="n">
        <v>0</v>
      </c>
      <c r="CW163" t="n">
        <v>0</v>
      </c>
      <c r="CX163" t="n">
        <v>51.6</v>
      </c>
      <c r="CY163" t="n">
        <v>51.1</v>
      </c>
      <c r="CZ163" t="n">
        <v>71.90000000000001</v>
      </c>
      <c r="DA163" t="n">
        <v>68.5</v>
      </c>
      <c r="DB163" t="n">
        <v>49.8</v>
      </c>
      <c r="DC163" t="n">
        <v>48.3</v>
      </c>
      <c r="DD163" t="n">
        <v>67.90000000000001</v>
      </c>
      <c r="DE163" t="n">
        <v>65.40000000000001</v>
      </c>
      <c r="DF163" t="n">
        <v>51.6</v>
      </c>
      <c r="DG163" t="n">
        <v>51.1</v>
      </c>
      <c r="DH163" t="n">
        <v>71.90000000000001</v>
      </c>
      <c r="DI163" t="n">
        <v>68.5</v>
      </c>
      <c r="DJ163" t="n">
        <v>49.8</v>
      </c>
      <c r="DK163" t="n">
        <v>48.3</v>
      </c>
      <c r="DL163" t="n">
        <v>67.90000000000001</v>
      </c>
      <c r="DM163" t="n">
        <v>65.40000000000001</v>
      </c>
      <c r="DN163" t="n">
        <v>0</v>
      </c>
      <c r="DO163" t="n">
        <v>0</v>
      </c>
      <c r="DP163" t="n">
        <v>0</v>
      </c>
      <c r="DQ163" t="n">
        <v>0</v>
      </c>
      <c r="DR163" t="n">
        <v>0</v>
      </c>
      <c r="DS163" t="n">
        <v>0</v>
      </c>
      <c r="DT163" t="n">
        <v>0</v>
      </c>
      <c r="DU163" t="n">
        <v>0</v>
      </c>
      <c r="DV163" t="inlineStr">
        <is>
          <t>2500 MMBtus</t>
        </is>
      </c>
    </row>
    <row r="164">
      <c r="A164" t="inlineStr">
        <is>
          <t>REX ZONE 3 INDEX - ICE FUTURES ENERGY DIV</t>
        </is>
      </c>
      <c r="B164" t="n">
        <v>230103</v>
      </c>
      <c r="C164" s="1" t="n">
        <v>44929</v>
      </c>
      <c r="D164" t="inlineStr">
        <is>
          <t>0233ED</t>
        </is>
      </c>
      <c r="E164" t="inlineStr">
        <is>
          <t>IFED</t>
        </is>
      </c>
      <c r="F164" t="inlineStr">
        <is>
          <t>01</t>
        </is>
      </c>
      <c r="G164" t="inlineStr">
        <is>
          <t xml:space="preserve">023 </t>
        </is>
      </c>
      <c r="H164" t="n">
        <v>23762</v>
      </c>
      <c r="I164" s="17" t="n">
        <v>1147</v>
      </c>
      <c r="J164" s="17" t="n">
        <v>589</v>
      </c>
      <c r="K164" t="n">
        <v>62</v>
      </c>
      <c r="L164" t="n">
        <v>21849</v>
      </c>
      <c r="M164" t="n">
        <v>21796</v>
      </c>
      <c r="N164" t="n">
        <v>23058</v>
      </c>
      <c r="O164" t="n">
        <v>22447</v>
      </c>
      <c r="P164" t="n">
        <v>704</v>
      </c>
      <c r="Q164" t="n">
        <v>1315</v>
      </c>
      <c r="R164" t="n">
        <v>23762</v>
      </c>
      <c r="S164" t="n">
        <v>1147</v>
      </c>
      <c r="T164" t="n">
        <v>589</v>
      </c>
      <c r="U164" t="n">
        <v>62</v>
      </c>
      <c r="V164" t="n">
        <v>21849</v>
      </c>
      <c r="W164" t="n">
        <v>21796</v>
      </c>
      <c r="X164" t="n">
        <v>23058</v>
      </c>
      <c r="Y164" t="n">
        <v>22447</v>
      </c>
      <c r="Z164" t="n">
        <v>704</v>
      </c>
      <c r="AA164" t="n">
        <v>1315</v>
      </c>
      <c r="AB164" t="n">
        <v>0</v>
      </c>
      <c r="AC164" t="n">
        <v>0</v>
      </c>
      <c r="AD164" t="n">
        <v>0</v>
      </c>
      <c r="AE164" t="n">
        <v>0</v>
      </c>
      <c r="AF164" t="n">
        <v>0</v>
      </c>
      <c r="AG164" t="n">
        <v>0</v>
      </c>
      <c r="AH164" t="n">
        <v>0</v>
      </c>
      <c r="AI164" t="n">
        <v>0</v>
      </c>
      <c r="AJ164" t="n">
        <v>0</v>
      </c>
      <c r="AK164" t="n">
        <v>0</v>
      </c>
      <c r="AL164" t="n">
        <v>496</v>
      </c>
      <c r="AM164" t="n">
        <v>155</v>
      </c>
      <c r="AN164" t="n">
        <v>0</v>
      </c>
      <c r="AO164" t="n">
        <v>0</v>
      </c>
      <c r="AP164" t="n">
        <v>279</v>
      </c>
      <c r="AQ164" t="n">
        <v>341</v>
      </c>
      <c r="AR164" t="n">
        <v>434</v>
      </c>
      <c r="AS164" t="n">
        <v>341</v>
      </c>
      <c r="AT164" t="n">
        <v>62</v>
      </c>
      <c r="AU164" t="n">
        <v>155</v>
      </c>
      <c r="AV164" t="n">
        <v>100</v>
      </c>
      <c r="AW164" t="n">
        <v>4.8</v>
      </c>
      <c r="AX164" t="n">
        <v>2.5</v>
      </c>
      <c r="AY164" t="n">
        <v>0.3</v>
      </c>
      <c r="AZ164" t="n">
        <v>91.90000000000001</v>
      </c>
      <c r="BA164" t="n">
        <v>91.7</v>
      </c>
      <c r="BB164" t="n">
        <v>97</v>
      </c>
      <c r="BC164" t="n">
        <v>94.5</v>
      </c>
      <c r="BD164" t="n">
        <v>3</v>
      </c>
      <c r="BE164" t="n">
        <v>5.5</v>
      </c>
      <c r="BF164" t="n">
        <v>100</v>
      </c>
      <c r="BG164" t="n">
        <v>4.8</v>
      </c>
      <c r="BH164" t="n">
        <v>2.5</v>
      </c>
      <c r="BI164" t="n">
        <v>0.3</v>
      </c>
      <c r="BJ164" t="n">
        <v>91.90000000000001</v>
      </c>
      <c r="BK164" t="n">
        <v>91.7</v>
      </c>
      <c r="BL164" t="n">
        <v>97</v>
      </c>
      <c r="BM164" t="n">
        <v>94.5</v>
      </c>
      <c r="BN164" t="n">
        <v>3</v>
      </c>
      <c r="BO164" t="n">
        <v>5.5</v>
      </c>
      <c r="BP164" t="n">
        <v>0</v>
      </c>
      <c r="BQ164" t="n">
        <v>0</v>
      </c>
      <c r="BR164" t="n">
        <v>0</v>
      </c>
      <c r="BS164" t="n">
        <v>0</v>
      </c>
      <c r="BT164" t="n">
        <v>0</v>
      </c>
      <c r="BU164" t="n">
        <v>0</v>
      </c>
      <c r="BV164" t="n">
        <v>0</v>
      </c>
      <c r="BW164" t="n">
        <v>0</v>
      </c>
      <c r="BX164" t="n">
        <v>0</v>
      </c>
      <c r="BY164" t="n">
        <v>0</v>
      </c>
      <c r="BZ164" t="n">
        <v>24</v>
      </c>
      <c r="CA164" t="n">
        <v>2</v>
      </c>
      <c r="CB164" t="n">
        <v>1</v>
      </c>
      <c r="CC164" t="n">
        <v>1</v>
      </c>
      <c r="CD164" t="n">
        <v>13</v>
      </c>
      <c r="CE164" t="n">
        <v>13</v>
      </c>
      <c r="CF164" t="n">
        <v>15</v>
      </c>
      <c r="CG164" t="n">
        <v>15</v>
      </c>
      <c r="CH164" t="n">
        <v>24</v>
      </c>
      <c r="CI164" t="n">
        <v>2</v>
      </c>
      <c r="CJ164" t="n">
        <v>1</v>
      </c>
      <c r="CK164" t="n">
        <v>1</v>
      </c>
      <c r="CL164" t="n">
        <v>13</v>
      </c>
      <c r="CM164" t="n">
        <v>13</v>
      </c>
      <c r="CN164" t="n">
        <v>15</v>
      </c>
      <c r="CO164" t="n">
        <v>15</v>
      </c>
      <c r="CP164" t="n">
        <v>0</v>
      </c>
      <c r="CQ164" t="n">
        <v>0</v>
      </c>
      <c r="CR164" t="n">
        <v>0</v>
      </c>
      <c r="CS164" t="n">
        <v>0</v>
      </c>
      <c r="CT164" t="n">
        <v>0</v>
      </c>
      <c r="CU164" t="n">
        <v>0</v>
      </c>
      <c r="CV164" t="n">
        <v>0</v>
      </c>
      <c r="CW164" t="n">
        <v>0</v>
      </c>
      <c r="CX164" t="n">
        <v>71.2</v>
      </c>
      <c r="CY164" t="n">
        <v>69.5</v>
      </c>
      <c r="CZ164" t="n">
        <v>85.09999999999999</v>
      </c>
      <c r="DA164" t="n">
        <v>85.7</v>
      </c>
      <c r="DB164" t="n">
        <v>71.2</v>
      </c>
      <c r="DC164" t="n">
        <v>68.5</v>
      </c>
      <c r="DD164" t="n">
        <v>84.2</v>
      </c>
      <c r="DE164" t="n">
        <v>83.3</v>
      </c>
      <c r="DF164" t="n">
        <v>71.2</v>
      </c>
      <c r="DG164" t="n">
        <v>69.5</v>
      </c>
      <c r="DH164" t="n">
        <v>85.09999999999999</v>
      </c>
      <c r="DI164" t="n">
        <v>85.7</v>
      </c>
      <c r="DJ164" t="n">
        <v>71.2</v>
      </c>
      <c r="DK164" t="n">
        <v>68.5</v>
      </c>
      <c r="DL164" t="n">
        <v>84.2</v>
      </c>
      <c r="DM164" t="n">
        <v>83.3</v>
      </c>
      <c r="DN164" t="n">
        <v>0</v>
      </c>
      <c r="DO164" t="n">
        <v>0</v>
      </c>
      <c r="DP164" t="n">
        <v>0</v>
      </c>
      <c r="DQ164" t="n">
        <v>0</v>
      </c>
      <c r="DR164" t="n">
        <v>0</v>
      </c>
      <c r="DS164" t="n">
        <v>0</v>
      </c>
      <c r="DT164" t="n">
        <v>0</v>
      </c>
      <c r="DU164" t="n">
        <v>0</v>
      </c>
      <c r="DV164" t="inlineStr">
        <is>
          <t>2500 MMBtus</t>
        </is>
      </c>
    </row>
    <row r="165">
      <c r="A165" t="inlineStr">
        <is>
          <t>Transco Zone 5 South Basis - ICE FUTURES ENERGY DIV</t>
        </is>
      </c>
      <c r="B165" t="n">
        <v>230110</v>
      </c>
      <c r="C165" s="1" t="n">
        <v>44936</v>
      </c>
      <c r="D165" t="inlineStr">
        <is>
          <t>0233FJ</t>
        </is>
      </c>
      <c r="E165" t="inlineStr">
        <is>
          <t>IFED</t>
        </is>
      </c>
      <c r="F165" t="inlineStr">
        <is>
          <t>01</t>
        </is>
      </c>
      <c r="G165" t="inlineStr">
        <is>
          <t xml:space="preserve">023 </t>
        </is>
      </c>
      <c r="H165" t="n">
        <v>53352</v>
      </c>
      <c r="I165" s="17" t="n">
        <v>2293</v>
      </c>
      <c r="J165" s="17" t="n">
        <v>0</v>
      </c>
      <c r="K165" t="n">
        <v>193</v>
      </c>
      <c r="L165" t="n">
        <v>46200</v>
      </c>
      <c r="M165" t="n">
        <v>49291</v>
      </c>
      <c r="N165" t="n">
        <v>48686</v>
      </c>
      <c r="O165" t="n">
        <v>49484</v>
      </c>
      <c r="P165" t="n">
        <v>4666</v>
      </c>
      <c r="Q165" t="n">
        <v>3868</v>
      </c>
      <c r="R165" t="n">
        <v>53352</v>
      </c>
      <c r="S165" t="n">
        <v>2293</v>
      </c>
      <c r="T165" t="n">
        <v>0</v>
      </c>
      <c r="U165" t="n">
        <v>193</v>
      </c>
      <c r="V165" t="n">
        <v>46200</v>
      </c>
      <c r="W165" t="n">
        <v>49291</v>
      </c>
      <c r="X165" t="n">
        <v>48686</v>
      </c>
      <c r="Y165" t="n">
        <v>49484</v>
      </c>
      <c r="Z165" t="n">
        <v>4666</v>
      </c>
      <c r="AA165" t="n">
        <v>3868</v>
      </c>
      <c r="AB165" t="n">
        <v>0</v>
      </c>
      <c r="AC165" t="n">
        <v>0</v>
      </c>
      <c r="AD165" t="n">
        <v>0</v>
      </c>
      <c r="AE165" t="n">
        <v>0</v>
      </c>
      <c r="AF165" t="n">
        <v>0</v>
      </c>
      <c r="AG165" t="n">
        <v>0</v>
      </c>
      <c r="AH165" t="n">
        <v>0</v>
      </c>
      <c r="AI165" t="n">
        <v>0</v>
      </c>
      <c r="AJ165" t="n">
        <v>0</v>
      </c>
      <c r="AK165" t="n">
        <v>0</v>
      </c>
      <c r="AL165" t="n">
        <v>-1887</v>
      </c>
      <c r="AM165" t="n">
        <v>-1514</v>
      </c>
      <c r="AN165" t="n">
        <v>0</v>
      </c>
      <c r="AO165" t="n">
        <v>186</v>
      </c>
      <c r="AP165" t="n">
        <v>-706</v>
      </c>
      <c r="AQ165" t="n">
        <v>-1595</v>
      </c>
      <c r="AR165" t="n">
        <v>-2034</v>
      </c>
      <c r="AS165" t="n">
        <v>-1409</v>
      </c>
      <c r="AT165" t="n">
        <v>147</v>
      </c>
      <c r="AU165" t="n">
        <v>-478</v>
      </c>
      <c r="AV165" t="n">
        <v>100</v>
      </c>
      <c r="AW165" t="n">
        <v>4.3</v>
      </c>
      <c r="AX165" t="n">
        <v>0</v>
      </c>
      <c r="AY165" t="n">
        <v>0.4</v>
      </c>
      <c r="AZ165" t="n">
        <v>86.59999999999999</v>
      </c>
      <c r="BA165" t="n">
        <v>92.40000000000001</v>
      </c>
      <c r="BB165" t="n">
        <v>91.3</v>
      </c>
      <c r="BC165" t="n">
        <v>92.8</v>
      </c>
      <c r="BD165" t="n">
        <v>8.699999999999999</v>
      </c>
      <c r="BE165" t="n">
        <v>7.2</v>
      </c>
      <c r="BF165" t="n">
        <v>100</v>
      </c>
      <c r="BG165" t="n">
        <v>4.3</v>
      </c>
      <c r="BH165" t="n">
        <v>0</v>
      </c>
      <c r="BI165" t="n">
        <v>0.4</v>
      </c>
      <c r="BJ165" t="n">
        <v>86.59999999999999</v>
      </c>
      <c r="BK165" t="n">
        <v>92.40000000000001</v>
      </c>
      <c r="BL165" t="n">
        <v>91.3</v>
      </c>
      <c r="BM165" t="n">
        <v>92.8</v>
      </c>
      <c r="BN165" t="n">
        <v>8.699999999999999</v>
      </c>
      <c r="BO165" t="n">
        <v>7.2</v>
      </c>
      <c r="BP165" t="n">
        <v>0</v>
      </c>
      <c r="BQ165" t="n">
        <v>0</v>
      </c>
      <c r="BR165" t="n">
        <v>0</v>
      </c>
      <c r="BS165" t="n">
        <v>0</v>
      </c>
      <c r="BT165" t="n">
        <v>0</v>
      </c>
      <c r="BU165" t="n">
        <v>0</v>
      </c>
      <c r="BV165" t="n">
        <v>0</v>
      </c>
      <c r="BW165" t="n">
        <v>0</v>
      </c>
      <c r="BX165" t="n">
        <v>0</v>
      </c>
      <c r="BY165" t="n">
        <v>0</v>
      </c>
      <c r="BZ165" t="n">
        <v>28</v>
      </c>
      <c r="CA165" t="n">
        <v>3</v>
      </c>
      <c r="CB165" t="n">
        <v>0</v>
      </c>
      <c r="CC165" t="n">
        <v>1</v>
      </c>
      <c r="CD165" t="n">
        <v>16</v>
      </c>
      <c r="CE165" t="n">
        <v>19</v>
      </c>
      <c r="CF165" t="n">
        <v>19</v>
      </c>
      <c r="CG165" t="n">
        <v>20</v>
      </c>
      <c r="CH165" t="n">
        <v>28</v>
      </c>
      <c r="CI165" t="n">
        <v>3</v>
      </c>
      <c r="CJ165" t="n">
        <v>0</v>
      </c>
      <c r="CK165" t="n">
        <v>1</v>
      </c>
      <c r="CL165" t="n">
        <v>16</v>
      </c>
      <c r="CM165" t="n">
        <v>19</v>
      </c>
      <c r="CN165" t="n">
        <v>19</v>
      </c>
      <c r="CO165" t="n">
        <v>20</v>
      </c>
      <c r="CP165" t="n">
        <v>0</v>
      </c>
      <c r="CQ165" t="n">
        <v>0</v>
      </c>
      <c r="CR165" t="n">
        <v>0</v>
      </c>
      <c r="CS165" t="n">
        <v>0</v>
      </c>
      <c r="CT165" t="n">
        <v>0</v>
      </c>
      <c r="CU165" t="n">
        <v>0</v>
      </c>
      <c r="CV165" t="n">
        <v>0</v>
      </c>
      <c r="CW165" t="n">
        <v>0</v>
      </c>
      <c r="CX165" t="n">
        <v>54.3</v>
      </c>
      <c r="CY165" t="n">
        <v>62.3</v>
      </c>
      <c r="CZ165" t="n">
        <v>74.90000000000001</v>
      </c>
      <c r="DA165" t="n">
        <v>77.8</v>
      </c>
      <c r="DB165" t="n">
        <v>52.6</v>
      </c>
      <c r="DC165" t="n">
        <v>60.8</v>
      </c>
      <c r="DD165" t="n">
        <v>69.59999999999999</v>
      </c>
      <c r="DE165" t="n">
        <v>75.59999999999999</v>
      </c>
      <c r="DF165" t="n">
        <v>54.3</v>
      </c>
      <c r="DG165" t="n">
        <v>62.3</v>
      </c>
      <c r="DH165" t="n">
        <v>74.90000000000001</v>
      </c>
      <c r="DI165" t="n">
        <v>77.8</v>
      </c>
      <c r="DJ165" t="n">
        <v>52.6</v>
      </c>
      <c r="DK165" t="n">
        <v>60.8</v>
      </c>
      <c r="DL165" t="n">
        <v>69.59999999999999</v>
      </c>
      <c r="DM165" t="n">
        <v>75.59999999999999</v>
      </c>
      <c r="DN165" t="n">
        <v>0</v>
      </c>
      <c r="DO165" t="n">
        <v>0</v>
      </c>
      <c r="DP165" t="n">
        <v>0</v>
      </c>
      <c r="DQ165" t="n">
        <v>0</v>
      </c>
      <c r="DR165" t="n">
        <v>0</v>
      </c>
      <c r="DS165" t="n">
        <v>0</v>
      </c>
      <c r="DT165" t="n">
        <v>0</v>
      </c>
      <c r="DU165" t="n">
        <v>0</v>
      </c>
      <c r="DV165" t="inlineStr">
        <is>
          <t>2500 MMBtus</t>
        </is>
      </c>
    </row>
    <row r="166">
      <c r="A166" t="inlineStr">
        <is>
          <t>Transco Zone 5 South Basis - ICE FUTURES ENERGY DIV</t>
        </is>
      </c>
      <c r="B166" t="n">
        <v>230103</v>
      </c>
      <c r="C166" s="1" t="n">
        <v>44929</v>
      </c>
      <c r="D166" t="inlineStr">
        <is>
          <t>0233FJ</t>
        </is>
      </c>
      <c r="E166" t="inlineStr">
        <is>
          <t>IFED</t>
        </is>
      </c>
      <c r="F166" t="inlineStr">
        <is>
          <t>01</t>
        </is>
      </c>
      <c r="G166" t="inlineStr">
        <is>
          <t xml:space="preserve">023 </t>
        </is>
      </c>
      <c r="H166" t="n">
        <v>55239</v>
      </c>
      <c r="I166" s="17" t="n">
        <v>3807</v>
      </c>
      <c r="J166" s="17" t="n">
        <v>0</v>
      </c>
      <c r="K166" t="n">
        <v>7</v>
      </c>
      <c r="L166" t="n">
        <v>46906</v>
      </c>
      <c r="M166" t="n">
        <v>50886</v>
      </c>
      <c r="N166" t="n">
        <v>50720</v>
      </c>
      <c r="O166" t="n">
        <v>50893</v>
      </c>
      <c r="P166" t="n">
        <v>4519</v>
      </c>
      <c r="Q166" t="n">
        <v>4346</v>
      </c>
      <c r="R166" t="n">
        <v>55239</v>
      </c>
      <c r="S166" t="n">
        <v>3807</v>
      </c>
      <c r="T166" t="n">
        <v>0</v>
      </c>
      <c r="U166" t="n">
        <v>7</v>
      </c>
      <c r="V166" t="n">
        <v>46906</v>
      </c>
      <c r="W166" t="n">
        <v>50886</v>
      </c>
      <c r="X166" t="n">
        <v>50720</v>
      </c>
      <c r="Y166" t="n">
        <v>50893</v>
      </c>
      <c r="Z166" t="n">
        <v>4519</v>
      </c>
      <c r="AA166" t="n">
        <v>4346</v>
      </c>
      <c r="AB166" t="n">
        <v>0</v>
      </c>
      <c r="AC166" t="n">
        <v>0</v>
      </c>
      <c r="AD166" t="n">
        <v>0</v>
      </c>
      <c r="AE166" t="n">
        <v>0</v>
      </c>
      <c r="AF166" t="n">
        <v>0</v>
      </c>
      <c r="AG166" t="n">
        <v>0</v>
      </c>
      <c r="AH166" t="n">
        <v>0</v>
      </c>
      <c r="AI166" t="n">
        <v>0</v>
      </c>
      <c r="AJ166" t="n">
        <v>0</v>
      </c>
      <c r="AK166" t="n">
        <v>0</v>
      </c>
      <c r="AL166" t="n">
        <v>1091</v>
      </c>
      <c r="AM166" t="n">
        <v>515</v>
      </c>
      <c r="AN166" t="n">
        <v>0</v>
      </c>
      <c r="AO166" t="n">
        <v>0</v>
      </c>
      <c r="AP166" t="n">
        <v>911</v>
      </c>
      <c r="AQ166" t="n">
        <v>998</v>
      </c>
      <c r="AR166" t="n">
        <v>1426</v>
      </c>
      <c r="AS166" t="n">
        <v>998</v>
      </c>
      <c r="AT166" t="n">
        <v>-335</v>
      </c>
      <c r="AU166" t="n">
        <v>93</v>
      </c>
      <c r="AV166" t="n">
        <v>100</v>
      </c>
      <c r="AW166" t="n">
        <v>6.9</v>
      </c>
      <c r="AX166" t="n">
        <v>0</v>
      </c>
      <c r="AY166" t="n">
        <v>0</v>
      </c>
      <c r="AZ166" t="n">
        <v>84.90000000000001</v>
      </c>
      <c r="BA166" t="n">
        <v>92.09999999999999</v>
      </c>
      <c r="BB166" t="n">
        <v>91.8</v>
      </c>
      <c r="BC166" t="n">
        <v>92.09999999999999</v>
      </c>
      <c r="BD166" t="n">
        <v>8.199999999999999</v>
      </c>
      <c r="BE166" t="n">
        <v>7.9</v>
      </c>
      <c r="BF166" t="n">
        <v>100</v>
      </c>
      <c r="BG166" t="n">
        <v>6.9</v>
      </c>
      <c r="BH166" t="n">
        <v>0</v>
      </c>
      <c r="BI166" t="n">
        <v>0</v>
      </c>
      <c r="BJ166" t="n">
        <v>84.90000000000001</v>
      </c>
      <c r="BK166" t="n">
        <v>92.09999999999999</v>
      </c>
      <c r="BL166" t="n">
        <v>91.8</v>
      </c>
      <c r="BM166" t="n">
        <v>92.09999999999999</v>
      </c>
      <c r="BN166" t="n">
        <v>8.199999999999999</v>
      </c>
      <c r="BO166" t="n">
        <v>7.9</v>
      </c>
      <c r="BP166" t="n">
        <v>0</v>
      </c>
      <c r="BQ166" t="n">
        <v>0</v>
      </c>
      <c r="BR166" t="n">
        <v>0</v>
      </c>
      <c r="BS166" t="n">
        <v>0</v>
      </c>
      <c r="BT166" t="n">
        <v>0</v>
      </c>
      <c r="BU166" t="n">
        <v>0</v>
      </c>
      <c r="BV166" t="n">
        <v>0</v>
      </c>
      <c r="BW166" t="n">
        <v>0</v>
      </c>
      <c r="BX166" t="n">
        <v>0</v>
      </c>
      <c r="BY166" t="n">
        <v>0</v>
      </c>
      <c r="BZ166" t="n">
        <v>28</v>
      </c>
      <c r="CA166" t="n">
        <v>4</v>
      </c>
      <c r="CB166" t="n">
        <v>0</v>
      </c>
      <c r="CC166" t="n">
        <v>1</v>
      </c>
      <c r="CD166" t="n">
        <v>16</v>
      </c>
      <c r="CE166" t="n">
        <v>18</v>
      </c>
      <c r="CF166" t="n">
        <v>20</v>
      </c>
      <c r="CG166" t="n">
        <v>19</v>
      </c>
      <c r="CH166" t="n">
        <v>28</v>
      </c>
      <c r="CI166" t="n">
        <v>4</v>
      </c>
      <c r="CJ166" t="n">
        <v>0</v>
      </c>
      <c r="CK166" t="n">
        <v>1</v>
      </c>
      <c r="CL166" t="n">
        <v>16</v>
      </c>
      <c r="CM166" t="n">
        <v>18</v>
      </c>
      <c r="CN166" t="n">
        <v>20</v>
      </c>
      <c r="CO166" t="n">
        <v>19</v>
      </c>
      <c r="CP166" t="n">
        <v>0</v>
      </c>
      <c r="CQ166" t="n">
        <v>0</v>
      </c>
      <c r="CR166" t="n">
        <v>0</v>
      </c>
      <c r="CS166" t="n">
        <v>0</v>
      </c>
      <c r="CT166" t="n">
        <v>0</v>
      </c>
      <c r="CU166" t="n">
        <v>0</v>
      </c>
      <c r="CV166" t="n">
        <v>0</v>
      </c>
      <c r="CW166" t="n">
        <v>0</v>
      </c>
      <c r="CX166" t="n">
        <v>52.1</v>
      </c>
      <c r="CY166" t="n">
        <v>63.5</v>
      </c>
      <c r="CZ166" t="n">
        <v>71.2</v>
      </c>
      <c r="DA166" t="n">
        <v>78.40000000000001</v>
      </c>
      <c r="DB166" t="n">
        <v>49.2</v>
      </c>
      <c r="DC166" t="n">
        <v>60.8</v>
      </c>
      <c r="DD166" t="n">
        <v>65.3</v>
      </c>
      <c r="DE166" t="n">
        <v>75</v>
      </c>
      <c r="DF166" t="n">
        <v>52.1</v>
      </c>
      <c r="DG166" t="n">
        <v>63.5</v>
      </c>
      <c r="DH166" t="n">
        <v>71.2</v>
      </c>
      <c r="DI166" t="n">
        <v>78.40000000000001</v>
      </c>
      <c r="DJ166" t="n">
        <v>49.2</v>
      </c>
      <c r="DK166" t="n">
        <v>60.8</v>
      </c>
      <c r="DL166" t="n">
        <v>65.3</v>
      </c>
      <c r="DM166" t="n">
        <v>75</v>
      </c>
      <c r="DN166" t="n">
        <v>0</v>
      </c>
      <c r="DO166" t="n">
        <v>0</v>
      </c>
      <c r="DP166" t="n">
        <v>0</v>
      </c>
      <c r="DQ166" t="n">
        <v>0</v>
      </c>
      <c r="DR166" t="n">
        <v>0</v>
      </c>
      <c r="DS166" t="n">
        <v>0</v>
      </c>
      <c r="DT166" t="n">
        <v>0</v>
      </c>
      <c r="DU166" t="n">
        <v>0</v>
      </c>
      <c r="DV166" t="inlineStr">
        <is>
          <t>2500 MMBtus</t>
        </is>
      </c>
    </row>
    <row r="167">
      <c r="A167" t="inlineStr">
        <is>
          <t>NAT GAS NYME - NEW YORK MERCANTILE EXCHANGE</t>
        </is>
      </c>
      <c r="B167" t="n">
        <v>230110</v>
      </c>
      <c r="C167" s="1" t="n">
        <v>44936</v>
      </c>
      <c r="D167" t="inlineStr">
        <is>
          <t>023651</t>
        </is>
      </c>
      <c r="E167" t="inlineStr">
        <is>
          <t>NYME</t>
        </is>
      </c>
      <c r="F167" t="inlineStr">
        <is>
          <t>01</t>
        </is>
      </c>
      <c r="G167" t="inlineStr">
        <is>
          <t xml:space="preserve">023 </t>
        </is>
      </c>
      <c r="H167" t="n">
        <v>1070386</v>
      </c>
      <c r="I167" s="17" t="n">
        <v>176461</v>
      </c>
      <c r="J167" s="17" t="n">
        <v>348964</v>
      </c>
      <c r="K167" t="n">
        <v>391735</v>
      </c>
      <c r="L167" t="n">
        <v>434067</v>
      </c>
      <c r="M167" t="n">
        <v>290561</v>
      </c>
      <c r="N167" t="n">
        <v>1002263</v>
      </c>
      <c r="O167" t="n">
        <v>1031260</v>
      </c>
      <c r="P167" t="n">
        <v>68123</v>
      </c>
      <c r="Q167" t="n">
        <v>39126</v>
      </c>
      <c r="R167" t="n">
        <v>1070386</v>
      </c>
      <c r="S167" t="n">
        <v>176461</v>
      </c>
      <c r="T167" t="n">
        <v>348964</v>
      </c>
      <c r="U167" t="n">
        <v>391735</v>
      </c>
      <c r="V167" t="n">
        <v>434067</v>
      </c>
      <c r="W167" t="n">
        <v>290561</v>
      </c>
      <c r="X167" t="n">
        <v>1002263</v>
      </c>
      <c r="Y167" t="n">
        <v>1031260</v>
      </c>
      <c r="Z167" t="n">
        <v>68123</v>
      </c>
      <c r="AA167" t="n">
        <v>39126</v>
      </c>
      <c r="AB167" t="n">
        <v>0</v>
      </c>
      <c r="AC167" t="n">
        <v>0</v>
      </c>
      <c r="AD167" t="n">
        <v>0</v>
      </c>
      <c r="AE167" t="n">
        <v>0</v>
      </c>
      <c r="AF167" t="n">
        <v>0</v>
      </c>
      <c r="AG167" t="n">
        <v>0</v>
      </c>
      <c r="AH167" t="n">
        <v>0</v>
      </c>
      <c r="AI167" t="n">
        <v>0</v>
      </c>
      <c r="AJ167" t="n">
        <v>0</v>
      </c>
      <c r="AK167" t="n">
        <v>0</v>
      </c>
      <c r="AL167" t="n">
        <v>39204</v>
      </c>
      <c r="AM167" t="n">
        <v>16595</v>
      </c>
      <c r="AN167" t="n">
        <v>19285</v>
      </c>
      <c r="AO167" t="n">
        <v>18028</v>
      </c>
      <c r="AP167" t="n">
        <v>3173</v>
      </c>
      <c r="AQ167" t="n">
        <v>1809</v>
      </c>
      <c r="AR167" t="n">
        <v>37796</v>
      </c>
      <c r="AS167" t="n">
        <v>39122</v>
      </c>
      <c r="AT167" t="n">
        <v>1408</v>
      </c>
      <c r="AU167" t="n">
        <v>82</v>
      </c>
      <c r="AV167" t="n">
        <v>100</v>
      </c>
      <c r="AW167" t="n">
        <v>16.5</v>
      </c>
      <c r="AX167" t="n">
        <v>32.6</v>
      </c>
      <c r="AY167" t="n">
        <v>36.6</v>
      </c>
      <c r="AZ167" t="n">
        <v>40.6</v>
      </c>
      <c r="BA167" t="n">
        <v>27.1</v>
      </c>
      <c r="BB167" t="n">
        <v>93.59999999999999</v>
      </c>
      <c r="BC167" t="n">
        <v>96.3</v>
      </c>
      <c r="BD167" t="n">
        <v>6.4</v>
      </c>
      <c r="BE167" t="n">
        <v>3.7</v>
      </c>
      <c r="BF167" t="n">
        <v>100</v>
      </c>
      <c r="BG167" t="n">
        <v>16.5</v>
      </c>
      <c r="BH167" t="n">
        <v>32.6</v>
      </c>
      <c r="BI167" t="n">
        <v>36.6</v>
      </c>
      <c r="BJ167" t="n">
        <v>40.6</v>
      </c>
      <c r="BK167" t="n">
        <v>27.1</v>
      </c>
      <c r="BL167" t="n">
        <v>93.59999999999999</v>
      </c>
      <c r="BM167" t="n">
        <v>96.3</v>
      </c>
      <c r="BN167" t="n">
        <v>6.4</v>
      </c>
      <c r="BO167" t="n">
        <v>3.7</v>
      </c>
      <c r="BP167" t="n">
        <v>0</v>
      </c>
      <c r="BQ167" t="n">
        <v>0</v>
      </c>
      <c r="BR167" t="n">
        <v>0</v>
      </c>
      <c r="BS167" t="n">
        <v>0</v>
      </c>
      <c r="BT167" t="n">
        <v>0</v>
      </c>
      <c r="BU167" t="n">
        <v>0</v>
      </c>
      <c r="BV167" t="n">
        <v>0</v>
      </c>
      <c r="BW167" t="n">
        <v>0</v>
      </c>
      <c r="BX167" t="n">
        <v>0</v>
      </c>
      <c r="BY167" t="n">
        <v>0</v>
      </c>
      <c r="BZ167" t="n">
        <v>264</v>
      </c>
      <c r="CA167" t="n">
        <v>89</v>
      </c>
      <c r="CB167" t="n">
        <v>84</v>
      </c>
      <c r="CC167" t="n">
        <v>103</v>
      </c>
      <c r="CD167" t="n">
        <v>80</v>
      </c>
      <c r="CE167" t="n">
        <v>67</v>
      </c>
      <c r="CF167" t="n">
        <v>233</v>
      </c>
      <c r="CG167" t="n">
        <v>199</v>
      </c>
      <c r="CH167" t="n">
        <v>264</v>
      </c>
      <c r="CI167" t="n">
        <v>89</v>
      </c>
      <c r="CJ167" t="n">
        <v>84</v>
      </c>
      <c r="CK167" t="n">
        <v>103</v>
      </c>
      <c r="CL167" t="n">
        <v>80</v>
      </c>
      <c r="CM167" t="n">
        <v>67</v>
      </c>
      <c r="CN167" t="n">
        <v>233</v>
      </c>
      <c r="CO167" t="n">
        <v>199</v>
      </c>
      <c r="CP167" t="n">
        <v>0</v>
      </c>
      <c r="CQ167" t="n">
        <v>0</v>
      </c>
      <c r="CR167" t="n">
        <v>0</v>
      </c>
      <c r="CS167" t="n">
        <v>0</v>
      </c>
      <c r="CT167" t="n">
        <v>0</v>
      </c>
      <c r="CU167" t="n">
        <v>0</v>
      </c>
      <c r="CV167" t="n">
        <v>0</v>
      </c>
      <c r="CW167" t="n">
        <v>0</v>
      </c>
      <c r="CX167" t="n">
        <v>24.7</v>
      </c>
      <c r="CY167" t="n">
        <v>30.3</v>
      </c>
      <c r="CZ167" t="n">
        <v>35.7</v>
      </c>
      <c r="DA167" t="n">
        <v>43.9</v>
      </c>
      <c r="DB167" t="n">
        <v>13.1</v>
      </c>
      <c r="DC167" t="n">
        <v>17.6</v>
      </c>
      <c r="DD167" t="n">
        <v>18</v>
      </c>
      <c r="DE167" t="n">
        <v>23.7</v>
      </c>
      <c r="DF167" t="n">
        <v>24.7</v>
      </c>
      <c r="DG167" t="n">
        <v>30.3</v>
      </c>
      <c r="DH167" t="n">
        <v>35.7</v>
      </c>
      <c r="DI167" t="n">
        <v>43.9</v>
      </c>
      <c r="DJ167" t="n">
        <v>13.1</v>
      </c>
      <c r="DK167" t="n">
        <v>17.6</v>
      </c>
      <c r="DL167" t="n">
        <v>18</v>
      </c>
      <c r="DM167" t="n">
        <v>23.7</v>
      </c>
      <c r="DN167" t="n">
        <v>0</v>
      </c>
      <c r="DO167" t="n">
        <v>0</v>
      </c>
      <c r="DP167" t="n">
        <v>0</v>
      </c>
      <c r="DQ167" t="n">
        <v>0</v>
      </c>
      <c r="DR167" t="n">
        <v>0</v>
      </c>
      <c r="DS167" t="n">
        <v>0</v>
      </c>
      <c r="DT167" t="n">
        <v>0</v>
      </c>
      <c r="DU167" t="n">
        <v>0</v>
      </c>
      <c r="DV167" t="inlineStr">
        <is>
          <t>(Contracts of 10,000 MMBTU'S)</t>
        </is>
      </c>
    </row>
    <row r="168">
      <c r="A168" t="inlineStr">
        <is>
          <t>NAT GAS NYME - NEW YORK MERCANTILE EXCHANGE</t>
        </is>
      </c>
      <c r="B168" t="n">
        <v>230103</v>
      </c>
      <c r="C168" s="1" t="n">
        <v>44929</v>
      </c>
      <c r="D168" t="inlineStr">
        <is>
          <t>023651</t>
        </is>
      </c>
      <c r="E168" t="inlineStr">
        <is>
          <t>NYME</t>
        </is>
      </c>
      <c r="F168" t="inlineStr">
        <is>
          <t>01</t>
        </is>
      </c>
      <c r="G168" t="inlineStr">
        <is>
          <t xml:space="preserve">023 </t>
        </is>
      </c>
      <c r="H168" t="n">
        <v>1031182</v>
      </c>
      <c r="I168" s="17" t="n">
        <v>159866</v>
      </c>
      <c r="J168" s="17" t="n">
        <v>329679</v>
      </c>
      <c r="K168" t="n">
        <v>373707</v>
      </c>
      <c r="L168" t="n">
        <v>430894</v>
      </c>
      <c r="M168" t="n">
        <v>288752</v>
      </c>
      <c r="N168" t="n">
        <v>964467</v>
      </c>
      <c r="O168" t="n">
        <v>992138</v>
      </c>
      <c r="P168" t="n">
        <v>66715</v>
      </c>
      <c r="Q168" t="n">
        <v>39044</v>
      </c>
      <c r="R168" t="n">
        <v>1031182</v>
      </c>
      <c r="S168" t="n">
        <v>159866</v>
      </c>
      <c r="T168" t="n">
        <v>329679</v>
      </c>
      <c r="U168" t="n">
        <v>373707</v>
      </c>
      <c r="V168" t="n">
        <v>430894</v>
      </c>
      <c r="W168" t="n">
        <v>288752</v>
      </c>
      <c r="X168" t="n">
        <v>964467</v>
      </c>
      <c r="Y168" t="n">
        <v>992138</v>
      </c>
      <c r="Z168" t="n">
        <v>66715</v>
      </c>
      <c r="AA168" t="n">
        <v>39044</v>
      </c>
      <c r="AB168" t="n">
        <v>0</v>
      </c>
      <c r="AC168" t="n">
        <v>0</v>
      </c>
      <c r="AD168" t="n">
        <v>0</v>
      </c>
      <c r="AE168" t="n">
        <v>0</v>
      </c>
      <c r="AF168" t="n">
        <v>0</v>
      </c>
      <c r="AG168" t="n">
        <v>0</v>
      </c>
      <c r="AH168" t="n">
        <v>0</v>
      </c>
      <c r="AI168" t="n">
        <v>0</v>
      </c>
      <c r="AJ168" t="n">
        <v>0</v>
      </c>
      <c r="AK168" t="n">
        <v>0</v>
      </c>
      <c r="AL168" t="n">
        <v>20392</v>
      </c>
      <c r="AM168" t="n">
        <v>5001</v>
      </c>
      <c r="AN168" t="n">
        <v>14212</v>
      </c>
      <c r="AO168" t="n">
        <v>12526</v>
      </c>
      <c r="AP168" t="n">
        <v>1772</v>
      </c>
      <c r="AQ168" t="n">
        <v>-7304</v>
      </c>
      <c r="AR168" t="n">
        <v>19299</v>
      </c>
      <c r="AS168" t="n">
        <v>19434</v>
      </c>
      <c r="AT168" t="n">
        <v>1093</v>
      </c>
      <c r="AU168" t="n">
        <v>958</v>
      </c>
      <c r="AV168" t="n">
        <v>100</v>
      </c>
      <c r="AW168" t="n">
        <v>15.5</v>
      </c>
      <c r="AX168" t="n">
        <v>32</v>
      </c>
      <c r="AY168" t="n">
        <v>36.2</v>
      </c>
      <c r="AZ168" t="n">
        <v>41.8</v>
      </c>
      <c r="BA168" t="n">
        <v>28</v>
      </c>
      <c r="BB168" t="n">
        <v>93.5</v>
      </c>
      <c r="BC168" t="n">
        <v>96.2</v>
      </c>
      <c r="BD168" t="n">
        <v>6.5</v>
      </c>
      <c r="BE168" t="n">
        <v>3.8</v>
      </c>
      <c r="BF168" t="n">
        <v>100</v>
      </c>
      <c r="BG168" t="n">
        <v>15.5</v>
      </c>
      <c r="BH168" t="n">
        <v>32</v>
      </c>
      <c r="BI168" t="n">
        <v>36.2</v>
      </c>
      <c r="BJ168" t="n">
        <v>41.8</v>
      </c>
      <c r="BK168" t="n">
        <v>28</v>
      </c>
      <c r="BL168" t="n">
        <v>93.5</v>
      </c>
      <c r="BM168" t="n">
        <v>96.2</v>
      </c>
      <c r="BN168" t="n">
        <v>6.5</v>
      </c>
      <c r="BO168" t="n">
        <v>3.8</v>
      </c>
      <c r="BP168" t="n">
        <v>0</v>
      </c>
      <c r="BQ168" t="n">
        <v>0</v>
      </c>
      <c r="BR168" t="n">
        <v>0</v>
      </c>
      <c r="BS168" t="n">
        <v>0</v>
      </c>
      <c r="BT168" t="n">
        <v>0</v>
      </c>
      <c r="BU168" t="n">
        <v>0</v>
      </c>
      <c r="BV168" t="n">
        <v>0</v>
      </c>
      <c r="BW168" t="n">
        <v>0</v>
      </c>
      <c r="BX168" t="n">
        <v>0</v>
      </c>
      <c r="BY168" t="n">
        <v>0</v>
      </c>
      <c r="BZ168" t="n">
        <v>253</v>
      </c>
      <c r="CA168" t="n">
        <v>84</v>
      </c>
      <c r="CB168" t="n">
        <v>79</v>
      </c>
      <c r="CC168" t="n">
        <v>113</v>
      </c>
      <c r="CD168" t="n">
        <v>77</v>
      </c>
      <c r="CE168" t="n">
        <v>68</v>
      </c>
      <c r="CF168" t="n">
        <v>232</v>
      </c>
      <c r="CG168" t="n">
        <v>200</v>
      </c>
      <c r="CH168" t="n">
        <v>253</v>
      </c>
      <c r="CI168" t="n">
        <v>84</v>
      </c>
      <c r="CJ168" t="n">
        <v>79</v>
      </c>
      <c r="CK168" t="n">
        <v>113</v>
      </c>
      <c r="CL168" t="n">
        <v>77</v>
      </c>
      <c r="CM168" t="n">
        <v>68</v>
      </c>
      <c r="CN168" t="n">
        <v>232</v>
      </c>
      <c r="CO168" t="n">
        <v>200</v>
      </c>
      <c r="CP168" t="n">
        <v>0</v>
      </c>
      <c r="CQ168" t="n">
        <v>0</v>
      </c>
      <c r="CR168" t="n">
        <v>0</v>
      </c>
      <c r="CS168" t="n">
        <v>0</v>
      </c>
      <c r="CT168" t="n">
        <v>0</v>
      </c>
      <c r="CU168" t="n">
        <v>0</v>
      </c>
      <c r="CV168" t="n">
        <v>0</v>
      </c>
      <c r="CW168" t="n">
        <v>0</v>
      </c>
      <c r="CX168" t="n">
        <v>25.4</v>
      </c>
      <c r="CY168" t="n">
        <v>29.9</v>
      </c>
      <c r="CZ168" t="n">
        <v>36.3</v>
      </c>
      <c r="DA168" t="n">
        <v>45.2</v>
      </c>
      <c r="DB168" t="n">
        <v>13.3</v>
      </c>
      <c r="DC168" t="n">
        <v>17.4</v>
      </c>
      <c r="DD168" t="n">
        <v>18.3</v>
      </c>
      <c r="DE168" t="n">
        <v>24.4</v>
      </c>
      <c r="DF168" t="n">
        <v>25.4</v>
      </c>
      <c r="DG168" t="n">
        <v>29.9</v>
      </c>
      <c r="DH168" t="n">
        <v>36.3</v>
      </c>
      <c r="DI168" t="n">
        <v>45.2</v>
      </c>
      <c r="DJ168" t="n">
        <v>13.3</v>
      </c>
      <c r="DK168" t="n">
        <v>17.4</v>
      </c>
      <c r="DL168" t="n">
        <v>18.3</v>
      </c>
      <c r="DM168" t="n">
        <v>24.4</v>
      </c>
      <c r="DN168" t="n">
        <v>0</v>
      </c>
      <c r="DO168" t="n">
        <v>0</v>
      </c>
      <c r="DP168" t="n">
        <v>0</v>
      </c>
      <c r="DQ168" t="n">
        <v>0</v>
      </c>
      <c r="DR168" t="n">
        <v>0</v>
      </c>
      <c r="DS168" t="n">
        <v>0</v>
      </c>
      <c r="DT168" t="n">
        <v>0</v>
      </c>
      <c r="DU168" t="n">
        <v>0</v>
      </c>
      <c r="DV168" t="inlineStr">
        <is>
          <t>(Contracts of 10,000 MMBTU'S)</t>
        </is>
      </c>
    </row>
    <row r="169">
      <c r="A169" t="inlineStr">
        <is>
          <t>HENRY HUB LAST DAY FIN - NEW YORK MERCANTILE EXCHANGE</t>
        </is>
      </c>
      <c r="B169" t="n">
        <v>230110</v>
      </c>
      <c r="C169" s="1" t="n">
        <v>44936</v>
      </c>
      <c r="D169" t="inlineStr">
        <is>
          <t>023A55</t>
        </is>
      </c>
      <c r="E169" t="inlineStr">
        <is>
          <t>NYME</t>
        </is>
      </c>
      <c r="F169" t="inlineStr">
        <is>
          <t>01</t>
        </is>
      </c>
      <c r="G169" t="inlineStr">
        <is>
          <t xml:space="preserve">023 </t>
        </is>
      </c>
      <c r="H169" t="n">
        <v>388746</v>
      </c>
      <c r="I169" s="17" t="n">
        <v>117578</v>
      </c>
      <c r="J169" s="17" t="n">
        <v>41476</v>
      </c>
      <c r="K169" t="n">
        <v>50352</v>
      </c>
      <c r="L169" t="n">
        <v>202695</v>
      </c>
      <c r="M169" t="n">
        <v>291046</v>
      </c>
      <c r="N169" t="n">
        <v>370625</v>
      </c>
      <c r="O169" t="n">
        <v>382874</v>
      </c>
      <c r="P169" t="n">
        <v>18121</v>
      </c>
      <c r="Q169" t="n">
        <v>5872</v>
      </c>
      <c r="R169" t="n">
        <v>388746</v>
      </c>
      <c r="S169" t="n">
        <v>117578</v>
      </c>
      <c r="T169" t="n">
        <v>41476</v>
      </c>
      <c r="U169" t="n">
        <v>50352</v>
      </c>
      <c r="V169" t="n">
        <v>202695</v>
      </c>
      <c r="W169" t="n">
        <v>291046</v>
      </c>
      <c r="X169" t="n">
        <v>370625</v>
      </c>
      <c r="Y169" t="n">
        <v>382874</v>
      </c>
      <c r="Z169" t="n">
        <v>18121</v>
      </c>
      <c r="AA169" t="n">
        <v>5872</v>
      </c>
      <c r="AB169" t="n">
        <v>0</v>
      </c>
      <c r="AC169" t="n">
        <v>0</v>
      </c>
      <c r="AD169" t="n">
        <v>0</v>
      </c>
      <c r="AE169" t="n">
        <v>0</v>
      </c>
      <c r="AF169" t="n">
        <v>0</v>
      </c>
      <c r="AG169" t="n">
        <v>0</v>
      </c>
      <c r="AH169" t="n">
        <v>0</v>
      </c>
      <c r="AI169" t="n">
        <v>0</v>
      </c>
      <c r="AJ169" t="n">
        <v>0</v>
      </c>
      <c r="AK169" t="n">
        <v>0</v>
      </c>
      <c r="AL169" t="n">
        <v>8455</v>
      </c>
      <c r="AM169" t="n">
        <v>215</v>
      </c>
      <c r="AN169" t="n">
        <v>-871</v>
      </c>
      <c r="AO169" t="n">
        <v>1046</v>
      </c>
      <c r="AP169" t="n">
        <v>6629</v>
      </c>
      <c r="AQ169" t="n">
        <v>8090</v>
      </c>
      <c r="AR169" t="n">
        <v>7890</v>
      </c>
      <c r="AS169" t="n">
        <v>8265</v>
      </c>
      <c r="AT169" t="n">
        <v>565</v>
      </c>
      <c r="AU169" t="n">
        <v>190</v>
      </c>
      <c r="AV169" t="n">
        <v>100</v>
      </c>
      <c r="AW169" t="n">
        <v>30.2</v>
      </c>
      <c r="AX169" t="n">
        <v>10.7</v>
      </c>
      <c r="AY169" t="n">
        <v>13</v>
      </c>
      <c r="AZ169" t="n">
        <v>52.1</v>
      </c>
      <c r="BA169" t="n">
        <v>74.90000000000001</v>
      </c>
      <c r="BB169" t="n">
        <v>95.3</v>
      </c>
      <c r="BC169" t="n">
        <v>98.5</v>
      </c>
      <c r="BD169" t="n">
        <v>4.7</v>
      </c>
      <c r="BE169" t="n">
        <v>1.5</v>
      </c>
      <c r="BF169" t="n">
        <v>100</v>
      </c>
      <c r="BG169" t="n">
        <v>30.2</v>
      </c>
      <c r="BH169" t="n">
        <v>10.7</v>
      </c>
      <c r="BI169" t="n">
        <v>13</v>
      </c>
      <c r="BJ169" t="n">
        <v>52.1</v>
      </c>
      <c r="BK169" t="n">
        <v>74.90000000000001</v>
      </c>
      <c r="BL169" t="n">
        <v>95.3</v>
      </c>
      <c r="BM169" t="n">
        <v>98.5</v>
      </c>
      <c r="BN169" t="n">
        <v>4.7</v>
      </c>
      <c r="BO169" t="n">
        <v>1.5</v>
      </c>
      <c r="BP169" t="n">
        <v>0</v>
      </c>
      <c r="BQ169" t="n">
        <v>0</v>
      </c>
      <c r="BR169" t="n">
        <v>0</v>
      </c>
      <c r="BS169" t="n">
        <v>0</v>
      </c>
      <c r="BT169" t="n">
        <v>0</v>
      </c>
      <c r="BU169" t="n">
        <v>0</v>
      </c>
      <c r="BV169" t="n">
        <v>0</v>
      </c>
      <c r="BW169" t="n">
        <v>0</v>
      </c>
      <c r="BX169" t="n">
        <v>0</v>
      </c>
      <c r="BY169" t="n">
        <v>0</v>
      </c>
      <c r="BZ169" t="n">
        <v>90</v>
      </c>
      <c r="CA169" t="n">
        <v>19</v>
      </c>
      <c r="CB169" t="n">
        <v>14</v>
      </c>
      <c r="CC169" t="n">
        <v>25</v>
      </c>
      <c r="CD169" t="n">
        <v>52</v>
      </c>
      <c r="CE169" t="n">
        <v>47</v>
      </c>
      <c r="CF169" t="n">
        <v>82</v>
      </c>
      <c r="CG169" t="n">
        <v>76</v>
      </c>
      <c r="CH169" t="n">
        <v>90</v>
      </c>
      <c r="CI169" t="n">
        <v>19</v>
      </c>
      <c r="CJ169" t="n">
        <v>14</v>
      </c>
      <c r="CK169" t="n">
        <v>25</v>
      </c>
      <c r="CL169" t="n">
        <v>52</v>
      </c>
      <c r="CM169" t="n">
        <v>47</v>
      </c>
      <c r="CN169" t="n">
        <v>82</v>
      </c>
      <c r="CO169" t="n">
        <v>76</v>
      </c>
      <c r="CP169" t="n">
        <v>0</v>
      </c>
      <c r="CQ169" t="n">
        <v>0</v>
      </c>
      <c r="CR169" t="n">
        <v>0</v>
      </c>
      <c r="CS169" t="n">
        <v>0</v>
      </c>
      <c r="CT169" t="n">
        <v>0</v>
      </c>
      <c r="CU169" t="n">
        <v>0</v>
      </c>
      <c r="CV169" t="n">
        <v>0</v>
      </c>
      <c r="CW169" t="n">
        <v>0</v>
      </c>
      <c r="CX169" t="n">
        <v>27.4</v>
      </c>
      <c r="CY169" t="n">
        <v>44.5</v>
      </c>
      <c r="CZ169" t="n">
        <v>42.5</v>
      </c>
      <c r="DA169" t="n">
        <v>61.9</v>
      </c>
      <c r="DB169" t="n">
        <v>27</v>
      </c>
      <c r="DC169" t="n">
        <v>40.6</v>
      </c>
      <c r="DD169" t="n">
        <v>41</v>
      </c>
      <c r="DE169" t="n">
        <v>56</v>
      </c>
      <c r="DF169" t="n">
        <v>27.4</v>
      </c>
      <c r="DG169" t="n">
        <v>44.5</v>
      </c>
      <c r="DH169" t="n">
        <v>42.5</v>
      </c>
      <c r="DI169" t="n">
        <v>61.9</v>
      </c>
      <c r="DJ169" t="n">
        <v>27</v>
      </c>
      <c r="DK169" t="n">
        <v>40.6</v>
      </c>
      <c r="DL169" t="n">
        <v>41</v>
      </c>
      <c r="DM169" t="n">
        <v>56</v>
      </c>
      <c r="DN169" t="n">
        <v>0</v>
      </c>
      <c r="DO169" t="n">
        <v>0</v>
      </c>
      <c r="DP169" t="n">
        <v>0</v>
      </c>
      <c r="DQ169" t="n">
        <v>0</v>
      </c>
      <c r="DR169" t="n">
        <v>0</v>
      </c>
      <c r="DS169" t="n">
        <v>0</v>
      </c>
      <c r="DT169" t="n">
        <v>0</v>
      </c>
      <c r="DU169" t="n">
        <v>0</v>
      </c>
      <c r="DV169" t="inlineStr">
        <is>
          <t>(Contracts of 10,000 MMBTU'S)</t>
        </is>
      </c>
    </row>
    <row r="170">
      <c r="A170" t="inlineStr">
        <is>
          <t>HENRY HUB LAST DAY FIN - NEW YORK MERCANTILE EXCHANGE</t>
        </is>
      </c>
      <c r="B170" t="n">
        <v>230103</v>
      </c>
      <c r="C170" s="1" t="n">
        <v>44929</v>
      </c>
      <c r="D170" t="inlineStr">
        <is>
          <t>023A55</t>
        </is>
      </c>
      <c r="E170" t="inlineStr">
        <is>
          <t>NYME</t>
        </is>
      </c>
      <c r="F170" t="inlineStr">
        <is>
          <t>01</t>
        </is>
      </c>
      <c r="G170" t="inlineStr">
        <is>
          <t xml:space="preserve">023 </t>
        </is>
      </c>
      <c r="H170" t="n">
        <v>380291</v>
      </c>
      <c r="I170" s="17" t="n">
        <v>117363</v>
      </c>
      <c r="J170" s="17" t="n">
        <v>42347</v>
      </c>
      <c r="K170" t="n">
        <v>49306</v>
      </c>
      <c r="L170" t="n">
        <v>196066</v>
      </c>
      <c r="M170" t="n">
        <v>282956</v>
      </c>
      <c r="N170" t="n">
        <v>362735</v>
      </c>
      <c r="O170" t="n">
        <v>374609</v>
      </c>
      <c r="P170" t="n">
        <v>17556</v>
      </c>
      <c r="Q170" t="n">
        <v>5682</v>
      </c>
      <c r="R170" t="n">
        <v>380291</v>
      </c>
      <c r="S170" t="n">
        <v>117363</v>
      </c>
      <c r="T170" t="n">
        <v>42347</v>
      </c>
      <c r="U170" t="n">
        <v>49306</v>
      </c>
      <c r="V170" t="n">
        <v>196066</v>
      </c>
      <c r="W170" t="n">
        <v>282956</v>
      </c>
      <c r="X170" t="n">
        <v>362735</v>
      </c>
      <c r="Y170" t="n">
        <v>374609</v>
      </c>
      <c r="Z170" t="n">
        <v>17556</v>
      </c>
      <c r="AA170" t="n">
        <v>5682</v>
      </c>
      <c r="AB170" t="n">
        <v>0</v>
      </c>
      <c r="AC170" t="n">
        <v>0</v>
      </c>
      <c r="AD170" t="n">
        <v>0</v>
      </c>
      <c r="AE170" t="n">
        <v>0</v>
      </c>
      <c r="AF170" t="n">
        <v>0</v>
      </c>
      <c r="AG170" t="n">
        <v>0</v>
      </c>
      <c r="AH170" t="n">
        <v>0</v>
      </c>
      <c r="AI170" t="n">
        <v>0</v>
      </c>
      <c r="AJ170" t="n">
        <v>0</v>
      </c>
      <c r="AK170" t="n">
        <v>0</v>
      </c>
      <c r="AL170" t="n">
        <v>-35448</v>
      </c>
      <c r="AM170" t="n">
        <v>-11891</v>
      </c>
      <c r="AN170" t="n">
        <v>-5230</v>
      </c>
      <c r="AO170" t="n">
        <v>-5053</v>
      </c>
      <c r="AP170" t="n">
        <v>-20001</v>
      </c>
      <c r="AQ170" t="n">
        <v>-25156</v>
      </c>
      <c r="AR170" t="n">
        <v>-36945</v>
      </c>
      <c r="AS170" t="n">
        <v>-35439</v>
      </c>
      <c r="AT170" t="n">
        <v>1497</v>
      </c>
      <c r="AU170" t="n">
        <v>-9</v>
      </c>
      <c r="AV170" t="n">
        <v>100</v>
      </c>
      <c r="AW170" t="n">
        <v>30.9</v>
      </c>
      <c r="AX170" t="n">
        <v>11.1</v>
      </c>
      <c r="AY170" t="n">
        <v>13</v>
      </c>
      <c r="AZ170" t="n">
        <v>51.6</v>
      </c>
      <c r="BA170" t="n">
        <v>74.40000000000001</v>
      </c>
      <c r="BB170" t="n">
        <v>95.40000000000001</v>
      </c>
      <c r="BC170" t="n">
        <v>98.5</v>
      </c>
      <c r="BD170" t="n">
        <v>4.6</v>
      </c>
      <c r="BE170" t="n">
        <v>1.5</v>
      </c>
      <c r="BF170" t="n">
        <v>100</v>
      </c>
      <c r="BG170" t="n">
        <v>30.9</v>
      </c>
      <c r="BH170" t="n">
        <v>11.1</v>
      </c>
      <c r="BI170" t="n">
        <v>13</v>
      </c>
      <c r="BJ170" t="n">
        <v>51.6</v>
      </c>
      <c r="BK170" t="n">
        <v>74.40000000000001</v>
      </c>
      <c r="BL170" t="n">
        <v>95.40000000000001</v>
      </c>
      <c r="BM170" t="n">
        <v>98.5</v>
      </c>
      <c r="BN170" t="n">
        <v>4.6</v>
      </c>
      <c r="BO170" t="n">
        <v>1.5</v>
      </c>
      <c r="BP170" t="n">
        <v>0</v>
      </c>
      <c r="BQ170" t="n">
        <v>0</v>
      </c>
      <c r="BR170" t="n">
        <v>0</v>
      </c>
      <c r="BS170" t="n">
        <v>0</v>
      </c>
      <c r="BT170" t="n">
        <v>0</v>
      </c>
      <c r="BU170" t="n">
        <v>0</v>
      </c>
      <c r="BV170" t="n">
        <v>0</v>
      </c>
      <c r="BW170" t="n">
        <v>0</v>
      </c>
      <c r="BX170" t="n">
        <v>0</v>
      </c>
      <c r="BY170" t="n">
        <v>0</v>
      </c>
      <c r="BZ170" t="n">
        <v>86</v>
      </c>
      <c r="CA170" t="n">
        <v>19</v>
      </c>
      <c r="CB170" t="n">
        <v>12</v>
      </c>
      <c r="CC170" t="n">
        <v>25</v>
      </c>
      <c r="CD170" t="n">
        <v>50</v>
      </c>
      <c r="CE170" t="n">
        <v>45</v>
      </c>
      <c r="CF170" t="n">
        <v>80</v>
      </c>
      <c r="CG170" t="n">
        <v>72</v>
      </c>
      <c r="CH170" t="n">
        <v>86</v>
      </c>
      <c r="CI170" t="n">
        <v>19</v>
      </c>
      <c r="CJ170" t="n">
        <v>12</v>
      </c>
      <c r="CK170" t="n">
        <v>25</v>
      </c>
      <c r="CL170" t="n">
        <v>50</v>
      </c>
      <c r="CM170" t="n">
        <v>45</v>
      </c>
      <c r="CN170" t="n">
        <v>80</v>
      </c>
      <c r="CO170" t="n">
        <v>72</v>
      </c>
      <c r="CP170" t="n">
        <v>0</v>
      </c>
      <c r="CQ170" t="n">
        <v>0</v>
      </c>
      <c r="CR170" t="n">
        <v>0</v>
      </c>
      <c r="CS170" t="n">
        <v>0</v>
      </c>
      <c r="CT170" t="n">
        <v>0</v>
      </c>
      <c r="CU170" t="n">
        <v>0</v>
      </c>
      <c r="CV170" t="n">
        <v>0</v>
      </c>
      <c r="CW170" t="n">
        <v>0</v>
      </c>
      <c r="CX170" t="n">
        <v>27.8</v>
      </c>
      <c r="CY170" t="n">
        <v>47.4</v>
      </c>
      <c r="CZ170" t="n">
        <v>43.1</v>
      </c>
      <c r="DA170" t="n">
        <v>65.09999999999999</v>
      </c>
      <c r="DB170" t="n">
        <v>27.5</v>
      </c>
      <c r="DC170" t="n">
        <v>43.2</v>
      </c>
      <c r="DD170" t="n">
        <v>41.6</v>
      </c>
      <c r="DE170" t="n">
        <v>58.8</v>
      </c>
      <c r="DF170" t="n">
        <v>27.8</v>
      </c>
      <c r="DG170" t="n">
        <v>47.4</v>
      </c>
      <c r="DH170" t="n">
        <v>43.1</v>
      </c>
      <c r="DI170" t="n">
        <v>65.09999999999999</v>
      </c>
      <c r="DJ170" t="n">
        <v>27.5</v>
      </c>
      <c r="DK170" t="n">
        <v>43.2</v>
      </c>
      <c r="DL170" t="n">
        <v>41.6</v>
      </c>
      <c r="DM170" t="n">
        <v>58.8</v>
      </c>
      <c r="DN170" t="n">
        <v>0</v>
      </c>
      <c r="DO170" t="n">
        <v>0</v>
      </c>
      <c r="DP170" t="n">
        <v>0</v>
      </c>
      <c r="DQ170" t="n">
        <v>0</v>
      </c>
      <c r="DR170" t="n">
        <v>0</v>
      </c>
      <c r="DS170" t="n">
        <v>0</v>
      </c>
      <c r="DT170" t="n">
        <v>0</v>
      </c>
      <c r="DU170" t="n">
        <v>0</v>
      </c>
      <c r="DV170" t="inlineStr">
        <is>
          <t>(Contracts of 10,000 MMBTU'S)</t>
        </is>
      </c>
    </row>
    <row r="171">
      <c r="A171" t="inlineStr">
        <is>
          <t>HENRY HUB PENULTIMATE FIN - NEW YORK MERCANTILE EXCHANGE</t>
        </is>
      </c>
      <c r="B171" t="n">
        <v>230110</v>
      </c>
      <c r="C171" s="1" t="n">
        <v>44936</v>
      </c>
      <c r="D171" t="inlineStr">
        <is>
          <t>023A56</t>
        </is>
      </c>
      <c r="E171" t="inlineStr">
        <is>
          <t>NYME</t>
        </is>
      </c>
      <c r="F171" t="inlineStr">
        <is>
          <t>01</t>
        </is>
      </c>
      <c r="G171" t="inlineStr">
        <is>
          <t xml:space="preserve">023 </t>
        </is>
      </c>
      <c r="H171" t="n">
        <v>189738</v>
      </c>
      <c r="I171" s="17" t="n">
        <v>31913</v>
      </c>
      <c r="J171" s="17" t="n">
        <v>63141</v>
      </c>
      <c r="K171" t="n">
        <v>14107</v>
      </c>
      <c r="L171" t="n">
        <v>131409</v>
      </c>
      <c r="M171" t="n">
        <v>101105</v>
      </c>
      <c r="N171" t="n">
        <v>177429</v>
      </c>
      <c r="O171" t="n">
        <v>178353</v>
      </c>
      <c r="P171" t="n">
        <v>12309</v>
      </c>
      <c r="Q171" t="n">
        <v>11385</v>
      </c>
      <c r="R171" t="n">
        <v>189738</v>
      </c>
      <c r="S171" t="n">
        <v>31913</v>
      </c>
      <c r="T171" t="n">
        <v>63141</v>
      </c>
      <c r="U171" t="n">
        <v>14107</v>
      </c>
      <c r="V171" t="n">
        <v>131409</v>
      </c>
      <c r="W171" t="n">
        <v>101105</v>
      </c>
      <c r="X171" t="n">
        <v>177429</v>
      </c>
      <c r="Y171" t="n">
        <v>178353</v>
      </c>
      <c r="Z171" t="n">
        <v>12309</v>
      </c>
      <c r="AA171" t="n">
        <v>11385</v>
      </c>
      <c r="AB171" t="n">
        <v>0</v>
      </c>
      <c r="AC171" t="n">
        <v>0</v>
      </c>
      <c r="AD171" t="n">
        <v>0</v>
      </c>
      <c r="AE171" t="n">
        <v>0</v>
      </c>
      <c r="AF171" t="n">
        <v>0</v>
      </c>
      <c r="AG171" t="n">
        <v>0</v>
      </c>
      <c r="AH171" t="n">
        <v>0</v>
      </c>
      <c r="AI171" t="n">
        <v>0</v>
      </c>
      <c r="AJ171" t="n">
        <v>0</v>
      </c>
      <c r="AK171" t="n">
        <v>0</v>
      </c>
      <c r="AL171" t="n">
        <v>4541</v>
      </c>
      <c r="AM171" t="n">
        <v>568</v>
      </c>
      <c r="AN171" t="n">
        <v>1369</v>
      </c>
      <c r="AO171" t="n">
        <v>1249</v>
      </c>
      <c r="AP171" t="n">
        <v>4077</v>
      </c>
      <c r="AQ171" t="n">
        <v>1879</v>
      </c>
      <c r="AR171" t="n">
        <v>5894</v>
      </c>
      <c r="AS171" t="n">
        <v>4497</v>
      </c>
      <c r="AT171" t="n">
        <v>-1353</v>
      </c>
      <c r="AU171" t="n">
        <v>44</v>
      </c>
      <c r="AV171" t="n">
        <v>100</v>
      </c>
      <c r="AW171" t="n">
        <v>16.8</v>
      </c>
      <c r="AX171" t="n">
        <v>33.3</v>
      </c>
      <c r="AY171" t="n">
        <v>7.4</v>
      </c>
      <c r="AZ171" t="n">
        <v>69.3</v>
      </c>
      <c r="BA171" t="n">
        <v>53.3</v>
      </c>
      <c r="BB171" t="n">
        <v>93.5</v>
      </c>
      <c r="BC171" t="n">
        <v>94</v>
      </c>
      <c r="BD171" t="n">
        <v>6.5</v>
      </c>
      <c r="BE171" t="n">
        <v>6</v>
      </c>
      <c r="BF171" t="n">
        <v>100</v>
      </c>
      <c r="BG171" t="n">
        <v>16.8</v>
      </c>
      <c r="BH171" t="n">
        <v>33.3</v>
      </c>
      <c r="BI171" t="n">
        <v>7.4</v>
      </c>
      <c r="BJ171" t="n">
        <v>69.3</v>
      </c>
      <c r="BK171" t="n">
        <v>53.3</v>
      </c>
      <c r="BL171" t="n">
        <v>93.5</v>
      </c>
      <c r="BM171" t="n">
        <v>94</v>
      </c>
      <c r="BN171" t="n">
        <v>6.5</v>
      </c>
      <c r="BO171" t="n">
        <v>6</v>
      </c>
      <c r="BP171" t="n">
        <v>0</v>
      </c>
      <c r="BQ171" t="n">
        <v>0</v>
      </c>
      <c r="BR171" t="n">
        <v>0</v>
      </c>
      <c r="BS171" t="n">
        <v>0</v>
      </c>
      <c r="BT171" t="n">
        <v>0</v>
      </c>
      <c r="BU171" t="n">
        <v>0</v>
      </c>
      <c r="BV171" t="n">
        <v>0</v>
      </c>
      <c r="BW171" t="n">
        <v>0</v>
      </c>
      <c r="BX171" t="n">
        <v>0</v>
      </c>
      <c r="BY171" t="n">
        <v>0</v>
      </c>
      <c r="BZ171" t="n">
        <v>58</v>
      </c>
      <c r="CA171" t="n">
        <v>12</v>
      </c>
      <c r="CB171" t="n">
        <v>18</v>
      </c>
      <c r="CC171" t="n">
        <v>22</v>
      </c>
      <c r="CD171" t="n">
        <v>24</v>
      </c>
      <c r="CE171" t="n">
        <v>24</v>
      </c>
      <c r="CF171" t="n">
        <v>50</v>
      </c>
      <c r="CG171" t="n">
        <v>50</v>
      </c>
      <c r="CH171" t="n">
        <v>58</v>
      </c>
      <c r="CI171" t="n">
        <v>12</v>
      </c>
      <c r="CJ171" t="n">
        <v>18</v>
      </c>
      <c r="CK171" t="n">
        <v>22</v>
      </c>
      <c r="CL171" t="n">
        <v>24</v>
      </c>
      <c r="CM171" t="n">
        <v>24</v>
      </c>
      <c r="CN171" t="n">
        <v>50</v>
      </c>
      <c r="CO171" t="n">
        <v>50</v>
      </c>
      <c r="CP171" t="n">
        <v>0</v>
      </c>
      <c r="CQ171" t="n">
        <v>0</v>
      </c>
      <c r="CR171" t="n">
        <v>0</v>
      </c>
      <c r="CS171" t="n">
        <v>0</v>
      </c>
      <c r="CT171" t="n">
        <v>0</v>
      </c>
      <c r="CU171" t="n">
        <v>0</v>
      </c>
      <c r="CV171" t="n">
        <v>0</v>
      </c>
      <c r="CW171" t="n">
        <v>0</v>
      </c>
      <c r="CX171" t="n">
        <v>48.6</v>
      </c>
      <c r="CY171" t="n">
        <v>28</v>
      </c>
      <c r="CZ171" t="n">
        <v>64.7</v>
      </c>
      <c r="DA171" t="n">
        <v>48.4</v>
      </c>
      <c r="DB171" t="n">
        <v>46</v>
      </c>
      <c r="DC171" t="n">
        <v>27.2</v>
      </c>
      <c r="DD171" t="n">
        <v>60.1</v>
      </c>
      <c r="DE171" t="n">
        <v>44.9</v>
      </c>
      <c r="DF171" t="n">
        <v>48.6</v>
      </c>
      <c r="DG171" t="n">
        <v>28</v>
      </c>
      <c r="DH171" t="n">
        <v>64.7</v>
      </c>
      <c r="DI171" t="n">
        <v>48.4</v>
      </c>
      <c r="DJ171" t="n">
        <v>46</v>
      </c>
      <c r="DK171" t="n">
        <v>27.2</v>
      </c>
      <c r="DL171" t="n">
        <v>60.1</v>
      </c>
      <c r="DM171" t="n">
        <v>44.9</v>
      </c>
      <c r="DN171" t="n">
        <v>0</v>
      </c>
      <c r="DO171" t="n">
        <v>0</v>
      </c>
      <c r="DP171" t="n">
        <v>0</v>
      </c>
      <c r="DQ171" t="n">
        <v>0</v>
      </c>
      <c r="DR171" t="n">
        <v>0</v>
      </c>
      <c r="DS171" t="n">
        <v>0</v>
      </c>
      <c r="DT171" t="n">
        <v>0</v>
      </c>
      <c r="DU171" t="n">
        <v>0</v>
      </c>
      <c r="DV171" t="inlineStr">
        <is>
          <t>(Contracts of 10,000 MMBTU'S)</t>
        </is>
      </c>
    </row>
    <row r="172">
      <c r="A172" t="inlineStr">
        <is>
          <t>HENRY HUB PENULTIMATE FIN - NEW YORK MERCANTILE EXCHANGE</t>
        </is>
      </c>
      <c r="B172" t="n">
        <v>230103</v>
      </c>
      <c r="C172" s="1" t="n">
        <v>44929</v>
      </c>
      <c r="D172" t="inlineStr">
        <is>
          <t>023A56</t>
        </is>
      </c>
      <c r="E172" t="inlineStr">
        <is>
          <t>NYME</t>
        </is>
      </c>
      <c r="F172" t="inlineStr">
        <is>
          <t>01</t>
        </is>
      </c>
      <c r="G172" t="inlineStr">
        <is>
          <t xml:space="preserve">023 </t>
        </is>
      </c>
      <c r="H172" t="n">
        <v>185197</v>
      </c>
      <c r="I172" s="17" t="n">
        <v>31345</v>
      </c>
      <c r="J172" s="17" t="n">
        <v>61772</v>
      </c>
      <c r="K172" t="n">
        <v>12858</v>
      </c>
      <c r="L172" t="n">
        <v>127332</v>
      </c>
      <c r="M172" t="n">
        <v>99226</v>
      </c>
      <c r="N172" t="n">
        <v>171535</v>
      </c>
      <c r="O172" t="n">
        <v>173856</v>
      </c>
      <c r="P172" t="n">
        <v>13662</v>
      </c>
      <c r="Q172" t="n">
        <v>11341</v>
      </c>
      <c r="R172" t="n">
        <v>185197</v>
      </c>
      <c r="S172" t="n">
        <v>31345</v>
      </c>
      <c r="T172" t="n">
        <v>61772</v>
      </c>
      <c r="U172" t="n">
        <v>12858</v>
      </c>
      <c r="V172" t="n">
        <v>127332</v>
      </c>
      <c r="W172" t="n">
        <v>99226</v>
      </c>
      <c r="X172" t="n">
        <v>171535</v>
      </c>
      <c r="Y172" t="n">
        <v>173856</v>
      </c>
      <c r="Z172" t="n">
        <v>13662</v>
      </c>
      <c r="AA172" t="n">
        <v>11341</v>
      </c>
      <c r="AB172" t="n">
        <v>0</v>
      </c>
      <c r="AC172" t="n">
        <v>0</v>
      </c>
      <c r="AD172" t="n">
        <v>0</v>
      </c>
      <c r="AE172" t="n">
        <v>0</v>
      </c>
      <c r="AF172" t="n">
        <v>0</v>
      </c>
      <c r="AG172" t="n">
        <v>0</v>
      </c>
      <c r="AH172" t="n">
        <v>0</v>
      </c>
      <c r="AI172" t="n">
        <v>0</v>
      </c>
      <c r="AJ172" t="n">
        <v>0</v>
      </c>
      <c r="AK172" t="n">
        <v>0</v>
      </c>
      <c r="AL172" t="n">
        <v>-25088</v>
      </c>
      <c r="AM172" t="n">
        <v>-2085</v>
      </c>
      <c r="AN172" t="n">
        <v>-11573</v>
      </c>
      <c r="AO172" t="n">
        <v>-8826</v>
      </c>
      <c r="AP172" t="n">
        <v>-15479</v>
      </c>
      <c r="AQ172" t="n">
        <v>-5042</v>
      </c>
      <c r="AR172" t="n">
        <v>-26390</v>
      </c>
      <c r="AS172" t="n">
        <v>-25441</v>
      </c>
      <c r="AT172" t="n">
        <v>1302</v>
      </c>
      <c r="AU172" t="n">
        <v>353</v>
      </c>
      <c r="AV172" t="n">
        <v>100</v>
      </c>
      <c r="AW172" t="n">
        <v>16.9</v>
      </c>
      <c r="AX172" t="n">
        <v>33.4</v>
      </c>
      <c r="AY172" t="n">
        <v>6.9</v>
      </c>
      <c r="AZ172" t="n">
        <v>68.8</v>
      </c>
      <c r="BA172" t="n">
        <v>53.6</v>
      </c>
      <c r="BB172" t="n">
        <v>92.59999999999999</v>
      </c>
      <c r="BC172" t="n">
        <v>93.90000000000001</v>
      </c>
      <c r="BD172" t="n">
        <v>7.4</v>
      </c>
      <c r="BE172" t="n">
        <v>6.1</v>
      </c>
      <c r="BF172" t="n">
        <v>100</v>
      </c>
      <c r="BG172" t="n">
        <v>16.9</v>
      </c>
      <c r="BH172" t="n">
        <v>33.4</v>
      </c>
      <c r="BI172" t="n">
        <v>6.9</v>
      </c>
      <c r="BJ172" t="n">
        <v>68.8</v>
      </c>
      <c r="BK172" t="n">
        <v>53.6</v>
      </c>
      <c r="BL172" t="n">
        <v>92.59999999999999</v>
      </c>
      <c r="BM172" t="n">
        <v>93.90000000000001</v>
      </c>
      <c r="BN172" t="n">
        <v>7.4</v>
      </c>
      <c r="BO172" t="n">
        <v>6.1</v>
      </c>
      <c r="BP172" t="n">
        <v>0</v>
      </c>
      <c r="BQ172" t="n">
        <v>0</v>
      </c>
      <c r="BR172" t="n">
        <v>0</v>
      </c>
      <c r="BS172" t="n">
        <v>0</v>
      </c>
      <c r="BT172" t="n">
        <v>0</v>
      </c>
      <c r="BU172" t="n">
        <v>0</v>
      </c>
      <c r="BV172" t="n">
        <v>0</v>
      </c>
      <c r="BW172" t="n">
        <v>0</v>
      </c>
      <c r="BX172" t="n">
        <v>0</v>
      </c>
      <c r="BY172" t="n">
        <v>0</v>
      </c>
      <c r="BZ172" t="n">
        <v>54</v>
      </c>
      <c r="CA172" t="n">
        <v>12</v>
      </c>
      <c r="CB172" t="n">
        <v>16</v>
      </c>
      <c r="CC172" t="n">
        <v>22</v>
      </c>
      <c r="CD172" t="n">
        <v>22</v>
      </c>
      <c r="CE172" t="n">
        <v>24</v>
      </c>
      <c r="CF172" t="n">
        <v>47</v>
      </c>
      <c r="CG172" t="n">
        <v>49</v>
      </c>
      <c r="CH172" t="n">
        <v>54</v>
      </c>
      <c r="CI172" t="n">
        <v>12</v>
      </c>
      <c r="CJ172" t="n">
        <v>16</v>
      </c>
      <c r="CK172" t="n">
        <v>22</v>
      </c>
      <c r="CL172" t="n">
        <v>22</v>
      </c>
      <c r="CM172" t="n">
        <v>24</v>
      </c>
      <c r="CN172" t="n">
        <v>47</v>
      </c>
      <c r="CO172" t="n">
        <v>49</v>
      </c>
      <c r="CP172" t="n">
        <v>0</v>
      </c>
      <c r="CQ172" t="n">
        <v>0</v>
      </c>
      <c r="CR172" t="n">
        <v>0</v>
      </c>
      <c r="CS172" t="n">
        <v>0</v>
      </c>
      <c r="CT172" t="n">
        <v>0</v>
      </c>
      <c r="CU172" t="n">
        <v>0</v>
      </c>
      <c r="CV172" t="n">
        <v>0</v>
      </c>
      <c r="CW172" t="n">
        <v>0</v>
      </c>
      <c r="CX172" t="n">
        <v>49.6</v>
      </c>
      <c r="CY172" t="n">
        <v>28.2</v>
      </c>
      <c r="CZ172" t="n">
        <v>65.7</v>
      </c>
      <c r="DA172" t="n">
        <v>47.4</v>
      </c>
      <c r="DB172" t="n">
        <v>47</v>
      </c>
      <c r="DC172" t="n">
        <v>27.5</v>
      </c>
      <c r="DD172" t="n">
        <v>61.8</v>
      </c>
      <c r="DE172" t="n">
        <v>44.2</v>
      </c>
      <c r="DF172" t="n">
        <v>49.6</v>
      </c>
      <c r="DG172" t="n">
        <v>28.2</v>
      </c>
      <c r="DH172" t="n">
        <v>65.7</v>
      </c>
      <c r="DI172" t="n">
        <v>47.4</v>
      </c>
      <c r="DJ172" t="n">
        <v>47</v>
      </c>
      <c r="DK172" t="n">
        <v>27.5</v>
      </c>
      <c r="DL172" t="n">
        <v>61.8</v>
      </c>
      <c r="DM172" t="n">
        <v>44.2</v>
      </c>
      <c r="DN172" t="n">
        <v>0</v>
      </c>
      <c r="DO172" t="n">
        <v>0</v>
      </c>
      <c r="DP172" t="n">
        <v>0</v>
      </c>
      <c r="DQ172" t="n">
        <v>0</v>
      </c>
      <c r="DR172" t="n">
        <v>0</v>
      </c>
      <c r="DS172" t="n">
        <v>0</v>
      </c>
      <c r="DT172" t="n">
        <v>0</v>
      </c>
      <c r="DU172" t="n">
        <v>0</v>
      </c>
      <c r="DV172" t="inlineStr">
        <is>
          <t>(Contracts of 10,000 MMBTU'S)</t>
        </is>
      </c>
    </row>
    <row r="173">
      <c r="A173" t="inlineStr">
        <is>
          <t>ETHANOL T2 FOB INCL DUTY - NEW YORK MERCANTILE EXCHANGE</t>
        </is>
      </c>
      <c r="B173" t="n">
        <v>230110</v>
      </c>
      <c r="C173" s="1" t="n">
        <v>44936</v>
      </c>
      <c r="D173" t="inlineStr">
        <is>
          <t>025608</t>
        </is>
      </c>
      <c r="E173" t="inlineStr">
        <is>
          <t>NYME</t>
        </is>
      </c>
      <c r="F173" t="inlineStr">
        <is>
          <t>01</t>
        </is>
      </c>
      <c r="G173" t="inlineStr">
        <is>
          <t xml:space="preserve">025 </t>
        </is>
      </c>
      <c r="H173" t="n">
        <v>5143</v>
      </c>
      <c r="I173" s="17" t="n">
        <v>84</v>
      </c>
      <c r="J173" s="17" t="n">
        <v>1159</v>
      </c>
      <c r="K173" t="n">
        <v>200</v>
      </c>
      <c r="L173" t="n">
        <v>4725</v>
      </c>
      <c r="M173" t="n">
        <v>3666</v>
      </c>
      <c r="N173" t="n">
        <v>5009</v>
      </c>
      <c r="O173" t="n">
        <v>5025</v>
      </c>
      <c r="P173" t="n">
        <v>134</v>
      </c>
      <c r="Q173" t="n">
        <v>118</v>
      </c>
      <c r="R173" t="n">
        <v>5143</v>
      </c>
      <c r="S173" t="n">
        <v>84</v>
      </c>
      <c r="T173" t="n">
        <v>1159</v>
      </c>
      <c r="U173" t="n">
        <v>200</v>
      </c>
      <c r="V173" t="n">
        <v>4725</v>
      </c>
      <c r="W173" t="n">
        <v>3666</v>
      </c>
      <c r="X173" t="n">
        <v>5009</v>
      </c>
      <c r="Y173" t="n">
        <v>5025</v>
      </c>
      <c r="Z173" t="n">
        <v>134</v>
      </c>
      <c r="AA173" t="n">
        <v>118</v>
      </c>
      <c r="AB173" t="n">
        <v>0</v>
      </c>
      <c r="AC173" t="n">
        <v>0</v>
      </c>
      <c r="AD173" t="n">
        <v>0</v>
      </c>
      <c r="AE173" t="n">
        <v>0</v>
      </c>
      <c r="AF173" t="n">
        <v>0</v>
      </c>
      <c r="AG173" t="n">
        <v>0</v>
      </c>
      <c r="AH173" t="n">
        <v>0</v>
      </c>
      <c r="AI173" t="n">
        <v>0</v>
      </c>
      <c r="AJ173" t="n">
        <v>0</v>
      </c>
      <c r="AK173" t="n">
        <v>0</v>
      </c>
      <c r="AL173" t="n">
        <v>331</v>
      </c>
      <c r="AM173" t="n">
        <v>0</v>
      </c>
      <c r="AN173" t="n">
        <v>-155</v>
      </c>
      <c r="AO173" t="n">
        <v>135</v>
      </c>
      <c r="AP173" t="n">
        <v>186</v>
      </c>
      <c r="AQ173" t="n">
        <v>341</v>
      </c>
      <c r="AR173" t="n">
        <v>321</v>
      </c>
      <c r="AS173" t="n">
        <v>321</v>
      </c>
      <c r="AT173" t="n">
        <v>10</v>
      </c>
      <c r="AU173" t="n">
        <v>10</v>
      </c>
      <c r="AV173" t="n">
        <v>100</v>
      </c>
      <c r="AW173" t="n">
        <v>1.6</v>
      </c>
      <c r="AX173" t="n">
        <v>22.5</v>
      </c>
      <c r="AY173" t="n">
        <v>3.9</v>
      </c>
      <c r="AZ173" t="n">
        <v>91.90000000000001</v>
      </c>
      <c r="BA173" t="n">
        <v>71.3</v>
      </c>
      <c r="BB173" t="n">
        <v>97.40000000000001</v>
      </c>
      <c r="BC173" t="n">
        <v>97.7</v>
      </c>
      <c r="BD173" t="n">
        <v>2.6</v>
      </c>
      <c r="BE173" t="n">
        <v>2.3</v>
      </c>
      <c r="BF173" t="n">
        <v>100</v>
      </c>
      <c r="BG173" t="n">
        <v>1.6</v>
      </c>
      <c r="BH173" t="n">
        <v>22.5</v>
      </c>
      <c r="BI173" t="n">
        <v>3.9</v>
      </c>
      <c r="BJ173" t="n">
        <v>91.90000000000001</v>
      </c>
      <c r="BK173" t="n">
        <v>71.3</v>
      </c>
      <c r="BL173" t="n">
        <v>97.40000000000001</v>
      </c>
      <c r="BM173" t="n">
        <v>97.7</v>
      </c>
      <c r="BN173" t="n">
        <v>2.6</v>
      </c>
      <c r="BO173" t="n">
        <v>2.3</v>
      </c>
      <c r="BP173" t="n">
        <v>0</v>
      </c>
      <c r="BQ173" t="n">
        <v>0</v>
      </c>
      <c r="BR173" t="n">
        <v>0</v>
      </c>
      <c r="BS173" t="n">
        <v>0</v>
      </c>
      <c r="BT173" t="n">
        <v>0</v>
      </c>
      <c r="BU173" t="n">
        <v>0</v>
      </c>
      <c r="BV173" t="n">
        <v>0</v>
      </c>
      <c r="BW173" t="n">
        <v>0</v>
      </c>
      <c r="BX173" t="n">
        <v>0</v>
      </c>
      <c r="BY173" t="n">
        <v>0</v>
      </c>
      <c r="BZ173" t="n">
        <v>26</v>
      </c>
      <c r="CA173" t="n">
        <v>1</v>
      </c>
      <c r="CB173" t="n">
        <v>5</v>
      </c>
      <c r="CC173" t="n">
        <v>2</v>
      </c>
      <c r="CD173" t="n">
        <v>15</v>
      </c>
      <c r="CE173" t="n">
        <v>17</v>
      </c>
      <c r="CF173" t="n">
        <v>18</v>
      </c>
      <c r="CG173" t="n">
        <v>22</v>
      </c>
      <c r="CH173" t="n">
        <v>26</v>
      </c>
      <c r="CI173" t="n">
        <v>1</v>
      </c>
      <c r="CJ173" t="n">
        <v>5</v>
      </c>
      <c r="CK173" t="n">
        <v>2</v>
      </c>
      <c r="CL173" t="n">
        <v>15</v>
      </c>
      <c r="CM173" t="n">
        <v>17</v>
      </c>
      <c r="CN173" t="n">
        <v>18</v>
      </c>
      <c r="CO173" t="n">
        <v>22</v>
      </c>
      <c r="CP173" t="n">
        <v>0</v>
      </c>
      <c r="CQ173" t="n">
        <v>0</v>
      </c>
      <c r="CR173" t="n">
        <v>0</v>
      </c>
      <c r="CS173" t="n">
        <v>0</v>
      </c>
      <c r="CT173" t="n">
        <v>0</v>
      </c>
      <c r="CU173" t="n">
        <v>0</v>
      </c>
      <c r="CV173" t="n">
        <v>0</v>
      </c>
      <c r="CW173" t="n">
        <v>0</v>
      </c>
      <c r="CX173" t="n">
        <v>53.6</v>
      </c>
      <c r="CY173" t="n">
        <v>37.5</v>
      </c>
      <c r="CZ173" t="n">
        <v>81.40000000000001</v>
      </c>
      <c r="DA173" t="n">
        <v>63</v>
      </c>
      <c r="DB173" t="n">
        <v>52.2</v>
      </c>
      <c r="DC173" t="n">
        <v>28.4</v>
      </c>
      <c r="DD173" t="n">
        <v>68.59999999999999</v>
      </c>
      <c r="DE173" t="n">
        <v>48.1</v>
      </c>
      <c r="DF173" t="n">
        <v>53.6</v>
      </c>
      <c r="DG173" t="n">
        <v>37.5</v>
      </c>
      <c r="DH173" t="n">
        <v>81.40000000000001</v>
      </c>
      <c r="DI173" t="n">
        <v>63</v>
      </c>
      <c r="DJ173" t="n">
        <v>52.2</v>
      </c>
      <c r="DK173" t="n">
        <v>28.4</v>
      </c>
      <c r="DL173" t="n">
        <v>68.59999999999999</v>
      </c>
      <c r="DM173" t="n">
        <v>48.1</v>
      </c>
      <c r="DN173" t="n">
        <v>0</v>
      </c>
      <c r="DO173" t="n">
        <v>0</v>
      </c>
      <c r="DP173" t="n">
        <v>0</v>
      </c>
      <c r="DQ173" t="n">
        <v>0</v>
      </c>
      <c r="DR173" t="n">
        <v>0</v>
      </c>
      <c r="DS173" t="n">
        <v>0</v>
      </c>
      <c r="DT173" t="n">
        <v>0</v>
      </c>
      <c r="DU173" t="n">
        <v>0</v>
      </c>
      <c r="DV173" t="inlineStr">
        <is>
          <t>(100 CUBIC METERS)</t>
        </is>
      </c>
    </row>
    <row r="174">
      <c r="A174" t="inlineStr">
        <is>
          <t>ETHANOL T2 FOB INCL DUTY - NEW YORK MERCANTILE EXCHANGE</t>
        </is>
      </c>
      <c r="B174" t="n">
        <v>230103</v>
      </c>
      <c r="C174" s="1" t="n">
        <v>44929</v>
      </c>
      <c r="D174" t="inlineStr">
        <is>
          <t>025608</t>
        </is>
      </c>
      <c r="E174" t="inlineStr">
        <is>
          <t>NYME</t>
        </is>
      </c>
      <c r="F174" t="inlineStr">
        <is>
          <t>01</t>
        </is>
      </c>
      <c r="G174" t="inlineStr">
        <is>
          <t xml:space="preserve">025 </t>
        </is>
      </c>
      <c r="H174" t="n">
        <v>4812</v>
      </c>
      <c r="I174" s="17" t="n">
        <v>84</v>
      </c>
      <c r="J174" s="17" t="n">
        <v>1314</v>
      </c>
      <c r="K174" t="n">
        <v>65</v>
      </c>
      <c r="L174" t="n">
        <v>4539</v>
      </c>
      <c r="M174" t="n">
        <v>3325</v>
      </c>
      <c r="N174" t="n">
        <v>4688</v>
      </c>
      <c r="O174" t="n">
        <v>4704</v>
      </c>
      <c r="P174" t="n">
        <v>124</v>
      </c>
      <c r="Q174" t="n">
        <v>108</v>
      </c>
      <c r="R174" t="n">
        <v>4812</v>
      </c>
      <c r="S174" t="n">
        <v>84</v>
      </c>
      <c r="T174" t="n">
        <v>1314</v>
      </c>
      <c r="U174" t="n">
        <v>65</v>
      </c>
      <c r="V174" t="n">
        <v>4539</v>
      </c>
      <c r="W174" t="n">
        <v>3325</v>
      </c>
      <c r="X174" t="n">
        <v>4688</v>
      </c>
      <c r="Y174" t="n">
        <v>4704</v>
      </c>
      <c r="Z174" t="n">
        <v>124</v>
      </c>
      <c r="AA174" t="n">
        <v>108</v>
      </c>
      <c r="AB174" t="n">
        <v>0</v>
      </c>
      <c r="AC174" t="n">
        <v>0</v>
      </c>
      <c r="AD174" t="n">
        <v>0</v>
      </c>
      <c r="AE174" t="n">
        <v>0</v>
      </c>
      <c r="AF174" t="n">
        <v>0</v>
      </c>
      <c r="AG174" t="n">
        <v>0</v>
      </c>
      <c r="AH174" t="n">
        <v>0</v>
      </c>
      <c r="AI174" t="n">
        <v>0</v>
      </c>
      <c r="AJ174" t="n">
        <v>0</v>
      </c>
      <c r="AK174" t="n">
        <v>0</v>
      </c>
      <c r="AL174" t="n">
        <v>-1139</v>
      </c>
      <c r="AM174" t="n">
        <v>0</v>
      </c>
      <c r="AN174" t="n">
        <v>-448</v>
      </c>
      <c r="AO174" t="n">
        <v>-110</v>
      </c>
      <c r="AP174" t="n">
        <v>-1017</v>
      </c>
      <c r="AQ174" t="n">
        <v>-546</v>
      </c>
      <c r="AR174" t="n">
        <v>-1127</v>
      </c>
      <c r="AS174" t="n">
        <v>-1104</v>
      </c>
      <c r="AT174" t="n">
        <v>-12</v>
      </c>
      <c r="AU174" t="n">
        <v>-35</v>
      </c>
      <c r="AV174" t="n">
        <v>100</v>
      </c>
      <c r="AW174" t="n">
        <v>1.7</v>
      </c>
      <c r="AX174" t="n">
        <v>27.3</v>
      </c>
      <c r="AY174" t="n">
        <v>1.4</v>
      </c>
      <c r="AZ174" t="n">
        <v>94.3</v>
      </c>
      <c r="BA174" t="n">
        <v>69.09999999999999</v>
      </c>
      <c r="BB174" t="n">
        <v>97.40000000000001</v>
      </c>
      <c r="BC174" t="n">
        <v>97.8</v>
      </c>
      <c r="BD174" t="n">
        <v>2.6</v>
      </c>
      <c r="BE174" t="n">
        <v>2.2</v>
      </c>
      <c r="BF174" t="n">
        <v>100</v>
      </c>
      <c r="BG174" t="n">
        <v>1.7</v>
      </c>
      <c r="BH174" t="n">
        <v>27.3</v>
      </c>
      <c r="BI174" t="n">
        <v>1.4</v>
      </c>
      <c r="BJ174" t="n">
        <v>94.3</v>
      </c>
      <c r="BK174" t="n">
        <v>69.09999999999999</v>
      </c>
      <c r="BL174" t="n">
        <v>97.40000000000001</v>
      </c>
      <c r="BM174" t="n">
        <v>97.8</v>
      </c>
      <c r="BN174" t="n">
        <v>2.6</v>
      </c>
      <c r="BO174" t="n">
        <v>2.2</v>
      </c>
      <c r="BP174" t="n">
        <v>0</v>
      </c>
      <c r="BQ174" t="n">
        <v>0</v>
      </c>
      <c r="BR174" t="n">
        <v>0</v>
      </c>
      <c r="BS174" t="n">
        <v>0</v>
      </c>
      <c r="BT174" t="n">
        <v>0</v>
      </c>
      <c r="BU174" t="n">
        <v>0</v>
      </c>
      <c r="BV174" t="n">
        <v>0</v>
      </c>
      <c r="BW174" t="n">
        <v>0</v>
      </c>
      <c r="BX174" t="n">
        <v>0</v>
      </c>
      <c r="BY174" t="n">
        <v>0</v>
      </c>
      <c r="BZ174" t="n">
        <v>26</v>
      </c>
      <c r="CA174" t="n">
        <v>1</v>
      </c>
      <c r="CB174" t="n">
        <v>5</v>
      </c>
      <c r="CC174" t="n">
        <v>2</v>
      </c>
      <c r="CD174" t="n">
        <v>15</v>
      </c>
      <c r="CE174" t="n">
        <v>16</v>
      </c>
      <c r="CF174" t="n">
        <v>18</v>
      </c>
      <c r="CG174" t="n">
        <v>21</v>
      </c>
      <c r="CH174" t="n">
        <v>26</v>
      </c>
      <c r="CI174" t="n">
        <v>1</v>
      </c>
      <c r="CJ174" t="n">
        <v>5</v>
      </c>
      <c r="CK174" t="n">
        <v>2</v>
      </c>
      <c r="CL174" t="n">
        <v>15</v>
      </c>
      <c r="CM174" t="n">
        <v>16</v>
      </c>
      <c r="CN174" t="n">
        <v>18</v>
      </c>
      <c r="CO174" t="n">
        <v>21</v>
      </c>
      <c r="CP174" t="n">
        <v>0</v>
      </c>
      <c r="CQ174" t="n">
        <v>0</v>
      </c>
      <c r="CR174" t="n">
        <v>0</v>
      </c>
      <c r="CS174" t="n">
        <v>0</v>
      </c>
      <c r="CT174" t="n">
        <v>0</v>
      </c>
      <c r="CU174" t="n">
        <v>0</v>
      </c>
      <c r="CV174" t="n">
        <v>0</v>
      </c>
      <c r="CW174" t="n">
        <v>0</v>
      </c>
      <c r="CX174" t="n">
        <v>58.8</v>
      </c>
      <c r="CY174" t="n">
        <v>40.8</v>
      </c>
      <c r="CZ174" t="n">
        <v>86.2</v>
      </c>
      <c r="DA174" t="n">
        <v>64.7</v>
      </c>
      <c r="DB174" t="n">
        <v>58.4</v>
      </c>
      <c r="DC174" t="n">
        <v>36.3</v>
      </c>
      <c r="DD174" t="n">
        <v>74.40000000000001</v>
      </c>
      <c r="DE174" t="n">
        <v>54.6</v>
      </c>
      <c r="DF174" t="n">
        <v>58.8</v>
      </c>
      <c r="DG174" t="n">
        <v>40.8</v>
      </c>
      <c r="DH174" t="n">
        <v>86.2</v>
      </c>
      <c r="DI174" t="n">
        <v>64.7</v>
      </c>
      <c r="DJ174" t="n">
        <v>58.4</v>
      </c>
      <c r="DK174" t="n">
        <v>36.3</v>
      </c>
      <c r="DL174" t="n">
        <v>74.40000000000001</v>
      </c>
      <c r="DM174" t="n">
        <v>54.6</v>
      </c>
      <c r="DN174" t="n">
        <v>0</v>
      </c>
      <c r="DO174" t="n">
        <v>0</v>
      </c>
      <c r="DP174" t="n">
        <v>0</v>
      </c>
      <c r="DQ174" t="n">
        <v>0</v>
      </c>
      <c r="DR174" t="n">
        <v>0</v>
      </c>
      <c r="DS174" t="n">
        <v>0</v>
      </c>
      <c r="DT174" t="n">
        <v>0</v>
      </c>
      <c r="DU174" t="n">
        <v>0</v>
      </c>
      <c r="DV174" t="inlineStr">
        <is>
          <t>(100 CUBIC METERS)</t>
        </is>
      </c>
    </row>
    <row r="175">
      <c r="A175" t="inlineStr">
        <is>
          <t>ETHANOL - NEW YORK MERCANTILE EXCHANGE</t>
        </is>
      </c>
      <c r="B175" t="n">
        <v>230110</v>
      </c>
      <c r="C175" s="1" t="n">
        <v>44936</v>
      </c>
      <c r="D175" t="inlineStr">
        <is>
          <t>025651</t>
        </is>
      </c>
      <c r="E175" t="inlineStr">
        <is>
          <t>NYME</t>
        </is>
      </c>
      <c r="F175" t="inlineStr">
        <is>
          <t>01</t>
        </is>
      </c>
      <c r="G175" t="inlineStr">
        <is>
          <t xml:space="preserve">025 </t>
        </is>
      </c>
      <c r="H175" t="n">
        <v>19579</v>
      </c>
      <c r="I175" s="17" t="n">
        <v>2749</v>
      </c>
      <c r="J175" s="17" t="n">
        <v>865</v>
      </c>
      <c r="K175" t="n">
        <v>1922</v>
      </c>
      <c r="L175" t="n">
        <v>14306</v>
      </c>
      <c r="M175" t="n">
        <v>16408</v>
      </c>
      <c r="N175" t="n">
        <v>18977</v>
      </c>
      <c r="O175" t="n">
        <v>19195</v>
      </c>
      <c r="P175" t="n">
        <v>602</v>
      </c>
      <c r="Q175" t="n">
        <v>384</v>
      </c>
      <c r="R175" t="n">
        <v>19579</v>
      </c>
      <c r="S175" t="n">
        <v>2749</v>
      </c>
      <c r="T175" t="n">
        <v>865</v>
      </c>
      <c r="U175" t="n">
        <v>1922</v>
      </c>
      <c r="V175" t="n">
        <v>14306</v>
      </c>
      <c r="W175" t="n">
        <v>16408</v>
      </c>
      <c r="X175" t="n">
        <v>18977</v>
      </c>
      <c r="Y175" t="n">
        <v>19195</v>
      </c>
      <c r="Z175" t="n">
        <v>602</v>
      </c>
      <c r="AA175" t="n">
        <v>384</v>
      </c>
      <c r="AB175" t="n">
        <v>0</v>
      </c>
      <c r="AC175" t="n">
        <v>0</v>
      </c>
      <c r="AD175" t="n">
        <v>0</v>
      </c>
      <c r="AE175" t="n">
        <v>0</v>
      </c>
      <c r="AF175" t="n">
        <v>0</v>
      </c>
      <c r="AG175" t="n">
        <v>0</v>
      </c>
      <c r="AH175" t="n">
        <v>0</v>
      </c>
      <c r="AI175" t="n">
        <v>0</v>
      </c>
      <c r="AJ175" t="n">
        <v>0</v>
      </c>
      <c r="AK175" t="n">
        <v>0</v>
      </c>
      <c r="AL175" t="n">
        <v>2668</v>
      </c>
      <c r="AM175" t="n">
        <v>-127</v>
      </c>
      <c r="AN175" t="n">
        <v>115</v>
      </c>
      <c r="AO175" t="n">
        <v>401</v>
      </c>
      <c r="AP175" t="n">
        <v>2389</v>
      </c>
      <c r="AQ175" t="n">
        <v>2081</v>
      </c>
      <c r="AR175" t="n">
        <v>2663</v>
      </c>
      <c r="AS175" t="n">
        <v>2597</v>
      </c>
      <c r="AT175" t="n">
        <v>5</v>
      </c>
      <c r="AU175" t="n">
        <v>71</v>
      </c>
      <c r="AV175" t="n">
        <v>100</v>
      </c>
      <c r="AW175" t="n">
        <v>14</v>
      </c>
      <c r="AX175" t="n">
        <v>4.4</v>
      </c>
      <c r="AY175" t="n">
        <v>9.800000000000001</v>
      </c>
      <c r="AZ175" t="n">
        <v>73.09999999999999</v>
      </c>
      <c r="BA175" t="n">
        <v>83.8</v>
      </c>
      <c r="BB175" t="n">
        <v>96.90000000000001</v>
      </c>
      <c r="BC175" t="n">
        <v>98</v>
      </c>
      <c r="BD175" t="n">
        <v>3.1</v>
      </c>
      <c r="BE175" t="n">
        <v>2</v>
      </c>
      <c r="BF175" t="n">
        <v>100</v>
      </c>
      <c r="BG175" t="n">
        <v>14</v>
      </c>
      <c r="BH175" t="n">
        <v>4.4</v>
      </c>
      <c r="BI175" t="n">
        <v>9.800000000000001</v>
      </c>
      <c r="BJ175" t="n">
        <v>73.09999999999999</v>
      </c>
      <c r="BK175" t="n">
        <v>83.8</v>
      </c>
      <c r="BL175" t="n">
        <v>96.90000000000001</v>
      </c>
      <c r="BM175" t="n">
        <v>98</v>
      </c>
      <c r="BN175" t="n">
        <v>3.1</v>
      </c>
      <c r="BO175" t="n">
        <v>2</v>
      </c>
      <c r="BP175" t="n">
        <v>0</v>
      </c>
      <c r="BQ175" t="n">
        <v>0</v>
      </c>
      <c r="BR175" t="n">
        <v>0</v>
      </c>
      <c r="BS175" t="n">
        <v>0</v>
      </c>
      <c r="BT175" t="n">
        <v>0</v>
      </c>
      <c r="BU175" t="n">
        <v>0</v>
      </c>
      <c r="BV175" t="n">
        <v>0</v>
      </c>
      <c r="BW175" t="n">
        <v>0</v>
      </c>
      <c r="BX175" t="n">
        <v>0</v>
      </c>
      <c r="BY175" t="n">
        <v>0</v>
      </c>
      <c r="BZ175" t="n">
        <v>93</v>
      </c>
      <c r="CA175" t="n">
        <v>18</v>
      </c>
      <c r="CB175" t="n">
        <v>9</v>
      </c>
      <c r="CC175" t="n">
        <v>7</v>
      </c>
      <c r="CD175" t="n">
        <v>45</v>
      </c>
      <c r="CE175" t="n">
        <v>60</v>
      </c>
      <c r="CF175" t="n">
        <v>67</v>
      </c>
      <c r="CG175" t="n">
        <v>72</v>
      </c>
      <c r="CH175" t="n">
        <v>93</v>
      </c>
      <c r="CI175" t="n">
        <v>18</v>
      </c>
      <c r="CJ175" t="n">
        <v>9</v>
      </c>
      <c r="CK175" t="n">
        <v>7</v>
      </c>
      <c r="CL175" t="n">
        <v>45</v>
      </c>
      <c r="CM175" t="n">
        <v>60</v>
      </c>
      <c r="CN175" t="n">
        <v>67</v>
      </c>
      <c r="CO175" t="n">
        <v>72</v>
      </c>
      <c r="CP175" t="n">
        <v>0</v>
      </c>
      <c r="CQ175" t="n">
        <v>0</v>
      </c>
      <c r="CR175" t="n">
        <v>0</v>
      </c>
      <c r="CS175" t="n">
        <v>0</v>
      </c>
      <c r="CT175" t="n">
        <v>0</v>
      </c>
      <c r="CU175" t="n">
        <v>0</v>
      </c>
      <c r="CV175" t="n">
        <v>0</v>
      </c>
      <c r="CW175" t="n">
        <v>0</v>
      </c>
      <c r="CX175" t="n">
        <v>22</v>
      </c>
      <c r="CY175" t="n">
        <v>23.2</v>
      </c>
      <c r="CZ175" t="n">
        <v>40.2</v>
      </c>
      <c r="DA175" t="n">
        <v>39.9</v>
      </c>
      <c r="DB175" t="n">
        <v>13.3</v>
      </c>
      <c r="DC175" t="n">
        <v>14.2</v>
      </c>
      <c r="DD175" t="n">
        <v>20.3</v>
      </c>
      <c r="DE175" t="n">
        <v>22.2</v>
      </c>
      <c r="DF175" t="n">
        <v>22</v>
      </c>
      <c r="DG175" t="n">
        <v>23.2</v>
      </c>
      <c r="DH175" t="n">
        <v>40.2</v>
      </c>
      <c r="DI175" t="n">
        <v>39.9</v>
      </c>
      <c r="DJ175" t="n">
        <v>13.3</v>
      </c>
      <c r="DK175" t="n">
        <v>14.2</v>
      </c>
      <c r="DL175" t="n">
        <v>20.3</v>
      </c>
      <c r="DM175" t="n">
        <v>22.2</v>
      </c>
      <c r="DN175" t="n">
        <v>0</v>
      </c>
      <c r="DO175" t="n">
        <v>0</v>
      </c>
      <c r="DP175" t="n">
        <v>0</v>
      </c>
      <c r="DQ175" t="n">
        <v>0</v>
      </c>
      <c r="DR175" t="n">
        <v>0</v>
      </c>
      <c r="DS175" t="n">
        <v>0</v>
      </c>
      <c r="DT175" t="n">
        <v>0</v>
      </c>
      <c r="DU175" t="n">
        <v>0</v>
      </c>
      <c r="DV175" t="inlineStr">
        <is>
          <t>(CONTRACTS OF 42,000 U.S. GALLONS)</t>
        </is>
      </c>
    </row>
    <row r="176">
      <c r="A176" t="inlineStr">
        <is>
          <t>ETHANOL - NEW YORK MERCANTILE EXCHANGE</t>
        </is>
      </c>
      <c r="B176" t="n">
        <v>230103</v>
      </c>
      <c r="C176" s="1" t="n">
        <v>44929</v>
      </c>
      <c r="D176" t="inlineStr">
        <is>
          <t>025651</t>
        </is>
      </c>
      <c r="E176" t="inlineStr">
        <is>
          <t>NYME</t>
        </is>
      </c>
      <c r="F176" t="inlineStr">
        <is>
          <t>01</t>
        </is>
      </c>
      <c r="G176" t="inlineStr">
        <is>
          <t xml:space="preserve">025 </t>
        </is>
      </c>
      <c r="H176" t="n">
        <v>16911</v>
      </c>
      <c r="I176" s="17" t="n">
        <v>2876</v>
      </c>
      <c r="J176" s="17" t="n">
        <v>750</v>
      </c>
      <c r="K176" t="n">
        <v>1521</v>
      </c>
      <c r="L176" t="n">
        <v>11917</v>
      </c>
      <c r="M176" t="n">
        <v>14327</v>
      </c>
      <c r="N176" t="n">
        <v>16314</v>
      </c>
      <c r="O176" t="n">
        <v>16598</v>
      </c>
      <c r="P176" t="n">
        <v>597</v>
      </c>
      <c r="Q176" t="n">
        <v>313</v>
      </c>
      <c r="R176" t="n">
        <v>16911</v>
      </c>
      <c r="S176" t="n">
        <v>2876</v>
      </c>
      <c r="T176" t="n">
        <v>750</v>
      </c>
      <c r="U176" t="n">
        <v>1521</v>
      </c>
      <c r="V176" t="n">
        <v>11917</v>
      </c>
      <c r="W176" t="n">
        <v>14327</v>
      </c>
      <c r="X176" t="n">
        <v>16314</v>
      </c>
      <c r="Y176" t="n">
        <v>16598</v>
      </c>
      <c r="Z176" t="n">
        <v>597</v>
      </c>
      <c r="AA176" t="n">
        <v>313</v>
      </c>
      <c r="AB176" t="n">
        <v>0</v>
      </c>
      <c r="AC176" t="n">
        <v>0</v>
      </c>
      <c r="AD176" t="n">
        <v>0</v>
      </c>
      <c r="AE176" t="n">
        <v>0</v>
      </c>
      <c r="AF176" t="n">
        <v>0</v>
      </c>
      <c r="AG176" t="n">
        <v>0</v>
      </c>
      <c r="AH176" t="n">
        <v>0</v>
      </c>
      <c r="AI176" t="n">
        <v>0</v>
      </c>
      <c r="AJ176" t="n">
        <v>0</v>
      </c>
      <c r="AK176" t="n">
        <v>0</v>
      </c>
      <c r="AL176" t="n">
        <v>-4734</v>
      </c>
      <c r="AM176" t="n">
        <v>-508</v>
      </c>
      <c r="AN176" t="n">
        <v>148</v>
      </c>
      <c r="AO176" t="n">
        <v>79</v>
      </c>
      <c r="AP176" t="n">
        <v>-4307</v>
      </c>
      <c r="AQ176" t="n">
        <v>-5034</v>
      </c>
      <c r="AR176" t="n">
        <v>-4736</v>
      </c>
      <c r="AS176" t="n">
        <v>-4807</v>
      </c>
      <c r="AT176" t="n">
        <v>2</v>
      </c>
      <c r="AU176" t="n">
        <v>73</v>
      </c>
      <c r="AV176" t="n">
        <v>100</v>
      </c>
      <c r="AW176" t="n">
        <v>17</v>
      </c>
      <c r="AX176" t="n">
        <v>4.4</v>
      </c>
      <c r="AY176" t="n">
        <v>9</v>
      </c>
      <c r="AZ176" t="n">
        <v>70.5</v>
      </c>
      <c r="BA176" t="n">
        <v>84.7</v>
      </c>
      <c r="BB176" t="n">
        <v>96.5</v>
      </c>
      <c r="BC176" t="n">
        <v>98.09999999999999</v>
      </c>
      <c r="BD176" t="n">
        <v>3.5</v>
      </c>
      <c r="BE176" t="n">
        <v>1.9</v>
      </c>
      <c r="BF176" t="n">
        <v>100</v>
      </c>
      <c r="BG176" t="n">
        <v>17</v>
      </c>
      <c r="BH176" t="n">
        <v>4.4</v>
      </c>
      <c r="BI176" t="n">
        <v>9</v>
      </c>
      <c r="BJ176" t="n">
        <v>70.5</v>
      </c>
      <c r="BK176" t="n">
        <v>84.7</v>
      </c>
      <c r="BL176" t="n">
        <v>96.5</v>
      </c>
      <c r="BM176" t="n">
        <v>98.09999999999999</v>
      </c>
      <c r="BN176" t="n">
        <v>3.5</v>
      </c>
      <c r="BO176" t="n">
        <v>1.9</v>
      </c>
      <c r="BP176" t="n">
        <v>0</v>
      </c>
      <c r="BQ176" t="n">
        <v>0</v>
      </c>
      <c r="BR176" t="n">
        <v>0</v>
      </c>
      <c r="BS176" t="n">
        <v>0</v>
      </c>
      <c r="BT176" t="n">
        <v>0</v>
      </c>
      <c r="BU176" t="n">
        <v>0</v>
      </c>
      <c r="BV176" t="n">
        <v>0</v>
      </c>
      <c r="BW176" t="n">
        <v>0</v>
      </c>
      <c r="BX176" t="n">
        <v>0</v>
      </c>
      <c r="BY176" t="n">
        <v>0</v>
      </c>
      <c r="BZ176" t="n">
        <v>88</v>
      </c>
      <c r="CA176" t="n">
        <v>17</v>
      </c>
      <c r="CB176" t="n">
        <v>9</v>
      </c>
      <c r="CC176" t="n">
        <v>7</v>
      </c>
      <c r="CD176" t="n">
        <v>45</v>
      </c>
      <c r="CE176" t="n">
        <v>54</v>
      </c>
      <c r="CF176" t="n">
        <v>66</v>
      </c>
      <c r="CG176" t="n">
        <v>66</v>
      </c>
      <c r="CH176" t="n">
        <v>88</v>
      </c>
      <c r="CI176" t="n">
        <v>17</v>
      </c>
      <c r="CJ176" t="n">
        <v>9</v>
      </c>
      <c r="CK176" t="n">
        <v>7</v>
      </c>
      <c r="CL176" t="n">
        <v>45</v>
      </c>
      <c r="CM176" t="n">
        <v>54</v>
      </c>
      <c r="CN176" t="n">
        <v>66</v>
      </c>
      <c r="CO176" t="n">
        <v>66</v>
      </c>
      <c r="CP176" t="n">
        <v>0</v>
      </c>
      <c r="CQ176" t="n">
        <v>0</v>
      </c>
      <c r="CR176" t="n">
        <v>0</v>
      </c>
      <c r="CS176" t="n">
        <v>0</v>
      </c>
      <c r="CT176" t="n">
        <v>0</v>
      </c>
      <c r="CU176" t="n">
        <v>0</v>
      </c>
      <c r="CV176" t="n">
        <v>0</v>
      </c>
      <c r="CW176" t="n">
        <v>0</v>
      </c>
      <c r="CX176" t="n">
        <v>20.8</v>
      </c>
      <c r="CY176" t="n">
        <v>23.8</v>
      </c>
      <c r="CZ176" t="n">
        <v>36.2</v>
      </c>
      <c r="DA176" t="n">
        <v>40.1</v>
      </c>
      <c r="DB176" t="n">
        <v>15.4</v>
      </c>
      <c r="DC176" t="n">
        <v>15.7</v>
      </c>
      <c r="DD176" t="n">
        <v>23.7</v>
      </c>
      <c r="DE176" t="n">
        <v>23.9</v>
      </c>
      <c r="DF176" t="n">
        <v>20.8</v>
      </c>
      <c r="DG176" t="n">
        <v>23.8</v>
      </c>
      <c r="DH176" t="n">
        <v>36.2</v>
      </c>
      <c r="DI176" t="n">
        <v>40.1</v>
      </c>
      <c r="DJ176" t="n">
        <v>15.4</v>
      </c>
      <c r="DK176" t="n">
        <v>15.7</v>
      </c>
      <c r="DL176" t="n">
        <v>23.7</v>
      </c>
      <c r="DM176" t="n">
        <v>23.9</v>
      </c>
      <c r="DN176" t="n">
        <v>0</v>
      </c>
      <c r="DO176" t="n">
        <v>0</v>
      </c>
      <c r="DP176" t="n">
        <v>0</v>
      </c>
      <c r="DQ176" t="n">
        <v>0</v>
      </c>
      <c r="DR176" t="n">
        <v>0</v>
      </c>
      <c r="DS176" t="n">
        <v>0</v>
      </c>
      <c r="DT176" t="n">
        <v>0</v>
      </c>
      <c r="DU176" t="n">
        <v>0</v>
      </c>
      <c r="DV176" t="inlineStr">
        <is>
          <t>(CONTRACTS OF 42,000 U.S. GALLONS)</t>
        </is>
      </c>
    </row>
    <row r="177">
      <c r="A177" t="inlineStr">
        <is>
          <t>SOYBEAN MEAL - CHICAGO BOARD OF TRADE</t>
        </is>
      </c>
      <c r="B177" t="n">
        <v>230110</v>
      </c>
      <c r="C177" s="1" t="n">
        <v>44936</v>
      </c>
      <c r="D177" t="inlineStr">
        <is>
          <t>026603</t>
        </is>
      </c>
      <c r="E177" t="inlineStr">
        <is>
          <t xml:space="preserve">CBT </t>
        </is>
      </c>
      <c r="F177" t="inlineStr">
        <is>
          <t>00</t>
        </is>
      </c>
      <c r="G177" t="inlineStr">
        <is>
          <t xml:space="preserve">026 </t>
        </is>
      </c>
      <c r="H177" t="n">
        <v>408767</v>
      </c>
      <c r="I177" s="17" t="n">
        <v>171785</v>
      </c>
      <c r="J177" s="17" t="n">
        <v>14075</v>
      </c>
      <c r="K177" t="n">
        <v>58229</v>
      </c>
      <c r="L177" t="n">
        <v>130280</v>
      </c>
      <c r="M177" t="n">
        <v>310860</v>
      </c>
      <c r="N177" t="n">
        <v>360294</v>
      </c>
      <c r="O177" t="n">
        <v>383164</v>
      </c>
      <c r="P177" t="n">
        <v>48473</v>
      </c>
      <c r="Q177" t="n">
        <v>25603</v>
      </c>
      <c r="R177" t="n">
        <v>377726</v>
      </c>
      <c r="S177" t="n">
        <v>168701</v>
      </c>
      <c r="T177" t="n">
        <v>19976</v>
      </c>
      <c r="U177" t="n">
        <v>43705</v>
      </c>
      <c r="V177" t="n">
        <v>120742</v>
      </c>
      <c r="W177" t="n">
        <v>290789</v>
      </c>
      <c r="X177" t="n">
        <v>333148</v>
      </c>
      <c r="Y177" t="n">
        <v>354470</v>
      </c>
      <c r="Z177" t="n">
        <v>44578</v>
      </c>
      <c r="AA177" t="n">
        <v>23256</v>
      </c>
      <c r="AB177" t="n">
        <v>31041</v>
      </c>
      <c r="AC177" t="n">
        <v>11905</v>
      </c>
      <c r="AD177" t="n">
        <v>2920</v>
      </c>
      <c r="AE177" t="n">
        <v>5703</v>
      </c>
      <c r="AF177" t="n">
        <v>9538</v>
      </c>
      <c r="AG177" t="n">
        <v>20071</v>
      </c>
      <c r="AH177" t="n">
        <v>27146</v>
      </c>
      <c r="AI177" t="n">
        <v>28694</v>
      </c>
      <c r="AJ177" t="n">
        <v>3895</v>
      </c>
      <c r="AK177" t="n">
        <v>2347</v>
      </c>
      <c r="AL177" t="n">
        <v>4205</v>
      </c>
      <c r="AM177" t="n">
        <v>1567</v>
      </c>
      <c r="AN177" t="n">
        <v>425</v>
      </c>
      <c r="AO177" t="n">
        <v>7420</v>
      </c>
      <c r="AP177" t="n">
        <v>-11033</v>
      </c>
      <c r="AQ177" t="n">
        <v>-6423</v>
      </c>
      <c r="AR177" t="n">
        <v>-2046</v>
      </c>
      <c r="AS177" t="n">
        <v>1422</v>
      </c>
      <c r="AT177" t="n">
        <v>6251</v>
      </c>
      <c r="AU177" t="n">
        <v>2783</v>
      </c>
      <c r="AV177" t="n">
        <v>100</v>
      </c>
      <c r="AW177" t="n">
        <v>42</v>
      </c>
      <c r="AX177" t="n">
        <v>3.4</v>
      </c>
      <c r="AY177" t="n">
        <v>14.2</v>
      </c>
      <c r="AZ177" t="n">
        <v>31.9</v>
      </c>
      <c r="BA177" t="n">
        <v>76</v>
      </c>
      <c r="BB177" t="n">
        <v>88.09999999999999</v>
      </c>
      <c r="BC177" t="n">
        <v>93.7</v>
      </c>
      <c r="BD177" t="n">
        <v>11.9</v>
      </c>
      <c r="BE177" t="n">
        <v>6.3</v>
      </c>
      <c r="BF177" t="n">
        <v>100</v>
      </c>
      <c r="BG177" t="n">
        <v>44.7</v>
      </c>
      <c r="BH177" t="n">
        <v>5.3</v>
      </c>
      <c r="BI177" t="n">
        <v>11.6</v>
      </c>
      <c r="BJ177" t="n">
        <v>32</v>
      </c>
      <c r="BK177" t="n">
        <v>77</v>
      </c>
      <c r="BL177" t="n">
        <v>88.2</v>
      </c>
      <c r="BM177" t="n">
        <v>93.8</v>
      </c>
      <c r="BN177" t="n">
        <v>11.8</v>
      </c>
      <c r="BO177" t="n">
        <v>6.2</v>
      </c>
      <c r="BP177" t="n">
        <v>100</v>
      </c>
      <c r="BQ177" t="n">
        <v>38.4</v>
      </c>
      <c r="BR177" t="n">
        <v>9.4</v>
      </c>
      <c r="BS177" t="n">
        <v>18.4</v>
      </c>
      <c r="BT177" t="n">
        <v>30.7</v>
      </c>
      <c r="BU177" t="n">
        <v>64.7</v>
      </c>
      <c r="BV177" t="n">
        <v>87.5</v>
      </c>
      <c r="BW177" t="n">
        <v>92.40000000000001</v>
      </c>
      <c r="BX177" t="n">
        <v>12.5</v>
      </c>
      <c r="BY177" t="n">
        <v>7.6</v>
      </c>
      <c r="BZ177" t="n">
        <v>293</v>
      </c>
      <c r="CA177" t="n">
        <v>117</v>
      </c>
      <c r="CB177" t="n">
        <v>35</v>
      </c>
      <c r="CC177" t="n">
        <v>74</v>
      </c>
      <c r="CD177" t="n">
        <v>92</v>
      </c>
      <c r="CE177" t="n">
        <v>97</v>
      </c>
      <c r="CF177" t="n">
        <v>236</v>
      </c>
      <c r="CG177" t="n">
        <v>191</v>
      </c>
      <c r="CH177" t="n">
        <v>292</v>
      </c>
      <c r="CI177" t="n">
        <v>116</v>
      </c>
      <c r="CJ177" t="n">
        <v>38</v>
      </c>
      <c r="CK177" t="n">
        <v>72</v>
      </c>
      <c r="CL177" t="n">
        <v>89</v>
      </c>
      <c r="CM177" t="n">
        <v>96</v>
      </c>
      <c r="CN177" t="n">
        <v>230</v>
      </c>
      <c r="CO177" t="n">
        <v>190</v>
      </c>
      <c r="CP177" t="n">
        <v>108</v>
      </c>
      <c r="CQ177" t="n">
        <v>32</v>
      </c>
      <c r="CR177" t="n">
        <v>10</v>
      </c>
      <c r="CS177" t="n">
        <v>12</v>
      </c>
      <c r="CT177" t="n">
        <v>47</v>
      </c>
      <c r="CU177" t="n">
        <v>32</v>
      </c>
      <c r="CV177" t="n">
        <v>85</v>
      </c>
      <c r="CW177" t="n">
        <v>49</v>
      </c>
      <c r="CX177" t="n">
        <v>10.7</v>
      </c>
      <c r="CY177" t="n">
        <v>39.3</v>
      </c>
      <c r="CZ177" t="n">
        <v>19.6</v>
      </c>
      <c r="DA177" t="n">
        <v>49.5</v>
      </c>
      <c r="DB177" t="n">
        <v>10.4</v>
      </c>
      <c r="DC177" t="n">
        <v>38</v>
      </c>
      <c r="DD177" t="n">
        <v>18.5</v>
      </c>
      <c r="DE177" t="n">
        <v>47.6</v>
      </c>
      <c r="DF177" t="n">
        <v>11.4</v>
      </c>
      <c r="DG177" t="n">
        <v>39.8</v>
      </c>
      <c r="DH177" t="n">
        <v>20.9</v>
      </c>
      <c r="DI177" t="n">
        <v>49.9</v>
      </c>
      <c r="DJ177" t="n">
        <v>11</v>
      </c>
      <c r="DK177" t="n">
        <v>38.7</v>
      </c>
      <c r="DL177" t="n">
        <v>19.9</v>
      </c>
      <c r="DM177" t="n">
        <v>48.1</v>
      </c>
      <c r="DN177" t="n">
        <v>33.1</v>
      </c>
      <c r="DO177" t="n">
        <v>45.3</v>
      </c>
      <c r="DP177" t="n">
        <v>45</v>
      </c>
      <c r="DQ177" t="n">
        <v>64</v>
      </c>
      <c r="DR177" t="n">
        <v>23.1</v>
      </c>
      <c r="DS177" t="n">
        <v>40.5</v>
      </c>
      <c r="DT177" t="n">
        <v>31.4</v>
      </c>
      <c r="DU177" t="n">
        <v>52</v>
      </c>
      <c r="DV177" t="inlineStr">
        <is>
          <t>(CONTRACTS OF 100 TONS)</t>
        </is>
      </c>
    </row>
    <row r="178">
      <c r="A178" t="inlineStr">
        <is>
          <t>SOYBEAN MEAL - CHICAGO BOARD OF TRADE</t>
        </is>
      </c>
      <c r="B178" t="n">
        <v>230103</v>
      </c>
      <c r="C178" s="1" t="n">
        <v>44929</v>
      </c>
      <c r="D178" t="inlineStr">
        <is>
          <t>026603</t>
        </is>
      </c>
      <c r="E178" t="inlineStr">
        <is>
          <t xml:space="preserve">CBT </t>
        </is>
      </c>
      <c r="F178" t="inlineStr">
        <is>
          <t>00</t>
        </is>
      </c>
      <c r="G178" t="inlineStr">
        <is>
          <t xml:space="preserve">026 </t>
        </is>
      </c>
      <c r="H178" t="n">
        <v>404562</v>
      </c>
      <c r="I178" s="17" t="n">
        <v>170218</v>
      </c>
      <c r="J178" s="17" t="n">
        <v>13650</v>
      </c>
      <c r="K178" t="n">
        <v>50809</v>
      </c>
      <c r="L178" t="n">
        <v>141313</v>
      </c>
      <c r="M178" t="n">
        <v>317283</v>
      </c>
      <c r="N178" t="n">
        <v>362340</v>
      </c>
      <c r="O178" t="n">
        <v>381742</v>
      </c>
      <c r="P178" t="n">
        <v>42222</v>
      </c>
      <c r="Q178" t="n">
        <v>22820</v>
      </c>
      <c r="R178" t="n">
        <v>376574</v>
      </c>
      <c r="S178" t="n">
        <v>165722</v>
      </c>
      <c r="T178" t="n">
        <v>18151</v>
      </c>
      <c r="U178" t="n">
        <v>39207</v>
      </c>
      <c r="V178" t="n">
        <v>132562</v>
      </c>
      <c r="W178" t="n">
        <v>298420</v>
      </c>
      <c r="X178" t="n">
        <v>337491</v>
      </c>
      <c r="Y178" t="n">
        <v>355778</v>
      </c>
      <c r="Z178" t="n">
        <v>39083</v>
      </c>
      <c r="AA178" t="n">
        <v>20796</v>
      </c>
      <c r="AB178" t="n">
        <v>27988</v>
      </c>
      <c r="AC178" t="n">
        <v>11100</v>
      </c>
      <c r="AD178" t="n">
        <v>2103</v>
      </c>
      <c r="AE178" t="n">
        <v>4998</v>
      </c>
      <c r="AF178" t="n">
        <v>8751</v>
      </c>
      <c r="AG178" t="n">
        <v>18863</v>
      </c>
      <c r="AH178" t="n">
        <v>24849</v>
      </c>
      <c r="AI178" t="n">
        <v>25964</v>
      </c>
      <c r="AJ178" t="n">
        <v>3139</v>
      </c>
      <c r="AK178" t="n">
        <v>2024</v>
      </c>
      <c r="AL178" t="n">
        <v>2932</v>
      </c>
      <c r="AM178" t="n">
        <v>10922</v>
      </c>
      <c r="AN178" t="n">
        <v>1227</v>
      </c>
      <c r="AO178" t="n">
        <v>-1228</v>
      </c>
      <c r="AP178" t="n">
        <v>-3913</v>
      </c>
      <c r="AQ178" t="n">
        <v>6558</v>
      </c>
      <c r="AR178" t="n">
        <v>5781</v>
      </c>
      <c r="AS178" t="n">
        <v>6557</v>
      </c>
      <c r="AT178" t="n">
        <v>-2849</v>
      </c>
      <c r="AU178" t="n">
        <v>-3625</v>
      </c>
      <c r="AV178" t="n">
        <v>100</v>
      </c>
      <c r="AW178" t="n">
        <v>42.1</v>
      </c>
      <c r="AX178" t="n">
        <v>3.4</v>
      </c>
      <c r="AY178" t="n">
        <v>12.6</v>
      </c>
      <c r="AZ178" t="n">
        <v>34.9</v>
      </c>
      <c r="BA178" t="n">
        <v>78.40000000000001</v>
      </c>
      <c r="BB178" t="n">
        <v>89.59999999999999</v>
      </c>
      <c r="BC178" t="n">
        <v>94.40000000000001</v>
      </c>
      <c r="BD178" t="n">
        <v>10.4</v>
      </c>
      <c r="BE178" t="n">
        <v>5.6</v>
      </c>
      <c r="BF178" t="n">
        <v>100</v>
      </c>
      <c r="BG178" t="n">
        <v>44</v>
      </c>
      <c r="BH178" t="n">
        <v>4.8</v>
      </c>
      <c r="BI178" t="n">
        <v>10.4</v>
      </c>
      <c r="BJ178" t="n">
        <v>35.2</v>
      </c>
      <c r="BK178" t="n">
        <v>79.2</v>
      </c>
      <c r="BL178" t="n">
        <v>89.59999999999999</v>
      </c>
      <c r="BM178" t="n">
        <v>94.5</v>
      </c>
      <c r="BN178" t="n">
        <v>10.4</v>
      </c>
      <c r="BO178" t="n">
        <v>5.5</v>
      </c>
      <c r="BP178" t="n">
        <v>100</v>
      </c>
      <c r="BQ178" t="n">
        <v>39.7</v>
      </c>
      <c r="BR178" t="n">
        <v>7.5</v>
      </c>
      <c r="BS178" t="n">
        <v>17.9</v>
      </c>
      <c r="BT178" t="n">
        <v>31.3</v>
      </c>
      <c r="BU178" t="n">
        <v>67.40000000000001</v>
      </c>
      <c r="BV178" t="n">
        <v>88.8</v>
      </c>
      <c r="BW178" t="n">
        <v>92.8</v>
      </c>
      <c r="BX178" t="n">
        <v>11.2</v>
      </c>
      <c r="BY178" t="n">
        <v>7.2</v>
      </c>
      <c r="BZ178" t="n">
        <v>293</v>
      </c>
      <c r="CA178" t="n">
        <v>120</v>
      </c>
      <c r="CB178" t="n">
        <v>35</v>
      </c>
      <c r="CC178" t="n">
        <v>71</v>
      </c>
      <c r="CD178" t="n">
        <v>93</v>
      </c>
      <c r="CE178" t="n">
        <v>97</v>
      </c>
      <c r="CF178" t="n">
        <v>237</v>
      </c>
      <c r="CG178" t="n">
        <v>187</v>
      </c>
      <c r="CH178" t="n">
        <v>292</v>
      </c>
      <c r="CI178" t="n">
        <v>120</v>
      </c>
      <c r="CJ178" t="n">
        <v>38</v>
      </c>
      <c r="CK178" t="n">
        <v>69</v>
      </c>
      <c r="CL178" t="n">
        <v>92</v>
      </c>
      <c r="CM178" t="n">
        <v>95</v>
      </c>
      <c r="CN178" t="n">
        <v>234</v>
      </c>
      <c r="CO178" t="n">
        <v>184</v>
      </c>
      <c r="CP178" t="n">
        <v>108</v>
      </c>
      <c r="CQ178" t="n">
        <v>31</v>
      </c>
      <c r="CR178" t="n">
        <v>9</v>
      </c>
      <c r="CS178" t="n">
        <v>13</v>
      </c>
      <c r="CT178" t="n">
        <v>47</v>
      </c>
      <c r="CU178" t="n">
        <v>31</v>
      </c>
      <c r="CV178" t="n">
        <v>86</v>
      </c>
      <c r="CW178" t="n">
        <v>48</v>
      </c>
      <c r="CX178" t="n">
        <v>11.6</v>
      </c>
      <c r="CY178" t="n">
        <v>40.1</v>
      </c>
      <c r="CZ178" t="n">
        <v>20.3</v>
      </c>
      <c r="DA178" t="n">
        <v>50.7</v>
      </c>
      <c r="DB178" t="n">
        <v>10.9</v>
      </c>
      <c r="DC178" t="n">
        <v>38.1</v>
      </c>
      <c r="DD178" t="n">
        <v>19.1</v>
      </c>
      <c r="DE178" t="n">
        <v>48.2</v>
      </c>
      <c r="DF178" t="n">
        <v>12.2</v>
      </c>
      <c r="DG178" t="n">
        <v>40.5</v>
      </c>
      <c r="DH178" t="n">
        <v>21.6</v>
      </c>
      <c r="DI178" t="n">
        <v>50.7</v>
      </c>
      <c r="DJ178" t="n">
        <v>11.4</v>
      </c>
      <c r="DK178" t="n">
        <v>38.8</v>
      </c>
      <c r="DL178" t="n">
        <v>20.4</v>
      </c>
      <c r="DM178" t="n">
        <v>48.7</v>
      </c>
      <c r="DN178" t="n">
        <v>33.6</v>
      </c>
      <c r="DO178" t="n">
        <v>47.5</v>
      </c>
      <c r="DP178" t="n">
        <v>44.9</v>
      </c>
      <c r="DQ178" t="n">
        <v>65.90000000000001</v>
      </c>
      <c r="DR178" t="n">
        <v>22</v>
      </c>
      <c r="DS178" t="n">
        <v>40.4</v>
      </c>
      <c r="DT178" t="n">
        <v>31.4</v>
      </c>
      <c r="DU178" t="n">
        <v>50.5</v>
      </c>
      <c r="DV178" t="inlineStr">
        <is>
          <t>(CONTRACTS OF 100 TONS)</t>
        </is>
      </c>
    </row>
    <row r="179">
      <c r="A179" t="inlineStr">
        <is>
          <t>COTTON NO. 2 - ICE FUTURES U.S.</t>
        </is>
      </c>
      <c r="B179" t="n">
        <v>230110</v>
      </c>
      <c r="C179" s="1" t="n">
        <v>44936</v>
      </c>
      <c r="D179" t="inlineStr">
        <is>
          <t>033661</t>
        </is>
      </c>
      <c r="E179" t="inlineStr">
        <is>
          <t>ICUS</t>
        </is>
      </c>
      <c r="F179" t="inlineStr">
        <is>
          <t>01</t>
        </is>
      </c>
      <c r="G179" t="inlineStr">
        <is>
          <t xml:space="preserve">033 </t>
        </is>
      </c>
      <c r="H179" t="n">
        <v>201472</v>
      </c>
      <c r="I179" s="17" t="n">
        <v>58104</v>
      </c>
      <c r="J179" s="17" t="n">
        <v>40160</v>
      </c>
      <c r="K179" t="n">
        <v>30008</v>
      </c>
      <c r="L179" t="n">
        <v>99886</v>
      </c>
      <c r="M179" t="n">
        <v>119822</v>
      </c>
      <c r="N179" t="n">
        <v>187998</v>
      </c>
      <c r="O179" t="n">
        <v>189990</v>
      </c>
      <c r="P179" t="n">
        <v>13474</v>
      </c>
      <c r="Q179" t="n">
        <v>11482</v>
      </c>
      <c r="R179" t="n">
        <v>168215</v>
      </c>
      <c r="S179" t="n">
        <v>53628</v>
      </c>
      <c r="T179" t="n">
        <v>41336</v>
      </c>
      <c r="U179" t="n">
        <v>23361</v>
      </c>
      <c r="V179" t="n">
        <v>79975</v>
      </c>
      <c r="W179" t="n">
        <v>93211</v>
      </c>
      <c r="X179" t="n">
        <v>156964</v>
      </c>
      <c r="Y179" t="n">
        <v>157908</v>
      </c>
      <c r="Z179" t="n">
        <v>11251</v>
      </c>
      <c r="AA179" t="n">
        <v>10307</v>
      </c>
      <c r="AB179" t="n">
        <v>33257</v>
      </c>
      <c r="AC179" t="n">
        <v>10344</v>
      </c>
      <c r="AD179" t="n">
        <v>4692</v>
      </c>
      <c r="AE179" t="n">
        <v>779</v>
      </c>
      <c r="AF179" t="n">
        <v>19911</v>
      </c>
      <c r="AG179" t="n">
        <v>26611</v>
      </c>
      <c r="AH179" t="n">
        <v>31034</v>
      </c>
      <c r="AI179" t="n">
        <v>32082</v>
      </c>
      <c r="AJ179" t="n">
        <v>2223</v>
      </c>
      <c r="AK179" t="n">
        <v>1175</v>
      </c>
      <c r="AL179" t="n">
        <v>3548</v>
      </c>
      <c r="AM179" t="n">
        <v>-1074</v>
      </c>
      <c r="AN179" t="n">
        <v>-2559</v>
      </c>
      <c r="AO179" t="n">
        <v>3752</v>
      </c>
      <c r="AP179" t="n">
        <v>594</v>
      </c>
      <c r="AQ179" t="n">
        <v>2845</v>
      </c>
      <c r="AR179" t="n">
        <v>3272</v>
      </c>
      <c r="AS179" t="n">
        <v>4038</v>
      </c>
      <c r="AT179" t="n">
        <v>276</v>
      </c>
      <c r="AU179" t="n">
        <v>-490</v>
      </c>
      <c r="AV179" t="n">
        <v>100</v>
      </c>
      <c r="AW179" t="n">
        <v>28.8</v>
      </c>
      <c r="AX179" t="n">
        <v>19.9</v>
      </c>
      <c r="AY179" t="n">
        <v>14.9</v>
      </c>
      <c r="AZ179" t="n">
        <v>49.6</v>
      </c>
      <c r="BA179" t="n">
        <v>59.5</v>
      </c>
      <c r="BB179" t="n">
        <v>93.3</v>
      </c>
      <c r="BC179" t="n">
        <v>94.3</v>
      </c>
      <c r="BD179" t="n">
        <v>6.7</v>
      </c>
      <c r="BE179" t="n">
        <v>5.7</v>
      </c>
      <c r="BF179" t="n">
        <v>100</v>
      </c>
      <c r="BG179" t="n">
        <v>31.9</v>
      </c>
      <c r="BH179" t="n">
        <v>24.6</v>
      </c>
      <c r="BI179" t="n">
        <v>13.9</v>
      </c>
      <c r="BJ179" t="n">
        <v>47.5</v>
      </c>
      <c r="BK179" t="n">
        <v>55.4</v>
      </c>
      <c r="BL179" t="n">
        <v>93.3</v>
      </c>
      <c r="BM179" t="n">
        <v>93.90000000000001</v>
      </c>
      <c r="BN179" t="n">
        <v>6.7</v>
      </c>
      <c r="BO179" t="n">
        <v>6.1</v>
      </c>
      <c r="BP179" t="n">
        <v>100</v>
      </c>
      <c r="BQ179" t="n">
        <v>31.1</v>
      </c>
      <c r="BR179" t="n">
        <v>14.1</v>
      </c>
      <c r="BS179" t="n">
        <v>2.3</v>
      </c>
      <c r="BT179" t="n">
        <v>59.9</v>
      </c>
      <c r="BU179" t="n">
        <v>80</v>
      </c>
      <c r="BV179" t="n">
        <v>93.3</v>
      </c>
      <c r="BW179" t="n">
        <v>96.5</v>
      </c>
      <c r="BX179" t="n">
        <v>6.7</v>
      </c>
      <c r="BY179" t="n">
        <v>3.5</v>
      </c>
      <c r="BZ179" t="n">
        <v>263</v>
      </c>
      <c r="CA179" t="n">
        <v>107</v>
      </c>
      <c r="CB179" t="n">
        <v>57</v>
      </c>
      <c r="CC179" t="n">
        <v>89</v>
      </c>
      <c r="CD179" t="n">
        <v>69</v>
      </c>
      <c r="CE179" t="n">
        <v>65</v>
      </c>
      <c r="CF179" t="n">
        <v>215</v>
      </c>
      <c r="CG179" t="n">
        <v>184</v>
      </c>
      <c r="CH179" t="n">
        <v>256</v>
      </c>
      <c r="CI179" t="n">
        <v>106</v>
      </c>
      <c r="CJ179" t="n">
        <v>58</v>
      </c>
      <c r="CK179" t="n">
        <v>75</v>
      </c>
      <c r="CL179" t="n">
        <v>63</v>
      </c>
      <c r="CM179" t="n">
        <v>63</v>
      </c>
      <c r="CN179" t="n">
        <v>195</v>
      </c>
      <c r="CO179" t="n">
        <v>176</v>
      </c>
      <c r="CP179" t="n">
        <v>129</v>
      </c>
      <c r="CQ179" t="n">
        <v>48</v>
      </c>
      <c r="CR179" t="n">
        <v>19</v>
      </c>
      <c r="CS179" t="n">
        <v>11</v>
      </c>
      <c r="CT179" t="n">
        <v>48</v>
      </c>
      <c r="CU179" t="n">
        <v>36</v>
      </c>
      <c r="CV179" t="n">
        <v>103</v>
      </c>
      <c r="CW179" t="n">
        <v>60</v>
      </c>
      <c r="CX179" t="n">
        <v>17.6</v>
      </c>
      <c r="CY179" t="n">
        <v>21.8</v>
      </c>
      <c r="CZ179" t="n">
        <v>25.2</v>
      </c>
      <c r="DA179" t="n">
        <v>32</v>
      </c>
      <c r="DB179" t="n">
        <v>8.5</v>
      </c>
      <c r="DC179" t="n">
        <v>13</v>
      </c>
      <c r="DD179" t="n">
        <v>14.5</v>
      </c>
      <c r="DE179" t="n">
        <v>19.9</v>
      </c>
      <c r="DF179" t="n">
        <v>18.4</v>
      </c>
      <c r="DG179" t="n">
        <v>20.2</v>
      </c>
      <c r="DH179" t="n">
        <v>27.3</v>
      </c>
      <c r="DI179" t="n">
        <v>31.9</v>
      </c>
      <c r="DJ179" t="n">
        <v>8.6</v>
      </c>
      <c r="DK179" t="n">
        <v>14.5</v>
      </c>
      <c r="DL179" t="n">
        <v>15.9</v>
      </c>
      <c r="DM179" t="n">
        <v>23</v>
      </c>
      <c r="DN179" t="n">
        <v>27.4</v>
      </c>
      <c r="DO179" t="n">
        <v>37.2</v>
      </c>
      <c r="DP179" t="n">
        <v>40.6</v>
      </c>
      <c r="DQ179" t="n">
        <v>59</v>
      </c>
      <c r="DR179" t="n">
        <v>26.1</v>
      </c>
      <c r="DS179" t="n">
        <v>32.5</v>
      </c>
      <c r="DT179" t="n">
        <v>37.1</v>
      </c>
      <c r="DU179" t="n">
        <v>50.7</v>
      </c>
      <c r="DV179" t="inlineStr">
        <is>
          <t>(CONTRACTS OF 50,000 POUNDS)</t>
        </is>
      </c>
    </row>
    <row r="180">
      <c r="A180" t="inlineStr">
        <is>
          <t>COTTON NO. 2 - ICE FUTURES U.S.</t>
        </is>
      </c>
      <c r="B180" t="n">
        <v>230103</v>
      </c>
      <c r="C180" s="1" t="n">
        <v>44929</v>
      </c>
      <c r="D180" t="inlineStr">
        <is>
          <t>033661</t>
        </is>
      </c>
      <c r="E180" t="inlineStr">
        <is>
          <t>ICUS</t>
        </is>
      </c>
      <c r="F180" t="inlineStr">
        <is>
          <t>01</t>
        </is>
      </c>
      <c r="G180" t="inlineStr">
        <is>
          <t xml:space="preserve">033 </t>
        </is>
      </c>
      <c r="H180" t="n">
        <v>197924</v>
      </c>
      <c r="I180" s="17" t="n">
        <v>59178</v>
      </c>
      <c r="J180" s="17" t="n">
        <v>42719</v>
      </c>
      <c r="K180" t="n">
        <v>26256</v>
      </c>
      <c r="L180" t="n">
        <v>99292</v>
      </c>
      <c r="M180" t="n">
        <v>116977</v>
      </c>
      <c r="N180" t="n">
        <v>184726</v>
      </c>
      <c r="O180" t="n">
        <v>185952</v>
      </c>
      <c r="P180" t="n">
        <v>13198</v>
      </c>
      <c r="Q180" t="n">
        <v>11972</v>
      </c>
      <c r="R180" t="n">
        <v>165936</v>
      </c>
      <c r="S180" t="n">
        <v>54529</v>
      </c>
      <c r="T180" t="n">
        <v>44072</v>
      </c>
      <c r="U180" t="n">
        <v>20108</v>
      </c>
      <c r="V180" t="n">
        <v>80478</v>
      </c>
      <c r="W180" t="n">
        <v>90765</v>
      </c>
      <c r="X180" t="n">
        <v>155115</v>
      </c>
      <c r="Y180" t="n">
        <v>154945</v>
      </c>
      <c r="Z180" t="n">
        <v>10821</v>
      </c>
      <c r="AA180" t="n">
        <v>10991</v>
      </c>
      <c r="AB180" t="n">
        <v>31988</v>
      </c>
      <c r="AC180" t="n">
        <v>10044</v>
      </c>
      <c r="AD180" t="n">
        <v>4042</v>
      </c>
      <c r="AE180" t="n">
        <v>753</v>
      </c>
      <c r="AF180" t="n">
        <v>18814</v>
      </c>
      <c r="AG180" t="n">
        <v>26212</v>
      </c>
      <c r="AH180" t="n">
        <v>29611</v>
      </c>
      <c r="AI180" t="n">
        <v>31007</v>
      </c>
      <c r="AJ180" t="n">
        <v>2377</v>
      </c>
      <c r="AK180" t="n">
        <v>981</v>
      </c>
      <c r="AL180" t="n">
        <v>6372</v>
      </c>
      <c r="AM180" t="n">
        <v>-428</v>
      </c>
      <c r="AN180" t="n">
        <v>2822</v>
      </c>
      <c r="AO180" t="n">
        <v>2381</v>
      </c>
      <c r="AP180" t="n">
        <v>4461</v>
      </c>
      <c r="AQ180" t="n">
        <v>984</v>
      </c>
      <c r="AR180" t="n">
        <v>6414</v>
      </c>
      <c r="AS180" t="n">
        <v>6187</v>
      </c>
      <c r="AT180" t="n">
        <v>-42</v>
      </c>
      <c r="AU180" t="n">
        <v>185</v>
      </c>
      <c r="AV180" t="n">
        <v>100</v>
      </c>
      <c r="AW180" t="n">
        <v>29.9</v>
      </c>
      <c r="AX180" t="n">
        <v>21.6</v>
      </c>
      <c r="AY180" t="n">
        <v>13.3</v>
      </c>
      <c r="AZ180" t="n">
        <v>50.2</v>
      </c>
      <c r="BA180" t="n">
        <v>59.1</v>
      </c>
      <c r="BB180" t="n">
        <v>93.3</v>
      </c>
      <c r="BC180" t="n">
        <v>94</v>
      </c>
      <c r="BD180" t="n">
        <v>6.7</v>
      </c>
      <c r="BE180" t="n">
        <v>6</v>
      </c>
      <c r="BF180" t="n">
        <v>100</v>
      </c>
      <c r="BG180" t="n">
        <v>32.9</v>
      </c>
      <c r="BH180" t="n">
        <v>26.6</v>
      </c>
      <c r="BI180" t="n">
        <v>12.1</v>
      </c>
      <c r="BJ180" t="n">
        <v>48.5</v>
      </c>
      <c r="BK180" t="n">
        <v>54.7</v>
      </c>
      <c r="BL180" t="n">
        <v>93.5</v>
      </c>
      <c r="BM180" t="n">
        <v>93.40000000000001</v>
      </c>
      <c r="BN180" t="n">
        <v>6.5</v>
      </c>
      <c r="BO180" t="n">
        <v>6.6</v>
      </c>
      <c r="BP180" t="n">
        <v>100</v>
      </c>
      <c r="BQ180" t="n">
        <v>31.4</v>
      </c>
      <c r="BR180" t="n">
        <v>12.6</v>
      </c>
      <c r="BS180" t="n">
        <v>2.4</v>
      </c>
      <c r="BT180" t="n">
        <v>58.8</v>
      </c>
      <c r="BU180" t="n">
        <v>81.90000000000001</v>
      </c>
      <c r="BV180" t="n">
        <v>92.59999999999999</v>
      </c>
      <c r="BW180" t="n">
        <v>96.90000000000001</v>
      </c>
      <c r="BX180" t="n">
        <v>7.4</v>
      </c>
      <c r="BY180" t="n">
        <v>3.1</v>
      </c>
      <c r="BZ180" t="n">
        <v>260</v>
      </c>
      <c r="CA180" t="n">
        <v>107</v>
      </c>
      <c r="CB180" t="n">
        <v>61</v>
      </c>
      <c r="CC180" t="n">
        <v>81</v>
      </c>
      <c r="CD180" t="n">
        <v>65</v>
      </c>
      <c r="CE180" t="n">
        <v>66</v>
      </c>
      <c r="CF180" t="n">
        <v>203</v>
      </c>
      <c r="CG180" t="n">
        <v>185</v>
      </c>
      <c r="CH180" t="n">
        <v>254</v>
      </c>
      <c r="CI180" t="n">
        <v>102</v>
      </c>
      <c r="CJ180" t="n">
        <v>65</v>
      </c>
      <c r="CK180" t="n">
        <v>67</v>
      </c>
      <c r="CL180" t="n">
        <v>58</v>
      </c>
      <c r="CM180" t="n">
        <v>65</v>
      </c>
      <c r="CN180" t="n">
        <v>183</v>
      </c>
      <c r="CO180" t="n">
        <v>178</v>
      </c>
      <c r="CP180" t="n">
        <v>126</v>
      </c>
      <c r="CQ180" t="n">
        <v>46</v>
      </c>
      <c r="CR180" t="n">
        <v>22</v>
      </c>
      <c r="CS180" t="n">
        <v>12</v>
      </c>
      <c r="CT180" t="n">
        <v>44</v>
      </c>
      <c r="CU180" t="n">
        <v>35</v>
      </c>
      <c r="CV180" t="n">
        <v>96</v>
      </c>
      <c r="CW180" t="n">
        <v>63</v>
      </c>
      <c r="CX180" t="n">
        <v>17.8</v>
      </c>
      <c r="CY180" t="n">
        <v>20.8</v>
      </c>
      <c r="CZ180" t="n">
        <v>25.5</v>
      </c>
      <c r="DA180" t="n">
        <v>31.1</v>
      </c>
      <c r="DB180" t="n">
        <v>9.6</v>
      </c>
      <c r="DC180" t="n">
        <v>13.2</v>
      </c>
      <c r="DD180" t="n">
        <v>16.1</v>
      </c>
      <c r="DE180" t="n">
        <v>20.6</v>
      </c>
      <c r="DF180" t="n">
        <v>18.7</v>
      </c>
      <c r="DG180" t="n">
        <v>19.1</v>
      </c>
      <c r="DH180" t="n">
        <v>27.5</v>
      </c>
      <c r="DI180" t="n">
        <v>30.9</v>
      </c>
      <c r="DJ180" t="n">
        <v>10.6</v>
      </c>
      <c r="DK180" t="n">
        <v>14.7</v>
      </c>
      <c r="DL180" t="n">
        <v>18</v>
      </c>
      <c r="DM180" t="n">
        <v>23.2</v>
      </c>
      <c r="DN180" t="n">
        <v>28.1</v>
      </c>
      <c r="DO180" t="n">
        <v>37.6</v>
      </c>
      <c r="DP180" t="n">
        <v>41.1</v>
      </c>
      <c r="DQ180" t="n">
        <v>58.9</v>
      </c>
      <c r="DR180" t="n">
        <v>26.8</v>
      </c>
      <c r="DS180" t="n">
        <v>33.6</v>
      </c>
      <c r="DT180" t="n">
        <v>37.1</v>
      </c>
      <c r="DU180" t="n">
        <v>51.5</v>
      </c>
      <c r="DV180" t="inlineStr">
        <is>
          <t>(CONTRACTS OF 50,000 POUNDS)</t>
        </is>
      </c>
    </row>
    <row r="181">
      <c r="A181" t="inlineStr">
        <is>
          <t>HENRY HUB - NEW YORK MERCANTILE EXCHANGE</t>
        </is>
      </c>
      <c r="B181" t="n">
        <v>230110</v>
      </c>
      <c r="C181" s="1" t="n">
        <v>44936</v>
      </c>
      <c r="D181" t="inlineStr">
        <is>
          <t>03565B</t>
        </is>
      </c>
      <c r="E181" t="inlineStr">
        <is>
          <t>NYME</t>
        </is>
      </c>
      <c r="F181" t="inlineStr">
        <is>
          <t>01</t>
        </is>
      </c>
      <c r="G181" t="inlineStr">
        <is>
          <t xml:space="preserve">023 </t>
        </is>
      </c>
      <c r="H181" t="n">
        <v>448198</v>
      </c>
      <c r="I181" s="17" t="n">
        <v>199540</v>
      </c>
      <c r="J181" s="17" t="n">
        <v>9252</v>
      </c>
      <c r="K181" t="n">
        <v>5388</v>
      </c>
      <c r="L181" t="n">
        <v>223502</v>
      </c>
      <c r="M181" t="n">
        <v>423000</v>
      </c>
      <c r="N181" t="n">
        <v>428430</v>
      </c>
      <c r="O181" t="n">
        <v>437640</v>
      </c>
      <c r="P181" t="n">
        <v>19768</v>
      </c>
      <c r="Q181" t="n">
        <v>10558</v>
      </c>
      <c r="R181" t="n">
        <v>448198</v>
      </c>
      <c r="S181" t="n">
        <v>199540</v>
      </c>
      <c r="T181" t="n">
        <v>9252</v>
      </c>
      <c r="U181" t="n">
        <v>5388</v>
      </c>
      <c r="V181" t="n">
        <v>223502</v>
      </c>
      <c r="W181" t="n">
        <v>423000</v>
      </c>
      <c r="X181" t="n">
        <v>428430</v>
      </c>
      <c r="Y181" t="n">
        <v>437640</v>
      </c>
      <c r="Z181" t="n">
        <v>19768</v>
      </c>
      <c r="AA181" t="n">
        <v>10558</v>
      </c>
      <c r="AB181" t="n">
        <v>0</v>
      </c>
      <c r="AC181" t="n">
        <v>0</v>
      </c>
      <c r="AD181" t="n">
        <v>0</v>
      </c>
      <c r="AE181" t="n">
        <v>0</v>
      </c>
      <c r="AF181" t="n">
        <v>0</v>
      </c>
      <c r="AG181" t="n">
        <v>0</v>
      </c>
      <c r="AH181" t="n">
        <v>0</v>
      </c>
      <c r="AI181" t="n">
        <v>0</v>
      </c>
      <c r="AJ181" t="n">
        <v>0</v>
      </c>
      <c r="AK181" t="n">
        <v>0</v>
      </c>
      <c r="AL181" t="n">
        <v>6203</v>
      </c>
      <c r="AM181" t="n">
        <v>6662</v>
      </c>
      <c r="AN181" t="n">
        <v>-1823</v>
      </c>
      <c r="AO181" t="n">
        <v>-32</v>
      </c>
      <c r="AP181" t="n">
        <v>-427</v>
      </c>
      <c r="AQ181" t="n">
        <v>7989</v>
      </c>
      <c r="AR181" t="n">
        <v>6203</v>
      </c>
      <c r="AS181" t="n">
        <v>6134</v>
      </c>
      <c r="AT181" t="n">
        <v>0</v>
      </c>
      <c r="AU181" t="n">
        <v>69</v>
      </c>
      <c r="AV181" t="n">
        <v>100</v>
      </c>
      <c r="AW181" t="n">
        <v>44.5</v>
      </c>
      <c r="AX181" t="n">
        <v>2.1</v>
      </c>
      <c r="AY181" t="n">
        <v>1.2</v>
      </c>
      <c r="AZ181" t="n">
        <v>49.9</v>
      </c>
      <c r="BA181" t="n">
        <v>94.40000000000001</v>
      </c>
      <c r="BB181" t="n">
        <v>95.59999999999999</v>
      </c>
      <c r="BC181" t="n">
        <v>97.59999999999999</v>
      </c>
      <c r="BD181" t="n">
        <v>4.4</v>
      </c>
      <c r="BE181" t="n">
        <v>2.4</v>
      </c>
      <c r="BF181" t="n">
        <v>100</v>
      </c>
      <c r="BG181" t="n">
        <v>44.5</v>
      </c>
      <c r="BH181" t="n">
        <v>2.1</v>
      </c>
      <c r="BI181" t="n">
        <v>1.2</v>
      </c>
      <c r="BJ181" t="n">
        <v>49.9</v>
      </c>
      <c r="BK181" t="n">
        <v>94.40000000000001</v>
      </c>
      <c r="BL181" t="n">
        <v>95.59999999999999</v>
      </c>
      <c r="BM181" t="n">
        <v>97.59999999999999</v>
      </c>
      <c r="BN181" t="n">
        <v>4.4</v>
      </c>
      <c r="BO181" t="n">
        <v>2.4</v>
      </c>
      <c r="BP181" t="n">
        <v>0</v>
      </c>
      <c r="BQ181" t="n">
        <v>0</v>
      </c>
      <c r="BR181" t="n">
        <v>0</v>
      </c>
      <c r="BS181" t="n">
        <v>0</v>
      </c>
      <c r="BT181" t="n">
        <v>0</v>
      </c>
      <c r="BU181" t="n">
        <v>0</v>
      </c>
      <c r="BV181" t="n">
        <v>0</v>
      </c>
      <c r="BW181" t="n">
        <v>0</v>
      </c>
      <c r="BX181" t="n">
        <v>0</v>
      </c>
      <c r="BY181" t="n">
        <v>0</v>
      </c>
      <c r="BZ181" t="n">
        <v>44</v>
      </c>
      <c r="CA181" t="n">
        <v>6</v>
      </c>
      <c r="CB181" t="n">
        <v>5</v>
      </c>
      <c r="CC181" t="n">
        <v>5</v>
      </c>
      <c r="CD181" t="n">
        <v>26</v>
      </c>
      <c r="CE181" t="n">
        <v>25</v>
      </c>
      <c r="CF181" t="n">
        <v>35</v>
      </c>
      <c r="CG181" t="n">
        <v>32</v>
      </c>
      <c r="CH181" t="n">
        <v>44</v>
      </c>
      <c r="CI181" t="n">
        <v>6</v>
      </c>
      <c r="CJ181" t="n">
        <v>5</v>
      </c>
      <c r="CK181" t="n">
        <v>5</v>
      </c>
      <c r="CL181" t="n">
        <v>26</v>
      </c>
      <c r="CM181" t="n">
        <v>25</v>
      </c>
      <c r="CN181" t="n">
        <v>35</v>
      </c>
      <c r="CO181" t="n">
        <v>32</v>
      </c>
      <c r="CP181" t="n">
        <v>0</v>
      </c>
      <c r="CQ181" t="n">
        <v>0</v>
      </c>
      <c r="CR181" t="n">
        <v>0</v>
      </c>
      <c r="CS181" t="n">
        <v>0</v>
      </c>
      <c r="CT181" t="n">
        <v>0</v>
      </c>
      <c r="CU181" t="n">
        <v>0</v>
      </c>
      <c r="CV181" t="n">
        <v>0</v>
      </c>
      <c r="CW181" t="n">
        <v>0</v>
      </c>
      <c r="CX181" t="n">
        <v>60.9</v>
      </c>
      <c r="CY181" t="n">
        <v>54.1</v>
      </c>
      <c r="CZ181" t="n">
        <v>75.3</v>
      </c>
      <c r="DA181" t="n">
        <v>73.7</v>
      </c>
      <c r="DB181" t="n">
        <v>55.6</v>
      </c>
      <c r="DC181" t="n">
        <v>50</v>
      </c>
      <c r="DD181" t="n">
        <v>66.2</v>
      </c>
      <c r="DE181" t="n">
        <v>63</v>
      </c>
      <c r="DF181" t="n">
        <v>60.9</v>
      </c>
      <c r="DG181" t="n">
        <v>54.1</v>
      </c>
      <c r="DH181" t="n">
        <v>75.3</v>
      </c>
      <c r="DI181" t="n">
        <v>73.7</v>
      </c>
      <c r="DJ181" t="n">
        <v>55.6</v>
      </c>
      <c r="DK181" t="n">
        <v>50</v>
      </c>
      <c r="DL181" t="n">
        <v>66.2</v>
      </c>
      <c r="DM181" t="n">
        <v>63</v>
      </c>
      <c r="DN181" t="n">
        <v>0</v>
      </c>
      <c r="DO181" t="n">
        <v>0</v>
      </c>
      <c r="DP181" t="n">
        <v>0</v>
      </c>
      <c r="DQ181" t="n">
        <v>0</v>
      </c>
      <c r="DR181" t="n">
        <v>0</v>
      </c>
      <c r="DS181" t="n">
        <v>0</v>
      </c>
      <c r="DT181" t="n">
        <v>0</v>
      </c>
      <c r="DU181" t="n">
        <v>0</v>
      </c>
      <c r="DV181" t="inlineStr">
        <is>
          <t>(Contracts of 2,500  MMBTU'S)</t>
        </is>
      </c>
    </row>
    <row r="182">
      <c r="A182" t="inlineStr">
        <is>
          <t>HENRY HUB - NEW YORK MERCANTILE EXCHANGE</t>
        </is>
      </c>
      <c r="B182" t="n">
        <v>230103</v>
      </c>
      <c r="C182" s="1" t="n">
        <v>44929</v>
      </c>
      <c r="D182" t="inlineStr">
        <is>
          <t>03565B</t>
        </is>
      </c>
      <c r="E182" t="inlineStr">
        <is>
          <t>NYME</t>
        </is>
      </c>
      <c r="F182" t="inlineStr">
        <is>
          <t>01</t>
        </is>
      </c>
      <c r="G182" t="inlineStr">
        <is>
          <t xml:space="preserve">023 </t>
        </is>
      </c>
      <c r="H182" t="n">
        <v>441995</v>
      </c>
      <c r="I182" s="17" t="n">
        <v>192878</v>
      </c>
      <c r="J182" s="17" t="n">
        <v>11075</v>
      </c>
      <c r="K182" t="n">
        <v>5420</v>
      </c>
      <c r="L182" t="n">
        <v>223929</v>
      </c>
      <c r="M182" t="n">
        <v>415011</v>
      </c>
      <c r="N182" t="n">
        <v>422227</v>
      </c>
      <c r="O182" t="n">
        <v>431506</v>
      </c>
      <c r="P182" t="n">
        <v>19768</v>
      </c>
      <c r="Q182" t="n">
        <v>10489</v>
      </c>
      <c r="R182" t="n">
        <v>441995</v>
      </c>
      <c r="S182" t="n">
        <v>192878</v>
      </c>
      <c r="T182" t="n">
        <v>11075</v>
      </c>
      <c r="U182" t="n">
        <v>5420</v>
      </c>
      <c r="V182" t="n">
        <v>223929</v>
      </c>
      <c r="W182" t="n">
        <v>415011</v>
      </c>
      <c r="X182" t="n">
        <v>422227</v>
      </c>
      <c r="Y182" t="n">
        <v>431506</v>
      </c>
      <c r="Z182" t="n">
        <v>19768</v>
      </c>
      <c r="AA182" t="n">
        <v>10489</v>
      </c>
      <c r="AB182" t="n">
        <v>0</v>
      </c>
      <c r="AC182" t="n">
        <v>0</v>
      </c>
      <c r="AD182" t="n">
        <v>0</v>
      </c>
      <c r="AE182" t="n">
        <v>0</v>
      </c>
      <c r="AF182" t="n">
        <v>0</v>
      </c>
      <c r="AG182" t="n">
        <v>0</v>
      </c>
      <c r="AH182" t="n">
        <v>0</v>
      </c>
      <c r="AI182" t="n">
        <v>0</v>
      </c>
      <c r="AJ182" t="n">
        <v>0</v>
      </c>
      <c r="AK182" t="n">
        <v>0</v>
      </c>
      <c r="AL182" t="n">
        <v>-19689</v>
      </c>
      <c r="AM182" t="n">
        <v>-10638</v>
      </c>
      <c r="AN182" t="n">
        <v>-956</v>
      </c>
      <c r="AO182" t="n">
        <v>-179</v>
      </c>
      <c r="AP182" t="n">
        <v>-7948</v>
      </c>
      <c r="AQ182" t="n">
        <v>-17841</v>
      </c>
      <c r="AR182" t="n">
        <v>-18765</v>
      </c>
      <c r="AS182" t="n">
        <v>-18976</v>
      </c>
      <c r="AT182" t="n">
        <v>-924</v>
      </c>
      <c r="AU182" t="n">
        <v>-713</v>
      </c>
      <c r="AV182" t="n">
        <v>100</v>
      </c>
      <c r="AW182" t="n">
        <v>43.6</v>
      </c>
      <c r="AX182" t="n">
        <v>2.5</v>
      </c>
      <c r="AY182" t="n">
        <v>1.2</v>
      </c>
      <c r="AZ182" t="n">
        <v>50.7</v>
      </c>
      <c r="BA182" t="n">
        <v>93.90000000000001</v>
      </c>
      <c r="BB182" t="n">
        <v>95.5</v>
      </c>
      <c r="BC182" t="n">
        <v>97.59999999999999</v>
      </c>
      <c r="BD182" t="n">
        <v>4.5</v>
      </c>
      <c r="BE182" t="n">
        <v>2.4</v>
      </c>
      <c r="BF182" t="n">
        <v>100</v>
      </c>
      <c r="BG182" t="n">
        <v>43.6</v>
      </c>
      <c r="BH182" t="n">
        <v>2.5</v>
      </c>
      <c r="BI182" t="n">
        <v>1.2</v>
      </c>
      <c r="BJ182" t="n">
        <v>50.7</v>
      </c>
      <c r="BK182" t="n">
        <v>93.90000000000001</v>
      </c>
      <c r="BL182" t="n">
        <v>95.5</v>
      </c>
      <c r="BM182" t="n">
        <v>97.59999999999999</v>
      </c>
      <c r="BN182" t="n">
        <v>4.5</v>
      </c>
      <c r="BO182" t="n">
        <v>2.4</v>
      </c>
      <c r="BP182" t="n">
        <v>0</v>
      </c>
      <c r="BQ182" t="n">
        <v>0</v>
      </c>
      <c r="BR182" t="n">
        <v>0</v>
      </c>
      <c r="BS182" t="n">
        <v>0</v>
      </c>
      <c r="BT182" t="n">
        <v>0</v>
      </c>
      <c r="BU182" t="n">
        <v>0</v>
      </c>
      <c r="BV182" t="n">
        <v>0</v>
      </c>
      <c r="BW182" t="n">
        <v>0</v>
      </c>
      <c r="BX182" t="n">
        <v>0</v>
      </c>
      <c r="BY182" t="n">
        <v>0</v>
      </c>
      <c r="BZ182" t="n">
        <v>44</v>
      </c>
      <c r="CA182" t="n">
        <v>5</v>
      </c>
      <c r="CB182" t="n">
        <v>6</v>
      </c>
      <c r="CC182" t="n">
        <v>5</v>
      </c>
      <c r="CD182" t="n">
        <v>26</v>
      </c>
      <c r="CE182" t="n">
        <v>25</v>
      </c>
      <c r="CF182" t="n">
        <v>35</v>
      </c>
      <c r="CG182" t="n">
        <v>32</v>
      </c>
      <c r="CH182" t="n">
        <v>44</v>
      </c>
      <c r="CI182" t="n">
        <v>5</v>
      </c>
      <c r="CJ182" t="n">
        <v>6</v>
      </c>
      <c r="CK182" t="n">
        <v>5</v>
      </c>
      <c r="CL182" t="n">
        <v>26</v>
      </c>
      <c r="CM182" t="n">
        <v>25</v>
      </c>
      <c r="CN182" t="n">
        <v>35</v>
      </c>
      <c r="CO182" t="n">
        <v>32</v>
      </c>
      <c r="CP182" t="n">
        <v>0</v>
      </c>
      <c r="CQ182" t="n">
        <v>0</v>
      </c>
      <c r="CR182" t="n">
        <v>0</v>
      </c>
      <c r="CS182" t="n">
        <v>0</v>
      </c>
      <c r="CT182" t="n">
        <v>0</v>
      </c>
      <c r="CU182" t="n">
        <v>0</v>
      </c>
      <c r="CV182" t="n">
        <v>0</v>
      </c>
      <c r="CW182" t="n">
        <v>0</v>
      </c>
      <c r="CX182" t="n">
        <v>60.4</v>
      </c>
      <c r="CY182" t="n">
        <v>53.4</v>
      </c>
      <c r="CZ182" t="n">
        <v>75.09999999999999</v>
      </c>
      <c r="DA182" t="n">
        <v>73</v>
      </c>
      <c r="DB182" t="n">
        <v>55.1</v>
      </c>
      <c r="DC182" t="n">
        <v>49.3</v>
      </c>
      <c r="DD182" t="n">
        <v>65.8</v>
      </c>
      <c r="DE182" t="n">
        <v>62.1</v>
      </c>
      <c r="DF182" t="n">
        <v>60.4</v>
      </c>
      <c r="DG182" t="n">
        <v>53.4</v>
      </c>
      <c r="DH182" t="n">
        <v>75.09999999999999</v>
      </c>
      <c r="DI182" t="n">
        <v>73</v>
      </c>
      <c r="DJ182" t="n">
        <v>55.1</v>
      </c>
      <c r="DK182" t="n">
        <v>49.3</v>
      </c>
      <c r="DL182" t="n">
        <v>65.8</v>
      </c>
      <c r="DM182" t="n">
        <v>62.1</v>
      </c>
      <c r="DN182" t="n">
        <v>0</v>
      </c>
      <c r="DO182" t="n">
        <v>0</v>
      </c>
      <c r="DP182" t="n">
        <v>0</v>
      </c>
      <c r="DQ182" t="n">
        <v>0</v>
      </c>
      <c r="DR182" t="n">
        <v>0</v>
      </c>
      <c r="DS182" t="n">
        <v>0</v>
      </c>
      <c r="DT182" t="n">
        <v>0</v>
      </c>
      <c r="DU182" t="n">
        <v>0</v>
      </c>
      <c r="DV182" t="inlineStr">
        <is>
          <t>(Contracts of 2,500  MMBTU'S)</t>
        </is>
      </c>
    </row>
    <row r="183">
      <c r="A183" t="inlineStr">
        <is>
          <t>HENRY HUB PENULTIMATE NAT GAS - NEW YORK MERCANTILE EXCHANGE</t>
        </is>
      </c>
      <c r="B183" t="n">
        <v>230110</v>
      </c>
      <c r="C183" s="1" t="n">
        <v>44936</v>
      </c>
      <c r="D183" t="inlineStr">
        <is>
          <t>03565C</t>
        </is>
      </c>
      <c r="E183" t="inlineStr">
        <is>
          <t>NYME</t>
        </is>
      </c>
      <c r="F183" t="inlineStr">
        <is>
          <t>01</t>
        </is>
      </c>
      <c r="G183" t="inlineStr">
        <is>
          <t xml:space="preserve">023 </t>
        </is>
      </c>
      <c r="H183" t="n">
        <v>171097</v>
      </c>
      <c r="I183" s="17" t="n">
        <v>5371</v>
      </c>
      <c r="J183" s="17" t="n">
        <v>48775</v>
      </c>
      <c r="K183" t="n">
        <v>8855</v>
      </c>
      <c r="L183" t="n">
        <v>147273</v>
      </c>
      <c r="M183" t="n">
        <v>101859</v>
      </c>
      <c r="N183" t="n">
        <v>161499</v>
      </c>
      <c r="O183" t="n">
        <v>159489</v>
      </c>
      <c r="P183" t="n">
        <v>9598</v>
      </c>
      <c r="Q183" t="n">
        <v>11608</v>
      </c>
      <c r="R183" t="n">
        <v>171097</v>
      </c>
      <c r="S183" t="n">
        <v>5371</v>
      </c>
      <c r="T183" t="n">
        <v>48775</v>
      </c>
      <c r="U183" t="n">
        <v>8855</v>
      </c>
      <c r="V183" t="n">
        <v>147273</v>
      </c>
      <c r="W183" t="n">
        <v>101859</v>
      </c>
      <c r="X183" t="n">
        <v>161499</v>
      </c>
      <c r="Y183" t="n">
        <v>159489</v>
      </c>
      <c r="Z183" t="n">
        <v>9598</v>
      </c>
      <c r="AA183" t="n">
        <v>11608</v>
      </c>
      <c r="AB183" t="n">
        <v>0</v>
      </c>
      <c r="AC183" t="n">
        <v>0</v>
      </c>
      <c r="AD183" t="n">
        <v>0</v>
      </c>
      <c r="AE183" t="n">
        <v>0</v>
      </c>
      <c r="AF183" t="n">
        <v>0</v>
      </c>
      <c r="AG183" t="n">
        <v>0</v>
      </c>
      <c r="AH183" t="n">
        <v>0</v>
      </c>
      <c r="AI183" t="n">
        <v>0</v>
      </c>
      <c r="AJ183" t="n">
        <v>0</v>
      </c>
      <c r="AK183" t="n">
        <v>0</v>
      </c>
      <c r="AL183" t="n">
        <v>1895</v>
      </c>
      <c r="AM183" t="n">
        <v>1270</v>
      </c>
      <c r="AN183" t="n">
        <v>669</v>
      </c>
      <c r="AO183" t="n">
        <v>-188</v>
      </c>
      <c r="AP183" t="n">
        <v>831</v>
      </c>
      <c r="AQ183" t="n">
        <v>952</v>
      </c>
      <c r="AR183" t="n">
        <v>1913</v>
      </c>
      <c r="AS183" t="n">
        <v>1433</v>
      </c>
      <c r="AT183" t="n">
        <v>-18</v>
      </c>
      <c r="AU183" t="n">
        <v>462</v>
      </c>
      <c r="AV183" t="n">
        <v>100</v>
      </c>
      <c r="AW183" t="n">
        <v>3.1</v>
      </c>
      <c r="AX183" t="n">
        <v>28.5</v>
      </c>
      <c r="AY183" t="n">
        <v>5.2</v>
      </c>
      <c r="AZ183" t="n">
        <v>86.09999999999999</v>
      </c>
      <c r="BA183" t="n">
        <v>59.5</v>
      </c>
      <c r="BB183" t="n">
        <v>94.40000000000001</v>
      </c>
      <c r="BC183" t="n">
        <v>93.2</v>
      </c>
      <c r="BD183" t="n">
        <v>5.6</v>
      </c>
      <c r="BE183" t="n">
        <v>6.8</v>
      </c>
      <c r="BF183" t="n">
        <v>100</v>
      </c>
      <c r="BG183" t="n">
        <v>3.1</v>
      </c>
      <c r="BH183" t="n">
        <v>28.5</v>
      </c>
      <c r="BI183" t="n">
        <v>5.2</v>
      </c>
      <c r="BJ183" t="n">
        <v>86.09999999999999</v>
      </c>
      <c r="BK183" t="n">
        <v>59.5</v>
      </c>
      <c r="BL183" t="n">
        <v>94.40000000000001</v>
      </c>
      <c r="BM183" t="n">
        <v>93.2</v>
      </c>
      <c r="BN183" t="n">
        <v>5.6</v>
      </c>
      <c r="BO183" t="n">
        <v>6.8</v>
      </c>
      <c r="BP183" t="n">
        <v>0</v>
      </c>
      <c r="BQ183" t="n">
        <v>0</v>
      </c>
      <c r="BR183" t="n">
        <v>0</v>
      </c>
      <c r="BS183" t="n">
        <v>0</v>
      </c>
      <c r="BT183" t="n">
        <v>0</v>
      </c>
      <c r="BU183" t="n">
        <v>0</v>
      </c>
      <c r="BV183" t="n">
        <v>0</v>
      </c>
      <c r="BW183" t="n">
        <v>0</v>
      </c>
      <c r="BX183" t="n">
        <v>0</v>
      </c>
      <c r="BY183" t="n">
        <v>0</v>
      </c>
      <c r="BZ183" t="n">
        <v>43</v>
      </c>
      <c r="CA183" t="n">
        <v>3</v>
      </c>
      <c r="CB183" t="n">
        <v>12</v>
      </c>
      <c r="CC183" t="n">
        <v>12</v>
      </c>
      <c r="CD183" t="n">
        <v>27</v>
      </c>
      <c r="CE183" t="n">
        <v>23</v>
      </c>
      <c r="CF183" t="n">
        <v>40</v>
      </c>
      <c r="CG183" t="n">
        <v>37</v>
      </c>
      <c r="CH183" t="n">
        <v>43</v>
      </c>
      <c r="CI183" t="n">
        <v>3</v>
      </c>
      <c r="CJ183" t="n">
        <v>12</v>
      </c>
      <c r="CK183" t="n">
        <v>12</v>
      </c>
      <c r="CL183" t="n">
        <v>27</v>
      </c>
      <c r="CM183" t="n">
        <v>23</v>
      </c>
      <c r="CN183" t="n">
        <v>40</v>
      </c>
      <c r="CO183" t="n">
        <v>37</v>
      </c>
      <c r="CP183" t="n">
        <v>0</v>
      </c>
      <c r="CQ183" t="n">
        <v>0</v>
      </c>
      <c r="CR183" t="n">
        <v>0</v>
      </c>
      <c r="CS183" t="n">
        <v>0</v>
      </c>
      <c r="CT183" t="n">
        <v>0</v>
      </c>
      <c r="CU183" t="n">
        <v>0</v>
      </c>
      <c r="CV183" t="n">
        <v>0</v>
      </c>
      <c r="CW183" t="n">
        <v>0</v>
      </c>
      <c r="CX183" t="n">
        <v>50.4</v>
      </c>
      <c r="CY183" t="n">
        <v>33.4</v>
      </c>
      <c r="CZ183" t="n">
        <v>66.7</v>
      </c>
      <c r="DA183" t="n">
        <v>53.1</v>
      </c>
      <c r="DB183" t="n">
        <v>40.4</v>
      </c>
      <c r="DC183" t="n">
        <v>27.4</v>
      </c>
      <c r="DD183" t="n">
        <v>53</v>
      </c>
      <c r="DE183" t="n">
        <v>41.4</v>
      </c>
      <c r="DF183" t="n">
        <v>50.4</v>
      </c>
      <c r="DG183" t="n">
        <v>33.4</v>
      </c>
      <c r="DH183" t="n">
        <v>66.7</v>
      </c>
      <c r="DI183" t="n">
        <v>53.1</v>
      </c>
      <c r="DJ183" t="n">
        <v>40.4</v>
      </c>
      <c r="DK183" t="n">
        <v>27.4</v>
      </c>
      <c r="DL183" t="n">
        <v>53</v>
      </c>
      <c r="DM183" t="n">
        <v>41.4</v>
      </c>
      <c r="DN183" t="n">
        <v>0</v>
      </c>
      <c r="DO183" t="n">
        <v>0</v>
      </c>
      <c r="DP183" t="n">
        <v>0</v>
      </c>
      <c r="DQ183" t="n">
        <v>0</v>
      </c>
      <c r="DR183" t="n">
        <v>0</v>
      </c>
      <c r="DS183" t="n">
        <v>0</v>
      </c>
      <c r="DT183" t="n">
        <v>0</v>
      </c>
      <c r="DU183" t="n">
        <v>0</v>
      </c>
      <c r="DV183" t="inlineStr">
        <is>
          <t>(Contracts of 2,500  MMBTU'S)</t>
        </is>
      </c>
    </row>
    <row r="184">
      <c r="A184" t="inlineStr">
        <is>
          <t>HENRY HUB PENULTIMATE NAT GAS - NEW YORK MERCANTILE EXCHANGE</t>
        </is>
      </c>
      <c r="B184" t="n">
        <v>230103</v>
      </c>
      <c r="C184" s="1" t="n">
        <v>44929</v>
      </c>
      <c r="D184" t="inlineStr">
        <is>
          <t>03565C</t>
        </is>
      </c>
      <c r="E184" t="inlineStr">
        <is>
          <t>NYME</t>
        </is>
      </c>
      <c r="F184" t="inlineStr">
        <is>
          <t>01</t>
        </is>
      </c>
      <c r="G184" t="inlineStr">
        <is>
          <t xml:space="preserve">023 </t>
        </is>
      </c>
      <c r="H184" t="n">
        <v>169202</v>
      </c>
      <c r="I184" s="17" t="n">
        <v>4101</v>
      </c>
      <c r="J184" s="17" t="n">
        <v>48106</v>
      </c>
      <c r="K184" t="n">
        <v>9043</v>
      </c>
      <c r="L184" t="n">
        <v>146442</v>
      </c>
      <c r="M184" t="n">
        <v>100907</v>
      </c>
      <c r="N184" t="n">
        <v>159586</v>
      </c>
      <c r="O184" t="n">
        <v>158056</v>
      </c>
      <c r="P184" t="n">
        <v>9616</v>
      </c>
      <c r="Q184" t="n">
        <v>11146</v>
      </c>
      <c r="R184" t="n">
        <v>169202</v>
      </c>
      <c r="S184" t="n">
        <v>4101</v>
      </c>
      <c r="T184" t="n">
        <v>48106</v>
      </c>
      <c r="U184" t="n">
        <v>9043</v>
      </c>
      <c r="V184" t="n">
        <v>146442</v>
      </c>
      <c r="W184" t="n">
        <v>100907</v>
      </c>
      <c r="X184" t="n">
        <v>159586</v>
      </c>
      <c r="Y184" t="n">
        <v>158056</v>
      </c>
      <c r="Z184" t="n">
        <v>9616</v>
      </c>
      <c r="AA184" t="n">
        <v>11146</v>
      </c>
      <c r="AB184" t="n">
        <v>0</v>
      </c>
      <c r="AC184" t="n">
        <v>0</v>
      </c>
      <c r="AD184" t="n">
        <v>0</v>
      </c>
      <c r="AE184" t="n">
        <v>0</v>
      </c>
      <c r="AF184" t="n">
        <v>0</v>
      </c>
      <c r="AG184" t="n">
        <v>0</v>
      </c>
      <c r="AH184" t="n">
        <v>0</v>
      </c>
      <c r="AI184" t="n">
        <v>0</v>
      </c>
      <c r="AJ184" t="n">
        <v>0</v>
      </c>
      <c r="AK184" t="n">
        <v>0</v>
      </c>
      <c r="AL184" t="n">
        <v>-16719</v>
      </c>
      <c r="AM184" t="n">
        <v>-4974</v>
      </c>
      <c r="AN184" t="n">
        <v>-2945</v>
      </c>
      <c r="AO184" t="n">
        <v>-5136</v>
      </c>
      <c r="AP184" t="n">
        <v>-8692</v>
      </c>
      <c r="AQ184" t="n">
        <v>-10698</v>
      </c>
      <c r="AR184" t="n">
        <v>-18802</v>
      </c>
      <c r="AS184" t="n">
        <v>-18779</v>
      </c>
      <c r="AT184" t="n">
        <v>2083</v>
      </c>
      <c r="AU184" t="n">
        <v>2060</v>
      </c>
      <c r="AV184" t="n">
        <v>100</v>
      </c>
      <c r="AW184" t="n">
        <v>2.4</v>
      </c>
      <c r="AX184" t="n">
        <v>28.4</v>
      </c>
      <c r="AY184" t="n">
        <v>5.3</v>
      </c>
      <c r="AZ184" t="n">
        <v>86.5</v>
      </c>
      <c r="BA184" t="n">
        <v>59.6</v>
      </c>
      <c r="BB184" t="n">
        <v>94.3</v>
      </c>
      <c r="BC184" t="n">
        <v>93.40000000000001</v>
      </c>
      <c r="BD184" t="n">
        <v>5.7</v>
      </c>
      <c r="BE184" t="n">
        <v>6.6</v>
      </c>
      <c r="BF184" t="n">
        <v>100</v>
      </c>
      <c r="BG184" t="n">
        <v>2.4</v>
      </c>
      <c r="BH184" t="n">
        <v>28.4</v>
      </c>
      <c r="BI184" t="n">
        <v>5.3</v>
      </c>
      <c r="BJ184" t="n">
        <v>86.5</v>
      </c>
      <c r="BK184" t="n">
        <v>59.6</v>
      </c>
      <c r="BL184" t="n">
        <v>94.3</v>
      </c>
      <c r="BM184" t="n">
        <v>93.40000000000001</v>
      </c>
      <c r="BN184" t="n">
        <v>5.7</v>
      </c>
      <c r="BO184" t="n">
        <v>6.6</v>
      </c>
      <c r="BP184" t="n">
        <v>0</v>
      </c>
      <c r="BQ184" t="n">
        <v>0</v>
      </c>
      <c r="BR184" t="n">
        <v>0</v>
      </c>
      <c r="BS184" t="n">
        <v>0</v>
      </c>
      <c r="BT184" t="n">
        <v>0</v>
      </c>
      <c r="BU184" t="n">
        <v>0</v>
      </c>
      <c r="BV184" t="n">
        <v>0</v>
      </c>
      <c r="BW184" t="n">
        <v>0</v>
      </c>
      <c r="BX184" t="n">
        <v>0</v>
      </c>
      <c r="BY184" t="n">
        <v>0</v>
      </c>
      <c r="BZ184" t="n">
        <v>41</v>
      </c>
      <c r="CA184" t="n">
        <v>1</v>
      </c>
      <c r="CB184" t="n">
        <v>12</v>
      </c>
      <c r="CC184" t="n">
        <v>11</v>
      </c>
      <c r="CD184" t="n">
        <v>27</v>
      </c>
      <c r="CE184" t="n">
        <v>23</v>
      </c>
      <c r="CF184" t="n">
        <v>38</v>
      </c>
      <c r="CG184" t="n">
        <v>36</v>
      </c>
      <c r="CH184" t="n">
        <v>41</v>
      </c>
      <c r="CI184" t="n">
        <v>1</v>
      </c>
      <c r="CJ184" t="n">
        <v>12</v>
      </c>
      <c r="CK184" t="n">
        <v>11</v>
      </c>
      <c r="CL184" t="n">
        <v>27</v>
      </c>
      <c r="CM184" t="n">
        <v>23</v>
      </c>
      <c r="CN184" t="n">
        <v>38</v>
      </c>
      <c r="CO184" t="n">
        <v>36</v>
      </c>
      <c r="CP184" t="n">
        <v>0</v>
      </c>
      <c r="CQ184" t="n">
        <v>0</v>
      </c>
      <c r="CR184" t="n">
        <v>0</v>
      </c>
      <c r="CS184" t="n">
        <v>0</v>
      </c>
      <c r="CT184" t="n">
        <v>0</v>
      </c>
      <c r="CU184" t="n">
        <v>0</v>
      </c>
      <c r="CV184" t="n">
        <v>0</v>
      </c>
      <c r="CW184" t="n">
        <v>0</v>
      </c>
      <c r="CX184" t="n">
        <v>50.8</v>
      </c>
      <c r="CY184" t="n">
        <v>33.9</v>
      </c>
      <c r="CZ184" t="n">
        <v>66.90000000000001</v>
      </c>
      <c r="DA184" t="n">
        <v>53.6</v>
      </c>
      <c r="DB184" t="n">
        <v>40.7</v>
      </c>
      <c r="DC184" t="n">
        <v>27.7</v>
      </c>
      <c r="DD184" t="n">
        <v>53.1</v>
      </c>
      <c r="DE184" t="n">
        <v>42</v>
      </c>
      <c r="DF184" t="n">
        <v>50.8</v>
      </c>
      <c r="DG184" t="n">
        <v>33.9</v>
      </c>
      <c r="DH184" t="n">
        <v>66.90000000000001</v>
      </c>
      <c r="DI184" t="n">
        <v>53.6</v>
      </c>
      <c r="DJ184" t="n">
        <v>40.7</v>
      </c>
      <c r="DK184" t="n">
        <v>27.7</v>
      </c>
      <c r="DL184" t="n">
        <v>53.1</v>
      </c>
      <c r="DM184" t="n">
        <v>42</v>
      </c>
      <c r="DN184" t="n">
        <v>0</v>
      </c>
      <c r="DO184" t="n">
        <v>0</v>
      </c>
      <c r="DP184" t="n">
        <v>0</v>
      </c>
      <c r="DQ184" t="n">
        <v>0</v>
      </c>
      <c r="DR184" t="n">
        <v>0</v>
      </c>
      <c r="DS184" t="n">
        <v>0</v>
      </c>
      <c r="DT184" t="n">
        <v>0</v>
      </c>
      <c r="DU184" t="n">
        <v>0</v>
      </c>
      <c r="DV184" t="inlineStr">
        <is>
          <t>(Contracts of 2,500  MMBTU'S)</t>
        </is>
      </c>
    </row>
    <row r="185">
      <c r="A185" t="inlineStr">
        <is>
          <t>USD Malaysian Crude Palm Oil C - CHICAGO MERCANTILE EXCHANGE</t>
        </is>
      </c>
      <c r="B185" t="n">
        <v>230110</v>
      </c>
      <c r="C185" s="1" t="n">
        <v>44936</v>
      </c>
      <c r="D185" t="inlineStr">
        <is>
          <t>037021</t>
        </is>
      </c>
      <c r="E185" t="inlineStr">
        <is>
          <t xml:space="preserve">CME </t>
        </is>
      </c>
      <c r="F185" t="inlineStr">
        <is>
          <t>00</t>
        </is>
      </c>
      <c r="G185" t="inlineStr">
        <is>
          <t xml:space="preserve">037 </t>
        </is>
      </c>
      <c r="H185" t="n">
        <v>42482</v>
      </c>
      <c r="I185" s="17" t="n">
        <v>4596</v>
      </c>
      <c r="J185" s="17" t="n">
        <v>8650</v>
      </c>
      <c r="K185" t="n">
        <v>1100</v>
      </c>
      <c r="L185" t="n">
        <v>36756</v>
      </c>
      <c r="M185" t="n">
        <v>32732</v>
      </c>
      <c r="N185" t="n">
        <v>42452</v>
      </c>
      <c r="O185" t="n">
        <v>42482</v>
      </c>
      <c r="P185" t="n">
        <v>30</v>
      </c>
      <c r="Q185" t="n">
        <v>0</v>
      </c>
      <c r="R185" t="n">
        <v>42482</v>
      </c>
      <c r="S185" t="n">
        <v>4596</v>
      </c>
      <c r="T185" t="n">
        <v>8650</v>
      </c>
      <c r="U185" t="n">
        <v>1100</v>
      </c>
      <c r="V185" t="n">
        <v>36756</v>
      </c>
      <c r="W185" t="n">
        <v>32732</v>
      </c>
      <c r="X185" t="n">
        <v>42452</v>
      </c>
      <c r="Y185" t="n">
        <v>42482</v>
      </c>
      <c r="Z185" t="n">
        <v>30</v>
      </c>
      <c r="AA185" t="n">
        <v>0</v>
      </c>
      <c r="AB185" t="n">
        <v>0</v>
      </c>
      <c r="AC185" t="n">
        <v>0</v>
      </c>
      <c r="AD185" t="n">
        <v>0</v>
      </c>
      <c r="AE185" t="n">
        <v>0</v>
      </c>
      <c r="AF185" t="n">
        <v>0</v>
      </c>
      <c r="AG185" t="n">
        <v>0</v>
      </c>
      <c r="AH185" t="n">
        <v>0</v>
      </c>
      <c r="AI185" t="n">
        <v>0</v>
      </c>
      <c r="AJ185" t="n">
        <v>0</v>
      </c>
      <c r="AK185" t="n">
        <v>0</v>
      </c>
      <c r="AL185" t="n">
        <v>1511</v>
      </c>
      <c r="AM185" t="n">
        <v>230</v>
      </c>
      <c r="AN185" t="n">
        <v>1100</v>
      </c>
      <c r="AO185" t="n">
        <v>-140</v>
      </c>
      <c r="AP185" t="n">
        <v>1401</v>
      </c>
      <c r="AQ185" t="n">
        <v>551</v>
      </c>
      <c r="AR185" t="n">
        <v>1491</v>
      </c>
      <c r="AS185" t="n">
        <v>1511</v>
      </c>
      <c r="AT185" t="n">
        <v>20</v>
      </c>
      <c r="AU185" t="n">
        <v>0</v>
      </c>
      <c r="AV185" t="n">
        <v>100</v>
      </c>
      <c r="AW185" t="n">
        <v>10.8</v>
      </c>
      <c r="AX185" t="n">
        <v>20.4</v>
      </c>
      <c r="AY185" t="n">
        <v>2.6</v>
      </c>
      <c r="AZ185" t="n">
        <v>86.5</v>
      </c>
      <c r="BA185" t="n">
        <v>77</v>
      </c>
      <c r="BB185" t="n">
        <v>99.90000000000001</v>
      </c>
      <c r="BC185" t="n">
        <v>100</v>
      </c>
      <c r="BD185" t="n">
        <v>0.1</v>
      </c>
      <c r="BE185" t="n">
        <v>0</v>
      </c>
      <c r="BF185" t="n">
        <v>100</v>
      </c>
      <c r="BG185" t="n">
        <v>10.8</v>
      </c>
      <c r="BH185" t="n">
        <v>20.4</v>
      </c>
      <c r="BI185" t="n">
        <v>2.6</v>
      </c>
      <c r="BJ185" t="n">
        <v>86.5</v>
      </c>
      <c r="BK185" t="n">
        <v>77</v>
      </c>
      <c r="BL185" t="n">
        <v>99.90000000000001</v>
      </c>
      <c r="BM185" t="n">
        <v>100</v>
      </c>
      <c r="BN185" t="n">
        <v>0.1</v>
      </c>
      <c r="BO185" t="n">
        <v>0</v>
      </c>
      <c r="BP185" t="n">
        <v>0</v>
      </c>
      <c r="BQ185" t="n">
        <v>0</v>
      </c>
      <c r="BR185" t="n">
        <v>0</v>
      </c>
      <c r="BS185" t="n">
        <v>0</v>
      </c>
      <c r="BT185" t="n">
        <v>0</v>
      </c>
      <c r="BU185" t="n">
        <v>0</v>
      </c>
      <c r="BV185" t="n">
        <v>0</v>
      </c>
      <c r="BW185" t="n">
        <v>0</v>
      </c>
      <c r="BX185" t="n">
        <v>0</v>
      </c>
      <c r="BY185" t="n">
        <v>0</v>
      </c>
      <c r="BZ185" t="n">
        <v>30</v>
      </c>
      <c r="CA185" t="n">
        <v>6</v>
      </c>
      <c r="CB185" t="n">
        <v>5</v>
      </c>
      <c r="CC185" t="n">
        <v>4</v>
      </c>
      <c r="CD185" t="n">
        <v>12</v>
      </c>
      <c r="CE185" t="n">
        <v>14</v>
      </c>
      <c r="CF185" t="n">
        <v>20</v>
      </c>
      <c r="CG185" t="n">
        <v>22</v>
      </c>
      <c r="CH185" t="n">
        <v>30</v>
      </c>
      <c r="CI185" t="n">
        <v>6</v>
      </c>
      <c r="CJ185" t="n">
        <v>5</v>
      </c>
      <c r="CK185" t="n">
        <v>4</v>
      </c>
      <c r="CL185" t="n">
        <v>12</v>
      </c>
      <c r="CM185" t="n">
        <v>14</v>
      </c>
      <c r="CN185" t="n">
        <v>20</v>
      </c>
      <c r="CO185" t="n">
        <v>22</v>
      </c>
      <c r="CP185" t="n">
        <v>0</v>
      </c>
      <c r="CQ185" t="n">
        <v>0</v>
      </c>
      <c r="CR185" t="n">
        <v>0</v>
      </c>
      <c r="CS185" t="n">
        <v>0</v>
      </c>
      <c r="CT185" t="n">
        <v>0</v>
      </c>
      <c r="CU185" t="n">
        <v>0</v>
      </c>
      <c r="CV185" t="n">
        <v>0</v>
      </c>
      <c r="CW185" t="n">
        <v>0</v>
      </c>
      <c r="CX185" t="n">
        <v>80.59999999999999</v>
      </c>
      <c r="CY185" t="n">
        <v>67.59999999999999</v>
      </c>
      <c r="CZ185" t="n">
        <v>93.8</v>
      </c>
      <c r="DA185" t="n">
        <v>89.5</v>
      </c>
      <c r="DB185" t="n">
        <v>77.2</v>
      </c>
      <c r="DC185" t="n">
        <v>64.40000000000001</v>
      </c>
      <c r="DD185" t="n">
        <v>84.7</v>
      </c>
      <c r="DE185" t="n">
        <v>82.8</v>
      </c>
      <c r="DF185" t="n">
        <v>80.59999999999999</v>
      </c>
      <c r="DG185" t="n">
        <v>67.59999999999999</v>
      </c>
      <c r="DH185" t="n">
        <v>93.8</v>
      </c>
      <c r="DI185" t="n">
        <v>89.5</v>
      </c>
      <c r="DJ185" t="n">
        <v>77.2</v>
      </c>
      <c r="DK185" t="n">
        <v>64.40000000000001</v>
      </c>
      <c r="DL185" t="n">
        <v>84.7</v>
      </c>
      <c r="DM185" t="n">
        <v>82.8</v>
      </c>
      <c r="DN185" t="n">
        <v>0</v>
      </c>
      <c r="DO185" t="n">
        <v>0</v>
      </c>
      <c r="DP185" t="n">
        <v>0</v>
      </c>
      <c r="DQ185" t="n">
        <v>0</v>
      </c>
      <c r="DR185" t="n">
        <v>0</v>
      </c>
      <c r="DS185" t="n">
        <v>0</v>
      </c>
      <c r="DT185" t="n">
        <v>0</v>
      </c>
      <c r="DU185" t="n">
        <v>0</v>
      </c>
      <c r="DV185" t="inlineStr">
        <is>
          <t>(CONTRACTS OF 25 METRIC TONS)</t>
        </is>
      </c>
    </row>
    <row r="186">
      <c r="A186" t="inlineStr">
        <is>
          <t>USD Malaysian Crude Palm Oil C - CHICAGO MERCANTILE EXCHANGE</t>
        </is>
      </c>
      <c r="B186" t="n">
        <v>230103</v>
      </c>
      <c r="C186" s="1" t="n">
        <v>44929</v>
      </c>
      <c r="D186" t="inlineStr">
        <is>
          <t>037021</t>
        </is>
      </c>
      <c r="E186" t="inlineStr">
        <is>
          <t xml:space="preserve">CME </t>
        </is>
      </c>
      <c r="F186" t="inlineStr">
        <is>
          <t>00</t>
        </is>
      </c>
      <c r="G186" t="inlineStr">
        <is>
          <t xml:space="preserve">037 </t>
        </is>
      </c>
      <c r="H186" t="n">
        <v>40971</v>
      </c>
      <c r="I186" s="17" t="n">
        <v>4366</v>
      </c>
      <c r="J186" s="17" t="n">
        <v>7550</v>
      </c>
      <c r="K186" t="n">
        <v>1240</v>
      </c>
      <c r="L186" t="n">
        <v>35355</v>
      </c>
      <c r="M186" t="n">
        <v>32181</v>
      </c>
      <c r="N186" t="n">
        <v>40961</v>
      </c>
      <c r="O186" t="n">
        <v>40971</v>
      </c>
      <c r="P186" t="n">
        <v>10</v>
      </c>
      <c r="Q186" t="n">
        <v>0</v>
      </c>
      <c r="R186" t="n">
        <v>40971</v>
      </c>
      <c r="S186" t="n">
        <v>4366</v>
      </c>
      <c r="T186" t="n">
        <v>7550</v>
      </c>
      <c r="U186" t="n">
        <v>1240</v>
      </c>
      <c r="V186" t="n">
        <v>35355</v>
      </c>
      <c r="W186" t="n">
        <v>32181</v>
      </c>
      <c r="X186" t="n">
        <v>40961</v>
      </c>
      <c r="Y186" t="n">
        <v>40971</v>
      </c>
      <c r="Z186" t="n">
        <v>10</v>
      </c>
      <c r="AA186" t="n">
        <v>0</v>
      </c>
      <c r="AB186" t="n">
        <v>0</v>
      </c>
      <c r="AC186" t="n">
        <v>0</v>
      </c>
      <c r="AD186" t="n">
        <v>0</v>
      </c>
      <c r="AE186" t="n">
        <v>0</v>
      </c>
      <c r="AF186" t="n">
        <v>0</v>
      </c>
      <c r="AG186" t="n">
        <v>0</v>
      </c>
      <c r="AH186" t="n">
        <v>0</v>
      </c>
      <c r="AI186" t="n">
        <v>0</v>
      </c>
      <c r="AJ186" t="n">
        <v>0</v>
      </c>
      <c r="AK186" t="n">
        <v>0</v>
      </c>
      <c r="AL186" t="n">
        <v>-4707</v>
      </c>
      <c r="AM186" t="n">
        <v>250</v>
      </c>
      <c r="AN186" t="n">
        <v>-948</v>
      </c>
      <c r="AO186" t="n">
        <v>-420</v>
      </c>
      <c r="AP186" t="n">
        <v>-4527</v>
      </c>
      <c r="AQ186" t="n">
        <v>-3339</v>
      </c>
      <c r="AR186" t="n">
        <v>-4697</v>
      </c>
      <c r="AS186" t="n">
        <v>-4707</v>
      </c>
      <c r="AT186" t="n">
        <v>-10</v>
      </c>
      <c r="AU186" t="n">
        <v>0</v>
      </c>
      <c r="AV186" t="n">
        <v>100</v>
      </c>
      <c r="AW186" t="n">
        <v>10.7</v>
      </c>
      <c r="AX186" t="n">
        <v>18.4</v>
      </c>
      <c r="AY186" t="n">
        <v>3</v>
      </c>
      <c r="AZ186" t="n">
        <v>86.3</v>
      </c>
      <c r="BA186" t="n">
        <v>78.5</v>
      </c>
      <c r="BB186" t="n">
        <v>100</v>
      </c>
      <c r="BC186" t="n">
        <v>100</v>
      </c>
      <c r="BD186" t="n">
        <v>0</v>
      </c>
      <c r="BE186" t="n">
        <v>0</v>
      </c>
      <c r="BF186" t="n">
        <v>100</v>
      </c>
      <c r="BG186" t="n">
        <v>10.7</v>
      </c>
      <c r="BH186" t="n">
        <v>18.4</v>
      </c>
      <c r="BI186" t="n">
        <v>3</v>
      </c>
      <c r="BJ186" t="n">
        <v>86.3</v>
      </c>
      <c r="BK186" t="n">
        <v>78.5</v>
      </c>
      <c r="BL186" t="n">
        <v>100</v>
      </c>
      <c r="BM186" t="n">
        <v>100</v>
      </c>
      <c r="BN186" t="n">
        <v>0</v>
      </c>
      <c r="BO186" t="n">
        <v>0</v>
      </c>
      <c r="BP186" t="n">
        <v>0</v>
      </c>
      <c r="BQ186" t="n">
        <v>0</v>
      </c>
      <c r="BR186" t="n">
        <v>0</v>
      </c>
      <c r="BS186" t="n">
        <v>0</v>
      </c>
      <c r="BT186" t="n">
        <v>0</v>
      </c>
      <c r="BU186" t="n">
        <v>0</v>
      </c>
      <c r="BV186" t="n">
        <v>0</v>
      </c>
      <c r="BW186" t="n">
        <v>0</v>
      </c>
      <c r="BX186" t="n">
        <v>0</v>
      </c>
      <c r="BY186" t="n">
        <v>0</v>
      </c>
      <c r="BZ186" t="n">
        <v>28</v>
      </c>
      <c r="CA186" t="n">
        <v>7</v>
      </c>
      <c r="CB186" t="n">
        <v>3</v>
      </c>
      <c r="CC186" t="n">
        <v>3</v>
      </c>
      <c r="CD186" t="n">
        <v>11</v>
      </c>
      <c r="CE186" t="n">
        <v>13</v>
      </c>
      <c r="CF186" t="n">
        <v>19</v>
      </c>
      <c r="CG186" t="n">
        <v>18</v>
      </c>
      <c r="CH186" t="n">
        <v>28</v>
      </c>
      <c r="CI186" t="n">
        <v>7</v>
      </c>
      <c r="CJ186" t="n">
        <v>3</v>
      </c>
      <c r="CK186" t="n">
        <v>3</v>
      </c>
      <c r="CL186" t="n">
        <v>11</v>
      </c>
      <c r="CM186" t="n">
        <v>13</v>
      </c>
      <c r="CN186" t="n">
        <v>19</v>
      </c>
      <c r="CO186" t="n">
        <v>18</v>
      </c>
      <c r="CP186" t="n">
        <v>0</v>
      </c>
      <c r="CQ186" t="n">
        <v>0</v>
      </c>
      <c r="CR186" t="n">
        <v>0</v>
      </c>
      <c r="CS186" t="n">
        <v>0</v>
      </c>
      <c r="CT186" t="n">
        <v>0</v>
      </c>
      <c r="CU186" t="n">
        <v>0</v>
      </c>
      <c r="CV186" t="n">
        <v>0</v>
      </c>
      <c r="CW186" t="n">
        <v>0</v>
      </c>
      <c r="CX186" t="n">
        <v>82.59999999999999</v>
      </c>
      <c r="CY186" t="n">
        <v>70.8</v>
      </c>
      <c r="CZ186" t="n">
        <v>94.7</v>
      </c>
      <c r="DA186" t="n">
        <v>93.09999999999999</v>
      </c>
      <c r="DB186" t="n">
        <v>77.90000000000001</v>
      </c>
      <c r="DC186" t="n">
        <v>66.40000000000001</v>
      </c>
      <c r="DD186" t="n">
        <v>85</v>
      </c>
      <c r="DE186" t="n">
        <v>85</v>
      </c>
      <c r="DF186" t="n">
        <v>82.59999999999999</v>
      </c>
      <c r="DG186" t="n">
        <v>70.8</v>
      </c>
      <c r="DH186" t="n">
        <v>94.7</v>
      </c>
      <c r="DI186" t="n">
        <v>93.09999999999999</v>
      </c>
      <c r="DJ186" t="n">
        <v>77.90000000000001</v>
      </c>
      <c r="DK186" t="n">
        <v>66.40000000000001</v>
      </c>
      <c r="DL186" t="n">
        <v>85</v>
      </c>
      <c r="DM186" t="n">
        <v>85</v>
      </c>
      <c r="DN186" t="n">
        <v>0</v>
      </c>
      <c r="DO186" t="n">
        <v>0</v>
      </c>
      <c r="DP186" t="n">
        <v>0</v>
      </c>
      <c r="DQ186" t="n">
        <v>0</v>
      </c>
      <c r="DR186" t="n">
        <v>0</v>
      </c>
      <c r="DS186" t="n">
        <v>0</v>
      </c>
      <c r="DT186" t="n">
        <v>0</v>
      </c>
      <c r="DU186" t="n">
        <v>0</v>
      </c>
      <c r="DV186" t="inlineStr">
        <is>
          <t>(CONTRACTS OF 25 METRIC TONS)</t>
        </is>
      </c>
    </row>
    <row r="187">
      <c r="A187" t="inlineStr">
        <is>
          <t>ROUGH RICE - CHICAGO BOARD OF TRADE</t>
        </is>
      </c>
      <c r="B187" t="n">
        <v>230110</v>
      </c>
      <c r="C187" s="1" t="n">
        <v>44936</v>
      </c>
      <c r="D187" t="inlineStr">
        <is>
          <t>039601</t>
        </is>
      </c>
      <c r="E187" t="inlineStr">
        <is>
          <t xml:space="preserve">CBT </t>
        </is>
      </c>
      <c r="F187" t="inlineStr">
        <is>
          <t>00</t>
        </is>
      </c>
      <c r="G187" t="inlineStr">
        <is>
          <t xml:space="preserve">039 </t>
        </is>
      </c>
      <c r="H187" t="n">
        <v>7486</v>
      </c>
      <c r="I187" s="17" t="n">
        <v>2111</v>
      </c>
      <c r="J187" s="17" t="n">
        <v>2119</v>
      </c>
      <c r="K187" t="n">
        <v>211</v>
      </c>
      <c r="L187" t="n">
        <v>3591</v>
      </c>
      <c r="M187" t="n">
        <v>4209</v>
      </c>
      <c r="N187" t="n">
        <v>5913</v>
      </c>
      <c r="O187" t="n">
        <v>6539</v>
      </c>
      <c r="P187" t="n">
        <v>1573</v>
      </c>
      <c r="Q187" t="n">
        <v>947</v>
      </c>
      <c r="R187" t="n">
        <v>6492</v>
      </c>
      <c r="S187" t="n">
        <v>2107</v>
      </c>
      <c r="T187" t="n">
        <v>2119</v>
      </c>
      <c r="U187" t="n">
        <v>211</v>
      </c>
      <c r="V187" t="n">
        <v>2676</v>
      </c>
      <c r="W187" t="n">
        <v>3236</v>
      </c>
      <c r="X187" t="n">
        <v>4994</v>
      </c>
      <c r="Y187" t="n">
        <v>5566</v>
      </c>
      <c r="Z187" t="n">
        <v>1498</v>
      </c>
      <c r="AA187" t="n">
        <v>926</v>
      </c>
      <c r="AB187" t="n">
        <v>994</v>
      </c>
      <c r="AC187" t="n">
        <v>4</v>
      </c>
      <c r="AD187" t="n">
        <v>0</v>
      </c>
      <c r="AE187" t="n">
        <v>0</v>
      </c>
      <c r="AF187" t="n">
        <v>915</v>
      </c>
      <c r="AG187" t="n">
        <v>973</v>
      </c>
      <c r="AH187" t="n">
        <v>919</v>
      </c>
      <c r="AI187" t="n">
        <v>973</v>
      </c>
      <c r="AJ187" t="n">
        <v>75</v>
      </c>
      <c r="AK187" t="n">
        <v>21</v>
      </c>
      <c r="AL187" t="n">
        <v>24</v>
      </c>
      <c r="AM187" t="n">
        <v>57</v>
      </c>
      <c r="AN187" t="n">
        <v>0</v>
      </c>
      <c r="AO187" t="n">
        <v>-24</v>
      </c>
      <c r="AP187" t="n">
        <v>-118</v>
      </c>
      <c r="AQ187" t="n">
        <v>-85</v>
      </c>
      <c r="AR187" t="n">
        <v>-85</v>
      </c>
      <c r="AS187" t="n">
        <v>-109</v>
      </c>
      <c r="AT187" t="n">
        <v>109</v>
      </c>
      <c r="AU187" t="n">
        <v>133</v>
      </c>
      <c r="AV187" t="n">
        <v>100</v>
      </c>
      <c r="AW187" t="n">
        <v>28.2</v>
      </c>
      <c r="AX187" t="n">
        <v>28.3</v>
      </c>
      <c r="AY187" t="n">
        <v>2.8</v>
      </c>
      <c r="AZ187" t="n">
        <v>48</v>
      </c>
      <c r="BA187" t="n">
        <v>56.2</v>
      </c>
      <c r="BB187" t="n">
        <v>79</v>
      </c>
      <c r="BC187" t="n">
        <v>87.3</v>
      </c>
      <c r="BD187" t="n">
        <v>21</v>
      </c>
      <c r="BE187" t="n">
        <v>12.7</v>
      </c>
      <c r="BF187" t="n">
        <v>100</v>
      </c>
      <c r="BG187" t="n">
        <v>32.5</v>
      </c>
      <c r="BH187" t="n">
        <v>32.6</v>
      </c>
      <c r="BI187" t="n">
        <v>3.3</v>
      </c>
      <c r="BJ187" t="n">
        <v>41.2</v>
      </c>
      <c r="BK187" t="n">
        <v>49.8</v>
      </c>
      <c r="BL187" t="n">
        <v>76.90000000000001</v>
      </c>
      <c r="BM187" t="n">
        <v>85.7</v>
      </c>
      <c r="BN187" t="n">
        <v>23.1</v>
      </c>
      <c r="BO187" t="n">
        <v>14.3</v>
      </c>
      <c r="BP187" t="n">
        <v>100</v>
      </c>
      <c r="BQ187" t="n">
        <v>0.4</v>
      </c>
      <c r="BR187" t="n">
        <v>0</v>
      </c>
      <c r="BS187" t="n">
        <v>0</v>
      </c>
      <c r="BT187" t="n">
        <v>92.09999999999999</v>
      </c>
      <c r="BU187" t="n">
        <v>97.90000000000001</v>
      </c>
      <c r="BV187" t="n">
        <v>92.5</v>
      </c>
      <c r="BW187" t="n">
        <v>97.90000000000001</v>
      </c>
      <c r="BX187" t="n">
        <v>7.5</v>
      </c>
      <c r="BY187" t="n">
        <v>2.1</v>
      </c>
      <c r="BZ187" t="n">
        <v>51</v>
      </c>
      <c r="CA187" t="n">
        <v>18</v>
      </c>
      <c r="CB187" t="n">
        <v>12</v>
      </c>
      <c r="CC187" t="n">
        <v>6</v>
      </c>
      <c r="CD187" t="n">
        <v>13</v>
      </c>
      <c r="CE187" t="n">
        <v>13</v>
      </c>
      <c r="CF187" t="n">
        <v>35</v>
      </c>
      <c r="CG187" t="n">
        <v>27</v>
      </c>
      <c r="CH187" t="n">
        <v>51</v>
      </c>
      <c r="CI187" t="n">
        <v>18</v>
      </c>
      <c r="CJ187" t="n">
        <v>12</v>
      </c>
      <c r="CK187" t="n">
        <v>6</v>
      </c>
      <c r="CL187" t="n">
        <v>11</v>
      </c>
      <c r="CM187" t="n">
        <v>13</v>
      </c>
      <c r="CN187" t="n">
        <v>33</v>
      </c>
      <c r="CO187" t="n">
        <v>27</v>
      </c>
      <c r="CP187" t="n">
        <v>13</v>
      </c>
      <c r="CQ187" t="n">
        <v>2</v>
      </c>
      <c r="CR187" t="n">
        <v>0</v>
      </c>
      <c r="CS187" t="n">
        <v>0</v>
      </c>
      <c r="CT187" t="n">
        <v>6</v>
      </c>
      <c r="CU187" t="n">
        <v>5</v>
      </c>
      <c r="CV187" t="n">
        <v>8</v>
      </c>
      <c r="CW187" t="n">
        <v>5</v>
      </c>
      <c r="CX187" t="n">
        <v>48.6</v>
      </c>
      <c r="CY187" t="n">
        <v>43.1</v>
      </c>
      <c r="CZ187" t="n">
        <v>58</v>
      </c>
      <c r="DA187" t="n">
        <v>57.3</v>
      </c>
      <c r="DB187" t="n">
        <v>48.6</v>
      </c>
      <c r="DC187" t="n">
        <v>41.1</v>
      </c>
      <c r="DD187" t="n">
        <v>58</v>
      </c>
      <c r="DE187" t="n">
        <v>55.2</v>
      </c>
      <c r="DF187" t="n">
        <v>43.2</v>
      </c>
      <c r="DG187" t="n">
        <v>40.4</v>
      </c>
      <c r="DH187" t="n">
        <v>53.2</v>
      </c>
      <c r="DI187" t="n">
        <v>54.9</v>
      </c>
      <c r="DJ187" t="n">
        <v>43.2</v>
      </c>
      <c r="DK187" t="n">
        <v>38.4</v>
      </c>
      <c r="DL187" t="n">
        <v>53.2</v>
      </c>
      <c r="DM187" t="n">
        <v>52.9</v>
      </c>
      <c r="DN187" t="n">
        <v>91.2</v>
      </c>
      <c r="DO187" t="n">
        <v>97.40000000000001</v>
      </c>
      <c r="DP187" t="n">
        <v>92.5</v>
      </c>
      <c r="DQ187" t="n">
        <v>97.90000000000001</v>
      </c>
      <c r="DR187" t="n">
        <v>91.2</v>
      </c>
      <c r="DS187" t="n">
        <v>97.40000000000001</v>
      </c>
      <c r="DT187" t="n">
        <v>92.5</v>
      </c>
      <c r="DU187" t="n">
        <v>97.90000000000001</v>
      </c>
      <c r="DV187" t="inlineStr">
        <is>
          <t>(CONTRACTS OF 200,000 POUNDS)</t>
        </is>
      </c>
    </row>
    <row r="188">
      <c r="A188" t="inlineStr">
        <is>
          <t>ROUGH RICE - CHICAGO BOARD OF TRADE</t>
        </is>
      </c>
      <c r="B188" t="n">
        <v>230103</v>
      </c>
      <c r="C188" s="1" t="n">
        <v>44929</v>
      </c>
      <c r="D188" t="inlineStr">
        <is>
          <t>039601</t>
        </is>
      </c>
      <c r="E188" t="inlineStr">
        <is>
          <t xml:space="preserve">CBT </t>
        </is>
      </c>
      <c r="F188" t="inlineStr">
        <is>
          <t>00</t>
        </is>
      </c>
      <c r="G188" t="inlineStr">
        <is>
          <t xml:space="preserve">039 </t>
        </is>
      </c>
      <c r="H188" t="n">
        <v>7462</v>
      </c>
      <c r="I188" s="17" t="n">
        <v>2054</v>
      </c>
      <c r="J188" s="17" t="n">
        <v>2119</v>
      </c>
      <c r="K188" t="n">
        <v>235</v>
      </c>
      <c r="L188" t="n">
        <v>3709</v>
      </c>
      <c r="M188" t="n">
        <v>4294</v>
      </c>
      <c r="N188" t="n">
        <v>5998</v>
      </c>
      <c r="O188" t="n">
        <v>6648</v>
      </c>
      <c r="P188" t="n">
        <v>1464</v>
      </c>
      <c r="Q188" t="n">
        <v>814</v>
      </c>
      <c r="R188" t="n">
        <v>6602</v>
      </c>
      <c r="S188" t="n">
        <v>2053</v>
      </c>
      <c r="T188" t="n">
        <v>2120</v>
      </c>
      <c r="U188" t="n">
        <v>234</v>
      </c>
      <c r="V188" t="n">
        <v>2895</v>
      </c>
      <c r="W188" t="n">
        <v>3444</v>
      </c>
      <c r="X188" t="n">
        <v>5182</v>
      </c>
      <c r="Y188" t="n">
        <v>5798</v>
      </c>
      <c r="Z188" t="n">
        <v>1420</v>
      </c>
      <c r="AA188" t="n">
        <v>804</v>
      </c>
      <c r="AB188" t="n">
        <v>860</v>
      </c>
      <c r="AC188" t="n">
        <v>2</v>
      </c>
      <c r="AD188" t="n">
        <v>0</v>
      </c>
      <c r="AE188" t="n">
        <v>0</v>
      </c>
      <c r="AF188" t="n">
        <v>814</v>
      </c>
      <c r="AG188" t="n">
        <v>850</v>
      </c>
      <c r="AH188" t="n">
        <v>816</v>
      </c>
      <c r="AI188" t="n">
        <v>850</v>
      </c>
      <c r="AJ188" t="n">
        <v>44</v>
      </c>
      <c r="AK188" t="n">
        <v>10</v>
      </c>
      <c r="AL188" t="n">
        <v>-282</v>
      </c>
      <c r="AM188" t="n">
        <v>529</v>
      </c>
      <c r="AN188" t="n">
        <v>-123</v>
      </c>
      <c r="AO188" t="n">
        <v>-34</v>
      </c>
      <c r="AP188" t="n">
        <v>-762</v>
      </c>
      <c r="AQ188" t="n">
        <v>154</v>
      </c>
      <c r="AR188" t="n">
        <v>-267</v>
      </c>
      <c r="AS188" t="n">
        <v>-3</v>
      </c>
      <c r="AT188" t="n">
        <v>-15</v>
      </c>
      <c r="AU188" t="n">
        <v>-279</v>
      </c>
      <c r="AV188" t="n">
        <v>100</v>
      </c>
      <c r="AW188" t="n">
        <v>27.5</v>
      </c>
      <c r="AX188" t="n">
        <v>28.4</v>
      </c>
      <c r="AY188" t="n">
        <v>3.1</v>
      </c>
      <c r="AZ188" t="n">
        <v>49.7</v>
      </c>
      <c r="BA188" t="n">
        <v>57.5</v>
      </c>
      <c r="BB188" t="n">
        <v>80.40000000000001</v>
      </c>
      <c r="BC188" t="n">
        <v>89.09999999999999</v>
      </c>
      <c r="BD188" t="n">
        <v>19.6</v>
      </c>
      <c r="BE188" t="n">
        <v>10.9</v>
      </c>
      <c r="BF188" t="n">
        <v>100</v>
      </c>
      <c r="BG188" t="n">
        <v>31.1</v>
      </c>
      <c r="BH188" t="n">
        <v>32.1</v>
      </c>
      <c r="BI188" t="n">
        <v>3.5</v>
      </c>
      <c r="BJ188" t="n">
        <v>43.9</v>
      </c>
      <c r="BK188" t="n">
        <v>52.2</v>
      </c>
      <c r="BL188" t="n">
        <v>78.5</v>
      </c>
      <c r="BM188" t="n">
        <v>87.8</v>
      </c>
      <c r="BN188" t="n">
        <v>21.5</v>
      </c>
      <c r="BO188" t="n">
        <v>12.2</v>
      </c>
      <c r="BP188" t="n">
        <v>100</v>
      </c>
      <c r="BQ188" t="n">
        <v>0.2</v>
      </c>
      <c r="BR188" t="n">
        <v>0</v>
      </c>
      <c r="BS188" t="n">
        <v>0</v>
      </c>
      <c r="BT188" t="n">
        <v>94.7</v>
      </c>
      <c r="BU188" t="n">
        <v>98.8</v>
      </c>
      <c r="BV188" t="n">
        <v>94.90000000000001</v>
      </c>
      <c r="BW188" t="n">
        <v>98.8</v>
      </c>
      <c r="BX188" t="n">
        <v>5.1</v>
      </c>
      <c r="BY188" t="n">
        <v>1.2</v>
      </c>
      <c r="BZ188" t="n">
        <v>54</v>
      </c>
      <c r="CA188" t="n">
        <v>16</v>
      </c>
      <c r="CB188" t="n">
        <v>15</v>
      </c>
      <c r="CC188" t="n">
        <v>5</v>
      </c>
      <c r="CD188" t="n">
        <v>12</v>
      </c>
      <c r="CE188" t="n">
        <v>17</v>
      </c>
      <c r="CF188" t="n">
        <v>33</v>
      </c>
      <c r="CG188" t="n">
        <v>32</v>
      </c>
      <c r="CH188" t="n">
        <v>54</v>
      </c>
      <c r="CI188" t="n">
        <v>16</v>
      </c>
      <c r="CJ188" t="n">
        <v>15</v>
      </c>
      <c r="CK188" t="n">
        <v>5</v>
      </c>
      <c r="CL188" t="n">
        <v>10</v>
      </c>
      <c r="CM188" t="n">
        <v>17</v>
      </c>
      <c r="CN188" t="n">
        <v>31</v>
      </c>
      <c r="CO188" t="n">
        <v>32</v>
      </c>
      <c r="CP188" t="n">
        <v>11</v>
      </c>
      <c r="CQ188" t="n">
        <v>2</v>
      </c>
      <c r="CR188" t="n">
        <v>0</v>
      </c>
      <c r="CS188" t="n">
        <v>0</v>
      </c>
      <c r="CT188" t="n">
        <v>6</v>
      </c>
      <c r="CU188" t="n">
        <v>3</v>
      </c>
      <c r="CV188" t="n">
        <v>8</v>
      </c>
      <c r="CW188" t="n">
        <v>3</v>
      </c>
      <c r="CX188" t="n">
        <v>47</v>
      </c>
      <c r="CY188" t="n">
        <v>42</v>
      </c>
      <c r="CZ188" t="n">
        <v>58.1</v>
      </c>
      <c r="DA188" t="n">
        <v>56</v>
      </c>
      <c r="DB188" t="n">
        <v>47</v>
      </c>
      <c r="DC188" t="n">
        <v>39.9</v>
      </c>
      <c r="DD188" t="n">
        <v>58.1</v>
      </c>
      <c r="DE188" t="n">
        <v>53.6</v>
      </c>
      <c r="DF188" t="n">
        <v>42.2</v>
      </c>
      <c r="DG188" t="n">
        <v>39.4</v>
      </c>
      <c r="DH188" t="n">
        <v>54</v>
      </c>
      <c r="DI188" t="n">
        <v>53.5</v>
      </c>
      <c r="DJ188" t="n">
        <v>42.2</v>
      </c>
      <c r="DK188" t="n">
        <v>37.2</v>
      </c>
      <c r="DL188" t="n">
        <v>54</v>
      </c>
      <c r="DM188" t="n">
        <v>51.2</v>
      </c>
      <c r="DN188" t="n">
        <v>93.7</v>
      </c>
      <c r="DO188" t="n">
        <v>98.8</v>
      </c>
      <c r="DP188" t="n">
        <v>94.90000000000001</v>
      </c>
      <c r="DQ188" t="n">
        <v>98.8</v>
      </c>
      <c r="DR188" t="n">
        <v>93.7</v>
      </c>
      <c r="DS188" t="n">
        <v>98.8</v>
      </c>
      <c r="DT188" t="n">
        <v>94.90000000000001</v>
      </c>
      <c r="DU188" t="n">
        <v>98.8</v>
      </c>
      <c r="DV188" t="inlineStr">
        <is>
          <t>(CONTRACTS OF 200,000 POUNDS)</t>
        </is>
      </c>
    </row>
    <row r="189">
      <c r="A189" t="inlineStr">
        <is>
          <t>FRZN CONCENTRATED ORANGE JUICE - ICE FUTURES U.S.</t>
        </is>
      </c>
      <c r="B189" t="n">
        <v>230110</v>
      </c>
      <c r="C189" s="1" t="n">
        <v>44936</v>
      </c>
      <c r="D189" t="inlineStr">
        <is>
          <t>040701</t>
        </is>
      </c>
      <c r="E189" t="inlineStr">
        <is>
          <t>ICUS</t>
        </is>
      </c>
      <c r="F189" t="inlineStr">
        <is>
          <t>01</t>
        </is>
      </c>
      <c r="G189" t="inlineStr">
        <is>
          <t xml:space="preserve">040 </t>
        </is>
      </c>
      <c r="H189" t="n">
        <v>11516</v>
      </c>
      <c r="I189" s="17" t="n">
        <v>6413</v>
      </c>
      <c r="J189" s="17" t="n">
        <v>1040</v>
      </c>
      <c r="K189" t="n">
        <v>295</v>
      </c>
      <c r="L189" t="n">
        <v>2602</v>
      </c>
      <c r="M189" t="n">
        <v>8828</v>
      </c>
      <c r="N189" t="n">
        <v>9310</v>
      </c>
      <c r="O189" t="n">
        <v>10163</v>
      </c>
      <c r="P189" t="n">
        <v>2206</v>
      </c>
      <c r="Q189" t="n">
        <v>1353</v>
      </c>
      <c r="R189" t="n">
        <v>11516</v>
      </c>
      <c r="S189" t="n">
        <v>6413</v>
      </c>
      <c r="T189" t="n">
        <v>1040</v>
      </c>
      <c r="U189" t="n">
        <v>295</v>
      </c>
      <c r="V189" t="n">
        <v>2602</v>
      </c>
      <c r="W189" t="n">
        <v>8828</v>
      </c>
      <c r="X189" t="n">
        <v>9310</v>
      </c>
      <c r="Y189" t="n">
        <v>10163</v>
      </c>
      <c r="Z189" t="n">
        <v>2206</v>
      </c>
      <c r="AA189" t="n">
        <v>1353</v>
      </c>
      <c r="AB189" t="n">
        <v>0</v>
      </c>
      <c r="AC189" t="n">
        <v>0</v>
      </c>
      <c r="AD189" t="n">
        <v>0</v>
      </c>
      <c r="AE189" t="n">
        <v>0</v>
      </c>
      <c r="AF189" t="n">
        <v>0</v>
      </c>
      <c r="AG189" t="n">
        <v>0</v>
      </c>
      <c r="AH189" t="n">
        <v>0</v>
      </c>
      <c r="AI189" t="n">
        <v>0</v>
      </c>
      <c r="AJ189" t="n">
        <v>0</v>
      </c>
      <c r="AK189" t="n">
        <v>0</v>
      </c>
      <c r="AL189" t="n">
        <v>490</v>
      </c>
      <c r="AM189" t="n">
        <v>250</v>
      </c>
      <c r="AN189" t="n">
        <v>31</v>
      </c>
      <c r="AO189" t="n">
        <v>159</v>
      </c>
      <c r="AP189" t="n">
        <v>18</v>
      </c>
      <c r="AQ189" t="n">
        <v>247</v>
      </c>
      <c r="AR189" t="n">
        <v>427</v>
      </c>
      <c r="AS189" t="n">
        <v>437</v>
      </c>
      <c r="AT189" t="n">
        <v>63</v>
      </c>
      <c r="AU189" t="n">
        <v>53</v>
      </c>
      <c r="AV189" t="n">
        <v>100</v>
      </c>
      <c r="AW189" t="n">
        <v>55.7</v>
      </c>
      <c r="AX189" t="n">
        <v>9</v>
      </c>
      <c r="AY189" t="n">
        <v>2.6</v>
      </c>
      <c r="AZ189" t="n">
        <v>22.6</v>
      </c>
      <c r="BA189" t="n">
        <v>76.7</v>
      </c>
      <c r="BB189" t="n">
        <v>80.8</v>
      </c>
      <c r="BC189" t="n">
        <v>88.3</v>
      </c>
      <c r="BD189" t="n">
        <v>19.2</v>
      </c>
      <c r="BE189" t="n">
        <v>11.7</v>
      </c>
      <c r="BF189" t="n">
        <v>100</v>
      </c>
      <c r="BG189" t="n">
        <v>55.7</v>
      </c>
      <c r="BH189" t="n">
        <v>9</v>
      </c>
      <c r="BI189" t="n">
        <v>2.6</v>
      </c>
      <c r="BJ189" t="n">
        <v>22.6</v>
      </c>
      <c r="BK189" t="n">
        <v>76.7</v>
      </c>
      <c r="BL189" t="n">
        <v>80.8</v>
      </c>
      <c r="BM189" t="n">
        <v>88.3</v>
      </c>
      <c r="BN189" t="n">
        <v>19.2</v>
      </c>
      <c r="BO189" t="n">
        <v>11.7</v>
      </c>
      <c r="BP189" t="n">
        <v>0</v>
      </c>
      <c r="BQ189" t="n">
        <v>0</v>
      </c>
      <c r="BR189" t="n">
        <v>0</v>
      </c>
      <c r="BS189" t="n">
        <v>0</v>
      </c>
      <c r="BT189" t="n">
        <v>0</v>
      </c>
      <c r="BU189" t="n">
        <v>0</v>
      </c>
      <c r="BV189" t="n">
        <v>0</v>
      </c>
      <c r="BW189" t="n">
        <v>0</v>
      </c>
      <c r="BX189" t="n">
        <v>0</v>
      </c>
      <c r="BY189" t="n">
        <v>0</v>
      </c>
      <c r="BZ189" t="n">
        <v>65</v>
      </c>
      <c r="CA189" t="n">
        <v>29</v>
      </c>
      <c r="CB189" t="n">
        <v>10</v>
      </c>
      <c r="CC189" t="n">
        <v>7</v>
      </c>
      <c r="CD189" t="n">
        <v>16</v>
      </c>
      <c r="CE189" t="n">
        <v>15</v>
      </c>
      <c r="CF189" t="n">
        <v>50</v>
      </c>
      <c r="CG189" t="n">
        <v>29</v>
      </c>
      <c r="CH189" t="n">
        <v>65</v>
      </c>
      <c r="CI189" t="n">
        <v>29</v>
      </c>
      <c r="CJ189" t="n">
        <v>10</v>
      </c>
      <c r="CK189" t="n">
        <v>7</v>
      </c>
      <c r="CL189" t="n">
        <v>16</v>
      </c>
      <c r="CM189" t="n">
        <v>15</v>
      </c>
      <c r="CN189" t="n">
        <v>50</v>
      </c>
      <c r="CO189" t="n">
        <v>29</v>
      </c>
      <c r="CP189" t="n">
        <v>0</v>
      </c>
      <c r="CQ189" t="n">
        <v>0</v>
      </c>
      <c r="CR189" t="n">
        <v>0</v>
      </c>
      <c r="CS189" t="n">
        <v>0</v>
      </c>
      <c r="CT189" t="n">
        <v>0</v>
      </c>
      <c r="CU189" t="n">
        <v>0</v>
      </c>
      <c r="CV189" t="n">
        <v>0</v>
      </c>
      <c r="CW189" t="n">
        <v>0</v>
      </c>
      <c r="CX189" t="n">
        <v>22</v>
      </c>
      <c r="CY189" t="n">
        <v>51.4</v>
      </c>
      <c r="CZ189" t="n">
        <v>35.1</v>
      </c>
      <c r="DA189" t="n">
        <v>73.3</v>
      </c>
      <c r="DB189" t="n">
        <v>22</v>
      </c>
      <c r="DC189" t="n">
        <v>51.4</v>
      </c>
      <c r="DD189" t="n">
        <v>35</v>
      </c>
      <c r="DE189" t="n">
        <v>72.2</v>
      </c>
      <c r="DF189" t="n">
        <v>22</v>
      </c>
      <c r="DG189" t="n">
        <v>51.4</v>
      </c>
      <c r="DH189" t="n">
        <v>35.1</v>
      </c>
      <c r="DI189" t="n">
        <v>73.3</v>
      </c>
      <c r="DJ189" t="n">
        <v>22</v>
      </c>
      <c r="DK189" t="n">
        <v>51.4</v>
      </c>
      <c r="DL189" t="n">
        <v>35</v>
      </c>
      <c r="DM189" t="n">
        <v>72.2</v>
      </c>
      <c r="DN189" t="n">
        <v>0</v>
      </c>
      <c r="DO189" t="n">
        <v>0</v>
      </c>
      <c r="DP189" t="n">
        <v>0</v>
      </c>
      <c r="DQ189" t="n">
        <v>0</v>
      </c>
      <c r="DR189" t="n">
        <v>0</v>
      </c>
      <c r="DS189" t="n">
        <v>0</v>
      </c>
      <c r="DT189" t="n">
        <v>0</v>
      </c>
      <c r="DU189" t="n">
        <v>0</v>
      </c>
      <c r="DV189" t="inlineStr">
        <is>
          <t>(CONTRACTS OF 15,000 POUNDS)</t>
        </is>
      </c>
    </row>
    <row r="190">
      <c r="A190" t="inlineStr">
        <is>
          <t>FRZN CONCENTRATED ORANGE JUICE - ICE FUTURES U.S.</t>
        </is>
      </c>
      <c r="B190" t="n">
        <v>230103</v>
      </c>
      <c r="C190" s="1" t="n">
        <v>44929</v>
      </c>
      <c r="D190" t="inlineStr">
        <is>
          <t>040701</t>
        </is>
      </c>
      <c r="E190" t="inlineStr">
        <is>
          <t>ICUS</t>
        </is>
      </c>
      <c r="F190" t="inlineStr">
        <is>
          <t>01</t>
        </is>
      </c>
      <c r="G190" t="inlineStr">
        <is>
          <t xml:space="preserve">040 </t>
        </is>
      </c>
      <c r="H190" t="n">
        <v>11026</v>
      </c>
      <c r="I190" s="17" t="n">
        <v>6163</v>
      </c>
      <c r="J190" s="17" t="n">
        <v>1009</v>
      </c>
      <c r="K190" t="n">
        <v>136</v>
      </c>
      <c r="L190" t="n">
        <v>2584</v>
      </c>
      <c r="M190" t="n">
        <v>8581</v>
      </c>
      <c r="N190" t="n">
        <v>8883</v>
      </c>
      <c r="O190" t="n">
        <v>9726</v>
      </c>
      <c r="P190" t="n">
        <v>2143</v>
      </c>
      <c r="Q190" t="n">
        <v>1300</v>
      </c>
      <c r="R190" t="n">
        <v>11026</v>
      </c>
      <c r="S190" t="n">
        <v>6163</v>
      </c>
      <c r="T190" t="n">
        <v>1009</v>
      </c>
      <c r="U190" t="n">
        <v>136</v>
      </c>
      <c r="V190" t="n">
        <v>2584</v>
      </c>
      <c r="W190" t="n">
        <v>8581</v>
      </c>
      <c r="X190" t="n">
        <v>8883</v>
      </c>
      <c r="Y190" t="n">
        <v>9726</v>
      </c>
      <c r="Z190" t="n">
        <v>2143</v>
      </c>
      <c r="AA190" t="n">
        <v>1300</v>
      </c>
      <c r="AB190" t="n">
        <v>0</v>
      </c>
      <c r="AC190" t="n">
        <v>0</v>
      </c>
      <c r="AD190" t="n">
        <v>0</v>
      </c>
      <c r="AE190" t="n">
        <v>0</v>
      </c>
      <c r="AF190" t="n">
        <v>0</v>
      </c>
      <c r="AG190" t="n">
        <v>0</v>
      </c>
      <c r="AH190" t="n">
        <v>0</v>
      </c>
      <c r="AI190" t="n">
        <v>0</v>
      </c>
      <c r="AJ190" t="n">
        <v>0</v>
      </c>
      <c r="AK190" t="n">
        <v>0</v>
      </c>
      <c r="AL190" t="n">
        <v>21</v>
      </c>
      <c r="AM190" t="n">
        <v>105</v>
      </c>
      <c r="AN190" t="n">
        <v>-31</v>
      </c>
      <c r="AO190" t="n">
        <v>56</v>
      </c>
      <c r="AP190" t="n">
        <v>-21</v>
      </c>
      <c r="AQ190" t="n">
        <v>32</v>
      </c>
      <c r="AR190" t="n">
        <v>140</v>
      </c>
      <c r="AS190" t="n">
        <v>57</v>
      </c>
      <c r="AT190" t="n">
        <v>-119</v>
      </c>
      <c r="AU190" t="n">
        <v>-36</v>
      </c>
      <c r="AV190" t="n">
        <v>100</v>
      </c>
      <c r="AW190" t="n">
        <v>55.9</v>
      </c>
      <c r="AX190" t="n">
        <v>9.199999999999999</v>
      </c>
      <c r="AY190" t="n">
        <v>1.2</v>
      </c>
      <c r="AZ190" t="n">
        <v>23.4</v>
      </c>
      <c r="BA190" t="n">
        <v>77.8</v>
      </c>
      <c r="BB190" t="n">
        <v>80.59999999999999</v>
      </c>
      <c r="BC190" t="n">
        <v>88.2</v>
      </c>
      <c r="BD190" t="n">
        <v>19.4</v>
      </c>
      <c r="BE190" t="n">
        <v>11.8</v>
      </c>
      <c r="BF190" t="n">
        <v>100</v>
      </c>
      <c r="BG190" t="n">
        <v>55.9</v>
      </c>
      <c r="BH190" t="n">
        <v>9.199999999999999</v>
      </c>
      <c r="BI190" t="n">
        <v>1.2</v>
      </c>
      <c r="BJ190" t="n">
        <v>23.4</v>
      </c>
      <c r="BK190" t="n">
        <v>77.8</v>
      </c>
      <c r="BL190" t="n">
        <v>80.59999999999999</v>
      </c>
      <c r="BM190" t="n">
        <v>88.2</v>
      </c>
      <c r="BN190" t="n">
        <v>19.4</v>
      </c>
      <c r="BO190" t="n">
        <v>11.8</v>
      </c>
      <c r="BP190" t="n">
        <v>0</v>
      </c>
      <c r="BQ190" t="n">
        <v>0</v>
      </c>
      <c r="BR190" t="n">
        <v>0</v>
      </c>
      <c r="BS190" t="n">
        <v>0</v>
      </c>
      <c r="BT190" t="n">
        <v>0</v>
      </c>
      <c r="BU190" t="n">
        <v>0</v>
      </c>
      <c r="BV190" t="n">
        <v>0</v>
      </c>
      <c r="BW190" t="n">
        <v>0</v>
      </c>
      <c r="BX190" t="n">
        <v>0</v>
      </c>
      <c r="BY190" t="n">
        <v>0</v>
      </c>
      <c r="BZ190" t="n">
        <v>63</v>
      </c>
      <c r="CA190" t="n">
        <v>28</v>
      </c>
      <c r="CB190" t="n">
        <v>10</v>
      </c>
      <c r="CC190" t="n">
        <v>5</v>
      </c>
      <c r="CD190" t="n">
        <v>15</v>
      </c>
      <c r="CE190" t="n">
        <v>12</v>
      </c>
      <c r="CF190" t="n">
        <v>47</v>
      </c>
      <c r="CG190" t="n">
        <v>24</v>
      </c>
      <c r="CH190" t="n">
        <v>63</v>
      </c>
      <c r="CI190" t="n">
        <v>28</v>
      </c>
      <c r="CJ190" t="n">
        <v>10</v>
      </c>
      <c r="CK190" t="n">
        <v>5</v>
      </c>
      <c r="CL190" t="n">
        <v>15</v>
      </c>
      <c r="CM190" t="n">
        <v>12</v>
      </c>
      <c r="CN190" t="n">
        <v>47</v>
      </c>
      <c r="CO190" t="n">
        <v>24</v>
      </c>
      <c r="CP190" t="n">
        <v>0</v>
      </c>
      <c r="CQ190" t="n">
        <v>0</v>
      </c>
      <c r="CR190" t="n">
        <v>0</v>
      </c>
      <c r="CS190" t="n">
        <v>0</v>
      </c>
      <c r="CT190" t="n">
        <v>0</v>
      </c>
      <c r="CU190" t="n">
        <v>0</v>
      </c>
      <c r="CV190" t="n">
        <v>0</v>
      </c>
      <c r="CW190" t="n">
        <v>0</v>
      </c>
      <c r="CX190" t="n">
        <v>22.4</v>
      </c>
      <c r="CY190" t="n">
        <v>53.7</v>
      </c>
      <c r="CZ190" t="n">
        <v>35.4</v>
      </c>
      <c r="DA190" t="n">
        <v>75.7</v>
      </c>
      <c r="DB190" t="n">
        <v>22.4</v>
      </c>
      <c r="DC190" t="n">
        <v>53.7</v>
      </c>
      <c r="DD190" t="n">
        <v>35.4</v>
      </c>
      <c r="DE190" t="n">
        <v>75.40000000000001</v>
      </c>
      <c r="DF190" t="n">
        <v>22.4</v>
      </c>
      <c r="DG190" t="n">
        <v>53.7</v>
      </c>
      <c r="DH190" t="n">
        <v>35.4</v>
      </c>
      <c r="DI190" t="n">
        <v>75.7</v>
      </c>
      <c r="DJ190" t="n">
        <v>22.4</v>
      </c>
      <c r="DK190" t="n">
        <v>53.7</v>
      </c>
      <c r="DL190" t="n">
        <v>35.4</v>
      </c>
      <c r="DM190" t="n">
        <v>75.40000000000001</v>
      </c>
      <c r="DN190" t="n">
        <v>0</v>
      </c>
      <c r="DO190" t="n">
        <v>0</v>
      </c>
      <c r="DP190" t="n">
        <v>0</v>
      </c>
      <c r="DQ190" t="n">
        <v>0</v>
      </c>
      <c r="DR190" t="n">
        <v>0</v>
      </c>
      <c r="DS190" t="n">
        <v>0</v>
      </c>
      <c r="DT190" t="n">
        <v>0</v>
      </c>
      <c r="DU190" t="n">
        <v>0</v>
      </c>
      <c r="DV190" t="inlineStr">
        <is>
          <t>(CONTRACTS OF 15,000 POUNDS)</t>
        </is>
      </c>
    </row>
    <row r="191">
      <c r="A191" t="inlineStr">
        <is>
          <t>UST 2Y NOTE - CHICAGO BOARD OF TRADE</t>
        </is>
      </c>
      <c r="B191" t="n">
        <v>230110</v>
      </c>
      <c r="C191" s="1" t="n">
        <v>44936</v>
      </c>
      <c r="D191" t="inlineStr">
        <is>
          <t>042601</t>
        </is>
      </c>
      <c r="E191" t="inlineStr">
        <is>
          <t xml:space="preserve">CBT </t>
        </is>
      </c>
      <c r="F191" t="inlineStr">
        <is>
          <t>00</t>
        </is>
      </c>
      <c r="G191" t="inlineStr">
        <is>
          <t xml:space="preserve">042 </t>
        </is>
      </c>
      <c r="H191" t="n">
        <v>2319897</v>
      </c>
      <c r="I191" s="17" t="n">
        <v>220701</v>
      </c>
      <c r="J191" s="17" t="n">
        <v>676752</v>
      </c>
      <c r="K191" t="n">
        <v>42804</v>
      </c>
      <c r="L191" t="n">
        <v>1857300</v>
      </c>
      <c r="M191" t="n">
        <v>1404828</v>
      </c>
      <c r="N191" t="n">
        <v>2120805</v>
      </c>
      <c r="O191" t="n">
        <v>2124384</v>
      </c>
      <c r="P191" t="n">
        <v>199092</v>
      </c>
      <c r="Q191" t="n">
        <v>195513</v>
      </c>
      <c r="R191" t="n">
        <v>2319897</v>
      </c>
      <c r="S191" t="n">
        <v>220701</v>
      </c>
      <c r="T191" t="n">
        <v>676752</v>
      </c>
      <c r="U191" t="n">
        <v>42804</v>
      </c>
      <c r="V191" t="n">
        <v>1857300</v>
      </c>
      <c r="W191" t="n">
        <v>1404828</v>
      </c>
      <c r="X191" t="n">
        <v>2120805</v>
      </c>
      <c r="Y191" t="n">
        <v>2124384</v>
      </c>
      <c r="Z191" t="n">
        <v>199092</v>
      </c>
      <c r="AA191" t="n">
        <v>195513</v>
      </c>
      <c r="AB191" t="n">
        <v>0</v>
      </c>
      <c r="AC191" t="n">
        <v>0</v>
      </c>
      <c r="AD191" t="n">
        <v>0</v>
      </c>
      <c r="AE191" t="n">
        <v>0</v>
      </c>
      <c r="AF191" t="n">
        <v>0</v>
      </c>
      <c r="AG191" t="n">
        <v>0</v>
      </c>
      <c r="AH191" t="n">
        <v>0</v>
      </c>
      <c r="AI191" t="n">
        <v>0</v>
      </c>
      <c r="AJ191" t="n">
        <v>0</v>
      </c>
      <c r="AK191" t="n">
        <v>0</v>
      </c>
      <c r="AL191" t="n">
        <v>100085</v>
      </c>
      <c r="AM191" t="n">
        <v>42264</v>
      </c>
      <c r="AN191" t="n">
        <v>-23193</v>
      </c>
      <c r="AO191" t="n">
        <v>-4031</v>
      </c>
      <c r="AP191" t="n">
        <v>55461</v>
      </c>
      <c r="AQ191" t="n">
        <v>127927</v>
      </c>
      <c r="AR191" t="n">
        <v>93694</v>
      </c>
      <c r="AS191" t="n">
        <v>100703</v>
      </c>
      <c r="AT191" t="n">
        <v>6391</v>
      </c>
      <c r="AU191" t="n">
        <v>-618</v>
      </c>
      <c r="AV191" t="n">
        <v>100</v>
      </c>
      <c r="AW191" t="n">
        <v>9.5</v>
      </c>
      <c r="AX191" t="n">
        <v>29.2</v>
      </c>
      <c r="AY191" t="n">
        <v>1.8</v>
      </c>
      <c r="AZ191" t="n">
        <v>80.09999999999999</v>
      </c>
      <c r="BA191" t="n">
        <v>60.6</v>
      </c>
      <c r="BB191" t="n">
        <v>91.40000000000001</v>
      </c>
      <c r="BC191" t="n">
        <v>91.59999999999999</v>
      </c>
      <c r="BD191" t="n">
        <v>8.6</v>
      </c>
      <c r="BE191" t="n">
        <v>8.4</v>
      </c>
      <c r="BF191" t="n">
        <v>100</v>
      </c>
      <c r="BG191" t="n">
        <v>9.5</v>
      </c>
      <c r="BH191" t="n">
        <v>29.2</v>
      </c>
      <c r="BI191" t="n">
        <v>1.8</v>
      </c>
      <c r="BJ191" t="n">
        <v>80.09999999999999</v>
      </c>
      <c r="BK191" t="n">
        <v>60.6</v>
      </c>
      <c r="BL191" t="n">
        <v>91.40000000000001</v>
      </c>
      <c r="BM191" t="n">
        <v>91.59999999999999</v>
      </c>
      <c r="BN191" t="n">
        <v>8.6</v>
      </c>
      <c r="BO191" t="n">
        <v>8.4</v>
      </c>
      <c r="BP191" t="n">
        <v>0</v>
      </c>
      <c r="BQ191" t="n">
        <v>0</v>
      </c>
      <c r="BR191" t="n">
        <v>0</v>
      </c>
      <c r="BS191" t="n">
        <v>0</v>
      </c>
      <c r="BT191" t="n">
        <v>0</v>
      </c>
      <c r="BU191" t="n">
        <v>0</v>
      </c>
      <c r="BV191" t="n">
        <v>0</v>
      </c>
      <c r="BW191" t="n">
        <v>0</v>
      </c>
      <c r="BX191" t="n">
        <v>0</v>
      </c>
      <c r="BY191" t="n">
        <v>0</v>
      </c>
      <c r="BZ191" t="n">
        <v>362</v>
      </c>
      <c r="CA191" t="n">
        <v>50</v>
      </c>
      <c r="CB191" t="n">
        <v>61</v>
      </c>
      <c r="CC191" t="n">
        <v>26</v>
      </c>
      <c r="CD191" t="n">
        <v>169</v>
      </c>
      <c r="CE191" t="n">
        <v>179</v>
      </c>
      <c r="CF191" t="n">
        <v>233</v>
      </c>
      <c r="CG191" t="n">
        <v>252</v>
      </c>
      <c r="CH191" t="n">
        <v>362</v>
      </c>
      <c r="CI191" t="n">
        <v>50</v>
      </c>
      <c r="CJ191" t="n">
        <v>61</v>
      </c>
      <c r="CK191" t="n">
        <v>26</v>
      </c>
      <c r="CL191" t="n">
        <v>169</v>
      </c>
      <c r="CM191" t="n">
        <v>179</v>
      </c>
      <c r="CN191" t="n">
        <v>233</v>
      </c>
      <c r="CO191" t="n">
        <v>252</v>
      </c>
      <c r="CP191" t="n">
        <v>0</v>
      </c>
      <c r="CQ191" t="n">
        <v>0</v>
      </c>
      <c r="CR191" t="n">
        <v>0</v>
      </c>
      <c r="CS191" t="n">
        <v>0</v>
      </c>
      <c r="CT191" t="n">
        <v>0</v>
      </c>
      <c r="CU191" t="n">
        <v>0</v>
      </c>
      <c r="CV191" t="n">
        <v>0</v>
      </c>
      <c r="CW191" t="n">
        <v>0</v>
      </c>
      <c r="CX191" t="n">
        <v>22.1</v>
      </c>
      <c r="CY191" t="n">
        <v>21.5</v>
      </c>
      <c r="CZ191" t="n">
        <v>32.8</v>
      </c>
      <c r="DA191" t="n">
        <v>31.6</v>
      </c>
      <c r="DB191" t="n">
        <v>20.4</v>
      </c>
      <c r="DC191" t="n">
        <v>20.6</v>
      </c>
      <c r="DD191" t="n">
        <v>29</v>
      </c>
      <c r="DE191" t="n">
        <v>29.5</v>
      </c>
      <c r="DF191" t="n">
        <v>22.1</v>
      </c>
      <c r="DG191" t="n">
        <v>21.5</v>
      </c>
      <c r="DH191" t="n">
        <v>32.8</v>
      </c>
      <c r="DI191" t="n">
        <v>31.6</v>
      </c>
      <c r="DJ191" t="n">
        <v>20.4</v>
      </c>
      <c r="DK191" t="n">
        <v>20.6</v>
      </c>
      <c r="DL191" t="n">
        <v>29</v>
      </c>
      <c r="DM191" t="n">
        <v>29.5</v>
      </c>
      <c r="DN191" t="n">
        <v>0</v>
      </c>
      <c r="DO191" t="n">
        <v>0</v>
      </c>
      <c r="DP191" t="n">
        <v>0</v>
      </c>
      <c r="DQ191" t="n">
        <v>0</v>
      </c>
      <c r="DR191" t="n">
        <v>0</v>
      </c>
      <c r="DS191" t="n">
        <v>0</v>
      </c>
      <c r="DT191" t="n">
        <v>0</v>
      </c>
      <c r="DU191" t="n">
        <v>0</v>
      </c>
      <c r="DV191" t="inlineStr">
        <is>
          <t>(CONTRACTS OF $200,000 FACE VALUE)</t>
        </is>
      </c>
    </row>
    <row r="192">
      <c r="A192" t="inlineStr">
        <is>
          <t>UST 2Y NOTE - CHICAGO BOARD OF TRADE</t>
        </is>
      </c>
      <c r="B192" t="n">
        <v>230103</v>
      </c>
      <c r="C192" s="1" t="n">
        <v>44929</v>
      </c>
      <c r="D192" t="inlineStr">
        <is>
          <t>042601</t>
        </is>
      </c>
      <c r="E192" t="inlineStr">
        <is>
          <t xml:space="preserve">CBT </t>
        </is>
      </c>
      <c r="F192" t="inlineStr">
        <is>
          <t>00</t>
        </is>
      </c>
      <c r="G192" t="inlineStr">
        <is>
          <t xml:space="preserve">042 </t>
        </is>
      </c>
      <c r="H192" t="n">
        <v>2219812</v>
      </c>
      <c r="I192" s="17" t="n">
        <v>178437</v>
      </c>
      <c r="J192" s="17" t="n">
        <v>699945</v>
      </c>
      <c r="K192" t="n">
        <v>46835</v>
      </c>
      <c r="L192" t="n">
        <v>1801839</v>
      </c>
      <c r="M192" t="n">
        <v>1276901</v>
      </c>
      <c r="N192" t="n">
        <v>2027111</v>
      </c>
      <c r="O192" t="n">
        <v>2023681</v>
      </c>
      <c r="P192" t="n">
        <v>192701</v>
      </c>
      <c r="Q192" t="n">
        <v>196131</v>
      </c>
      <c r="R192" t="n">
        <v>2219812</v>
      </c>
      <c r="S192" t="n">
        <v>178437</v>
      </c>
      <c r="T192" t="n">
        <v>699945</v>
      </c>
      <c r="U192" t="n">
        <v>46835</v>
      </c>
      <c r="V192" t="n">
        <v>1801839</v>
      </c>
      <c r="W192" t="n">
        <v>1276901</v>
      </c>
      <c r="X192" t="n">
        <v>2027111</v>
      </c>
      <c r="Y192" t="n">
        <v>2023681</v>
      </c>
      <c r="Z192" t="n">
        <v>192701</v>
      </c>
      <c r="AA192" t="n">
        <v>196131</v>
      </c>
      <c r="AB192" t="n">
        <v>0</v>
      </c>
      <c r="AC192" t="n">
        <v>0</v>
      </c>
      <c r="AD192" t="n">
        <v>0</v>
      </c>
      <c r="AE192" t="n">
        <v>0</v>
      </c>
      <c r="AF192" t="n">
        <v>0</v>
      </c>
      <c r="AG192" t="n">
        <v>0</v>
      </c>
      <c r="AH192" t="n">
        <v>0</v>
      </c>
      <c r="AI192" t="n">
        <v>0</v>
      </c>
      <c r="AJ192" t="n">
        <v>0</v>
      </c>
      <c r="AK192" t="n">
        <v>0</v>
      </c>
      <c r="AL192" t="n">
        <v>-15038</v>
      </c>
      <c r="AM192" t="n">
        <v>-10610</v>
      </c>
      <c r="AN192" t="n">
        <v>-39747</v>
      </c>
      <c r="AO192" t="n">
        <v>950</v>
      </c>
      <c r="AP192" t="n">
        <v>-13026</v>
      </c>
      <c r="AQ192" t="n">
        <v>5526</v>
      </c>
      <c r="AR192" t="n">
        <v>-22686</v>
      </c>
      <c r="AS192" t="n">
        <v>-33271</v>
      </c>
      <c r="AT192" t="n">
        <v>7648</v>
      </c>
      <c r="AU192" t="n">
        <v>18233</v>
      </c>
      <c r="AV192" t="n">
        <v>100</v>
      </c>
      <c r="AW192" t="n">
        <v>8</v>
      </c>
      <c r="AX192" t="n">
        <v>31.5</v>
      </c>
      <c r="AY192" t="n">
        <v>2.1</v>
      </c>
      <c r="AZ192" t="n">
        <v>81.2</v>
      </c>
      <c r="BA192" t="n">
        <v>57.5</v>
      </c>
      <c r="BB192" t="n">
        <v>91.3</v>
      </c>
      <c r="BC192" t="n">
        <v>91.2</v>
      </c>
      <c r="BD192" t="n">
        <v>8.699999999999999</v>
      </c>
      <c r="BE192" t="n">
        <v>8.800000000000001</v>
      </c>
      <c r="BF192" t="n">
        <v>100</v>
      </c>
      <c r="BG192" t="n">
        <v>8</v>
      </c>
      <c r="BH192" t="n">
        <v>31.5</v>
      </c>
      <c r="BI192" t="n">
        <v>2.1</v>
      </c>
      <c r="BJ192" t="n">
        <v>81.2</v>
      </c>
      <c r="BK192" t="n">
        <v>57.5</v>
      </c>
      <c r="BL192" t="n">
        <v>91.3</v>
      </c>
      <c r="BM192" t="n">
        <v>91.2</v>
      </c>
      <c r="BN192" t="n">
        <v>8.699999999999999</v>
      </c>
      <c r="BO192" t="n">
        <v>8.800000000000001</v>
      </c>
      <c r="BP192" t="n">
        <v>0</v>
      </c>
      <c r="BQ192" t="n">
        <v>0</v>
      </c>
      <c r="BR192" t="n">
        <v>0</v>
      </c>
      <c r="BS192" t="n">
        <v>0</v>
      </c>
      <c r="BT192" t="n">
        <v>0</v>
      </c>
      <c r="BU192" t="n">
        <v>0</v>
      </c>
      <c r="BV192" t="n">
        <v>0</v>
      </c>
      <c r="BW192" t="n">
        <v>0</v>
      </c>
      <c r="BX192" t="n">
        <v>0</v>
      </c>
      <c r="BY192" t="n">
        <v>0</v>
      </c>
      <c r="BZ192" t="n">
        <v>356</v>
      </c>
      <c r="CA192" t="n">
        <v>42</v>
      </c>
      <c r="CB192" t="n">
        <v>67</v>
      </c>
      <c r="CC192" t="n">
        <v>28</v>
      </c>
      <c r="CD192" t="n">
        <v>169</v>
      </c>
      <c r="CE192" t="n">
        <v>175</v>
      </c>
      <c r="CF192" t="n">
        <v>229</v>
      </c>
      <c r="CG192" t="n">
        <v>252</v>
      </c>
      <c r="CH192" t="n">
        <v>356</v>
      </c>
      <c r="CI192" t="n">
        <v>42</v>
      </c>
      <c r="CJ192" t="n">
        <v>67</v>
      </c>
      <c r="CK192" t="n">
        <v>28</v>
      </c>
      <c r="CL192" t="n">
        <v>169</v>
      </c>
      <c r="CM192" t="n">
        <v>175</v>
      </c>
      <c r="CN192" t="n">
        <v>229</v>
      </c>
      <c r="CO192" t="n">
        <v>252</v>
      </c>
      <c r="CP192" t="n">
        <v>0</v>
      </c>
      <c r="CQ192" t="n">
        <v>0</v>
      </c>
      <c r="CR192" t="n">
        <v>0</v>
      </c>
      <c r="CS192" t="n">
        <v>0</v>
      </c>
      <c r="CT192" t="n">
        <v>0</v>
      </c>
      <c r="CU192" t="n">
        <v>0</v>
      </c>
      <c r="CV192" t="n">
        <v>0</v>
      </c>
      <c r="CW192" t="n">
        <v>0</v>
      </c>
      <c r="CX192" t="n">
        <v>20.8</v>
      </c>
      <c r="CY192" t="n">
        <v>22.3</v>
      </c>
      <c r="CZ192" t="n">
        <v>31.3</v>
      </c>
      <c r="DA192" t="n">
        <v>32.4</v>
      </c>
      <c r="DB192" t="n">
        <v>19.2</v>
      </c>
      <c r="DC192" t="n">
        <v>20.9</v>
      </c>
      <c r="DD192" t="n">
        <v>26.7</v>
      </c>
      <c r="DE192" t="n">
        <v>29.2</v>
      </c>
      <c r="DF192" t="n">
        <v>20.8</v>
      </c>
      <c r="DG192" t="n">
        <v>22.3</v>
      </c>
      <c r="DH192" t="n">
        <v>31.3</v>
      </c>
      <c r="DI192" t="n">
        <v>32.4</v>
      </c>
      <c r="DJ192" t="n">
        <v>19.2</v>
      </c>
      <c r="DK192" t="n">
        <v>20.9</v>
      </c>
      <c r="DL192" t="n">
        <v>26.7</v>
      </c>
      <c r="DM192" t="n">
        <v>29.2</v>
      </c>
      <c r="DN192" t="n">
        <v>0</v>
      </c>
      <c r="DO192" t="n">
        <v>0</v>
      </c>
      <c r="DP192" t="n">
        <v>0</v>
      </c>
      <c r="DQ192" t="n">
        <v>0</v>
      </c>
      <c r="DR192" t="n">
        <v>0</v>
      </c>
      <c r="DS192" t="n">
        <v>0</v>
      </c>
      <c r="DT192" t="n">
        <v>0</v>
      </c>
      <c r="DU192" t="n">
        <v>0</v>
      </c>
      <c r="DV192" t="inlineStr">
        <is>
          <t>(CONTRACTS OF $200,000 FACE VALUE)</t>
        </is>
      </c>
    </row>
    <row r="193">
      <c r="A193" t="inlineStr">
        <is>
          <t>UST 10Y NOTE - CHICAGO BOARD OF TRADE</t>
        </is>
      </c>
      <c r="B193" t="n">
        <v>230110</v>
      </c>
      <c r="C193" s="1" t="n">
        <v>44936</v>
      </c>
      <c r="D193" t="inlineStr">
        <is>
          <t>043602</t>
        </is>
      </c>
      <c r="E193" t="inlineStr">
        <is>
          <t xml:space="preserve">CBT </t>
        </is>
      </c>
      <c r="F193" t="inlineStr">
        <is>
          <t>00</t>
        </is>
      </c>
      <c r="G193" t="inlineStr">
        <is>
          <t xml:space="preserve">043 </t>
        </is>
      </c>
      <c r="H193" t="n">
        <v>3894938</v>
      </c>
      <c r="I193" s="17" t="n">
        <v>355989</v>
      </c>
      <c r="J193" s="17" t="n">
        <v>767347</v>
      </c>
      <c r="K193" t="n">
        <v>93294</v>
      </c>
      <c r="L193" t="n">
        <v>3095025</v>
      </c>
      <c r="M193" t="n">
        <v>2606571</v>
      </c>
      <c r="N193" t="n">
        <v>3544308</v>
      </c>
      <c r="O193" t="n">
        <v>3467212</v>
      </c>
      <c r="P193" t="n">
        <v>350630</v>
      </c>
      <c r="Q193" t="n">
        <v>427726</v>
      </c>
      <c r="R193" t="n">
        <v>3894938</v>
      </c>
      <c r="S193" t="n">
        <v>355989</v>
      </c>
      <c r="T193" t="n">
        <v>767347</v>
      </c>
      <c r="U193" t="n">
        <v>93294</v>
      </c>
      <c r="V193" t="n">
        <v>3095025</v>
      </c>
      <c r="W193" t="n">
        <v>2606571</v>
      </c>
      <c r="X193" t="n">
        <v>3544308</v>
      </c>
      <c r="Y193" t="n">
        <v>3467212</v>
      </c>
      <c r="Z193" t="n">
        <v>350630</v>
      </c>
      <c r="AA193" t="n">
        <v>427726</v>
      </c>
      <c r="AB193" t="n">
        <v>0</v>
      </c>
      <c r="AC193" t="n">
        <v>0</v>
      </c>
      <c r="AD193" t="n">
        <v>0</v>
      </c>
      <c r="AE193" t="n">
        <v>0</v>
      </c>
      <c r="AF193" t="n">
        <v>0</v>
      </c>
      <c r="AG193" t="n">
        <v>0</v>
      </c>
      <c r="AH193" t="n">
        <v>0</v>
      </c>
      <c r="AI193" t="n">
        <v>0</v>
      </c>
      <c r="AJ193" t="n">
        <v>0</v>
      </c>
      <c r="AK193" t="n">
        <v>0</v>
      </c>
      <c r="AL193" t="n">
        <v>43847</v>
      </c>
      <c r="AM193" t="n">
        <v>-49792</v>
      </c>
      <c r="AN193" t="n">
        <v>-22036</v>
      </c>
      <c r="AO193" t="n">
        <v>-5648</v>
      </c>
      <c r="AP193" t="n">
        <v>91725</v>
      </c>
      <c r="AQ193" t="n">
        <v>70714</v>
      </c>
      <c r="AR193" t="n">
        <v>36285</v>
      </c>
      <c r="AS193" t="n">
        <v>43030</v>
      </c>
      <c r="AT193" t="n">
        <v>7562</v>
      </c>
      <c r="AU193" t="n">
        <v>817</v>
      </c>
      <c r="AV193" t="n">
        <v>100</v>
      </c>
      <c r="AW193" t="n">
        <v>9.1</v>
      </c>
      <c r="AX193" t="n">
        <v>19.7</v>
      </c>
      <c r="AY193" t="n">
        <v>2.4</v>
      </c>
      <c r="AZ193" t="n">
        <v>79.5</v>
      </c>
      <c r="BA193" t="n">
        <v>66.90000000000001</v>
      </c>
      <c r="BB193" t="n">
        <v>91</v>
      </c>
      <c r="BC193" t="n">
        <v>89</v>
      </c>
      <c r="BD193" t="n">
        <v>9</v>
      </c>
      <c r="BE193" t="n">
        <v>11</v>
      </c>
      <c r="BF193" t="n">
        <v>100</v>
      </c>
      <c r="BG193" t="n">
        <v>9.1</v>
      </c>
      <c r="BH193" t="n">
        <v>19.7</v>
      </c>
      <c r="BI193" t="n">
        <v>2.4</v>
      </c>
      <c r="BJ193" t="n">
        <v>79.5</v>
      </c>
      <c r="BK193" t="n">
        <v>66.90000000000001</v>
      </c>
      <c r="BL193" t="n">
        <v>91</v>
      </c>
      <c r="BM193" t="n">
        <v>89</v>
      </c>
      <c r="BN193" t="n">
        <v>9</v>
      </c>
      <c r="BO193" t="n">
        <v>11</v>
      </c>
      <c r="BP193" t="n">
        <v>0</v>
      </c>
      <c r="BQ193" t="n">
        <v>0</v>
      </c>
      <c r="BR193" t="n">
        <v>0</v>
      </c>
      <c r="BS193" t="n">
        <v>0</v>
      </c>
      <c r="BT193" t="n">
        <v>0</v>
      </c>
      <c r="BU193" t="n">
        <v>0</v>
      </c>
      <c r="BV193" t="n">
        <v>0</v>
      </c>
      <c r="BW193" t="n">
        <v>0</v>
      </c>
      <c r="BX193" t="n">
        <v>0</v>
      </c>
      <c r="BY193" t="n">
        <v>0</v>
      </c>
      <c r="BZ193" t="n">
        <v>386</v>
      </c>
      <c r="CA193" t="n">
        <v>53</v>
      </c>
      <c r="CB193" t="n">
        <v>76</v>
      </c>
      <c r="CC193" t="n">
        <v>41</v>
      </c>
      <c r="CD193" t="n">
        <v>186</v>
      </c>
      <c r="CE193" t="n">
        <v>184</v>
      </c>
      <c r="CF193" t="n">
        <v>263</v>
      </c>
      <c r="CG193" t="n">
        <v>278</v>
      </c>
      <c r="CH193" t="n">
        <v>386</v>
      </c>
      <c r="CI193" t="n">
        <v>53</v>
      </c>
      <c r="CJ193" t="n">
        <v>76</v>
      </c>
      <c r="CK193" t="n">
        <v>41</v>
      </c>
      <c r="CL193" t="n">
        <v>186</v>
      </c>
      <c r="CM193" t="n">
        <v>184</v>
      </c>
      <c r="CN193" t="n">
        <v>263</v>
      </c>
      <c r="CO193" t="n">
        <v>278</v>
      </c>
      <c r="CP193" t="n">
        <v>0</v>
      </c>
      <c r="CQ193" t="n">
        <v>0</v>
      </c>
      <c r="CR193" t="n">
        <v>0</v>
      </c>
      <c r="CS193" t="n">
        <v>0</v>
      </c>
      <c r="CT193" t="n">
        <v>0</v>
      </c>
      <c r="CU193" t="n">
        <v>0</v>
      </c>
      <c r="CV193" t="n">
        <v>0</v>
      </c>
      <c r="CW193" t="n">
        <v>0</v>
      </c>
      <c r="CX193" t="n">
        <v>23.6</v>
      </c>
      <c r="CY193" t="n">
        <v>20.9</v>
      </c>
      <c r="CZ193" t="n">
        <v>35.7</v>
      </c>
      <c r="DA193" t="n">
        <v>30</v>
      </c>
      <c r="DB193" t="n">
        <v>18.4</v>
      </c>
      <c r="DC193" t="n">
        <v>17.2</v>
      </c>
      <c r="DD193" t="n">
        <v>27.3</v>
      </c>
      <c r="DE193" t="n">
        <v>23</v>
      </c>
      <c r="DF193" t="n">
        <v>23.6</v>
      </c>
      <c r="DG193" t="n">
        <v>20.9</v>
      </c>
      <c r="DH193" t="n">
        <v>35.7</v>
      </c>
      <c r="DI193" t="n">
        <v>30</v>
      </c>
      <c r="DJ193" t="n">
        <v>18.4</v>
      </c>
      <c r="DK193" t="n">
        <v>17.2</v>
      </c>
      <c r="DL193" t="n">
        <v>27.3</v>
      </c>
      <c r="DM193" t="n">
        <v>23</v>
      </c>
      <c r="DN193" t="n">
        <v>0</v>
      </c>
      <c r="DO193" t="n">
        <v>0</v>
      </c>
      <c r="DP193" t="n">
        <v>0</v>
      </c>
      <c r="DQ193" t="n">
        <v>0</v>
      </c>
      <c r="DR193" t="n">
        <v>0</v>
      </c>
      <c r="DS193" t="n">
        <v>0</v>
      </c>
      <c r="DT193" t="n">
        <v>0</v>
      </c>
      <c r="DU193" t="n">
        <v>0</v>
      </c>
      <c r="DV193" t="inlineStr">
        <is>
          <t>(CONTRACTS OF $100,000 FACE VALUE)</t>
        </is>
      </c>
    </row>
    <row r="194">
      <c r="A194" t="inlineStr">
        <is>
          <t>UST 10Y NOTE - CHICAGO BOARD OF TRADE</t>
        </is>
      </c>
      <c r="B194" t="n">
        <v>230103</v>
      </c>
      <c r="C194" s="1" t="n">
        <v>44929</v>
      </c>
      <c r="D194" t="inlineStr">
        <is>
          <t>043602</t>
        </is>
      </c>
      <c r="E194" t="inlineStr">
        <is>
          <t xml:space="preserve">CBT </t>
        </is>
      </c>
      <c r="F194" t="inlineStr">
        <is>
          <t>00</t>
        </is>
      </c>
      <c r="G194" t="inlineStr">
        <is>
          <t xml:space="preserve">043 </t>
        </is>
      </c>
      <c r="H194" t="n">
        <v>3851091</v>
      </c>
      <c r="I194" s="17" t="n">
        <v>405781</v>
      </c>
      <c r="J194" s="17" t="n">
        <v>789383</v>
      </c>
      <c r="K194" t="n">
        <v>98942</v>
      </c>
      <c r="L194" t="n">
        <v>3003300</v>
      </c>
      <c r="M194" t="n">
        <v>2535857</v>
      </c>
      <c r="N194" t="n">
        <v>3508023</v>
      </c>
      <c r="O194" t="n">
        <v>3424182</v>
      </c>
      <c r="P194" t="n">
        <v>343068</v>
      </c>
      <c r="Q194" t="n">
        <v>426909</v>
      </c>
      <c r="R194" t="n">
        <v>3851091</v>
      </c>
      <c r="S194" t="n">
        <v>405781</v>
      </c>
      <c r="T194" t="n">
        <v>789383</v>
      </c>
      <c r="U194" t="n">
        <v>98942</v>
      </c>
      <c r="V194" t="n">
        <v>3003300</v>
      </c>
      <c r="W194" t="n">
        <v>2535857</v>
      </c>
      <c r="X194" t="n">
        <v>3508023</v>
      </c>
      <c r="Y194" t="n">
        <v>3424182</v>
      </c>
      <c r="Z194" t="n">
        <v>343068</v>
      </c>
      <c r="AA194" t="n">
        <v>426909</v>
      </c>
      <c r="AB194" t="n">
        <v>0</v>
      </c>
      <c r="AC194" t="n">
        <v>0</v>
      </c>
      <c r="AD194" t="n">
        <v>0</v>
      </c>
      <c r="AE194" t="n">
        <v>0</v>
      </c>
      <c r="AF194" t="n">
        <v>0</v>
      </c>
      <c r="AG194" t="n">
        <v>0</v>
      </c>
      <c r="AH194" t="n">
        <v>0</v>
      </c>
      <c r="AI194" t="n">
        <v>0</v>
      </c>
      <c r="AJ194" t="n">
        <v>0</v>
      </c>
      <c r="AK194" t="n">
        <v>0</v>
      </c>
      <c r="AL194" t="n">
        <v>70177</v>
      </c>
      <c r="AM194" t="n">
        <v>-21733</v>
      </c>
      <c r="AN194" t="n">
        <v>17660</v>
      </c>
      <c r="AO194" t="n">
        <v>8462</v>
      </c>
      <c r="AP194" t="n">
        <v>78493</v>
      </c>
      <c r="AQ194" t="n">
        <v>24309</v>
      </c>
      <c r="AR194" t="n">
        <v>65222</v>
      </c>
      <c r="AS194" t="n">
        <v>50431</v>
      </c>
      <c r="AT194" t="n">
        <v>4955</v>
      </c>
      <c r="AU194" t="n">
        <v>19746</v>
      </c>
      <c r="AV194" t="n">
        <v>100</v>
      </c>
      <c r="AW194" t="n">
        <v>10.5</v>
      </c>
      <c r="AX194" t="n">
        <v>20.5</v>
      </c>
      <c r="AY194" t="n">
        <v>2.6</v>
      </c>
      <c r="AZ194" t="n">
        <v>78</v>
      </c>
      <c r="BA194" t="n">
        <v>65.8</v>
      </c>
      <c r="BB194" t="n">
        <v>91.09999999999999</v>
      </c>
      <c r="BC194" t="n">
        <v>88.90000000000001</v>
      </c>
      <c r="BD194" t="n">
        <v>8.9</v>
      </c>
      <c r="BE194" t="n">
        <v>11.1</v>
      </c>
      <c r="BF194" t="n">
        <v>100</v>
      </c>
      <c r="BG194" t="n">
        <v>10.5</v>
      </c>
      <c r="BH194" t="n">
        <v>20.5</v>
      </c>
      <c r="BI194" t="n">
        <v>2.6</v>
      </c>
      <c r="BJ194" t="n">
        <v>78</v>
      </c>
      <c r="BK194" t="n">
        <v>65.8</v>
      </c>
      <c r="BL194" t="n">
        <v>91.09999999999999</v>
      </c>
      <c r="BM194" t="n">
        <v>88.90000000000001</v>
      </c>
      <c r="BN194" t="n">
        <v>8.9</v>
      </c>
      <c r="BO194" t="n">
        <v>11.1</v>
      </c>
      <c r="BP194" t="n">
        <v>0</v>
      </c>
      <c r="BQ194" t="n">
        <v>0</v>
      </c>
      <c r="BR194" t="n">
        <v>0</v>
      </c>
      <c r="BS194" t="n">
        <v>0</v>
      </c>
      <c r="BT194" t="n">
        <v>0</v>
      </c>
      <c r="BU194" t="n">
        <v>0</v>
      </c>
      <c r="BV194" t="n">
        <v>0</v>
      </c>
      <c r="BW194" t="n">
        <v>0</v>
      </c>
      <c r="BX194" t="n">
        <v>0</v>
      </c>
      <c r="BY194" t="n">
        <v>0</v>
      </c>
      <c r="BZ194" t="n">
        <v>386</v>
      </c>
      <c r="CA194" t="n">
        <v>52</v>
      </c>
      <c r="CB194" t="n">
        <v>76</v>
      </c>
      <c r="CC194" t="n">
        <v>43</v>
      </c>
      <c r="CD194" t="n">
        <v>185</v>
      </c>
      <c r="CE194" t="n">
        <v>185</v>
      </c>
      <c r="CF194" t="n">
        <v>263</v>
      </c>
      <c r="CG194" t="n">
        <v>279</v>
      </c>
      <c r="CH194" t="n">
        <v>386</v>
      </c>
      <c r="CI194" t="n">
        <v>52</v>
      </c>
      <c r="CJ194" t="n">
        <v>76</v>
      </c>
      <c r="CK194" t="n">
        <v>43</v>
      </c>
      <c r="CL194" t="n">
        <v>185</v>
      </c>
      <c r="CM194" t="n">
        <v>185</v>
      </c>
      <c r="CN194" t="n">
        <v>263</v>
      </c>
      <c r="CO194" t="n">
        <v>279</v>
      </c>
      <c r="CP194" t="n">
        <v>0</v>
      </c>
      <c r="CQ194" t="n">
        <v>0</v>
      </c>
      <c r="CR194" t="n">
        <v>0</v>
      </c>
      <c r="CS194" t="n">
        <v>0</v>
      </c>
      <c r="CT194" t="n">
        <v>0</v>
      </c>
      <c r="CU194" t="n">
        <v>0</v>
      </c>
      <c r="CV194" t="n">
        <v>0</v>
      </c>
      <c r="CW194" t="n">
        <v>0</v>
      </c>
      <c r="CX194" t="n">
        <v>24</v>
      </c>
      <c r="CY194" t="n">
        <v>20.1</v>
      </c>
      <c r="CZ194" t="n">
        <v>35.1</v>
      </c>
      <c r="DA194" t="n">
        <v>29.2</v>
      </c>
      <c r="DB194" t="n">
        <v>19.3</v>
      </c>
      <c r="DC194" t="n">
        <v>16.8</v>
      </c>
      <c r="DD194" t="n">
        <v>27.5</v>
      </c>
      <c r="DE194" t="n">
        <v>22.7</v>
      </c>
      <c r="DF194" t="n">
        <v>24</v>
      </c>
      <c r="DG194" t="n">
        <v>20.1</v>
      </c>
      <c r="DH194" t="n">
        <v>35.1</v>
      </c>
      <c r="DI194" t="n">
        <v>29.2</v>
      </c>
      <c r="DJ194" t="n">
        <v>19.3</v>
      </c>
      <c r="DK194" t="n">
        <v>16.8</v>
      </c>
      <c r="DL194" t="n">
        <v>27.5</v>
      </c>
      <c r="DM194" t="n">
        <v>22.7</v>
      </c>
      <c r="DN194" t="n">
        <v>0</v>
      </c>
      <c r="DO194" t="n">
        <v>0</v>
      </c>
      <c r="DP194" t="n">
        <v>0</v>
      </c>
      <c r="DQ194" t="n">
        <v>0</v>
      </c>
      <c r="DR194" t="n">
        <v>0</v>
      </c>
      <c r="DS194" t="n">
        <v>0</v>
      </c>
      <c r="DT194" t="n">
        <v>0</v>
      </c>
      <c r="DU194" t="n">
        <v>0</v>
      </c>
      <c r="DV194" t="inlineStr">
        <is>
          <t>(CONTRACTS OF $100,000 FACE VALUE)</t>
        </is>
      </c>
    </row>
    <row r="195">
      <c r="A195" t="inlineStr">
        <is>
          <t>ULTRA UST 10Y - CHICAGO BOARD OF TRADE</t>
        </is>
      </c>
      <c r="B195" t="n">
        <v>230110</v>
      </c>
      <c r="C195" s="1" t="n">
        <v>44936</v>
      </c>
      <c r="D195" t="inlineStr">
        <is>
          <t>043607</t>
        </is>
      </c>
      <c r="E195" t="inlineStr">
        <is>
          <t xml:space="preserve">CBT </t>
        </is>
      </c>
      <c r="F195" t="inlineStr">
        <is>
          <t>00</t>
        </is>
      </c>
      <c r="G195" t="inlineStr">
        <is>
          <t xml:space="preserve">043 </t>
        </is>
      </c>
      <c r="H195" t="n">
        <v>1448252</v>
      </c>
      <c r="I195" s="17" t="n">
        <v>153296</v>
      </c>
      <c r="J195" s="17" t="n">
        <v>251566</v>
      </c>
      <c r="K195" t="n">
        <v>13356</v>
      </c>
      <c r="L195" t="n">
        <v>1138679</v>
      </c>
      <c r="M195" t="n">
        <v>945291</v>
      </c>
      <c r="N195" t="n">
        <v>1305331</v>
      </c>
      <c r="O195" t="n">
        <v>1210213</v>
      </c>
      <c r="P195" t="n">
        <v>142921</v>
      </c>
      <c r="Q195" t="n">
        <v>238039</v>
      </c>
      <c r="R195" t="n">
        <v>1448252</v>
      </c>
      <c r="S195" t="n">
        <v>153296</v>
      </c>
      <c r="T195" t="n">
        <v>251566</v>
      </c>
      <c r="U195" t="n">
        <v>13356</v>
      </c>
      <c r="V195" t="n">
        <v>1138679</v>
      </c>
      <c r="W195" t="n">
        <v>945291</v>
      </c>
      <c r="X195" t="n">
        <v>1305331</v>
      </c>
      <c r="Y195" t="n">
        <v>1210213</v>
      </c>
      <c r="Z195" t="n">
        <v>142921</v>
      </c>
      <c r="AA195" t="n">
        <v>238039</v>
      </c>
      <c r="AB195" t="n">
        <v>0</v>
      </c>
      <c r="AC195" t="n">
        <v>0</v>
      </c>
      <c r="AD195" t="n">
        <v>0</v>
      </c>
      <c r="AE195" t="n">
        <v>0</v>
      </c>
      <c r="AF195" t="n">
        <v>0</v>
      </c>
      <c r="AG195" t="n">
        <v>0</v>
      </c>
      <c r="AH195" t="n">
        <v>0</v>
      </c>
      <c r="AI195" t="n">
        <v>0</v>
      </c>
      <c r="AJ195" t="n">
        <v>0</v>
      </c>
      <c r="AK195" t="n">
        <v>0</v>
      </c>
      <c r="AL195" t="n">
        <v>25728</v>
      </c>
      <c r="AM195" t="n">
        <v>15732</v>
      </c>
      <c r="AN195" t="n">
        <v>645</v>
      </c>
      <c r="AO195" t="n">
        <v>535</v>
      </c>
      <c r="AP195" t="n">
        <v>21448</v>
      </c>
      <c r="AQ195" t="n">
        <v>34048</v>
      </c>
      <c r="AR195" t="n">
        <v>37715</v>
      </c>
      <c r="AS195" t="n">
        <v>35228</v>
      </c>
      <c r="AT195" t="n">
        <v>-11987</v>
      </c>
      <c r="AU195" t="n">
        <v>-9500</v>
      </c>
      <c r="AV195" t="n">
        <v>100</v>
      </c>
      <c r="AW195" t="n">
        <v>10.6</v>
      </c>
      <c r="AX195" t="n">
        <v>17.4</v>
      </c>
      <c r="AY195" t="n">
        <v>0.9</v>
      </c>
      <c r="AZ195" t="n">
        <v>78.59999999999999</v>
      </c>
      <c r="BA195" t="n">
        <v>65.3</v>
      </c>
      <c r="BB195" t="n">
        <v>90.09999999999999</v>
      </c>
      <c r="BC195" t="n">
        <v>83.59999999999999</v>
      </c>
      <c r="BD195" t="n">
        <v>9.9</v>
      </c>
      <c r="BE195" t="n">
        <v>16.4</v>
      </c>
      <c r="BF195" t="n">
        <v>100</v>
      </c>
      <c r="BG195" t="n">
        <v>10.6</v>
      </c>
      <c r="BH195" t="n">
        <v>17.4</v>
      </c>
      <c r="BI195" t="n">
        <v>0.9</v>
      </c>
      <c r="BJ195" t="n">
        <v>78.59999999999999</v>
      </c>
      <c r="BK195" t="n">
        <v>65.3</v>
      </c>
      <c r="BL195" t="n">
        <v>90.09999999999999</v>
      </c>
      <c r="BM195" t="n">
        <v>83.59999999999999</v>
      </c>
      <c r="BN195" t="n">
        <v>9.9</v>
      </c>
      <c r="BO195" t="n">
        <v>16.4</v>
      </c>
      <c r="BP195" t="n">
        <v>0</v>
      </c>
      <c r="BQ195" t="n">
        <v>0</v>
      </c>
      <c r="BR195" t="n">
        <v>0</v>
      </c>
      <c r="BS195" t="n">
        <v>0</v>
      </c>
      <c r="BT195" t="n">
        <v>0</v>
      </c>
      <c r="BU195" t="n">
        <v>0</v>
      </c>
      <c r="BV195" t="n">
        <v>0</v>
      </c>
      <c r="BW195" t="n">
        <v>0</v>
      </c>
      <c r="BX195" t="n">
        <v>0</v>
      </c>
      <c r="BY195" t="n">
        <v>0</v>
      </c>
      <c r="BZ195" t="n">
        <v>151</v>
      </c>
      <c r="CA195" t="n">
        <v>17</v>
      </c>
      <c r="CB195" t="n">
        <v>22</v>
      </c>
      <c r="CC195" t="n">
        <v>11</v>
      </c>
      <c r="CD195" t="n">
        <v>83</v>
      </c>
      <c r="CE195" t="n">
        <v>90</v>
      </c>
      <c r="CF195" t="n">
        <v>106</v>
      </c>
      <c r="CG195" t="n">
        <v>117</v>
      </c>
      <c r="CH195" t="n">
        <v>151</v>
      </c>
      <c r="CI195" t="n">
        <v>17</v>
      </c>
      <c r="CJ195" t="n">
        <v>22</v>
      </c>
      <c r="CK195" t="n">
        <v>11</v>
      </c>
      <c r="CL195" t="n">
        <v>83</v>
      </c>
      <c r="CM195" t="n">
        <v>90</v>
      </c>
      <c r="CN195" t="n">
        <v>106</v>
      </c>
      <c r="CO195" t="n">
        <v>117</v>
      </c>
      <c r="CP195" t="n">
        <v>0</v>
      </c>
      <c r="CQ195" t="n">
        <v>0</v>
      </c>
      <c r="CR195" t="n">
        <v>0</v>
      </c>
      <c r="CS195" t="n">
        <v>0</v>
      </c>
      <c r="CT195" t="n">
        <v>0</v>
      </c>
      <c r="CU195" t="n">
        <v>0</v>
      </c>
      <c r="CV195" t="n">
        <v>0</v>
      </c>
      <c r="CW195" t="n">
        <v>0</v>
      </c>
      <c r="CX195" t="n">
        <v>35.4</v>
      </c>
      <c r="CY195" t="n">
        <v>31.9</v>
      </c>
      <c r="CZ195" t="n">
        <v>50.1</v>
      </c>
      <c r="DA195" t="n">
        <v>44.1</v>
      </c>
      <c r="DB195" t="n">
        <v>35.2</v>
      </c>
      <c r="DC195" t="n">
        <v>29.2</v>
      </c>
      <c r="DD195" t="n">
        <v>48.2</v>
      </c>
      <c r="DE195" t="n">
        <v>40.1</v>
      </c>
      <c r="DF195" t="n">
        <v>35.4</v>
      </c>
      <c r="DG195" t="n">
        <v>31.9</v>
      </c>
      <c r="DH195" t="n">
        <v>50.1</v>
      </c>
      <c r="DI195" t="n">
        <v>44.1</v>
      </c>
      <c r="DJ195" t="n">
        <v>35.2</v>
      </c>
      <c r="DK195" t="n">
        <v>29.2</v>
      </c>
      <c r="DL195" t="n">
        <v>48.2</v>
      </c>
      <c r="DM195" t="n">
        <v>40.1</v>
      </c>
      <c r="DN195" t="n">
        <v>0</v>
      </c>
      <c r="DO195" t="n">
        <v>0</v>
      </c>
      <c r="DP195" t="n">
        <v>0</v>
      </c>
      <c r="DQ195" t="n">
        <v>0</v>
      </c>
      <c r="DR195" t="n">
        <v>0</v>
      </c>
      <c r="DS195" t="n">
        <v>0</v>
      </c>
      <c r="DT195" t="n">
        <v>0</v>
      </c>
      <c r="DU195" t="n">
        <v>0</v>
      </c>
      <c r="DV195" t="inlineStr">
        <is>
          <t>(CONTRACTS OF $100,000 FACE VALUE)</t>
        </is>
      </c>
    </row>
    <row r="196">
      <c r="A196" t="inlineStr">
        <is>
          <t>ULTRA UST 10Y - CHICAGO BOARD OF TRADE</t>
        </is>
      </c>
      <c r="B196" t="n">
        <v>230103</v>
      </c>
      <c r="C196" s="1" t="n">
        <v>44929</v>
      </c>
      <c r="D196" t="inlineStr">
        <is>
          <t>043607</t>
        </is>
      </c>
      <c r="E196" t="inlineStr">
        <is>
          <t xml:space="preserve">CBT </t>
        </is>
      </c>
      <c r="F196" t="inlineStr">
        <is>
          <t>00</t>
        </is>
      </c>
      <c r="G196" t="inlineStr">
        <is>
          <t xml:space="preserve">043 </t>
        </is>
      </c>
      <c r="H196" t="n">
        <v>1422524</v>
      </c>
      <c r="I196" s="17" t="n">
        <v>137564</v>
      </c>
      <c r="J196" s="17" t="n">
        <v>250921</v>
      </c>
      <c r="K196" t="n">
        <v>12821</v>
      </c>
      <c r="L196" t="n">
        <v>1117231</v>
      </c>
      <c r="M196" t="n">
        <v>911243</v>
      </c>
      <c r="N196" t="n">
        <v>1267616</v>
      </c>
      <c r="O196" t="n">
        <v>1174985</v>
      </c>
      <c r="P196" t="n">
        <v>154908</v>
      </c>
      <c r="Q196" t="n">
        <v>247539</v>
      </c>
      <c r="R196" t="n">
        <v>1422524</v>
      </c>
      <c r="S196" t="n">
        <v>137564</v>
      </c>
      <c r="T196" t="n">
        <v>250921</v>
      </c>
      <c r="U196" t="n">
        <v>12821</v>
      </c>
      <c r="V196" t="n">
        <v>1117231</v>
      </c>
      <c r="W196" t="n">
        <v>911243</v>
      </c>
      <c r="X196" t="n">
        <v>1267616</v>
      </c>
      <c r="Y196" t="n">
        <v>1174985</v>
      </c>
      <c r="Z196" t="n">
        <v>154908</v>
      </c>
      <c r="AA196" t="n">
        <v>247539</v>
      </c>
      <c r="AB196" t="n">
        <v>0</v>
      </c>
      <c r="AC196" t="n">
        <v>0</v>
      </c>
      <c r="AD196" t="n">
        <v>0</v>
      </c>
      <c r="AE196" t="n">
        <v>0</v>
      </c>
      <c r="AF196" t="n">
        <v>0</v>
      </c>
      <c r="AG196" t="n">
        <v>0</v>
      </c>
      <c r="AH196" t="n">
        <v>0</v>
      </c>
      <c r="AI196" t="n">
        <v>0</v>
      </c>
      <c r="AJ196" t="n">
        <v>0</v>
      </c>
      <c r="AK196" t="n">
        <v>0</v>
      </c>
      <c r="AL196" t="n">
        <v>-4219</v>
      </c>
      <c r="AM196" t="n">
        <v>-21821</v>
      </c>
      <c r="AN196" t="n">
        <v>8270</v>
      </c>
      <c r="AO196" t="n">
        <v>1597</v>
      </c>
      <c r="AP196" t="n">
        <v>13293</v>
      </c>
      <c r="AQ196" t="n">
        <v>-19161</v>
      </c>
      <c r="AR196" t="n">
        <v>-6931</v>
      </c>
      <c r="AS196" t="n">
        <v>-9294</v>
      </c>
      <c r="AT196" t="n">
        <v>2712</v>
      </c>
      <c r="AU196" t="n">
        <v>5075</v>
      </c>
      <c r="AV196" t="n">
        <v>100</v>
      </c>
      <c r="AW196" t="n">
        <v>9.699999999999999</v>
      </c>
      <c r="AX196" t="n">
        <v>17.6</v>
      </c>
      <c r="AY196" t="n">
        <v>0.9</v>
      </c>
      <c r="AZ196" t="n">
        <v>78.5</v>
      </c>
      <c r="BA196" t="n">
        <v>64.09999999999999</v>
      </c>
      <c r="BB196" t="n">
        <v>89.09999999999999</v>
      </c>
      <c r="BC196" t="n">
        <v>82.59999999999999</v>
      </c>
      <c r="BD196" t="n">
        <v>10.9</v>
      </c>
      <c r="BE196" t="n">
        <v>17.4</v>
      </c>
      <c r="BF196" t="n">
        <v>100</v>
      </c>
      <c r="BG196" t="n">
        <v>9.699999999999999</v>
      </c>
      <c r="BH196" t="n">
        <v>17.6</v>
      </c>
      <c r="BI196" t="n">
        <v>0.9</v>
      </c>
      <c r="BJ196" t="n">
        <v>78.5</v>
      </c>
      <c r="BK196" t="n">
        <v>64.09999999999999</v>
      </c>
      <c r="BL196" t="n">
        <v>89.09999999999999</v>
      </c>
      <c r="BM196" t="n">
        <v>82.59999999999999</v>
      </c>
      <c r="BN196" t="n">
        <v>10.9</v>
      </c>
      <c r="BO196" t="n">
        <v>17.4</v>
      </c>
      <c r="BP196" t="n">
        <v>0</v>
      </c>
      <c r="BQ196" t="n">
        <v>0</v>
      </c>
      <c r="BR196" t="n">
        <v>0</v>
      </c>
      <c r="BS196" t="n">
        <v>0</v>
      </c>
      <c r="BT196" t="n">
        <v>0</v>
      </c>
      <c r="BU196" t="n">
        <v>0</v>
      </c>
      <c r="BV196" t="n">
        <v>0</v>
      </c>
      <c r="BW196" t="n">
        <v>0</v>
      </c>
      <c r="BX196" t="n">
        <v>0</v>
      </c>
      <c r="BY196" t="n">
        <v>0</v>
      </c>
      <c r="BZ196" t="n">
        <v>140</v>
      </c>
      <c r="CA196" t="n">
        <v>14</v>
      </c>
      <c r="CB196" t="n">
        <v>24</v>
      </c>
      <c r="CC196" t="n">
        <v>10</v>
      </c>
      <c r="CD196" t="n">
        <v>75</v>
      </c>
      <c r="CE196" t="n">
        <v>84</v>
      </c>
      <c r="CF196" t="n">
        <v>94</v>
      </c>
      <c r="CG196" t="n">
        <v>113</v>
      </c>
      <c r="CH196" t="n">
        <v>140</v>
      </c>
      <c r="CI196" t="n">
        <v>14</v>
      </c>
      <c r="CJ196" t="n">
        <v>24</v>
      </c>
      <c r="CK196" t="n">
        <v>10</v>
      </c>
      <c r="CL196" t="n">
        <v>75</v>
      </c>
      <c r="CM196" t="n">
        <v>84</v>
      </c>
      <c r="CN196" t="n">
        <v>94</v>
      </c>
      <c r="CO196" t="n">
        <v>113</v>
      </c>
      <c r="CP196" t="n">
        <v>0</v>
      </c>
      <c r="CQ196" t="n">
        <v>0</v>
      </c>
      <c r="CR196" t="n">
        <v>0</v>
      </c>
      <c r="CS196" t="n">
        <v>0</v>
      </c>
      <c r="CT196" t="n">
        <v>0</v>
      </c>
      <c r="CU196" t="n">
        <v>0</v>
      </c>
      <c r="CV196" t="n">
        <v>0</v>
      </c>
      <c r="CW196" t="n">
        <v>0</v>
      </c>
      <c r="CX196" t="n">
        <v>35.5</v>
      </c>
      <c r="CY196" t="n">
        <v>29.6</v>
      </c>
      <c r="CZ196" t="n">
        <v>50.2</v>
      </c>
      <c r="DA196" t="n">
        <v>43</v>
      </c>
      <c r="DB196" t="n">
        <v>35.2</v>
      </c>
      <c r="DC196" t="n">
        <v>26.5</v>
      </c>
      <c r="DD196" t="n">
        <v>48.1</v>
      </c>
      <c r="DE196" t="n">
        <v>38.7</v>
      </c>
      <c r="DF196" t="n">
        <v>35.5</v>
      </c>
      <c r="DG196" t="n">
        <v>29.6</v>
      </c>
      <c r="DH196" t="n">
        <v>50.2</v>
      </c>
      <c r="DI196" t="n">
        <v>43</v>
      </c>
      <c r="DJ196" t="n">
        <v>35.2</v>
      </c>
      <c r="DK196" t="n">
        <v>26.5</v>
      </c>
      <c r="DL196" t="n">
        <v>48.1</v>
      </c>
      <c r="DM196" t="n">
        <v>38.7</v>
      </c>
      <c r="DN196" t="n">
        <v>0</v>
      </c>
      <c r="DO196" t="n">
        <v>0</v>
      </c>
      <c r="DP196" t="n">
        <v>0</v>
      </c>
      <c r="DQ196" t="n">
        <v>0</v>
      </c>
      <c r="DR196" t="n">
        <v>0</v>
      </c>
      <c r="DS196" t="n">
        <v>0</v>
      </c>
      <c r="DT196" t="n">
        <v>0</v>
      </c>
      <c r="DU196" t="n">
        <v>0</v>
      </c>
      <c r="DV196" t="inlineStr">
        <is>
          <t>(CONTRACTS OF $100,000 FACE VALUE)</t>
        </is>
      </c>
    </row>
    <row r="197">
      <c r="A197" t="inlineStr">
        <is>
          <t>MICRO 10 YEAR YIELD - CHICAGO BOARD OF TRADE</t>
        </is>
      </c>
      <c r="B197" t="n">
        <v>230110</v>
      </c>
      <c r="C197" s="1" t="n">
        <v>44936</v>
      </c>
      <c r="D197" t="inlineStr">
        <is>
          <t>04360Y</t>
        </is>
      </c>
      <c r="E197" t="inlineStr">
        <is>
          <t xml:space="preserve">CBT </t>
        </is>
      </c>
      <c r="F197" t="inlineStr">
        <is>
          <t>00</t>
        </is>
      </c>
      <c r="G197" t="inlineStr">
        <is>
          <t xml:space="preserve">043 </t>
        </is>
      </c>
      <c r="H197" t="n">
        <v>1974</v>
      </c>
      <c r="I197" s="17" t="n">
        <v>978</v>
      </c>
      <c r="J197" s="17" t="n">
        <v>1470</v>
      </c>
      <c r="K197" t="n">
        <v>0</v>
      </c>
      <c r="L197" t="n">
        <v>0</v>
      </c>
      <c r="M197" t="n">
        <v>0</v>
      </c>
      <c r="N197" t="n">
        <v>978</v>
      </c>
      <c r="O197" t="n">
        <v>1470</v>
      </c>
      <c r="P197" t="n">
        <v>996</v>
      </c>
      <c r="Q197" t="n">
        <v>504</v>
      </c>
      <c r="R197" t="n">
        <v>1974</v>
      </c>
      <c r="S197" t="n">
        <v>978</v>
      </c>
      <c r="T197" t="n">
        <v>1470</v>
      </c>
      <c r="U197" t="n">
        <v>0</v>
      </c>
      <c r="V197" t="n">
        <v>0</v>
      </c>
      <c r="W197" t="n">
        <v>0</v>
      </c>
      <c r="X197" t="n">
        <v>978</v>
      </c>
      <c r="Y197" t="n">
        <v>1470</v>
      </c>
      <c r="Z197" t="n">
        <v>996</v>
      </c>
      <c r="AA197" t="n">
        <v>504</v>
      </c>
      <c r="AB197" t="n">
        <v>0</v>
      </c>
      <c r="AC197" t="n">
        <v>0</v>
      </c>
      <c r="AD197" t="n">
        <v>0</v>
      </c>
      <c r="AE197" t="n">
        <v>0</v>
      </c>
      <c r="AF197" t="n">
        <v>0</v>
      </c>
      <c r="AG197" t="n">
        <v>0</v>
      </c>
      <c r="AH197" t="n">
        <v>0</v>
      </c>
      <c r="AI197" t="n">
        <v>0</v>
      </c>
      <c r="AJ197" t="n">
        <v>0</v>
      </c>
      <c r="AK197" t="n">
        <v>0</v>
      </c>
      <c r="AV197" t="n">
        <v>100</v>
      </c>
      <c r="AW197" t="n">
        <v>49.5</v>
      </c>
      <c r="AX197" t="n">
        <v>74.5</v>
      </c>
      <c r="AY197" t="n">
        <v>0</v>
      </c>
      <c r="AZ197" t="n">
        <v>0</v>
      </c>
      <c r="BA197" t="n">
        <v>0</v>
      </c>
      <c r="BB197" t="n">
        <v>49.5</v>
      </c>
      <c r="BC197" t="n">
        <v>74.5</v>
      </c>
      <c r="BD197" t="n">
        <v>50.5</v>
      </c>
      <c r="BE197" t="n">
        <v>25.5</v>
      </c>
      <c r="BF197" t="n">
        <v>100</v>
      </c>
      <c r="BG197" t="n">
        <v>49.5</v>
      </c>
      <c r="BH197" t="n">
        <v>74.5</v>
      </c>
      <c r="BI197" t="n">
        <v>0</v>
      </c>
      <c r="BJ197" t="n">
        <v>0</v>
      </c>
      <c r="BK197" t="n">
        <v>0</v>
      </c>
      <c r="BL197" t="n">
        <v>49.5</v>
      </c>
      <c r="BM197" t="n">
        <v>74.5</v>
      </c>
      <c r="BN197" t="n">
        <v>50.5</v>
      </c>
      <c r="BO197" t="n">
        <v>25.5</v>
      </c>
      <c r="BP197" t="n">
        <v>0</v>
      </c>
      <c r="BQ197" t="n">
        <v>0</v>
      </c>
      <c r="BR197" t="n">
        <v>0</v>
      </c>
      <c r="BS197" t="n">
        <v>0</v>
      </c>
      <c r="BT197" t="n">
        <v>0</v>
      </c>
      <c r="BU197" t="n">
        <v>0</v>
      </c>
      <c r="BV197" t="n">
        <v>0</v>
      </c>
      <c r="BW197" t="n">
        <v>0</v>
      </c>
      <c r="BX197" t="n">
        <v>0</v>
      </c>
      <c r="BY197" t="n">
        <v>0</v>
      </c>
      <c r="BZ197" t="n">
        <v>20</v>
      </c>
      <c r="CA197" t="n">
        <v>15</v>
      </c>
      <c r="CB197" t="n">
        <v>5</v>
      </c>
      <c r="CC197" t="n">
        <v>0</v>
      </c>
      <c r="CD197" t="n">
        <v>0</v>
      </c>
      <c r="CE197" t="n">
        <v>0</v>
      </c>
      <c r="CF197" t="n">
        <v>15</v>
      </c>
      <c r="CG197" t="n">
        <v>5</v>
      </c>
      <c r="CH197" t="n">
        <v>20</v>
      </c>
      <c r="CI197" t="n">
        <v>15</v>
      </c>
      <c r="CJ197" t="n">
        <v>5</v>
      </c>
      <c r="CK197" t="n">
        <v>0</v>
      </c>
      <c r="CL197" t="n">
        <v>0</v>
      </c>
      <c r="CM197" t="n">
        <v>0</v>
      </c>
      <c r="CN197" t="n">
        <v>15</v>
      </c>
      <c r="CO197" t="n">
        <v>5</v>
      </c>
      <c r="CP197" t="n">
        <v>0</v>
      </c>
      <c r="CQ197" t="n">
        <v>0</v>
      </c>
      <c r="CR197" t="n">
        <v>0</v>
      </c>
      <c r="CS197" t="n">
        <v>0</v>
      </c>
      <c r="CT197" t="n">
        <v>0</v>
      </c>
      <c r="CU197" t="n">
        <v>0</v>
      </c>
      <c r="CV197" t="n">
        <v>0</v>
      </c>
      <c r="CW197" t="n">
        <v>0</v>
      </c>
      <c r="CX197" t="n">
        <v>23.8</v>
      </c>
      <c r="CY197" t="n">
        <v>73</v>
      </c>
      <c r="CZ197" t="n">
        <v>38</v>
      </c>
      <c r="DA197" t="n">
        <v>74.5</v>
      </c>
      <c r="DB197" t="n">
        <v>23.8</v>
      </c>
      <c r="DC197" t="n">
        <v>73</v>
      </c>
      <c r="DD197" t="n">
        <v>38</v>
      </c>
      <c r="DE197" t="n">
        <v>74.5</v>
      </c>
      <c r="DF197" t="n">
        <v>23.8</v>
      </c>
      <c r="DG197" t="n">
        <v>73</v>
      </c>
      <c r="DH197" t="n">
        <v>38</v>
      </c>
      <c r="DI197" t="n">
        <v>74.5</v>
      </c>
      <c r="DJ197" t="n">
        <v>23.8</v>
      </c>
      <c r="DK197" t="n">
        <v>73</v>
      </c>
      <c r="DL197" t="n">
        <v>38</v>
      </c>
      <c r="DM197" t="n">
        <v>74.5</v>
      </c>
      <c r="DN197" t="n">
        <v>0</v>
      </c>
      <c r="DO197" t="n">
        <v>0</v>
      </c>
      <c r="DP197" t="n">
        <v>0</v>
      </c>
      <c r="DQ197" t="n">
        <v>0</v>
      </c>
      <c r="DR197" t="n">
        <v>0</v>
      </c>
      <c r="DS197" t="n">
        <v>0</v>
      </c>
      <c r="DT197" t="n">
        <v>0</v>
      </c>
      <c r="DU197" t="n">
        <v>0</v>
      </c>
      <c r="DV197" t="inlineStr">
        <is>
          <t>1000 x Index Points</t>
        </is>
      </c>
    </row>
    <row r="198">
      <c r="A198" t="inlineStr">
        <is>
          <t>UST 5Y NOTE - CHICAGO BOARD OF TRADE</t>
        </is>
      </c>
      <c r="B198" t="n">
        <v>230110</v>
      </c>
      <c r="C198" s="1" t="n">
        <v>44936</v>
      </c>
      <c r="D198" t="inlineStr">
        <is>
          <t>044601</t>
        </is>
      </c>
      <c r="E198" t="inlineStr">
        <is>
          <t xml:space="preserve">CBT </t>
        </is>
      </c>
      <c r="F198" t="inlineStr">
        <is>
          <t>00</t>
        </is>
      </c>
      <c r="G198" t="inlineStr">
        <is>
          <t xml:space="preserve">044 </t>
        </is>
      </c>
      <c r="H198" t="n">
        <v>4095328</v>
      </c>
      <c r="I198" s="17" t="n">
        <v>235968</v>
      </c>
      <c r="J198" s="17" t="n">
        <v>859119</v>
      </c>
      <c r="K198" t="n">
        <v>61307</v>
      </c>
      <c r="L198" t="n">
        <v>3471933</v>
      </c>
      <c r="M198" t="n">
        <v>2814289</v>
      </c>
      <c r="N198" t="n">
        <v>3769208</v>
      </c>
      <c r="O198" t="n">
        <v>3734715</v>
      </c>
      <c r="P198" t="n">
        <v>326120</v>
      </c>
      <c r="Q198" t="n">
        <v>360613</v>
      </c>
      <c r="R198" t="n">
        <v>4095328</v>
      </c>
      <c r="S198" t="n">
        <v>235968</v>
      </c>
      <c r="T198" t="n">
        <v>859119</v>
      </c>
      <c r="U198" t="n">
        <v>61307</v>
      </c>
      <c r="V198" t="n">
        <v>3471933</v>
      </c>
      <c r="W198" t="n">
        <v>2814289</v>
      </c>
      <c r="X198" t="n">
        <v>3769208</v>
      </c>
      <c r="Y198" t="n">
        <v>3734715</v>
      </c>
      <c r="Z198" t="n">
        <v>326120</v>
      </c>
      <c r="AA198" t="n">
        <v>360613</v>
      </c>
      <c r="AB198" t="n">
        <v>0</v>
      </c>
      <c r="AC198" t="n">
        <v>0</v>
      </c>
      <c r="AD198" t="n">
        <v>0</v>
      </c>
      <c r="AE198" t="n">
        <v>0</v>
      </c>
      <c r="AF198" t="n">
        <v>0</v>
      </c>
      <c r="AG198" t="n">
        <v>0</v>
      </c>
      <c r="AH198" t="n">
        <v>0</v>
      </c>
      <c r="AI198" t="n">
        <v>0</v>
      </c>
      <c r="AJ198" t="n">
        <v>0</v>
      </c>
      <c r="AK198" t="n">
        <v>0</v>
      </c>
      <c r="AL198" t="n">
        <v>-117934</v>
      </c>
      <c r="AM198" t="n">
        <v>-54253</v>
      </c>
      <c r="AN198" t="n">
        <v>-84021</v>
      </c>
      <c r="AO198" t="n">
        <v>8865</v>
      </c>
      <c r="AP198" t="n">
        <v>-81549</v>
      </c>
      <c r="AQ198" t="n">
        <v>-30135</v>
      </c>
      <c r="AR198" t="n">
        <v>-126937</v>
      </c>
      <c r="AS198" t="n">
        <v>-105291</v>
      </c>
      <c r="AT198" t="n">
        <v>9003</v>
      </c>
      <c r="AU198" t="n">
        <v>-12643</v>
      </c>
      <c r="AV198" t="n">
        <v>100</v>
      </c>
      <c r="AW198" t="n">
        <v>5.8</v>
      </c>
      <c r="AX198" t="n">
        <v>21</v>
      </c>
      <c r="AY198" t="n">
        <v>1.5</v>
      </c>
      <c r="AZ198" t="n">
        <v>84.8</v>
      </c>
      <c r="BA198" t="n">
        <v>68.7</v>
      </c>
      <c r="BB198" t="n">
        <v>92</v>
      </c>
      <c r="BC198" t="n">
        <v>91.2</v>
      </c>
      <c r="BD198" t="n">
        <v>8</v>
      </c>
      <c r="BE198" t="n">
        <v>8.800000000000001</v>
      </c>
      <c r="BF198" t="n">
        <v>100</v>
      </c>
      <c r="BG198" t="n">
        <v>5.8</v>
      </c>
      <c r="BH198" t="n">
        <v>21</v>
      </c>
      <c r="BI198" t="n">
        <v>1.5</v>
      </c>
      <c r="BJ198" t="n">
        <v>84.8</v>
      </c>
      <c r="BK198" t="n">
        <v>68.7</v>
      </c>
      <c r="BL198" t="n">
        <v>92</v>
      </c>
      <c r="BM198" t="n">
        <v>91.2</v>
      </c>
      <c r="BN198" t="n">
        <v>8</v>
      </c>
      <c r="BO198" t="n">
        <v>8.800000000000001</v>
      </c>
      <c r="BP198" t="n">
        <v>0</v>
      </c>
      <c r="BQ198" t="n">
        <v>0</v>
      </c>
      <c r="BR198" t="n">
        <v>0</v>
      </c>
      <c r="BS198" t="n">
        <v>0</v>
      </c>
      <c r="BT198" t="n">
        <v>0</v>
      </c>
      <c r="BU198" t="n">
        <v>0</v>
      </c>
      <c r="BV198" t="n">
        <v>0</v>
      </c>
      <c r="BW198" t="n">
        <v>0</v>
      </c>
      <c r="BX198" t="n">
        <v>0</v>
      </c>
      <c r="BY198" t="n">
        <v>0</v>
      </c>
      <c r="BZ198" t="n">
        <v>351</v>
      </c>
      <c r="CA198" t="n">
        <v>48</v>
      </c>
      <c r="CB198" t="n">
        <v>52</v>
      </c>
      <c r="CC198" t="n">
        <v>25</v>
      </c>
      <c r="CD198" t="n">
        <v>168</v>
      </c>
      <c r="CE198" t="n">
        <v>181</v>
      </c>
      <c r="CF198" t="n">
        <v>229</v>
      </c>
      <c r="CG198" t="n">
        <v>245</v>
      </c>
      <c r="CH198" t="n">
        <v>351</v>
      </c>
      <c r="CI198" t="n">
        <v>48</v>
      </c>
      <c r="CJ198" t="n">
        <v>52</v>
      </c>
      <c r="CK198" t="n">
        <v>25</v>
      </c>
      <c r="CL198" t="n">
        <v>168</v>
      </c>
      <c r="CM198" t="n">
        <v>181</v>
      </c>
      <c r="CN198" t="n">
        <v>229</v>
      </c>
      <c r="CO198" t="n">
        <v>245</v>
      </c>
      <c r="CP198" t="n">
        <v>0</v>
      </c>
      <c r="CQ198" t="n">
        <v>0</v>
      </c>
      <c r="CR198" t="n">
        <v>0</v>
      </c>
      <c r="CS198" t="n">
        <v>0</v>
      </c>
      <c r="CT198" t="n">
        <v>0</v>
      </c>
      <c r="CU198" t="n">
        <v>0</v>
      </c>
      <c r="CV198" t="n">
        <v>0</v>
      </c>
      <c r="CW198" t="n">
        <v>0</v>
      </c>
      <c r="CX198" t="n">
        <v>34.7</v>
      </c>
      <c r="CY198" t="n">
        <v>19.4</v>
      </c>
      <c r="CZ198" t="n">
        <v>45.9</v>
      </c>
      <c r="DA198" t="n">
        <v>30.6</v>
      </c>
      <c r="DB198" t="n">
        <v>30</v>
      </c>
      <c r="DC198" t="n">
        <v>18.7</v>
      </c>
      <c r="DD198" t="n">
        <v>39.3</v>
      </c>
      <c r="DE198" t="n">
        <v>28.5</v>
      </c>
      <c r="DF198" t="n">
        <v>34.7</v>
      </c>
      <c r="DG198" t="n">
        <v>19.4</v>
      </c>
      <c r="DH198" t="n">
        <v>45.9</v>
      </c>
      <c r="DI198" t="n">
        <v>30.6</v>
      </c>
      <c r="DJ198" t="n">
        <v>30</v>
      </c>
      <c r="DK198" t="n">
        <v>18.7</v>
      </c>
      <c r="DL198" t="n">
        <v>39.3</v>
      </c>
      <c r="DM198" t="n">
        <v>28.5</v>
      </c>
      <c r="DN198" t="n">
        <v>0</v>
      </c>
      <c r="DO198" t="n">
        <v>0</v>
      </c>
      <c r="DP198" t="n">
        <v>0</v>
      </c>
      <c r="DQ198" t="n">
        <v>0</v>
      </c>
      <c r="DR198" t="n">
        <v>0</v>
      </c>
      <c r="DS198" t="n">
        <v>0</v>
      </c>
      <c r="DT198" t="n">
        <v>0</v>
      </c>
      <c r="DU198" t="n">
        <v>0</v>
      </c>
      <c r="DV198" t="inlineStr">
        <is>
          <t>(CONTRACTS OF $100,000 FACE VALUE)</t>
        </is>
      </c>
    </row>
    <row r="199">
      <c r="A199" t="inlineStr">
        <is>
          <t>UST 5Y NOTE - CHICAGO BOARD OF TRADE</t>
        </is>
      </c>
      <c r="B199" t="n">
        <v>230103</v>
      </c>
      <c r="C199" s="1" t="n">
        <v>44929</v>
      </c>
      <c r="D199" t="inlineStr">
        <is>
          <t>044601</t>
        </is>
      </c>
      <c r="E199" t="inlineStr">
        <is>
          <t xml:space="preserve">CBT </t>
        </is>
      </c>
      <c r="F199" t="inlineStr">
        <is>
          <t>00</t>
        </is>
      </c>
      <c r="G199" t="inlineStr">
        <is>
          <t xml:space="preserve">044 </t>
        </is>
      </c>
      <c r="H199" t="n">
        <v>4213262</v>
      </c>
      <c r="I199" s="17" t="n">
        <v>290221</v>
      </c>
      <c r="J199" s="17" t="n">
        <v>943140</v>
      </c>
      <c r="K199" t="n">
        <v>52442</v>
      </c>
      <c r="L199" t="n">
        <v>3553482</v>
      </c>
      <c r="M199" t="n">
        <v>2844424</v>
      </c>
      <c r="N199" t="n">
        <v>3896145</v>
      </c>
      <c r="O199" t="n">
        <v>3840006</v>
      </c>
      <c r="P199" t="n">
        <v>317117</v>
      </c>
      <c r="Q199" t="n">
        <v>373256</v>
      </c>
      <c r="R199" t="n">
        <v>4213262</v>
      </c>
      <c r="S199" t="n">
        <v>290221</v>
      </c>
      <c r="T199" t="n">
        <v>943140</v>
      </c>
      <c r="U199" t="n">
        <v>52442</v>
      </c>
      <c r="V199" t="n">
        <v>3553482</v>
      </c>
      <c r="W199" t="n">
        <v>2844424</v>
      </c>
      <c r="X199" t="n">
        <v>3896145</v>
      </c>
      <c r="Y199" t="n">
        <v>3840006</v>
      </c>
      <c r="Z199" t="n">
        <v>317117</v>
      </c>
      <c r="AA199" t="n">
        <v>373256</v>
      </c>
      <c r="AB199" t="n">
        <v>0</v>
      </c>
      <c r="AC199" t="n">
        <v>0</v>
      </c>
      <c r="AD199" t="n">
        <v>0</v>
      </c>
      <c r="AE199" t="n">
        <v>0</v>
      </c>
      <c r="AF199" t="n">
        <v>0</v>
      </c>
      <c r="AG199" t="n">
        <v>0</v>
      </c>
      <c r="AH199" t="n">
        <v>0</v>
      </c>
      <c r="AI199" t="n">
        <v>0</v>
      </c>
      <c r="AJ199" t="n">
        <v>0</v>
      </c>
      <c r="AK199" t="n">
        <v>0</v>
      </c>
      <c r="AL199" t="n">
        <v>78690</v>
      </c>
      <c r="AM199" t="n">
        <v>51202</v>
      </c>
      <c r="AN199" t="n">
        <v>48593</v>
      </c>
      <c r="AO199" t="n">
        <v>-1563</v>
      </c>
      <c r="AP199" t="n">
        <v>21820</v>
      </c>
      <c r="AQ199" t="n">
        <v>36991</v>
      </c>
      <c r="AR199" t="n">
        <v>71459</v>
      </c>
      <c r="AS199" t="n">
        <v>84021</v>
      </c>
      <c r="AT199" t="n">
        <v>7231</v>
      </c>
      <c r="AU199" t="n">
        <v>-5331</v>
      </c>
      <c r="AV199" t="n">
        <v>100</v>
      </c>
      <c r="AW199" t="n">
        <v>6.9</v>
      </c>
      <c r="AX199" t="n">
        <v>22.4</v>
      </c>
      <c r="AY199" t="n">
        <v>1.2</v>
      </c>
      <c r="AZ199" t="n">
        <v>84.3</v>
      </c>
      <c r="BA199" t="n">
        <v>67.5</v>
      </c>
      <c r="BB199" t="n">
        <v>92.5</v>
      </c>
      <c r="BC199" t="n">
        <v>91.09999999999999</v>
      </c>
      <c r="BD199" t="n">
        <v>7.5</v>
      </c>
      <c r="BE199" t="n">
        <v>8.9</v>
      </c>
      <c r="BF199" t="n">
        <v>100</v>
      </c>
      <c r="BG199" t="n">
        <v>6.9</v>
      </c>
      <c r="BH199" t="n">
        <v>22.4</v>
      </c>
      <c r="BI199" t="n">
        <v>1.2</v>
      </c>
      <c r="BJ199" t="n">
        <v>84.3</v>
      </c>
      <c r="BK199" t="n">
        <v>67.5</v>
      </c>
      <c r="BL199" t="n">
        <v>92.5</v>
      </c>
      <c r="BM199" t="n">
        <v>91.09999999999999</v>
      </c>
      <c r="BN199" t="n">
        <v>7.5</v>
      </c>
      <c r="BO199" t="n">
        <v>8.9</v>
      </c>
      <c r="BP199" t="n">
        <v>0</v>
      </c>
      <c r="BQ199" t="n">
        <v>0</v>
      </c>
      <c r="BR199" t="n">
        <v>0</v>
      </c>
      <c r="BS199" t="n">
        <v>0</v>
      </c>
      <c r="BT199" t="n">
        <v>0</v>
      </c>
      <c r="BU199" t="n">
        <v>0</v>
      </c>
      <c r="BV199" t="n">
        <v>0</v>
      </c>
      <c r="BW199" t="n">
        <v>0</v>
      </c>
      <c r="BX199" t="n">
        <v>0</v>
      </c>
      <c r="BY199" t="n">
        <v>0</v>
      </c>
      <c r="BZ199" t="n">
        <v>342</v>
      </c>
      <c r="CA199" t="n">
        <v>37</v>
      </c>
      <c r="CB199" t="n">
        <v>61</v>
      </c>
      <c r="CC199" t="n">
        <v>21</v>
      </c>
      <c r="CD199" t="n">
        <v>160</v>
      </c>
      <c r="CE199" t="n">
        <v>182</v>
      </c>
      <c r="CF199" t="n">
        <v>208</v>
      </c>
      <c r="CG199" t="n">
        <v>253</v>
      </c>
      <c r="CH199" t="n">
        <v>342</v>
      </c>
      <c r="CI199" t="n">
        <v>37</v>
      </c>
      <c r="CJ199" t="n">
        <v>61</v>
      </c>
      <c r="CK199" t="n">
        <v>21</v>
      </c>
      <c r="CL199" t="n">
        <v>160</v>
      </c>
      <c r="CM199" t="n">
        <v>182</v>
      </c>
      <c r="CN199" t="n">
        <v>208</v>
      </c>
      <c r="CO199" t="n">
        <v>253</v>
      </c>
      <c r="CP199" t="n">
        <v>0</v>
      </c>
      <c r="CQ199" t="n">
        <v>0</v>
      </c>
      <c r="CR199" t="n">
        <v>0</v>
      </c>
      <c r="CS199" t="n">
        <v>0</v>
      </c>
      <c r="CT199" t="n">
        <v>0</v>
      </c>
      <c r="CU199" t="n">
        <v>0</v>
      </c>
      <c r="CV199" t="n">
        <v>0</v>
      </c>
      <c r="CW199" t="n">
        <v>0</v>
      </c>
      <c r="CX199" t="n">
        <v>35.6</v>
      </c>
      <c r="CY199" t="n">
        <v>19.1</v>
      </c>
      <c r="CZ199" t="n">
        <v>47</v>
      </c>
      <c r="DA199" t="n">
        <v>29.3</v>
      </c>
      <c r="DB199" t="n">
        <v>31</v>
      </c>
      <c r="DC199" t="n">
        <v>18.2</v>
      </c>
      <c r="DD199" t="n">
        <v>40.4</v>
      </c>
      <c r="DE199" t="n">
        <v>27.7</v>
      </c>
      <c r="DF199" t="n">
        <v>35.6</v>
      </c>
      <c r="DG199" t="n">
        <v>19.1</v>
      </c>
      <c r="DH199" t="n">
        <v>47</v>
      </c>
      <c r="DI199" t="n">
        <v>29.3</v>
      </c>
      <c r="DJ199" t="n">
        <v>31</v>
      </c>
      <c r="DK199" t="n">
        <v>18.2</v>
      </c>
      <c r="DL199" t="n">
        <v>40.4</v>
      </c>
      <c r="DM199" t="n">
        <v>27.7</v>
      </c>
      <c r="DN199" t="n">
        <v>0</v>
      </c>
      <c r="DO199" t="n">
        <v>0</v>
      </c>
      <c r="DP199" t="n">
        <v>0</v>
      </c>
      <c r="DQ199" t="n">
        <v>0</v>
      </c>
      <c r="DR199" t="n">
        <v>0</v>
      </c>
      <c r="DS199" t="n">
        <v>0</v>
      </c>
      <c r="DT199" t="n">
        <v>0</v>
      </c>
      <c r="DU199" t="n">
        <v>0</v>
      </c>
      <c r="DV199" t="inlineStr">
        <is>
          <t>(CONTRACTS OF $100,000 FACE VALUE)</t>
        </is>
      </c>
    </row>
    <row r="200">
      <c r="A200" t="inlineStr">
        <is>
          <t>FED FUNDS - CHICAGO BOARD OF TRADE</t>
        </is>
      </c>
      <c r="B200" t="n">
        <v>230110</v>
      </c>
      <c r="C200" s="1" t="n">
        <v>44936</v>
      </c>
      <c r="D200" t="inlineStr">
        <is>
          <t>045601</t>
        </is>
      </c>
      <c r="E200" t="inlineStr">
        <is>
          <t xml:space="preserve">CBT </t>
        </is>
      </c>
      <c r="F200" t="inlineStr">
        <is>
          <t>00</t>
        </is>
      </c>
      <c r="G200" t="inlineStr">
        <is>
          <t xml:space="preserve">045 </t>
        </is>
      </c>
      <c r="H200" t="n">
        <v>1527145</v>
      </c>
      <c r="I200" s="17" t="n">
        <v>132184</v>
      </c>
      <c r="J200" s="17" t="n">
        <v>244514</v>
      </c>
      <c r="K200" t="n">
        <v>191016</v>
      </c>
      <c r="L200" t="n">
        <v>1172814</v>
      </c>
      <c r="M200" t="n">
        <v>1043770</v>
      </c>
      <c r="N200" t="n">
        <v>1496014</v>
      </c>
      <c r="O200" t="n">
        <v>1479300</v>
      </c>
      <c r="P200" t="n">
        <v>31131</v>
      </c>
      <c r="Q200" t="n">
        <v>47845</v>
      </c>
      <c r="R200" t="n">
        <v>1527145</v>
      </c>
      <c r="S200" t="n">
        <v>132184</v>
      </c>
      <c r="T200" t="n">
        <v>244514</v>
      </c>
      <c r="U200" t="n">
        <v>191016</v>
      </c>
      <c r="V200" t="n">
        <v>1172814</v>
      </c>
      <c r="W200" t="n">
        <v>1043770</v>
      </c>
      <c r="X200" t="n">
        <v>1496014</v>
      </c>
      <c r="Y200" t="n">
        <v>1479300</v>
      </c>
      <c r="Z200" t="n">
        <v>31131</v>
      </c>
      <c r="AA200" t="n">
        <v>47845</v>
      </c>
      <c r="AB200" t="n">
        <v>0</v>
      </c>
      <c r="AC200" t="n">
        <v>0</v>
      </c>
      <c r="AD200" t="n">
        <v>0</v>
      </c>
      <c r="AE200" t="n">
        <v>0</v>
      </c>
      <c r="AF200" t="n">
        <v>0</v>
      </c>
      <c r="AG200" t="n">
        <v>0</v>
      </c>
      <c r="AH200" t="n">
        <v>0</v>
      </c>
      <c r="AI200" t="n">
        <v>0</v>
      </c>
      <c r="AJ200" t="n">
        <v>0</v>
      </c>
      <c r="AK200" t="n">
        <v>0</v>
      </c>
      <c r="AL200" t="n">
        <v>220627</v>
      </c>
      <c r="AM200" t="n">
        <v>35056</v>
      </c>
      <c r="AN200" t="n">
        <v>38985</v>
      </c>
      <c r="AO200" t="n">
        <v>48302</v>
      </c>
      <c r="AP200" t="n">
        <v>139030</v>
      </c>
      <c r="AQ200" t="n">
        <v>129426</v>
      </c>
      <c r="AR200" t="n">
        <v>222388</v>
      </c>
      <c r="AS200" t="n">
        <v>216713</v>
      </c>
      <c r="AT200" t="n">
        <v>-1761</v>
      </c>
      <c r="AU200" t="n">
        <v>3914</v>
      </c>
      <c r="AV200" t="n">
        <v>100</v>
      </c>
      <c r="AW200" t="n">
        <v>8.699999999999999</v>
      </c>
      <c r="AX200" t="n">
        <v>16</v>
      </c>
      <c r="AY200" t="n">
        <v>12.5</v>
      </c>
      <c r="AZ200" t="n">
        <v>76.8</v>
      </c>
      <c r="BA200" t="n">
        <v>68.3</v>
      </c>
      <c r="BB200" t="n">
        <v>98</v>
      </c>
      <c r="BC200" t="n">
        <v>96.90000000000001</v>
      </c>
      <c r="BD200" t="n">
        <v>2</v>
      </c>
      <c r="BE200" t="n">
        <v>3.1</v>
      </c>
      <c r="BF200" t="n">
        <v>100</v>
      </c>
      <c r="BG200" t="n">
        <v>8.699999999999999</v>
      </c>
      <c r="BH200" t="n">
        <v>16</v>
      </c>
      <c r="BI200" t="n">
        <v>12.5</v>
      </c>
      <c r="BJ200" t="n">
        <v>76.8</v>
      </c>
      <c r="BK200" t="n">
        <v>68.3</v>
      </c>
      <c r="BL200" t="n">
        <v>98</v>
      </c>
      <c r="BM200" t="n">
        <v>96.90000000000001</v>
      </c>
      <c r="BN200" t="n">
        <v>2</v>
      </c>
      <c r="BO200" t="n">
        <v>3.1</v>
      </c>
      <c r="BP200" t="n">
        <v>0</v>
      </c>
      <c r="BQ200" t="n">
        <v>0</v>
      </c>
      <c r="BR200" t="n">
        <v>0</v>
      </c>
      <c r="BS200" t="n">
        <v>0</v>
      </c>
      <c r="BT200" t="n">
        <v>0</v>
      </c>
      <c r="BU200" t="n">
        <v>0</v>
      </c>
      <c r="BV200" t="n">
        <v>0</v>
      </c>
      <c r="BW200" t="n">
        <v>0</v>
      </c>
      <c r="BX200" t="n">
        <v>0</v>
      </c>
      <c r="BY200" t="n">
        <v>0</v>
      </c>
      <c r="BZ200" t="n">
        <v>141</v>
      </c>
      <c r="CA200" t="n">
        <v>16</v>
      </c>
      <c r="CB200" t="n">
        <v>34</v>
      </c>
      <c r="CC200" t="n">
        <v>35</v>
      </c>
      <c r="CD200" t="n">
        <v>75</v>
      </c>
      <c r="CE200" t="n">
        <v>84</v>
      </c>
      <c r="CF200" t="n">
        <v>116</v>
      </c>
      <c r="CG200" t="n">
        <v>129</v>
      </c>
      <c r="CH200" t="n">
        <v>141</v>
      </c>
      <c r="CI200" t="n">
        <v>16</v>
      </c>
      <c r="CJ200" t="n">
        <v>34</v>
      </c>
      <c r="CK200" t="n">
        <v>35</v>
      </c>
      <c r="CL200" t="n">
        <v>75</v>
      </c>
      <c r="CM200" t="n">
        <v>84</v>
      </c>
      <c r="CN200" t="n">
        <v>116</v>
      </c>
      <c r="CO200" t="n">
        <v>129</v>
      </c>
      <c r="CP200" t="n">
        <v>0</v>
      </c>
      <c r="CQ200" t="n">
        <v>0</v>
      </c>
      <c r="CR200" t="n">
        <v>0</v>
      </c>
      <c r="CS200" t="n">
        <v>0</v>
      </c>
      <c r="CT200" t="n">
        <v>0</v>
      </c>
      <c r="CU200" t="n">
        <v>0</v>
      </c>
      <c r="CV200" t="n">
        <v>0</v>
      </c>
      <c r="CW200" t="n">
        <v>0</v>
      </c>
      <c r="CX200" t="n">
        <v>33.6</v>
      </c>
      <c r="CY200" t="n">
        <v>23.8</v>
      </c>
      <c r="CZ200" t="n">
        <v>48</v>
      </c>
      <c r="DA200" t="n">
        <v>38</v>
      </c>
      <c r="DB200" t="n">
        <v>25.2</v>
      </c>
      <c r="DC200" t="n">
        <v>17.9</v>
      </c>
      <c r="DD200" t="n">
        <v>32.2</v>
      </c>
      <c r="DE200" t="n">
        <v>25.6</v>
      </c>
      <c r="DF200" t="n">
        <v>33.6</v>
      </c>
      <c r="DG200" t="n">
        <v>23.8</v>
      </c>
      <c r="DH200" t="n">
        <v>48</v>
      </c>
      <c r="DI200" t="n">
        <v>38</v>
      </c>
      <c r="DJ200" t="n">
        <v>25.2</v>
      </c>
      <c r="DK200" t="n">
        <v>17.9</v>
      </c>
      <c r="DL200" t="n">
        <v>32.2</v>
      </c>
      <c r="DM200" t="n">
        <v>25.6</v>
      </c>
      <c r="DN200" t="n">
        <v>0</v>
      </c>
      <c r="DO200" t="n">
        <v>0</v>
      </c>
      <c r="DP200" t="n">
        <v>0</v>
      </c>
      <c r="DQ200" t="n">
        <v>0</v>
      </c>
      <c r="DR200" t="n">
        <v>0</v>
      </c>
      <c r="DS200" t="n">
        <v>0</v>
      </c>
      <c r="DT200" t="n">
        <v>0</v>
      </c>
      <c r="DU200" t="n">
        <v>0</v>
      </c>
      <c r="DV200" t="inlineStr">
        <is>
          <t>(CONTRACTS OF $5,000,000)</t>
        </is>
      </c>
    </row>
    <row r="201">
      <c r="A201" t="inlineStr">
        <is>
          <t>FED FUNDS - CHICAGO BOARD OF TRADE</t>
        </is>
      </c>
      <c r="B201" t="n">
        <v>230103</v>
      </c>
      <c r="C201" s="1" t="n">
        <v>44929</v>
      </c>
      <c r="D201" t="inlineStr">
        <is>
          <t>045601</t>
        </is>
      </c>
      <c r="E201" t="inlineStr">
        <is>
          <t xml:space="preserve">CBT </t>
        </is>
      </c>
      <c r="F201" t="inlineStr">
        <is>
          <t>00</t>
        </is>
      </c>
      <c r="G201" t="inlineStr">
        <is>
          <t xml:space="preserve">045 </t>
        </is>
      </c>
      <c r="H201" t="n">
        <v>1306518</v>
      </c>
      <c r="I201" s="17" t="n">
        <v>97128</v>
      </c>
      <c r="J201" s="17" t="n">
        <v>205529</v>
      </c>
      <c r="K201" t="n">
        <v>142714</v>
      </c>
      <c r="L201" t="n">
        <v>1033784</v>
      </c>
      <c r="M201" t="n">
        <v>914344</v>
      </c>
      <c r="N201" t="n">
        <v>1273626</v>
      </c>
      <c r="O201" t="n">
        <v>1262587</v>
      </c>
      <c r="P201" t="n">
        <v>32892</v>
      </c>
      <c r="Q201" t="n">
        <v>43931</v>
      </c>
      <c r="R201" t="n">
        <v>1306518</v>
      </c>
      <c r="S201" t="n">
        <v>97128</v>
      </c>
      <c r="T201" t="n">
        <v>205529</v>
      </c>
      <c r="U201" t="n">
        <v>142714</v>
      </c>
      <c r="V201" t="n">
        <v>1033784</v>
      </c>
      <c r="W201" t="n">
        <v>914344</v>
      </c>
      <c r="X201" t="n">
        <v>1273626</v>
      </c>
      <c r="Y201" t="n">
        <v>1262587</v>
      </c>
      <c r="Z201" t="n">
        <v>32892</v>
      </c>
      <c r="AA201" t="n">
        <v>43931</v>
      </c>
      <c r="AB201" t="n">
        <v>0</v>
      </c>
      <c r="AC201" t="n">
        <v>0</v>
      </c>
      <c r="AD201" t="n">
        <v>0</v>
      </c>
      <c r="AE201" t="n">
        <v>0</v>
      </c>
      <c r="AF201" t="n">
        <v>0</v>
      </c>
      <c r="AG201" t="n">
        <v>0</v>
      </c>
      <c r="AH201" t="n">
        <v>0</v>
      </c>
      <c r="AI201" t="n">
        <v>0</v>
      </c>
      <c r="AJ201" t="n">
        <v>0</v>
      </c>
      <c r="AK201" t="n">
        <v>0</v>
      </c>
      <c r="AL201" t="n">
        <v>-249959</v>
      </c>
      <c r="AM201" t="n">
        <v>-45139</v>
      </c>
      <c r="AN201" t="n">
        <v>-30985</v>
      </c>
      <c r="AO201" t="n">
        <v>-20113</v>
      </c>
      <c r="AP201" t="n">
        <v>-186085</v>
      </c>
      <c r="AQ201" t="n">
        <v>-201885</v>
      </c>
      <c r="AR201" t="n">
        <v>-251337</v>
      </c>
      <c r="AS201" t="n">
        <v>-252983</v>
      </c>
      <c r="AT201" t="n">
        <v>1378</v>
      </c>
      <c r="AU201" t="n">
        <v>3024</v>
      </c>
      <c r="AV201" t="n">
        <v>100</v>
      </c>
      <c r="AW201" t="n">
        <v>7.4</v>
      </c>
      <c r="AX201" t="n">
        <v>15.7</v>
      </c>
      <c r="AY201" t="n">
        <v>10.9</v>
      </c>
      <c r="AZ201" t="n">
        <v>79.09999999999999</v>
      </c>
      <c r="BA201" t="n">
        <v>70</v>
      </c>
      <c r="BB201" t="n">
        <v>97.5</v>
      </c>
      <c r="BC201" t="n">
        <v>96.59999999999999</v>
      </c>
      <c r="BD201" t="n">
        <v>2.5</v>
      </c>
      <c r="BE201" t="n">
        <v>3.4</v>
      </c>
      <c r="BF201" t="n">
        <v>100</v>
      </c>
      <c r="BG201" t="n">
        <v>7.4</v>
      </c>
      <c r="BH201" t="n">
        <v>15.7</v>
      </c>
      <c r="BI201" t="n">
        <v>10.9</v>
      </c>
      <c r="BJ201" t="n">
        <v>79.09999999999999</v>
      </c>
      <c r="BK201" t="n">
        <v>70</v>
      </c>
      <c r="BL201" t="n">
        <v>97.5</v>
      </c>
      <c r="BM201" t="n">
        <v>96.59999999999999</v>
      </c>
      <c r="BN201" t="n">
        <v>2.5</v>
      </c>
      <c r="BO201" t="n">
        <v>3.4</v>
      </c>
      <c r="BP201" t="n">
        <v>0</v>
      </c>
      <c r="BQ201" t="n">
        <v>0</v>
      </c>
      <c r="BR201" t="n">
        <v>0</v>
      </c>
      <c r="BS201" t="n">
        <v>0</v>
      </c>
      <c r="BT201" t="n">
        <v>0</v>
      </c>
      <c r="BU201" t="n">
        <v>0</v>
      </c>
      <c r="BV201" t="n">
        <v>0</v>
      </c>
      <c r="BW201" t="n">
        <v>0</v>
      </c>
      <c r="BX201" t="n">
        <v>0</v>
      </c>
      <c r="BY201" t="n">
        <v>0</v>
      </c>
      <c r="BZ201" t="n">
        <v>122</v>
      </c>
      <c r="CA201" t="n">
        <v>16</v>
      </c>
      <c r="CB201" t="n">
        <v>25</v>
      </c>
      <c r="CC201" t="n">
        <v>31</v>
      </c>
      <c r="CD201" t="n">
        <v>72</v>
      </c>
      <c r="CE201" t="n">
        <v>74</v>
      </c>
      <c r="CF201" t="n">
        <v>109</v>
      </c>
      <c r="CG201" t="n">
        <v>110</v>
      </c>
      <c r="CH201" t="n">
        <v>122</v>
      </c>
      <c r="CI201" t="n">
        <v>16</v>
      </c>
      <c r="CJ201" t="n">
        <v>25</v>
      </c>
      <c r="CK201" t="n">
        <v>31</v>
      </c>
      <c r="CL201" t="n">
        <v>72</v>
      </c>
      <c r="CM201" t="n">
        <v>74</v>
      </c>
      <c r="CN201" t="n">
        <v>109</v>
      </c>
      <c r="CO201" t="n">
        <v>110</v>
      </c>
      <c r="CP201" t="n">
        <v>0</v>
      </c>
      <c r="CQ201" t="n">
        <v>0</v>
      </c>
      <c r="CR201" t="n">
        <v>0</v>
      </c>
      <c r="CS201" t="n">
        <v>0</v>
      </c>
      <c r="CT201" t="n">
        <v>0</v>
      </c>
      <c r="CU201" t="n">
        <v>0</v>
      </c>
      <c r="CV201" t="n">
        <v>0</v>
      </c>
      <c r="CW201" t="n">
        <v>0</v>
      </c>
      <c r="CX201" t="n">
        <v>31.3</v>
      </c>
      <c r="CY201" t="n">
        <v>25</v>
      </c>
      <c r="CZ201" t="n">
        <v>44.4</v>
      </c>
      <c r="DA201" t="n">
        <v>39.5</v>
      </c>
      <c r="DB201" t="n">
        <v>21.4</v>
      </c>
      <c r="DC201" t="n">
        <v>20.4</v>
      </c>
      <c r="DD201" t="n">
        <v>30.4</v>
      </c>
      <c r="DE201" t="n">
        <v>29.2</v>
      </c>
      <c r="DF201" t="n">
        <v>31.3</v>
      </c>
      <c r="DG201" t="n">
        <v>25</v>
      </c>
      <c r="DH201" t="n">
        <v>44.4</v>
      </c>
      <c r="DI201" t="n">
        <v>39.5</v>
      </c>
      <c r="DJ201" t="n">
        <v>21.4</v>
      </c>
      <c r="DK201" t="n">
        <v>20.4</v>
      </c>
      <c r="DL201" t="n">
        <v>30.4</v>
      </c>
      <c r="DM201" t="n">
        <v>29.2</v>
      </c>
      <c r="DN201" t="n">
        <v>0</v>
      </c>
      <c r="DO201" t="n">
        <v>0</v>
      </c>
      <c r="DP201" t="n">
        <v>0</v>
      </c>
      <c r="DQ201" t="n">
        <v>0</v>
      </c>
      <c r="DR201" t="n">
        <v>0</v>
      </c>
      <c r="DS201" t="n">
        <v>0</v>
      </c>
      <c r="DT201" t="n">
        <v>0</v>
      </c>
      <c r="DU201" t="n">
        <v>0</v>
      </c>
      <c r="DV201" t="inlineStr">
        <is>
          <t>(CONTRACTS OF $5,000,000)</t>
        </is>
      </c>
    </row>
    <row r="202">
      <c r="A202" t="inlineStr">
        <is>
          <t>BUTTER (CASH SETTLED) - CHICAGO MERCANTILE EXCHANGE</t>
        </is>
      </c>
      <c r="B202" t="n">
        <v>230110</v>
      </c>
      <c r="C202" s="1" t="n">
        <v>44936</v>
      </c>
      <c r="D202" t="inlineStr">
        <is>
          <t>050642</t>
        </is>
      </c>
      <c r="E202" t="inlineStr">
        <is>
          <t xml:space="preserve">CME </t>
        </is>
      </c>
      <c r="F202" t="inlineStr">
        <is>
          <t>00</t>
        </is>
      </c>
      <c r="G202" t="inlineStr">
        <is>
          <t xml:space="preserve">050 </t>
        </is>
      </c>
      <c r="H202" t="n">
        <v>8254</v>
      </c>
      <c r="I202" s="17" t="n">
        <v>72</v>
      </c>
      <c r="J202" s="17" t="n">
        <v>3114</v>
      </c>
      <c r="K202" t="n">
        <v>52</v>
      </c>
      <c r="L202" t="n">
        <v>7159</v>
      </c>
      <c r="M202" t="n">
        <v>4732</v>
      </c>
      <c r="N202" t="n">
        <v>7283</v>
      </c>
      <c r="O202" t="n">
        <v>7898</v>
      </c>
      <c r="P202" t="n">
        <v>971</v>
      </c>
      <c r="Q202" t="n">
        <v>356</v>
      </c>
      <c r="R202" t="n">
        <v>8254</v>
      </c>
      <c r="S202" t="n">
        <v>72</v>
      </c>
      <c r="T202" t="n">
        <v>3114</v>
      </c>
      <c r="U202" t="n">
        <v>52</v>
      </c>
      <c r="V202" t="n">
        <v>7159</v>
      </c>
      <c r="W202" t="n">
        <v>4732</v>
      </c>
      <c r="X202" t="n">
        <v>7283</v>
      </c>
      <c r="Y202" t="n">
        <v>7898</v>
      </c>
      <c r="Z202" t="n">
        <v>971</v>
      </c>
      <c r="AA202" t="n">
        <v>356</v>
      </c>
      <c r="AB202" t="n">
        <v>0</v>
      </c>
      <c r="AC202" t="n">
        <v>0</v>
      </c>
      <c r="AD202" t="n">
        <v>0</v>
      </c>
      <c r="AE202" t="n">
        <v>0</v>
      </c>
      <c r="AF202" t="n">
        <v>0</v>
      </c>
      <c r="AG202" t="n">
        <v>0</v>
      </c>
      <c r="AH202" t="n">
        <v>0</v>
      </c>
      <c r="AI202" t="n">
        <v>0</v>
      </c>
      <c r="AJ202" t="n">
        <v>0</v>
      </c>
      <c r="AK202" t="n">
        <v>0</v>
      </c>
      <c r="AL202" t="n">
        <v>-1559</v>
      </c>
      <c r="AM202" t="n">
        <v>-38</v>
      </c>
      <c r="AN202" t="n">
        <v>-725</v>
      </c>
      <c r="AO202" t="n">
        <v>-4</v>
      </c>
      <c r="AP202" t="n">
        <v>-1593</v>
      </c>
      <c r="AQ202" t="n">
        <v>-786</v>
      </c>
      <c r="AR202" t="n">
        <v>-1635</v>
      </c>
      <c r="AS202" t="n">
        <v>-1515</v>
      </c>
      <c r="AT202" t="n">
        <v>76</v>
      </c>
      <c r="AU202" t="n">
        <v>-44</v>
      </c>
      <c r="AV202" t="n">
        <v>100</v>
      </c>
      <c r="AW202" t="n">
        <v>0.9</v>
      </c>
      <c r="AX202" t="n">
        <v>37.7</v>
      </c>
      <c r="AY202" t="n">
        <v>0.6</v>
      </c>
      <c r="AZ202" t="n">
        <v>86.7</v>
      </c>
      <c r="BA202" t="n">
        <v>57.3</v>
      </c>
      <c r="BB202" t="n">
        <v>88.2</v>
      </c>
      <c r="BC202" t="n">
        <v>95.7</v>
      </c>
      <c r="BD202" t="n">
        <v>11.8</v>
      </c>
      <c r="BE202" t="n">
        <v>4.3</v>
      </c>
      <c r="BF202" t="n">
        <v>100</v>
      </c>
      <c r="BG202" t="n">
        <v>0.9</v>
      </c>
      <c r="BH202" t="n">
        <v>37.7</v>
      </c>
      <c r="BI202" t="n">
        <v>0.6</v>
      </c>
      <c r="BJ202" t="n">
        <v>86.7</v>
      </c>
      <c r="BK202" t="n">
        <v>57.3</v>
      </c>
      <c r="BL202" t="n">
        <v>88.2</v>
      </c>
      <c r="BM202" t="n">
        <v>95.7</v>
      </c>
      <c r="BN202" t="n">
        <v>11.8</v>
      </c>
      <c r="BO202" t="n">
        <v>4.3</v>
      </c>
      <c r="BP202" t="n">
        <v>0</v>
      </c>
      <c r="BQ202" t="n">
        <v>0</v>
      </c>
      <c r="BR202" t="n">
        <v>0</v>
      </c>
      <c r="BS202" t="n">
        <v>0</v>
      </c>
      <c r="BT202" t="n">
        <v>0</v>
      </c>
      <c r="BU202" t="n">
        <v>0</v>
      </c>
      <c r="BV202" t="n">
        <v>0</v>
      </c>
      <c r="BW202" t="n">
        <v>0</v>
      </c>
      <c r="BX202" t="n">
        <v>0</v>
      </c>
      <c r="BY202" t="n">
        <v>0</v>
      </c>
      <c r="BZ202" t="n">
        <v>40</v>
      </c>
      <c r="CA202" t="n">
        <v>2</v>
      </c>
      <c r="CB202" t="n">
        <v>7</v>
      </c>
      <c r="CC202" t="n">
        <v>4</v>
      </c>
      <c r="CD202" t="n">
        <v>21</v>
      </c>
      <c r="CE202" t="n">
        <v>20</v>
      </c>
      <c r="CF202" t="n">
        <v>27</v>
      </c>
      <c r="CG202" t="n">
        <v>27</v>
      </c>
      <c r="CH202" t="n">
        <v>40</v>
      </c>
      <c r="CI202" t="n">
        <v>2</v>
      </c>
      <c r="CJ202" t="n">
        <v>7</v>
      </c>
      <c r="CK202" t="n">
        <v>4</v>
      </c>
      <c r="CL202" t="n">
        <v>21</v>
      </c>
      <c r="CM202" t="n">
        <v>20</v>
      </c>
      <c r="CN202" t="n">
        <v>27</v>
      </c>
      <c r="CO202" t="n">
        <v>27</v>
      </c>
      <c r="CP202" t="n">
        <v>0</v>
      </c>
      <c r="CQ202" t="n">
        <v>0</v>
      </c>
      <c r="CR202" t="n">
        <v>0</v>
      </c>
      <c r="CS202" t="n">
        <v>0</v>
      </c>
      <c r="CT202" t="n">
        <v>0</v>
      </c>
      <c r="CU202" t="n">
        <v>0</v>
      </c>
      <c r="CV202" t="n">
        <v>0</v>
      </c>
      <c r="CW202" t="n">
        <v>0</v>
      </c>
      <c r="CX202" t="n">
        <v>44.5</v>
      </c>
      <c r="CY202" t="n">
        <v>48.9</v>
      </c>
      <c r="CZ202" t="n">
        <v>67.40000000000001</v>
      </c>
      <c r="DA202" t="n">
        <v>70.7</v>
      </c>
      <c r="DB202" t="n">
        <v>44.5</v>
      </c>
      <c r="DC202" t="n">
        <v>48.8</v>
      </c>
      <c r="DD202" t="n">
        <v>67.40000000000001</v>
      </c>
      <c r="DE202" t="n">
        <v>70.2</v>
      </c>
      <c r="DF202" t="n">
        <v>44.5</v>
      </c>
      <c r="DG202" t="n">
        <v>48.9</v>
      </c>
      <c r="DH202" t="n">
        <v>67.40000000000001</v>
      </c>
      <c r="DI202" t="n">
        <v>70.7</v>
      </c>
      <c r="DJ202" t="n">
        <v>44.5</v>
      </c>
      <c r="DK202" t="n">
        <v>48.8</v>
      </c>
      <c r="DL202" t="n">
        <v>67.40000000000001</v>
      </c>
      <c r="DM202" t="n">
        <v>70.2</v>
      </c>
      <c r="DN202" t="n">
        <v>0</v>
      </c>
      <c r="DO202" t="n">
        <v>0</v>
      </c>
      <c r="DP202" t="n">
        <v>0</v>
      </c>
      <c r="DQ202" t="n">
        <v>0</v>
      </c>
      <c r="DR202" t="n">
        <v>0</v>
      </c>
      <c r="DS202" t="n">
        <v>0</v>
      </c>
      <c r="DT202" t="n">
        <v>0</v>
      </c>
      <c r="DU202" t="n">
        <v>0</v>
      </c>
      <c r="DV202" t="inlineStr">
        <is>
          <t>(CONTRACTS OF 20,000 POUNDS)</t>
        </is>
      </c>
    </row>
    <row r="203">
      <c r="A203" t="inlineStr">
        <is>
          <t>BUTTER (CASH SETTLED) - CHICAGO MERCANTILE EXCHANGE</t>
        </is>
      </c>
      <c r="B203" t="n">
        <v>230103</v>
      </c>
      <c r="C203" s="1" t="n">
        <v>44929</v>
      </c>
      <c r="D203" t="inlineStr">
        <is>
          <t>050642</t>
        </is>
      </c>
      <c r="E203" t="inlineStr">
        <is>
          <t xml:space="preserve">CME </t>
        </is>
      </c>
      <c r="F203" t="inlineStr">
        <is>
          <t>00</t>
        </is>
      </c>
      <c r="G203" t="inlineStr">
        <is>
          <t xml:space="preserve">050 </t>
        </is>
      </c>
      <c r="H203" t="n">
        <v>9813</v>
      </c>
      <c r="I203" s="17" t="n">
        <v>110</v>
      </c>
      <c r="J203" s="17" t="n">
        <v>3839</v>
      </c>
      <c r="K203" t="n">
        <v>56</v>
      </c>
      <c r="L203" t="n">
        <v>8752</v>
      </c>
      <c r="M203" t="n">
        <v>5518</v>
      </c>
      <c r="N203" t="n">
        <v>8918</v>
      </c>
      <c r="O203" t="n">
        <v>9413</v>
      </c>
      <c r="P203" t="n">
        <v>895</v>
      </c>
      <c r="Q203" t="n">
        <v>400</v>
      </c>
      <c r="R203" t="n">
        <v>9813</v>
      </c>
      <c r="S203" t="n">
        <v>110</v>
      </c>
      <c r="T203" t="n">
        <v>3839</v>
      </c>
      <c r="U203" t="n">
        <v>56</v>
      </c>
      <c r="V203" t="n">
        <v>8752</v>
      </c>
      <c r="W203" t="n">
        <v>5518</v>
      </c>
      <c r="X203" t="n">
        <v>8918</v>
      </c>
      <c r="Y203" t="n">
        <v>9413</v>
      </c>
      <c r="Z203" t="n">
        <v>895</v>
      </c>
      <c r="AA203" t="n">
        <v>400</v>
      </c>
      <c r="AB203" t="n">
        <v>0</v>
      </c>
      <c r="AC203" t="n">
        <v>0</v>
      </c>
      <c r="AD203" t="n">
        <v>0</v>
      </c>
      <c r="AE203" t="n">
        <v>0</v>
      </c>
      <c r="AF203" t="n">
        <v>0</v>
      </c>
      <c r="AG203" t="n">
        <v>0</v>
      </c>
      <c r="AH203" t="n">
        <v>0</v>
      </c>
      <c r="AI203" t="n">
        <v>0</v>
      </c>
      <c r="AJ203" t="n">
        <v>0</v>
      </c>
      <c r="AK203" t="n">
        <v>0</v>
      </c>
      <c r="AL203" t="n">
        <v>304</v>
      </c>
      <c r="AM203" t="n">
        <v>18</v>
      </c>
      <c r="AN203" t="n">
        <v>178</v>
      </c>
      <c r="AO203" t="n">
        <v>-21</v>
      </c>
      <c r="AP203" t="n">
        <v>293</v>
      </c>
      <c r="AQ203" t="n">
        <v>139</v>
      </c>
      <c r="AR203" t="n">
        <v>290</v>
      </c>
      <c r="AS203" t="n">
        <v>296</v>
      </c>
      <c r="AT203" t="n">
        <v>14</v>
      </c>
      <c r="AU203" t="n">
        <v>8</v>
      </c>
      <c r="AV203" t="n">
        <v>100</v>
      </c>
      <c r="AW203" t="n">
        <v>1.1</v>
      </c>
      <c r="AX203" t="n">
        <v>39.1</v>
      </c>
      <c r="AY203" t="n">
        <v>0.6</v>
      </c>
      <c r="AZ203" t="n">
        <v>89.2</v>
      </c>
      <c r="BA203" t="n">
        <v>56.2</v>
      </c>
      <c r="BB203" t="n">
        <v>90.90000000000001</v>
      </c>
      <c r="BC203" t="n">
        <v>95.90000000000001</v>
      </c>
      <c r="BD203" t="n">
        <v>9.1</v>
      </c>
      <c r="BE203" t="n">
        <v>4.1</v>
      </c>
      <c r="BF203" t="n">
        <v>100</v>
      </c>
      <c r="BG203" t="n">
        <v>1.1</v>
      </c>
      <c r="BH203" t="n">
        <v>39.1</v>
      </c>
      <c r="BI203" t="n">
        <v>0.6</v>
      </c>
      <c r="BJ203" t="n">
        <v>89.2</v>
      </c>
      <c r="BK203" t="n">
        <v>56.2</v>
      </c>
      <c r="BL203" t="n">
        <v>90.90000000000001</v>
      </c>
      <c r="BM203" t="n">
        <v>95.90000000000001</v>
      </c>
      <c r="BN203" t="n">
        <v>9.1</v>
      </c>
      <c r="BO203" t="n">
        <v>4.1</v>
      </c>
      <c r="BP203" t="n">
        <v>0</v>
      </c>
      <c r="BQ203" t="n">
        <v>0</v>
      </c>
      <c r="BR203" t="n">
        <v>0</v>
      </c>
      <c r="BS203" t="n">
        <v>0</v>
      </c>
      <c r="BT203" t="n">
        <v>0</v>
      </c>
      <c r="BU203" t="n">
        <v>0</v>
      </c>
      <c r="BV203" t="n">
        <v>0</v>
      </c>
      <c r="BW203" t="n">
        <v>0</v>
      </c>
      <c r="BX203" t="n">
        <v>0</v>
      </c>
      <c r="BY203" t="n">
        <v>0</v>
      </c>
      <c r="BZ203" t="n">
        <v>45</v>
      </c>
      <c r="CA203" t="n">
        <v>2</v>
      </c>
      <c r="CB203" t="n">
        <v>7</v>
      </c>
      <c r="CC203" t="n">
        <v>4</v>
      </c>
      <c r="CD203" t="n">
        <v>26</v>
      </c>
      <c r="CE203" t="n">
        <v>23</v>
      </c>
      <c r="CF203" t="n">
        <v>31</v>
      </c>
      <c r="CG203" t="n">
        <v>31</v>
      </c>
      <c r="CH203" t="n">
        <v>45</v>
      </c>
      <c r="CI203" t="n">
        <v>2</v>
      </c>
      <c r="CJ203" t="n">
        <v>7</v>
      </c>
      <c r="CK203" t="n">
        <v>4</v>
      </c>
      <c r="CL203" t="n">
        <v>26</v>
      </c>
      <c r="CM203" t="n">
        <v>23</v>
      </c>
      <c r="CN203" t="n">
        <v>31</v>
      </c>
      <c r="CO203" t="n">
        <v>31</v>
      </c>
      <c r="CP203" t="n">
        <v>0</v>
      </c>
      <c r="CQ203" t="n">
        <v>0</v>
      </c>
      <c r="CR203" t="n">
        <v>0</v>
      </c>
      <c r="CS203" t="n">
        <v>0</v>
      </c>
      <c r="CT203" t="n">
        <v>0</v>
      </c>
      <c r="CU203" t="n">
        <v>0</v>
      </c>
      <c r="CV203" t="n">
        <v>0</v>
      </c>
      <c r="CW203" t="n">
        <v>0</v>
      </c>
      <c r="CX203" t="n">
        <v>41.5</v>
      </c>
      <c r="CY203" t="n">
        <v>46.7</v>
      </c>
      <c r="CZ203" t="n">
        <v>66.90000000000001</v>
      </c>
      <c r="DA203" t="n">
        <v>68.7</v>
      </c>
      <c r="DB203" t="n">
        <v>41.5</v>
      </c>
      <c r="DC203" t="n">
        <v>46.6</v>
      </c>
      <c r="DD203" t="n">
        <v>66.8</v>
      </c>
      <c r="DE203" t="n">
        <v>68.3</v>
      </c>
      <c r="DF203" t="n">
        <v>41.5</v>
      </c>
      <c r="DG203" t="n">
        <v>46.7</v>
      </c>
      <c r="DH203" t="n">
        <v>66.90000000000001</v>
      </c>
      <c r="DI203" t="n">
        <v>68.7</v>
      </c>
      <c r="DJ203" t="n">
        <v>41.5</v>
      </c>
      <c r="DK203" t="n">
        <v>46.6</v>
      </c>
      <c r="DL203" t="n">
        <v>66.8</v>
      </c>
      <c r="DM203" t="n">
        <v>68.3</v>
      </c>
      <c r="DN203" t="n">
        <v>0</v>
      </c>
      <c r="DO203" t="n">
        <v>0</v>
      </c>
      <c r="DP203" t="n">
        <v>0</v>
      </c>
      <c r="DQ203" t="n">
        <v>0</v>
      </c>
      <c r="DR203" t="n">
        <v>0</v>
      </c>
      <c r="DS203" t="n">
        <v>0</v>
      </c>
      <c r="DT203" t="n">
        <v>0</v>
      </c>
      <c r="DU203" t="n">
        <v>0</v>
      </c>
      <c r="DV203" t="inlineStr">
        <is>
          <t>(CONTRACTS OF 20,000 POUNDS)</t>
        </is>
      </c>
    </row>
    <row r="204">
      <c r="A204" t="inlineStr">
        <is>
          <t>MILK, Class III - CHICAGO MERCANTILE EXCHANGE</t>
        </is>
      </c>
      <c r="B204" t="n">
        <v>230110</v>
      </c>
      <c r="C204" s="1" t="n">
        <v>44936</v>
      </c>
      <c r="D204" t="inlineStr">
        <is>
          <t>052641</t>
        </is>
      </c>
      <c r="E204" t="inlineStr">
        <is>
          <t xml:space="preserve">CME </t>
        </is>
      </c>
      <c r="F204" t="inlineStr">
        <is>
          <t>00</t>
        </is>
      </c>
      <c r="G204" t="inlineStr">
        <is>
          <t xml:space="preserve">052 </t>
        </is>
      </c>
      <c r="H204" t="n">
        <v>24098</v>
      </c>
      <c r="I204" s="17" t="n">
        <v>3998</v>
      </c>
      <c r="J204" s="17" t="n">
        <v>7483</v>
      </c>
      <c r="K204" t="n">
        <v>1564</v>
      </c>
      <c r="L204" t="n">
        <v>15860</v>
      </c>
      <c r="M204" t="n">
        <v>9603</v>
      </c>
      <c r="N204" t="n">
        <v>21422</v>
      </c>
      <c r="O204" t="n">
        <v>18650</v>
      </c>
      <c r="P204" t="n">
        <v>2676</v>
      </c>
      <c r="Q204" t="n">
        <v>5448</v>
      </c>
      <c r="R204" t="n">
        <v>24098</v>
      </c>
      <c r="S204" t="n">
        <v>3998</v>
      </c>
      <c r="T204" t="n">
        <v>7483</v>
      </c>
      <c r="U204" t="n">
        <v>1564</v>
      </c>
      <c r="V204" t="n">
        <v>15860</v>
      </c>
      <c r="W204" t="n">
        <v>9603</v>
      </c>
      <c r="X204" t="n">
        <v>21422</v>
      </c>
      <c r="Y204" t="n">
        <v>18650</v>
      </c>
      <c r="Z204" t="n">
        <v>2676</v>
      </c>
      <c r="AA204" t="n">
        <v>5448</v>
      </c>
      <c r="AB204" t="n">
        <v>0</v>
      </c>
      <c r="AC204" t="n">
        <v>0</v>
      </c>
      <c r="AD204" t="n">
        <v>0</v>
      </c>
      <c r="AE204" t="n">
        <v>0</v>
      </c>
      <c r="AF204" t="n">
        <v>0</v>
      </c>
      <c r="AG204" t="n">
        <v>0</v>
      </c>
      <c r="AH204" t="n">
        <v>0</v>
      </c>
      <c r="AI204" t="n">
        <v>0</v>
      </c>
      <c r="AJ204" t="n">
        <v>0</v>
      </c>
      <c r="AK204" t="n">
        <v>0</v>
      </c>
      <c r="AL204" t="n">
        <v>-2815</v>
      </c>
      <c r="AM204" t="n">
        <v>-566</v>
      </c>
      <c r="AN204" t="n">
        <v>111</v>
      </c>
      <c r="AO204" t="n">
        <v>-164</v>
      </c>
      <c r="AP204" t="n">
        <v>-2027</v>
      </c>
      <c r="AQ204" t="n">
        <v>-1800</v>
      </c>
      <c r="AR204" t="n">
        <v>-2757</v>
      </c>
      <c r="AS204" t="n">
        <v>-1853</v>
      </c>
      <c r="AT204" t="n">
        <v>-58</v>
      </c>
      <c r="AU204" t="n">
        <v>-962</v>
      </c>
      <c r="AV204" t="n">
        <v>100</v>
      </c>
      <c r="AW204" t="n">
        <v>16.6</v>
      </c>
      <c r="AX204" t="n">
        <v>31.1</v>
      </c>
      <c r="AY204" t="n">
        <v>6.5</v>
      </c>
      <c r="AZ204" t="n">
        <v>65.8</v>
      </c>
      <c r="BA204" t="n">
        <v>39.8</v>
      </c>
      <c r="BB204" t="n">
        <v>88.90000000000001</v>
      </c>
      <c r="BC204" t="n">
        <v>77.40000000000001</v>
      </c>
      <c r="BD204" t="n">
        <v>11.1</v>
      </c>
      <c r="BE204" t="n">
        <v>22.6</v>
      </c>
      <c r="BF204" t="n">
        <v>100</v>
      </c>
      <c r="BG204" t="n">
        <v>16.6</v>
      </c>
      <c r="BH204" t="n">
        <v>31.1</v>
      </c>
      <c r="BI204" t="n">
        <v>6.5</v>
      </c>
      <c r="BJ204" t="n">
        <v>65.8</v>
      </c>
      <c r="BK204" t="n">
        <v>39.8</v>
      </c>
      <c r="BL204" t="n">
        <v>88.90000000000001</v>
      </c>
      <c r="BM204" t="n">
        <v>77.40000000000001</v>
      </c>
      <c r="BN204" t="n">
        <v>11.1</v>
      </c>
      <c r="BO204" t="n">
        <v>22.6</v>
      </c>
      <c r="BP204" t="n">
        <v>0</v>
      </c>
      <c r="BQ204" t="n">
        <v>0</v>
      </c>
      <c r="BR204" t="n">
        <v>0</v>
      </c>
      <c r="BS204" t="n">
        <v>0</v>
      </c>
      <c r="BT204" t="n">
        <v>0</v>
      </c>
      <c r="BU204" t="n">
        <v>0</v>
      </c>
      <c r="BV204" t="n">
        <v>0</v>
      </c>
      <c r="BW204" t="n">
        <v>0</v>
      </c>
      <c r="BX204" t="n">
        <v>0</v>
      </c>
      <c r="BY204" t="n">
        <v>0</v>
      </c>
      <c r="BZ204" t="n">
        <v>62</v>
      </c>
      <c r="CA204" t="n">
        <v>9</v>
      </c>
      <c r="CB204" t="n">
        <v>18</v>
      </c>
      <c r="CC204" t="n">
        <v>6</v>
      </c>
      <c r="CD204" t="n">
        <v>21</v>
      </c>
      <c r="CE204" t="n">
        <v>21</v>
      </c>
      <c r="CF204" t="n">
        <v>32</v>
      </c>
      <c r="CG204" t="n">
        <v>43</v>
      </c>
      <c r="CH204" t="n">
        <v>62</v>
      </c>
      <c r="CI204" t="n">
        <v>9</v>
      </c>
      <c r="CJ204" t="n">
        <v>18</v>
      </c>
      <c r="CK204" t="n">
        <v>6</v>
      </c>
      <c r="CL204" t="n">
        <v>21</v>
      </c>
      <c r="CM204" t="n">
        <v>21</v>
      </c>
      <c r="CN204" t="n">
        <v>32</v>
      </c>
      <c r="CO204" t="n">
        <v>43</v>
      </c>
      <c r="CP204" t="n">
        <v>0</v>
      </c>
      <c r="CQ204" t="n">
        <v>0</v>
      </c>
      <c r="CR204" t="n">
        <v>0</v>
      </c>
      <c r="CS204" t="n">
        <v>0</v>
      </c>
      <c r="CT204" t="n">
        <v>0</v>
      </c>
      <c r="CU204" t="n">
        <v>0</v>
      </c>
      <c r="CV204" t="n">
        <v>0</v>
      </c>
      <c r="CW204" t="n">
        <v>0</v>
      </c>
      <c r="CX204" t="n">
        <v>44.5</v>
      </c>
      <c r="CY204" t="n">
        <v>35.1</v>
      </c>
      <c r="CZ204" t="n">
        <v>61.6</v>
      </c>
      <c r="DA204" t="n">
        <v>50.2</v>
      </c>
      <c r="DB204" t="n">
        <v>44.4</v>
      </c>
      <c r="DC204" t="n">
        <v>35.1</v>
      </c>
      <c r="DD204" t="n">
        <v>59.8</v>
      </c>
      <c r="DE204" t="n">
        <v>50.2</v>
      </c>
      <c r="DF204" t="n">
        <v>44.5</v>
      </c>
      <c r="DG204" t="n">
        <v>35.1</v>
      </c>
      <c r="DH204" t="n">
        <v>61.6</v>
      </c>
      <c r="DI204" t="n">
        <v>50.2</v>
      </c>
      <c r="DJ204" t="n">
        <v>44.4</v>
      </c>
      <c r="DK204" t="n">
        <v>35.1</v>
      </c>
      <c r="DL204" t="n">
        <v>59.8</v>
      </c>
      <c r="DM204" t="n">
        <v>50.2</v>
      </c>
      <c r="DN204" t="n">
        <v>0</v>
      </c>
      <c r="DO204" t="n">
        <v>0</v>
      </c>
      <c r="DP204" t="n">
        <v>0</v>
      </c>
      <c r="DQ204" t="n">
        <v>0</v>
      </c>
      <c r="DR204" t="n">
        <v>0</v>
      </c>
      <c r="DS204" t="n">
        <v>0</v>
      </c>
      <c r="DT204" t="n">
        <v>0</v>
      </c>
      <c r="DU204" t="n">
        <v>0</v>
      </c>
      <c r="DV204" t="inlineStr">
        <is>
          <t>(CONTRACTS OF 200,000 POUNDS)</t>
        </is>
      </c>
    </row>
    <row r="205">
      <c r="A205" t="inlineStr">
        <is>
          <t>MILK, Class III - CHICAGO MERCANTILE EXCHANGE</t>
        </is>
      </c>
      <c r="B205" t="n">
        <v>230103</v>
      </c>
      <c r="C205" s="1" t="n">
        <v>44929</v>
      </c>
      <c r="D205" t="inlineStr">
        <is>
          <t>052641</t>
        </is>
      </c>
      <c r="E205" t="inlineStr">
        <is>
          <t xml:space="preserve">CME </t>
        </is>
      </c>
      <c r="F205" t="inlineStr">
        <is>
          <t>00</t>
        </is>
      </c>
      <c r="G205" t="inlineStr">
        <is>
          <t xml:space="preserve">052 </t>
        </is>
      </c>
      <c r="H205" t="n">
        <v>26913</v>
      </c>
      <c r="I205" s="17" t="n">
        <v>4564</v>
      </c>
      <c r="J205" s="17" t="n">
        <v>7372</v>
      </c>
      <c r="K205" t="n">
        <v>1728</v>
      </c>
      <c r="L205" t="n">
        <v>17887</v>
      </c>
      <c r="M205" t="n">
        <v>11403</v>
      </c>
      <c r="N205" t="n">
        <v>24179</v>
      </c>
      <c r="O205" t="n">
        <v>20503</v>
      </c>
      <c r="P205" t="n">
        <v>2734</v>
      </c>
      <c r="Q205" t="n">
        <v>6410</v>
      </c>
      <c r="R205" t="n">
        <v>26913</v>
      </c>
      <c r="S205" t="n">
        <v>4564</v>
      </c>
      <c r="T205" t="n">
        <v>7372</v>
      </c>
      <c r="U205" t="n">
        <v>1728</v>
      </c>
      <c r="V205" t="n">
        <v>17887</v>
      </c>
      <c r="W205" t="n">
        <v>11403</v>
      </c>
      <c r="X205" t="n">
        <v>24179</v>
      </c>
      <c r="Y205" t="n">
        <v>20503</v>
      </c>
      <c r="Z205" t="n">
        <v>2734</v>
      </c>
      <c r="AA205" t="n">
        <v>6410</v>
      </c>
      <c r="AB205" t="n">
        <v>0</v>
      </c>
      <c r="AC205" t="n">
        <v>0</v>
      </c>
      <c r="AD205" t="n">
        <v>0</v>
      </c>
      <c r="AE205" t="n">
        <v>0</v>
      </c>
      <c r="AF205" t="n">
        <v>0</v>
      </c>
      <c r="AG205" t="n">
        <v>0</v>
      </c>
      <c r="AH205" t="n">
        <v>0</v>
      </c>
      <c r="AI205" t="n">
        <v>0</v>
      </c>
      <c r="AJ205" t="n">
        <v>0</v>
      </c>
      <c r="AK205" t="n">
        <v>0</v>
      </c>
      <c r="AL205" t="n">
        <v>539</v>
      </c>
      <c r="AM205" t="n">
        <v>1</v>
      </c>
      <c r="AN205" t="n">
        <v>180</v>
      </c>
      <c r="AO205" t="n">
        <v>52</v>
      </c>
      <c r="AP205" t="n">
        <v>507</v>
      </c>
      <c r="AQ205" t="n">
        <v>293</v>
      </c>
      <c r="AR205" t="n">
        <v>560</v>
      </c>
      <c r="AS205" t="n">
        <v>525</v>
      </c>
      <c r="AT205" t="n">
        <v>-21</v>
      </c>
      <c r="AU205" t="n">
        <v>14</v>
      </c>
      <c r="AV205" t="n">
        <v>100</v>
      </c>
      <c r="AW205" t="n">
        <v>17</v>
      </c>
      <c r="AX205" t="n">
        <v>27.4</v>
      </c>
      <c r="AY205" t="n">
        <v>6.4</v>
      </c>
      <c r="AZ205" t="n">
        <v>66.5</v>
      </c>
      <c r="BA205" t="n">
        <v>42.4</v>
      </c>
      <c r="BB205" t="n">
        <v>89.8</v>
      </c>
      <c r="BC205" t="n">
        <v>76.2</v>
      </c>
      <c r="BD205" t="n">
        <v>10.2</v>
      </c>
      <c r="BE205" t="n">
        <v>23.8</v>
      </c>
      <c r="BF205" t="n">
        <v>100</v>
      </c>
      <c r="BG205" t="n">
        <v>17</v>
      </c>
      <c r="BH205" t="n">
        <v>27.4</v>
      </c>
      <c r="BI205" t="n">
        <v>6.4</v>
      </c>
      <c r="BJ205" t="n">
        <v>66.5</v>
      </c>
      <c r="BK205" t="n">
        <v>42.4</v>
      </c>
      <c r="BL205" t="n">
        <v>89.8</v>
      </c>
      <c r="BM205" t="n">
        <v>76.2</v>
      </c>
      <c r="BN205" t="n">
        <v>10.2</v>
      </c>
      <c r="BO205" t="n">
        <v>23.8</v>
      </c>
      <c r="BP205" t="n">
        <v>0</v>
      </c>
      <c r="BQ205" t="n">
        <v>0</v>
      </c>
      <c r="BR205" t="n">
        <v>0</v>
      </c>
      <c r="BS205" t="n">
        <v>0</v>
      </c>
      <c r="BT205" t="n">
        <v>0</v>
      </c>
      <c r="BU205" t="n">
        <v>0</v>
      </c>
      <c r="BV205" t="n">
        <v>0</v>
      </c>
      <c r="BW205" t="n">
        <v>0</v>
      </c>
      <c r="BX205" t="n">
        <v>0</v>
      </c>
      <c r="BY205" t="n">
        <v>0</v>
      </c>
      <c r="BZ205" t="n">
        <v>65</v>
      </c>
      <c r="CA205" t="n">
        <v>8</v>
      </c>
      <c r="CB205" t="n">
        <v>17</v>
      </c>
      <c r="CC205" t="n">
        <v>12</v>
      </c>
      <c r="CD205" t="n">
        <v>22</v>
      </c>
      <c r="CE205" t="n">
        <v>29</v>
      </c>
      <c r="CF205" t="n">
        <v>37</v>
      </c>
      <c r="CG205" t="n">
        <v>51</v>
      </c>
      <c r="CH205" t="n">
        <v>65</v>
      </c>
      <c r="CI205" t="n">
        <v>8</v>
      </c>
      <c r="CJ205" t="n">
        <v>17</v>
      </c>
      <c r="CK205" t="n">
        <v>12</v>
      </c>
      <c r="CL205" t="n">
        <v>22</v>
      </c>
      <c r="CM205" t="n">
        <v>29</v>
      </c>
      <c r="CN205" t="n">
        <v>37</v>
      </c>
      <c r="CO205" t="n">
        <v>51</v>
      </c>
      <c r="CP205" t="n">
        <v>0</v>
      </c>
      <c r="CQ205" t="n">
        <v>0</v>
      </c>
      <c r="CR205" t="n">
        <v>0</v>
      </c>
      <c r="CS205" t="n">
        <v>0</v>
      </c>
      <c r="CT205" t="n">
        <v>0</v>
      </c>
      <c r="CU205" t="n">
        <v>0</v>
      </c>
      <c r="CV205" t="n">
        <v>0</v>
      </c>
      <c r="CW205" t="n">
        <v>0</v>
      </c>
      <c r="CX205" t="n">
        <v>47.8</v>
      </c>
      <c r="CY205" t="n">
        <v>32.3</v>
      </c>
      <c r="CZ205" t="n">
        <v>63.5</v>
      </c>
      <c r="DA205" t="n">
        <v>49.3</v>
      </c>
      <c r="DB205" t="n">
        <v>47.6</v>
      </c>
      <c r="DC205" t="n">
        <v>32.3</v>
      </c>
      <c r="DD205" t="n">
        <v>61.1</v>
      </c>
      <c r="DE205" t="n">
        <v>49</v>
      </c>
      <c r="DF205" t="n">
        <v>47.8</v>
      </c>
      <c r="DG205" t="n">
        <v>32.3</v>
      </c>
      <c r="DH205" t="n">
        <v>63.5</v>
      </c>
      <c r="DI205" t="n">
        <v>49.3</v>
      </c>
      <c r="DJ205" t="n">
        <v>47.6</v>
      </c>
      <c r="DK205" t="n">
        <v>32.3</v>
      </c>
      <c r="DL205" t="n">
        <v>61.1</v>
      </c>
      <c r="DM205" t="n">
        <v>49</v>
      </c>
      <c r="DN205" t="n">
        <v>0</v>
      </c>
      <c r="DO205" t="n">
        <v>0</v>
      </c>
      <c r="DP205" t="n">
        <v>0</v>
      </c>
      <c r="DQ205" t="n">
        <v>0</v>
      </c>
      <c r="DR205" t="n">
        <v>0</v>
      </c>
      <c r="DS205" t="n">
        <v>0</v>
      </c>
      <c r="DT205" t="n">
        <v>0</v>
      </c>
      <c r="DU205" t="n">
        <v>0</v>
      </c>
      <c r="DV205" t="inlineStr">
        <is>
          <t>(CONTRACTS OF 200,000 POUNDS)</t>
        </is>
      </c>
    </row>
    <row r="206">
      <c r="A206" t="inlineStr">
        <is>
          <t>NON FAT DRY MILK - CHICAGO MERCANTILE EXCHANGE</t>
        </is>
      </c>
      <c r="B206" t="n">
        <v>230110</v>
      </c>
      <c r="C206" s="1" t="n">
        <v>44936</v>
      </c>
      <c r="D206" t="inlineStr">
        <is>
          <t>052642</t>
        </is>
      </c>
      <c r="E206" t="inlineStr">
        <is>
          <t xml:space="preserve">CME </t>
        </is>
      </c>
      <c r="F206" t="inlineStr">
        <is>
          <t>00</t>
        </is>
      </c>
      <c r="G206" t="inlineStr">
        <is>
          <t xml:space="preserve">052 </t>
        </is>
      </c>
      <c r="H206" t="n">
        <v>8973</v>
      </c>
      <c r="I206" s="17" t="n">
        <v>139</v>
      </c>
      <c r="J206" s="17" t="n">
        <v>2923</v>
      </c>
      <c r="K206" t="n">
        <v>63</v>
      </c>
      <c r="L206" t="n">
        <v>7937</v>
      </c>
      <c r="M206" t="n">
        <v>5264</v>
      </c>
      <c r="N206" t="n">
        <v>8139</v>
      </c>
      <c r="O206" t="n">
        <v>8250</v>
      </c>
      <c r="P206" t="n">
        <v>834</v>
      </c>
      <c r="Q206" t="n">
        <v>723</v>
      </c>
      <c r="R206" t="n">
        <v>8973</v>
      </c>
      <c r="S206" t="n">
        <v>139</v>
      </c>
      <c r="T206" t="n">
        <v>2923</v>
      </c>
      <c r="U206" t="n">
        <v>63</v>
      </c>
      <c r="V206" t="n">
        <v>7937</v>
      </c>
      <c r="W206" t="n">
        <v>5264</v>
      </c>
      <c r="X206" t="n">
        <v>8139</v>
      </c>
      <c r="Y206" t="n">
        <v>8250</v>
      </c>
      <c r="Z206" t="n">
        <v>834</v>
      </c>
      <c r="AA206" t="n">
        <v>723</v>
      </c>
      <c r="AB206" t="n">
        <v>0</v>
      </c>
      <c r="AC206" t="n">
        <v>0</v>
      </c>
      <c r="AD206" t="n">
        <v>0</v>
      </c>
      <c r="AE206" t="n">
        <v>0</v>
      </c>
      <c r="AF206" t="n">
        <v>0</v>
      </c>
      <c r="AG206" t="n">
        <v>0</v>
      </c>
      <c r="AH206" t="n">
        <v>0</v>
      </c>
      <c r="AI206" t="n">
        <v>0</v>
      </c>
      <c r="AJ206" t="n">
        <v>0</v>
      </c>
      <c r="AK206" t="n">
        <v>0</v>
      </c>
      <c r="AL206" t="n">
        <v>-1141</v>
      </c>
      <c r="AM206" t="n">
        <v>-5</v>
      </c>
      <c r="AN206" t="n">
        <v>-533</v>
      </c>
      <c r="AO206" t="n">
        <v>-5</v>
      </c>
      <c r="AP206" t="n">
        <v>-1078</v>
      </c>
      <c r="AQ206" t="n">
        <v>-531</v>
      </c>
      <c r="AR206" t="n">
        <v>-1088</v>
      </c>
      <c r="AS206" t="n">
        <v>-1069</v>
      </c>
      <c r="AT206" t="n">
        <v>-53</v>
      </c>
      <c r="AU206" t="n">
        <v>-72</v>
      </c>
      <c r="AV206" t="n">
        <v>100</v>
      </c>
      <c r="AW206" t="n">
        <v>1.5</v>
      </c>
      <c r="AX206" t="n">
        <v>32.6</v>
      </c>
      <c r="AY206" t="n">
        <v>0.7</v>
      </c>
      <c r="AZ206" t="n">
        <v>88.5</v>
      </c>
      <c r="BA206" t="n">
        <v>58.7</v>
      </c>
      <c r="BB206" t="n">
        <v>90.7</v>
      </c>
      <c r="BC206" t="n">
        <v>91.90000000000001</v>
      </c>
      <c r="BD206" t="n">
        <v>9.300000000000001</v>
      </c>
      <c r="BE206" t="n">
        <v>8.1</v>
      </c>
      <c r="BF206" t="n">
        <v>100</v>
      </c>
      <c r="BG206" t="n">
        <v>1.5</v>
      </c>
      <c r="BH206" t="n">
        <v>32.6</v>
      </c>
      <c r="BI206" t="n">
        <v>0.7</v>
      </c>
      <c r="BJ206" t="n">
        <v>88.5</v>
      </c>
      <c r="BK206" t="n">
        <v>58.7</v>
      </c>
      <c r="BL206" t="n">
        <v>90.7</v>
      </c>
      <c r="BM206" t="n">
        <v>91.90000000000001</v>
      </c>
      <c r="BN206" t="n">
        <v>9.300000000000001</v>
      </c>
      <c r="BO206" t="n">
        <v>8.1</v>
      </c>
      <c r="BP206" t="n">
        <v>0</v>
      </c>
      <c r="BQ206" t="n">
        <v>0</v>
      </c>
      <c r="BR206" t="n">
        <v>0</v>
      </c>
      <c r="BS206" t="n">
        <v>0</v>
      </c>
      <c r="BT206" t="n">
        <v>0</v>
      </c>
      <c r="BU206" t="n">
        <v>0</v>
      </c>
      <c r="BV206" t="n">
        <v>0</v>
      </c>
      <c r="BW206" t="n">
        <v>0</v>
      </c>
      <c r="BX206" t="n">
        <v>0</v>
      </c>
      <c r="BY206" t="n">
        <v>0</v>
      </c>
      <c r="BZ206" t="n">
        <v>43</v>
      </c>
      <c r="CA206" t="n">
        <v>1</v>
      </c>
      <c r="CB206" t="n">
        <v>9</v>
      </c>
      <c r="CC206" t="n">
        <v>4</v>
      </c>
      <c r="CD206" t="n">
        <v>27</v>
      </c>
      <c r="CE206" t="n">
        <v>15</v>
      </c>
      <c r="CF206" t="n">
        <v>32</v>
      </c>
      <c r="CG206" t="n">
        <v>24</v>
      </c>
      <c r="CH206" t="n">
        <v>43</v>
      </c>
      <c r="CI206" t="n">
        <v>1</v>
      </c>
      <c r="CJ206" t="n">
        <v>9</v>
      </c>
      <c r="CK206" t="n">
        <v>4</v>
      </c>
      <c r="CL206" t="n">
        <v>27</v>
      </c>
      <c r="CM206" t="n">
        <v>15</v>
      </c>
      <c r="CN206" t="n">
        <v>32</v>
      </c>
      <c r="CO206" t="n">
        <v>24</v>
      </c>
      <c r="CP206" t="n">
        <v>0</v>
      </c>
      <c r="CQ206" t="n">
        <v>0</v>
      </c>
      <c r="CR206" t="n">
        <v>0</v>
      </c>
      <c r="CS206" t="n">
        <v>0</v>
      </c>
      <c r="CT206" t="n">
        <v>0</v>
      </c>
      <c r="CU206" t="n">
        <v>0</v>
      </c>
      <c r="CV206" t="n">
        <v>0</v>
      </c>
      <c r="CW206" t="n">
        <v>0</v>
      </c>
      <c r="CX206" t="n">
        <v>37.2</v>
      </c>
      <c r="CY206" t="n">
        <v>36.1</v>
      </c>
      <c r="CZ206" t="n">
        <v>53.8</v>
      </c>
      <c r="DA206" t="n">
        <v>62</v>
      </c>
      <c r="DB206" t="n">
        <v>36.3</v>
      </c>
      <c r="DC206" t="n">
        <v>32.8</v>
      </c>
      <c r="DD206" t="n">
        <v>52.9</v>
      </c>
      <c r="DE206" t="n">
        <v>56.1</v>
      </c>
      <c r="DF206" t="n">
        <v>37.2</v>
      </c>
      <c r="DG206" t="n">
        <v>36.1</v>
      </c>
      <c r="DH206" t="n">
        <v>53.8</v>
      </c>
      <c r="DI206" t="n">
        <v>62</v>
      </c>
      <c r="DJ206" t="n">
        <v>36.3</v>
      </c>
      <c r="DK206" t="n">
        <v>32.8</v>
      </c>
      <c r="DL206" t="n">
        <v>52.9</v>
      </c>
      <c r="DM206" t="n">
        <v>56.1</v>
      </c>
      <c r="DN206" t="n">
        <v>0</v>
      </c>
      <c r="DO206" t="n">
        <v>0</v>
      </c>
      <c r="DP206" t="n">
        <v>0</v>
      </c>
      <c r="DQ206" t="n">
        <v>0</v>
      </c>
      <c r="DR206" t="n">
        <v>0</v>
      </c>
      <c r="DS206" t="n">
        <v>0</v>
      </c>
      <c r="DT206" t="n">
        <v>0</v>
      </c>
      <c r="DU206" t="n">
        <v>0</v>
      </c>
      <c r="DV206" t="inlineStr">
        <is>
          <t>(CONTRACTS OF 44,000 LBS.)</t>
        </is>
      </c>
    </row>
    <row r="207">
      <c r="A207" t="inlineStr">
        <is>
          <t>NON FAT DRY MILK - CHICAGO MERCANTILE EXCHANGE</t>
        </is>
      </c>
      <c r="B207" t="n">
        <v>230103</v>
      </c>
      <c r="C207" s="1" t="n">
        <v>44929</v>
      </c>
      <c r="D207" t="inlineStr">
        <is>
          <t>052642</t>
        </is>
      </c>
      <c r="E207" t="inlineStr">
        <is>
          <t xml:space="preserve">CME </t>
        </is>
      </c>
      <c r="F207" t="inlineStr">
        <is>
          <t>00</t>
        </is>
      </c>
      <c r="G207" t="inlineStr">
        <is>
          <t xml:space="preserve">052 </t>
        </is>
      </c>
      <c r="H207" t="n">
        <v>10114</v>
      </c>
      <c r="I207" s="17" t="n">
        <v>144</v>
      </c>
      <c r="J207" s="17" t="n">
        <v>3456</v>
      </c>
      <c r="K207" t="n">
        <v>68</v>
      </c>
      <c r="L207" t="n">
        <v>9015</v>
      </c>
      <c r="M207" t="n">
        <v>5795</v>
      </c>
      <c r="N207" t="n">
        <v>9227</v>
      </c>
      <c r="O207" t="n">
        <v>9319</v>
      </c>
      <c r="P207" t="n">
        <v>887</v>
      </c>
      <c r="Q207" t="n">
        <v>795</v>
      </c>
      <c r="R207" t="n">
        <v>10114</v>
      </c>
      <c r="S207" t="n">
        <v>144</v>
      </c>
      <c r="T207" t="n">
        <v>3456</v>
      </c>
      <c r="U207" t="n">
        <v>68</v>
      </c>
      <c r="V207" t="n">
        <v>9015</v>
      </c>
      <c r="W207" t="n">
        <v>5795</v>
      </c>
      <c r="X207" t="n">
        <v>9227</v>
      </c>
      <c r="Y207" t="n">
        <v>9319</v>
      </c>
      <c r="Z207" t="n">
        <v>887</v>
      </c>
      <c r="AA207" t="n">
        <v>795</v>
      </c>
      <c r="AB207" t="n">
        <v>0</v>
      </c>
      <c r="AC207" t="n">
        <v>0</v>
      </c>
      <c r="AD207" t="n">
        <v>0</v>
      </c>
      <c r="AE207" t="n">
        <v>0</v>
      </c>
      <c r="AF207" t="n">
        <v>0</v>
      </c>
      <c r="AG207" t="n">
        <v>0</v>
      </c>
      <c r="AH207" t="n">
        <v>0</v>
      </c>
      <c r="AI207" t="n">
        <v>0</v>
      </c>
      <c r="AJ207" t="n">
        <v>0</v>
      </c>
      <c r="AK207" t="n">
        <v>0</v>
      </c>
      <c r="AL207" t="n">
        <v>327</v>
      </c>
      <c r="AM207" t="n">
        <v>0</v>
      </c>
      <c r="AN207" t="n">
        <v>158</v>
      </c>
      <c r="AO207" t="n">
        <v>-28</v>
      </c>
      <c r="AP207" t="n">
        <v>329</v>
      </c>
      <c r="AQ207" t="n">
        <v>189</v>
      </c>
      <c r="AR207" t="n">
        <v>301</v>
      </c>
      <c r="AS207" t="n">
        <v>319</v>
      </c>
      <c r="AT207" t="n">
        <v>26</v>
      </c>
      <c r="AU207" t="n">
        <v>8</v>
      </c>
      <c r="AV207" t="n">
        <v>100</v>
      </c>
      <c r="AW207" t="n">
        <v>1.4</v>
      </c>
      <c r="AX207" t="n">
        <v>34.2</v>
      </c>
      <c r="AY207" t="n">
        <v>0.7</v>
      </c>
      <c r="AZ207" t="n">
        <v>89.09999999999999</v>
      </c>
      <c r="BA207" t="n">
        <v>57.3</v>
      </c>
      <c r="BB207" t="n">
        <v>91.2</v>
      </c>
      <c r="BC207" t="n">
        <v>92.09999999999999</v>
      </c>
      <c r="BD207" t="n">
        <v>8.800000000000001</v>
      </c>
      <c r="BE207" t="n">
        <v>7.9</v>
      </c>
      <c r="BF207" t="n">
        <v>100</v>
      </c>
      <c r="BG207" t="n">
        <v>1.4</v>
      </c>
      <c r="BH207" t="n">
        <v>34.2</v>
      </c>
      <c r="BI207" t="n">
        <v>0.7</v>
      </c>
      <c r="BJ207" t="n">
        <v>89.09999999999999</v>
      </c>
      <c r="BK207" t="n">
        <v>57.3</v>
      </c>
      <c r="BL207" t="n">
        <v>91.2</v>
      </c>
      <c r="BM207" t="n">
        <v>92.09999999999999</v>
      </c>
      <c r="BN207" t="n">
        <v>8.800000000000001</v>
      </c>
      <c r="BO207" t="n">
        <v>7.9</v>
      </c>
      <c r="BP207" t="n">
        <v>0</v>
      </c>
      <c r="BQ207" t="n">
        <v>0</v>
      </c>
      <c r="BR207" t="n">
        <v>0</v>
      </c>
      <c r="BS207" t="n">
        <v>0</v>
      </c>
      <c r="BT207" t="n">
        <v>0</v>
      </c>
      <c r="BU207" t="n">
        <v>0</v>
      </c>
      <c r="BV207" t="n">
        <v>0</v>
      </c>
      <c r="BW207" t="n">
        <v>0</v>
      </c>
      <c r="BX207" t="n">
        <v>0</v>
      </c>
      <c r="BY207" t="n">
        <v>0</v>
      </c>
      <c r="BZ207" t="n">
        <v>43</v>
      </c>
      <c r="CA207" t="n">
        <v>1</v>
      </c>
      <c r="CB207" t="n">
        <v>8</v>
      </c>
      <c r="CC207" t="n">
        <v>4</v>
      </c>
      <c r="CD207" t="n">
        <v>31</v>
      </c>
      <c r="CE207" t="n">
        <v>18</v>
      </c>
      <c r="CF207" t="n">
        <v>36</v>
      </c>
      <c r="CG207" t="n">
        <v>26</v>
      </c>
      <c r="CH207" t="n">
        <v>43</v>
      </c>
      <c r="CI207" t="n">
        <v>1</v>
      </c>
      <c r="CJ207" t="n">
        <v>8</v>
      </c>
      <c r="CK207" t="n">
        <v>4</v>
      </c>
      <c r="CL207" t="n">
        <v>31</v>
      </c>
      <c r="CM207" t="n">
        <v>18</v>
      </c>
      <c r="CN207" t="n">
        <v>36</v>
      </c>
      <c r="CO207" t="n">
        <v>26</v>
      </c>
      <c r="CP207" t="n">
        <v>0</v>
      </c>
      <c r="CQ207" t="n">
        <v>0</v>
      </c>
      <c r="CR207" t="n">
        <v>0</v>
      </c>
      <c r="CS207" t="n">
        <v>0</v>
      </c>
      <c r="CT207" t="n">
        <v>0</v>
      </c>
      <c r="CU207" t="n">
        <v>0</v>
      </c>
      <c r="CV207" t="n">
        <v>0</v>
      </c>
      <c r="CW207" t="n">
        <v>0</v>
      </c>
      <c r="CX207" t="n">
        <v>35.1</v>
      </c>
      <c r="CY207" t="n">
        <v>34</v>
      </c>
      <c r="CZ207" t="n">
        <v>51.6</v>
      </c>
      <c r="DA207" t="n">
        <v>57.8</v>
      </c>
      <c r="DB207" t="n">
        <v>34.7</v>
      </c>
      <c r="DC207" t="n">
        <v>29.2</v>
      </c>
      <c r="DD207" t="n">
        <v>49.2</v>
      </c>
      <c r="DE207" t="n">
        <v>50</v>
      </c>
      <c r="DF207" t="n">
        <v>35.1</v>
      </c>
      <c r="DG207" t="n">
        <v>34</v>
      </c>
      <c r="DH207" t="n">
        <v>51.6</v>
      </c>
      <c r="DI207" t="n">
        <v>57.8</v>
      </c>
      <c r="DJ207" t="n">
        <v>34.7</v>
      </c>
      <c r="DK207" t="n">
        <v>29.2</v>
      </c>
      <c r="DL207" t="n">
        <v>49.2</v>
      </c>
      <c r="DM207" t="n">
        <v>50</v>
      </c>
      <c r="DN207" t="n">
        <v>0</v>
      </c>
      <c r="DO207" t="n">
        <v>0</v>
      </c>
      <c r="DP207" t="n">
        <v>0</v>
      </c>
      <c r="DQ207" t="n">
        <v>0</v>
      </c>
      <c r="DR207" t="n">
        <v>0</v>
      </c>
      <c r="DS207" t="n">
        <v>0</v>
      </c>
      <c r="DT207" t="n">
        <v>0</v>
      </c>
      <c r="DU207" t="n">
        <v>0</v>
      </c>
      <c r="DV207" t="inlineStr">
        <is>
          <t>(CONTRACTS OF 44,000 LBS.)</t>
        </is>
      </c>
    </row>
    <row r="208">
      <c r="A208" t="inlineStr">
        <is>
          <t>CME MILK IV - CHICAGO MERCANTILE EXCHANGE</t>
        </is>
      </c>
      <c r="B208" t="n">
        <v>230110</v>
      </c>
      <c r="C208" s="1" t="n">
        <v>44936</v>
      </c>
      <c r="D208" t="inlineStr">
        <is>
          <t>052644</t>
        </is>
      </c>
      <c r="E208" t="inlineStr">
        <is>
          <t xml:space="preserve">CME </t>
        </is>
      </c>
      <c r="F208" t="inlineStr">
        <is>
          <t>00</t>
        </is>
      </c>
      <c r="G208" t="inlineStr">
        <is>
          <t xml:space="preserve">052 </t>
        </is>
      </c>
      <c r="H208" t="n">
        <v>7839</v>
      </c>
      <c r="I208" s="17" t="n">
        <v>2135</v>
      </c>
      <c r="J208" s="17" t="n">
        <v>670</v>
      </c>
      <c r="K208" t="n">
        <v>197</v>
      </c>
      <c r="L208" t="n">
        <v>5360</v>
      </c>
      <c r="M208" t="n">
        <v>6245</v>
      </c>
      <c r="N208" t="n">
        <v>7692</v>
      </c>
      <c r="O208" t="n">
        <v>7112</v>
      </c>
      <c r="P208" t="n">
        <v>147</v>
      </c>
      <c r="Q208" t="n">
        <v>727</v>
      </c>
      <c r="R208" t="n">
        <v>7839</v>
      </c>
      <c r="S208" t="n">
        <v>2135</v>
      </c>
      <c r="T208" t="n">
        <v>670</v>
      </c>
      <c r="U208" t="n">
        <v>197</v>
      </c>
      <c r="V208" t="n">
        <v>5360</v>
      </c>
      <c r="W208" t="n">
        <v>6245</v>
      </c>
      <c r="X208" t="n">
        <v>7692</v>
      </c>
      <c r="Y208" t="n">
        <v>7112</v>
      </c>
      <c r="Z208" t="n">
        <v>147</v>
      </c>
      <c r="AA208" t="n">
        <v>727</v>
      </c>
      <c r="AB208" t="n">
        <v>0</v>
      </c>
      <c r="AC208" t="n">
        <v>0</v>
      </c>
      <c r="AD208" t="n">
        <v>0</v>
      </c>
      <c r="AE208" t="n">
        <v>0</v>
      </c>
      <c r="AF208" t="n">
        <v>0</v>
      </c>
      <c r="AG208" t="n">
        <v>0</v>
      </c>
      <c r="AH208" t="n">
        <v>0</v>
      </c>
      <c r="AI208" t="n">
        <v>0</v>
      </c>
      <c r="AJ208" t="n">
        <v>0</v>
      </c>
      <c r="AK208" t="n">
        <v>0</v>
      </c>
      <c r="AL208" t="n">
        <v>-2241</v>
      </c>
      <c r="AM208" t="n">
        <v>-1606</v>
      </c>
      <c r="AN208" t="n">
        <v>-192</v>
      </c>
      <c r="AO208" t="n">
        <v>74</v>
      </c>
      <c r="AP208" t="n">
        <v>-685</v>
      </c>
      <c r="AQ208" t="n">
        <v>-2189</v>
      </c>
      <c r="AR208" t="n">
        <v>-2217</v>
      </c>
      <c r="AS208" t="n">
        <v>-2307</v>
      </c>
      <c r="AT208" t="n">
        <v>-24</v>
      </c>
      <c r="AU208" t="n">
        <v>66</v>
      </c>
      <c r="AV208" t="n">
        <v>100</v>
      </c>
      <c r="AW208" t="n">
        <v>27.2</v>
      </c>
      <c r="AX208" t="n">
        <v>8.5</v>
      </c>
      <c r="AY208" t="n">
        <v>2.5</v>
      </c>
      <c r="AZ208" t="n">
        <v>68.40000000000001</v>
      </c>
      <c r="BA208" t="n">
        <v>79.7</v>
      </c>
      <c r="BB208" t="n">
        <v>98.09999999999999</v>
      </c>
      <c r="BC208" t="n">
        <v>90.7</v>
      </c>
      <c r="BD208" t="n">
        <v>1.9</v>
      </c>
      <c r="BE208" t="n">
        <v>9.300000000000001</v>
      </c>
      <c r="BF208" t="n">
        <v>100</v>
      </c>
      <c r="BG208" t="n">
        <v>27.2</v>
      </c>
      <c r="BH208" t="n">
        <v>8.5</v>
      </c>
      <c r="BI208" t="n">
        <v>2.5</v>
      </c>
      <c r="BJ208" t="n">
        <v>68.40000000000001</v>
      </c>
      <c r="BK208" t="n">
        <v>79.7</v>
      </c>
      <c r="BL208" t="n">
        <v>98.09999999999999</v>
      </c>
      <c r="BM208" t="n">
        <v>90.7</v>
      </c>
      <c r="BN208" t="n">
        <v>1.9</v>
      </c>
      <c r="BO208" t="n">
        <v>9.300000000000001</v>
      </c>
      <c r="BP208" t="n">
        <v>0</v>
      </c>
      <c r="BQ208" t="n">
        <v>0</v>
      </c>
      <c r="BR208" t="n">
        <v>0</v>
      </c>
      <c r="BS208" t="n">
        <v>0</v>
      </c>
      <c r="BT208" t="n">
        <v>0</v>
      </c>
      <c r="BU208" t="n">
        <v>0</v>
      </c>
      <c r="BV208" t="n">
        <v>0</v>
      </c>
      <c r="BW208" t="n">
        <v>0</v>
      </c>
      <c r="BX208" t="n">
        <v>0</v>
      </c>
      <c r="BY208" t="n">
        <v>0</v>
      </c>
      <c r="BZ208" t="n">
        <v>27</v>
      </c>
      <c r="CA208" t="n">
        <v>4</v>
      </c>
      <c r="CB208" t="n">
        <v>2</v>
      </c>
      <c r="CC208" t="n">
        <v>4</v>
      </c>
      <c r="CD208" t="n">
        <v>9</v>
      </c>
      <c r="CE208" t="n">
        <v>13</v>
      </c>
      <c r="CF208" t="n">
        <v>14</v>
      </c>
      <c r="CG208" t="n">
        <v>18</v>
      </c>
      <c r="CH208" t="n">
        <v>27</v>
      </c>
      <c r="CI208" t="n">
        <v>4</v>
      </c>
      <c r="CJ208" t="n">
        <v>2</v>
      </c>
      <c r="CK208" t="n">
        <v>4</v>
      </c>
      <c r="CL208" t="n">
        <v>9</v>
      </c>
      <c r="CM208" t="n">
        <v>13</v>
      </c>
      <c r="CN208" t="n">
        <v>14</v>
      </c>
      <c r="CO208" t="n">
        <v>18</v>
      </c>
      <c r="CP208" t="n">
        <v>0</v>
      </c>
      <c r="CQ208" t="n">
        <v>0</v>
      </c>
      <c r="CR208" t="n">
        <v>0</v>
      </c>
      <c r="CS208" t="n">
        <v>0</v>
      </c>
      <c r="CT208" t="n">
        <v>0</v>
      </c>
      <c r="CU208" t="n">
        <v>0</v>
      </c>
      <c r="CV208" t="n">
        <v>0</v>
      </c>
      <c r="CW208" t="n">
        <v>0</v>
      </c>
      <c r="CX208" t="n">
        <v>60.9</v>
      </c>
      <c r="CY208" t="n">
        <v>66.8</v>
      </c>
      <c r="CZ208" t="n">
        <v>86</v>
      </c>
      <c r="DA208" t="n">
        <v>82.2</v>
      </c>
      <c r="DB208" t="n">
        <v>58.1</v>
      </c>
      <c r="DC208" t="n">
        <v>66.8</v>
      </c>
      <c r="DD208" t="n">
        <v>83.2</v>
      </c>
      <c r="DE208" t="n">
        <v>82.2</v>
      </c>
      <c r="DF208" t="n">
        <v>60.9</v>
      </c>
      <c r="DG208" t="n">
        <v>66.8</v>
      </c>
      <c r="DH208" t="n">
        <v>86</v>
      </c>
      <c r="DI208" t="n">
        <v>82.2</v>
      </c>
      <c r="DJ208" t="n">
        <v>58.1</v>
      </c>
      <c r="DK208" t="n">
        <v>66.8</v>
      </c>
      <c r="DL208" t="n">
        <v>83.2</v>
      </c>
      <c r="DM208" t="n">
        <v>82.2</v>
      </c>
      <c r="DN208" t="n">
        <v>0</v>
      </c>
      <c r="DO208" t="n">
        <v>0</v>
      </c>
      <c r="DP208" t="n">
        <v>0</v>
      </c>
      <c r="DQ208" t="n">
        <v>0</v>
      </c>
      <c r="DR208" t="n">
        <v>0</v>
      </c>
      <c r="DS208" t="n">
        <v>0</v>
      </c>
      <c r="DT208" t="n">
        <v>0</v>
      </c>
      <c r="DU208" t="n">
        <v>0</v>
      </c>
      <c r="DV208" t="inlineStr">
        <is>
          <t>(CONTRACTS OF 200,000 POUNDS)</t>
        </is>
      </c>
    </row>
    <row r="209">
      <c r="A209" t="inlineStr">
        <is>
          <t>CME MILK IV - CHICAGO MERCANTILE EXCHANGE</t>
        </is>
      </c>
      <c r="B209" t="n">
        <v>230103</v>
      </c>
      <c r="C209" s="1" t="n">
        <v>44929</v>
      </c>
      <c r="D209" t="inlineStr">
        <is>
          <t>052644</t>
        </is>
      </c>
      <c r="E209" t="inlineStr">
        <is>
          <t xml:space="preserve">CME </t>
        </is>
      </c>
      <c r="F209" t="inlineStr">
        <is>
          <t>00</t>
        </is>
      </c>
      <c r="G209" t="inlineStr">
        <is>
          <t xml:space="preserve">052 </t>
        </is>
      </c>
      <c r="H209" t="n">
        <v>10080</v>
      </c>
      <c r="I209" s="17" t="n">
        <v>3741</v>
      </c>
      <c r="J209" s="17" t="n">
        <v>862</v>
      </c>
      <c r="K209" t="n">
        <v>123</v>
      </c>
      <c r="L209" t="n">
        <v>6045</v>
      </c>
      <c r="M209" t="n">
        <v>8434</v>
      </c>
      <c r="N209" t="n">
        <v>9909</v>
      </c>
      <c r="O209" t="n">
        <v>9419</v>
      </c>
      <c r="P209" t="n">
        <v>171</v>
      </c>
      <c r="Q209" t="n">
        <v>661</v>
      </c>
      <c r="R209" t="n">
        <v>10080</v>
      </c>
      <c r="S209" t="n">
        <v>3741</v>
      </c>
      <c r="T209" t="n">
        <v>862</v>
      </c>
      <c r="U209" t="n">
        <v>123</v>
      </c>
      <c r="V209" t="n">
        <v>6045</v>
      </c>
      <c r="W209" t="n">
        <v>8434</v>
      </c>
      <c r="X209" t="n">
        <v>9909</v>
      </c>
      <c r="Y209" t="n">
        <v>9419</v>
      </c>
      <c r="Z209" t="n">
        <v>171</v>
      </c>
      <c r="AA209" t="n">
        <v>661</v>
      </c>
      <c r="AB209" t="n">
        <v>0</v>
      </c>
      <c r="AC209" t="n">
        <v>0</v>
      </c>
      <c r="AD209" t="n">
        <v>0</v>
      </c>
      <c r="AE209" t="n">
        <v>0</v>
      </c>
      <c r="AF209" t="n">
        <v>0</v>
      </c>
      <c r="AG209" t="n">
        <v>0</v>
      </c>
      <c r="AH209" t="n">
        <v>0</v>
      </c>
      <c r="AI209" t="n">
        <v>0</v>
      </c>
      <c r="AJ209" t="n">
        <v>0</v>
      </c>
      <c r="AK209" t="n">
        <v>0</v>
      </c>
      <c r="AL209" t="n">
        <v>90</v>
      </c>
      <c r="AM209" t="n">
        <v>47</v>
      </c>
      <c r="AN209" t="n">
        <v>107</v>
      </c>
      <c r="AO209" t="n">
        <v>2</v>
      </c>
      <c r="AP209" t="n">
        <v>30</v>
      </c>
      <c r="AQ209" t="n">
        <v>-4</v>
      </c>
      <c r="AR209" t="n">
        <v>79</v>
      </c>
      <c r="AS209" t="n">
        <v>105</v>
      </c>
      <c r="AT209" t="n">
        <v>11</v>
      </c>
      <c r="AU209" t="n">
        <v>-15</v>
      </c>
      <c r="AV209" t="n">
        <v>100</v>
      </c>
      <c r="AW209" t="n">
        <v>37.1</v>
      </c>
      <c r="AX209" t="n">
        <v>8.6</v>
      </c>
      <c r="AY209" t="n">
        <v>1.2</v>
      </c>
      <c r="AZ209" t="n">
        <v>60</v>
      </c>
      <c r="BA209" t="n">
        <v>83.7</v>
      </c>
      <c r="BB209" t="n">
        <v>98.3</v>
      </c>
      <c r="BC209" t="n">
        <v>93.40000000000001</v>
      </c>
      <c r="BD209" t="n">
        <v>1.7</v>
      </c>
      <c r="BE209" t="n">
        <v>6.6</v>
      </c>
      <c r="BF209" t="n">
        <v>100</v>
      </c>
      <c r="BG209" t="n">
        <v>37.1</v>
      </c>
      <c r="BH209" t="n">
        <v>8.6</v>
      </c>
      <c r="BI209" t="n">
        <v>1.2</v>
      </c>
      <c r="BJ209" t="n">
        <v>60</v>
      </c>
      <c r="BK209" t="n">
        <v>83.7</v>
      </c>
      <c r="BL209" t="n">
        <v>98.3</v>
      </c>
      <c r="BM209" t="n">
        <v>93.40000000000001</v>
      </c>
      <c r="BN209" t="n">
        <v>1.7</v>
      </c>
      <c r="BO209" t="n">
        <v>6.6</v>
      </c>
      <c r="BP209" t="n">
        <v>0</v>
      </c>
      <c r="BQ209" t="n">
        <v>0</v>
      </c>
      <c r="BR209" t="n">
        <v>0</v>
      </c>
      <c r="BS209" t="n">
        <v>0</v>
      </c>
      <c r="BT209" t="n">
        <v>0</v>
      </c>
      <c r="BU209" t="n">
        <v>0</v>
      </c>
      <c r="BV209" t="n">
        <v>0</v>
      </c>
      <c r="BW209" t="n">
        <v>0</v>
      </c>
      <c r="BX209" t="n">
        <v>0</v>
      </c>
      <c r="BY209" t="n">
        <v>0</v>
      </c>
      <c r="BZ209" t="n">
        <v>32</v>
      </c>
      <c r="CA209" t="n">
        <v>4</v>
      </c>
      <c r="CB209" t="n">
        <v>2</v>
      </c>
      <c r="CC209" t="n">
        <v>4</v>
      </c>
      <c r="CD209" t="n">
        <v>10</v>
      </c>
      <c r="CE209" t="n">
        <v>19</v>
      </c>
      <c r="CF209" t="n">
        <v>15</v>
      </c>
      <c r="CG209" t="n">
        <v>24</v>
      </c>
      <c r="CH209" t="n">
        <v>32</v>
      </c>
      <c r="CI209" t="n">
        <v>4</v>
      </c>
      <c r="CJ209" t="n">
        <v>2</v>
      </c>
      <c r="CK209" t="n">
        <v>4</v>
      </c>
      <c r="CL209" t="n">
        <v>10</v>
      </c>
      <c r="CM209" t="n">
        <v>19</v>
      </c>
      <c r="CN209" t="n">
        <v>15</v>
      </c>
      <c r="CO209" t="n">
        <v>24</v>
      </c>
      <c r="CP209" t="n">
        <v>0</v>
      </c>
      <c r="CQ209" t="n">
        <v>0</v>
      </c>
      <c r="CR209" t="n">
        <v>0</v>
      </c>
      <c r="CS209" t="n">
        <v>0</v>
      </c>
      <c r="CT209" t="n">
        <v>0</v>
      </c>
      <c r="CU209" t="n">
        <v>0</v>
      </c>
      <c r="CV209" t="n">
        <v>0</v>
      </c>
      <c r="CW209" t="n">
        <v>0</v>
      </c>
      <c r="CX209" t="n">
        <v>55.9</v>
      </c>
      <c r="CY209" t="n">
        <v>66.8</v>
      </c>
      <c r="CZ209" t="n">
        <v>84.5</v>
      </c>
      <c r="DA209" t="n">
        <v>80.59999999999999</v>
      </c>
      <c r="DB209" t="n">
        <v>54.6</v>
      </c>
      <c r="DC209" t="n">
        <v>66.8</v>
      </c>
      <c r="DD209" t="n">
        <v>82.7</v>
      </c>
      <c r="DE209" t="n">
        <v>80.59999999999999</v>
      </c>
      <c r="DF209" t="n">
        <v>55.9</v>
      </c>
      <c r="DG209" t="n">
        <v>66.8</v>
      </c>
      <c r="DH209" t="n">
        <v>84.5</v>
      </c>
      <c r="DI209" t="n">
        <v>80.59999999999999</v>
      </c>
      <c r="DJ209" t="n">
        <v>54.6</v>
      </c>
      <c r="DK209" t="n">
        <v>66.8</v>
      </c>
      <c r="DL209" t="n">
        <v>82.7</v>
      </c>
      <c r="DM209" t="n">
        <v>80.59999999999999</v>
      </c>
      <c r="DN209" t="n">
        <v>0</v>
      </c>
      <c r="DO209" t="n">
        <v>0</v>
      </c>
      <c r="DP209" t="n">
        <v>0</v>
      </c>
      <c r="DQ209" t="n">
        <v>0</v>
      </c>
      <c r="DR209" t="n">
        <v>0</v>
      </c>
      <c r="DS209" t="n">
        <v>0</v>
      </c>
      <c r="DT209" t="n">
        <v>0</v>
      </c>
      <c r="DU209" t="n">
        <v>0</v>
      </c>
      <c r="DV209" t="inlineStr">
        <is>
          <t>(CONTRACTS OF 200,000 POUNDS)</t>
        </is>
      </c>
    </row>
    <row r="210">
      <c r="A210" t="inlineStr">
        <is>
          <t>LEAN HOGS - CHICAGO MERCANTILE EXCHANGE</t>
        </is>
      </c>
      <c r="B210" t="n">
        <v>230110</v>
      </c>
      <c r="C210" s="1" t="n">
        <v>44936</v>
      </c>
      <c r="D210" t="inlineStr">
        <is>
          <t>054642</t>
        </is>
      </c>
      <c r="E210" t="inlineStr">
        <is>
          <t xml:space="preserve">CME </t>
        </is>
      </c>
      <c r="F210" t="inlineStr">
        <is>
          <t>00</t>
        </is>
      </c>
      <c r="G210" t="inlineStr">
        <is>
          <t xml:space="preserve">054 </t>
        </is>
      </c>
      <c r="H210" t="n">
        <v>190005</v>
      </c>
      <c r="I210" s="17" t="n">
        <v>65146</v>
      </c>
      <c r="J210" s="17" t="n">
        <v>39377</v>
      </c>
      <c r="K210" t="n">
        <v>35868</v>
      </c>
      <c r="L210" t="n">
        <v>70042</v>
      </c>
      <c r="M210" t="n">
        <v>89400</v>
      </c>
      <c r="N210" t="n">
        <v>171056</v>
      </c>
      <c r="O210" t="n">
        <v>164645</v>
      </c>
      <c r="P210" t="n">
        <v>18949</v>
      </c>
      <c r="Q210" t="n">
        <v>25360</v>
      </c>
      <c r="R210" t="n">
        <v>182927</v>
      </c>
      <c r="S210" t="n">
        <v>64840</v>
      </c>
      <c r="T210" t="n">
        <v>40835</v>
      </c>
      <c r="U210" t="n">
        <v>33146</v>
      </c>
      <c r="V210" t="n">
        <v>67682</v>
      </c>
      <c r="W210" t="n">
        <v>84705</v>
      </c>
      <c r="X210" t="n">
        <v>165668</v>
      </c>
      <c r="Y210" t="n">
        <v>158686</v>
      </c>
      <c r="Z210" t="n">
        <v>17259</v>
      </c>
      <c r="AA210" t="n">
        <v>24241</v>
      </c>
      <c r="AB210" t="n">
        <v>7078</v>
      </c>
      <c r="AC210" t="n">
        <v>2194</v>
      </c>
      <c r="AD210" t="n">
        <v>430</v>
      </c>
      <c r="AE210" t="n">
        <v>834</v>
      </c>
      <c r="AF210" t="n">
        <v>2360</v>
      </c>
      <c r="AG210" t="n">
        <v>4695</v>
      </c>
      <c r="AH210" t="n">
        <v>5388</v>
      </c>
      <c r="AI210" t="n">
        <v>5959</v>
      </c>
      <c r="AJ210" t="n">
        <v>1690</v>
      </c>
      <c r="AK210" t="n">
        <v>1119</v>
      </c>
      <c r="AL210" t="n">
        <v>1154</v>
      </c>
      <c r="AM210" t="n">
        <v>-8687</v>
      </c>
      <c r="AN210" t="n">
        <v>9170</v>
      </c>
      <c r="AO210" t="n">
        <v>3669</v>
      </c>
      <c r="AP210" t="n">
        <v>1747</v>
      </c>
      <c r="AQ210" t="n">
        <v>-10566</v>
      </c>
      <c r="AR210" t="n">
        <v>-3271</v>
      </c>
      <c r="AS210" t="n">
        <v>2273</v>
      </c>
      <c r="AT210" t="n">
        <v>4425</v>
      </c>
      <c r="AU210" t="n">
        <v>-1119</v>
      </c>
      <c r="AV210" t="n">
        <v>100</v>
      </c>
      <c r="AW210" t="n">
        <v>34.3</v>
      </c>
      <c r="AX210" t="n">
        <v>20.7</v>
      </c>
      <c r="AY210" t="n">
        <v>18.9</v>
      </c>
      <c r="AZ210" t="n">
        <v>36.9</v>
      </c>
      <c r="BA210" t="n">
        <v>47.1</v>
      </c>
      <c r="BB210" t="n">
        <v>90</v>
      </c>
      <c r="BC210" t="n">
        <v>86.7</v>
      </c>
      <c r="BD210" t="n">
        <v>10</v>
      </c>
      <c r="BE210" t="n">
        <v>13.3</v>
      </c>
      <c r="BF210" t="n">
        <v>100</v>
      </c>
      <c r="BG210" t="n">
        <v>35.4</v>
      </c>
      <c r="BH210" t="n">
        <v>22.3</v>
      </c>
      <c r="BI210" t="n">
        <v>18.1</v>
      </c>
      <c r="BJ210" t="n">
        <v>37</v>
      </c>
      <c r="BK210" t="n">
        <v>46.3</v>
      </c>
      <c r="BL210" t="n">
        <v>90.59999999999999</v>
      </c>
      <c r="BM210" t="n">
        <v>86.7</v>
      </c>
      <c r="BN210" t="n">
        <v>9.4</v>
      </c>
      <c r="BO210" t="n">
        <v>13.3</v>
      </c>
      <c r="BP210" t="n">
        <v>100</v>
      </c>
      <c r="BQ210" t="n">
        <v>31</v>
      </c>
      <c r="BR210" t="n">
        <v>6.1</v>
      </c>
      <c r="BS210" t="n">
        <v>11.8</v>
      </c>
      <c r="BT210" t="n">
        <v>33.3</v>
      </c>
      <c r="BU210" t="n">
        <v>66.3</v>
      </c>
      <c r="BV210" t="n">
        <v>76.09999999999999</v>
      </c>
      <c r="BW210" t="n">
        <v>84.2</v>
      </c>
      <c r="BX210" t="n">
        <v>23.9</v>
      </c>
      <c r="BY210" t="n">
        <v>15.8</v>
      </c>
      <c r="BZ210" t="n">
        <v>285</v>
      </c>
      <c r="CA210" t="n">
        <v>77</v>
      </c>
      <c r="CB210" t="n">
        <v>87</v>
      </c>
      <c r="CC210" t="n">
        <v>103</v>
      </c>
      <c r="CD210" t="n">
        <v>63</v>
      </c>
      <c r="CE210" t="n">
        <v>91</v>
      </c>
      <c r="CF210" t="n">
        <v>203</v>
      </c>
      <c r="CG210" t="n">
        <v>233</v>
      </c>
      <c r="CH210" t="n">
        <v>284</v>
      </c>
      <c r="CI210" t="n">
        <v>73</v>
      </c>
      <c r="CJ210" t="n">
        <v>98</v>
      </c>
      <c r="CK210" t="n">
        <v>101</v>
      </c>
      <c r="CL210" t="n">
        <v>52</v>
      </c>
      <c r="CM210" t="n">
        <v>90</v>
      </c>
      <c r="CN210" t="n">
        <v>191</v>
      </c>
      <c r="CO210" t="n">
        <v>231</v>
      </c>
      <c r="CP210" t="n">
        <v>68</v>
      </c>
      <c r="CQ210" t="n">
        <v>22</v>
      </c>
      <c r="CR210" t="n">
        <v>7</v>
      </c>
      <c r="CS210" t="n">
        <v>16</v>
      </c>
      <c r="CT210" t="n">
        <v>21</v>
      </c>
      <c r="CU210" t="n">
        <v>29</v>
      </c>
      <c r="CV210" t="n">
        <v>47</v>
      </c>
      <c r="CW210" t="n">
        <v>50</v>
      </c>
      <c r="CX210" t="n">
        <v>18.4</v>
      </c>
      <c r="CY210" t="n">
        <v>16.2</v>
      </c>
      <c r="CZ210" t="n">
        <v>31.6</v>
      </c>
      <c r="DA210" t="n">
        <v>25.1</v>
      </c>
      <c r="DB210" t="n">
        <v>18.3</v>
      </c>
      <c r="DC210" t="n">
        <v>13.6</v>
      </c>
      <c r="DD210" t="n">
        <v>29.3</v>
      </c>
      <c r="DE210" t="n">
        <v>21.6</v>
      </c>
      <c r="DF210" t="n">
        <v>19.1</v>
      </c>
      <c r="DG210" t="n">
        <v>15.4</v>
      </c>
      <c r="DH210" t="n">
        <v>32.5</v>
      </c>
      <c r="DI210" t="n">
        <v>24.5</v>
      </c>
      <c r="DJ210" t="n">
        <v>19</v>
      </c>
      <c r="DK210" t="n">
        <v>12.7</v>
      </c>
      <c r="DL210" t="n">
        <v>29.9</v>
      </c>
      <c r="DM210" t="n">
        <v>20.9</v>
      </c>
      <c r="DN210" t="n">
        <v>32.7</v>
      </c>
      <c r="DO210" t="n">
        <v>50</v>
      </c>
      <c r="DP210" t="n">
        <v>48.2</v>
      </c>
      <c r="DQ210" t="n">
        <v>59.9</v>
      </c>
      <c r="DR210" t="n">
        <v>28.1</v>
      </c>
      <c r="DS210" t="n">
        <v>46.4</v>
      </c>
      <c r="DT210" t="n">
        <v>38.8</v>
      </c>
      <c r="DU210" t="n">
        <v>55.3</v>
      </c>
      <c r="DV210" t="inlineStr">
        <is>
          <t>(CONTRACTS OF 40,000 POUNDS)</t>
        </is>
      </c>
    </row>
    <row r="211">
      <c r="A211" t="inlineStr">
        <is>
          <t>LEAN HOGS - CHICAGO MERCANTILE EXCHANGE</t>
        </is>
      </c>
      <c r="B211" t="n">
        <v>230103</v>
      </c>
      <c r="C211" s="1" t="n">
        <v>44929</v>
      </c>
      <c r="D211" t="inlineStr">
        <is>
          <t>054642</t>
        </is>
      </c>
      <c r="E211" t="inlineStr">
        <is>
          <t xml:space="preserve">CME </t>
        </is>
      </c>
      <c r="F211" t="inlineStr">
        <is>
          <t>00</t>
        </is>
      </c>
      <c r="G211" t="inlineStr">
        <is>
          <t xml:space="preserve">054 </t>
        </is>
      </c>
      <c r="H211" t="n">
        <v>188851</v>
      </c>
      <c r="I211" s="17" t="n">
        <v>73833</v>
      </c>
      <c r="J211" s="17" t="n">
        <v>30207</v>
      </c>
      <c r="K211" t="n">
        <v>32199</v>
      </c>
      <c r="L211" t="n">
        <v>68295</v>
      </c>
      <c r="M211" t="n">
        <v>99966</v>
      </c>
      <c r="N211" t="n">
        <v>174327</v>
      </c>
      <c r="O211" t="n">
        <v>162372</v>
      </c>
      <c r="P211" t="n">
        <v>14524</v>
      </c>
      <c r="Q211" t="n">
        <v>26479</v>
      </c>
      <c r="R211" t="n">
        <v>183233</v>
      </c>
      <c r="S211" t="n">
        <v>73638</v>
      </c>
      <c r="T211" t="n">
        <v>31112</v>
      </c>
      <c r="U211" t="n">
        <v>30673</v>
      </c>
      <c r="V211" t="n">
        <v>65982</v>
      </c>
      <c r="W211" t="n">
        <v>95908</v>
      </c>
      <c r="X211" t="n">
        <v>170293</v>
      </c>
      <c r="Y211" t="n">
        <v>157693</v>
      </c>
      <c r="Z211" t="n">
        <v>12940</v>
      </c>
      <c r="AA211" t="n">
        <v>25540</v>
      </c>
      <c r="AB211" t="n">
        <v>5618</v>
      </c>
      <c r="AC211" t="n">
        <v>1174</v>
      </c>
      <c r="AD211" t="n">
        <v>74</v>
      </c>
      <c r="AE211" t="n">
        <v>547</v>
      </c>
      <c r="AF211" t="n">
        <v>2313</v>
      </c>
      <c r="AG211" t="n">
        <v>4058</v>
      </c>
      <c r="AH211" t="n">
        <v>4034</v>
      </c>
      <c r="AI211" t="n">
        <v>4679</v>
      </c>
      <c r="AJ211" t="n">
        <v>1584</v>
      </c>
      <c r="AK211" t="n">
        <v>939</v>
      </c>
      <c r="AL211" t="n">
        <v>1557</v>
      </c>
      <c r="AM211" t="n">
        <v>-1750</v>
      </c>
      <c r="AN211" t="n">
        <v>-663</v>
      </c>
      <c r="AO211" t="n">
        <v>2575</v>
      </c>
      <c r="AP211" t="n">
        <v>1621</v>
      </c>
      <c r="AQ211" t="n">
        <v>192</v>
      </c>
      <c r="AR211" t="n">
        <v>2446</v>
      </c>
      <c r="AS211" t="n">
        <v>2104</v>
      </c>
      <c r="AT211" t="n">
        <v>-889</v>
      </c>
      <c r="AU211" t="n">
        <v>-547</v>
      </c>
      <c r="AV211" t="n">
        <v>100</v>
      </c>
      <c r="AW211" t="n">
        <v>39.1</v>
      </c>
      <c r="AX211" t="n">
        <v>16</v>
      </c>
      <c r="AY211" t="n">
        <v>17</v>
      </c>
      <c r="AZ211" t="n">
        <v>36.2</v>
      </c>
      <c r="BA211" t="n">
        <v>52.9</v>
      </c>
      <c r="BB211" t="n">
        <v>92.3</v>
      </c>
      <c r="BC211" t="n">
        <v>86</v>
      </c>
      <c r="BD211" t="n">
        <v>7.7</v>
      </c>
      <c r="BE211" t="n">
        <v>14</v>
      </c>
      <c r="BF211" t="n">
        <v>100</v>
      </c>
      <c r="BG211" t="n">
        <v>40.2</v>
      </c>
      <c r="BH211" t="n">
        <v>17</v>
      </c>
      <c r="BI211" t="n">
        <v>16.7</v>
      </c>
      <c r="BJ211" t="n">
        <v>36</v>
      </c>
      <c r="BK211" t="n">
        <v>52.3</v>
      </c>
      <c r="BL211" t="n">
        <v>92.90000000000001</v>
      </c>
      <c r="BM211" t="n">
        <v>86.09999999999999</v>
      </c>
      <c r="BN211" t="n">
        <v>7.1</v>
      </c>
      <c r="BO211" t="n">
        <v>13.9</v>
      </c>
      <c r="BP211" t="n">
        <v>100</v>
      </c>
      <c r="BQ211" t="n">
        <v>20.9</v>
      </c>
      <c r="BR211" t="n">
        <v>1.3</v>
      </c>
      <c r="BS211" t="n">
        <v>9.699999999999999</v>
      </c>
      <c r="BT211" t="n">
        <v>41.2</v>
      </c>
      <c r="BU211" t="n">
        <v>72.2</v>
      </c>
      <c r="BV211" t="n">
        <v>71.8</v>
      </c>
      <c r="BW211" t="n">
        <v>83.3</v>
      </c>
      <c r="BX211" t="n">
        <v>28.2</v>
      </c>
      <c r="BY211" t="n">
        <v>16.7</v>
      </c>
      <c r="BZ211" t="n">
        <v>277</v>
      </c>
      <c r="CA211" t="n">
        <v>90</v>
      </c>
      <c r="CB211" t="n">
        <v>75</v>
      </c>
      <c r="CC211" t="n">
        <v>85</v>
      </c>
      <c r="CD211" t="n">
        <v>53</v>
      </c>
      <c r="CE211" t="n">
        <v>93</v>
      </c>
      <c r="CF211" t="n">
        <v>191</v>
      </c>
      <c r="CG211" t="n">
        <v>212</v>
      </c>
      <c r="CH211" t="n">
        <v>276</v>
      </c>
      <c r="CI211" t="n">
        <v>88</v>
      </c>
      <c r="CJ211" t="n">
        <v>81</v>
      </c>
      <c r="CK211" t="n">
        <v>85</v>
      </c>
      <c r="CL211" t="n">
        <v>44</v>
      </c>
      <c r="CM211" t="n">
        <v>92</v>
      </c>
      <c r="CN211" t="n">
        <v>182</v>
      </c>
      <c r="CO211" t="n">
        <v>211</v>
      </c>
      <c r="CP211" t="n">
        <v>55</v>
      </c>
      <c r="CQ211" t="n">
        <v>17</v>
      </c>
      <c r="CR211" t="n">
        <v>3</v>
      </c>
      <c r="CS211" t="n">
        <v>11</v>
      </c>
      <c r="CT211" t="n">
        <v>20</v>
      </c>
      <c r="CU211" t="n">
        <v>26</v>
      </c>
      <c r="CV211" t="n">
        <v>39</v>
      </c>
      <c r="CW211" t="n">
        <v>38</v>
      </c>
      <c r="CX211" t="n">
        <v>18.7</v>
      </c>
      <c r="CY211" t="n">
        <v>15.7</v>
      </c>
      <c r="CZ211" t="n">
        <v>31.1</v>
      </c>
      <c r="DA211" t="n">
        <v>25.8</v>
      </c>
      <c r="DB211" t="n">
        <v>18.6</v>
      </c>
      <c r="DC211" t="n">
        <v>15.1</v>
      </c>
      <c r="DD211" t="n">
        <v>28.7</v>
      </c>
      <c r="DE211" t="n">
        <v>23.9</v>
      </c>
      <c r="DF211" t="n">
        <v>19.3</v>
      </c>
      <c r="DG211" t="n">
        <v>15</v>
      </c>
      <c r="DH211" t="n">
        <v>31.8</v>
      </c>
      <c r="DI211" t="n">
        <v>25.3</v>
      </c>
      <c r="DJ211" t="n">
        <v>19.2</v>
      </c>
      <c r="DK211" t="n">
        <v>14.4</v>
      </c>
      <c r="DL211" t="n">
        <v>29</v>
      </c>
      <c r="DM211" t="n">
        <v>23.5</v>
      </c>
      <c r="DN211" t="n">
        <v>32.4</v>
      </c>
      <c r="DO211" t="n">
        <v>54.5</v>
      </c>
      <c r="DP211" t="n">
        <v>44.9</v>
      </c>
      <c r="DQ211" t="n">
        <v>63.9</v>
      </c>
      <c r="DR211" t="n">
        <v>28.4</v>
      </c>
      <c r="DS211" t="n">
        <v>50.9</v>
      </c>
      <c r="DT211" t="n">
        <v>38.6</v>
      </c>
      <c r="DU211" t="n">
        <v>58.7</v>
      </c>
      <c r="DV211" t="inlineStr">
        <is>
          <t>(CONTRACTS OF 40,000 POUNDS)</t>
        </is>
      </c>
    </row>
    <row r="212">
      <c r="A212" t="inlineStr">
        <is>
          <t>LIVE CATTLE - CHICAGO MERCANTILE EXCHANGE</t>
        </is>
      </c>
      <c r="B212" t="n">
        <v>230110</v>
      </c>
      <c r="C212" s="1" t="n">
        <v>44936</v>
      </c>
      <c r="D212" t="inlineStr">
        <is>
          <t>057642</t>
        </is>
      </c>
      <c r="E212" t="inlineStr">
        <is>
          <t xml:space="preserve">CME </t>
        </is>
      </c>
      <c r="F212" t="inlineStr">
        <is>
          <t>00</t>
        </is>
      </c>
      <c r="G212" t="inlineStr">
        <is>
          <t xml:space="preserve">057 </t>
        </is>
      </c>
      <c r="H212" t="n">
        <v>322340</v>
      </c>
      <c r="I212" s="17" t="n">
        <v>132029</v>
      </c>
      <c r="J212" s="17" t="n">
        <v>52035</v>
      </c>
      <c r="K212" t="n">
        <v>67893</v>
      </c>
      <c r="L212" t="n">
        <v>88511</v>
      </c>
      <c r="M212" t="n">
        <v>161473</v>
      </c>
      <c r="N212" t="n">
        <v>288433</v>
      </c>
      <c r="O212" t="n">
        <v>281401</v>
      </c>
      <c r="P212" t="n">
        <v>33907</v>
      </c>
      <c r="Q212" t="n">
        <v>40939</v>
      </c>
      <c r="R212" t="n">
        <v>322340</v>
      </c>
      <c r="S212" t="n">
        <v>132029</v>
      </c>
      <c r="T212" t="n">
        <v>52035</v>
      </c>
      <c r="U212" t="n">
        <v>67893</v>
      </c>
      <c r="V212" t="n">
        <v>88511</v>
      </c>
      <c r="W212" t="n">
        <v>161473</v>
      </c>
      <c r="X212" t="n">
        <v>288433</v>
      </c>
      <c r="Y212" t="n">
        <v>281401</v>
      </c>
      <c r="Z212" t="n">
        <v>33907</v>
      </c>
      <c r="AA212" t="n">
        <v>40939</v>
      </c>
      <c r="AB212" t="n">
        <v>0</v>
      </c>
      <c r="AC212" t="n">
        <v>0</v>
      </c>
      <c r="AD212" t="n">
        <v>0</v>
      </c>
      <c r="AE212" t="n">
        <v>0</v>
      </c>
      <c r="AF212" t="n">
        <v>0</v>
      </c>
      <c r="AG212" t="n">
        <v>0</v>
      </c>
      <c r="AH212" t="n">
        <v>0</v>
      </c>
      <c r="AI212" t="n">
        <v>0</v>
      </c>
      <c r="AJ212" t="n">
        <v>0</v>
      </c>
      <c r="AK212" t="n">
        <v>0</v>
      </c>
      <c r="AL212" t="n">
        <v>-10284</v>
      </c>
      <c r="AM212" t="n">
        <v>2901</v>
      </c>
      <c r="AN212" t="n">
        <v>-6604</v>
      </c>
      <c r="AO212" t="n">
        <v>-7878</v>
      </c>
      <c r="AP212" t="n">
        <v>-8842</v>
      </c>
      <c r="AQ212" t="n">
        <v>723</v>
      </c>
      <c r="AR212" t="n">
        <v>-13819</v>
      </c>
      <c r="AS212" t="n">
        <v>-13759</v>
      </c>
      <c r="AT212" t="n">
        <v>3535</v>
      </c>
      <c r="AU212" t="n">
        <v>3475</v>
      </c>
      <c r="AV212" t="n">
        <v>100</v>
      </c>
      <c r="AW212" t="n">
        <v>41</v>
      </c>
      <c r="AX212" t="n">
        <v>16.1</v>
      </c>
      <c r="AY212" t="n">
        <v>21.1</v>
      </c>
      <c r="AZ212" t="n">
        <v>27.5</v>
      </c>
      <c r="BA212" t="n">
        <v>50.1</v>
      </c>
      <c r="BB212" t="n">
        <v>89.5</v>
      </c>
      <c r="BC212" t="n">
        <v>87.3</v>
      </c>
      <c r="BD212" t="n">
        <v>10.5</v>
      </c>
      <c r="BE212" t="n">
        <v>12.7</v>
      </c>
      <c r="BF212" t="n">
        <v>100</v>
      </c>
      <c r="BG212" t="n">
        <v>41</v>
      </c>
      <c r="BH212" t="n">
        <v>16.1</v>
      </c>
      <c r="BI212" t="n">
        <v>21.1</v>
      </c>
      <c r="BJ212" t="n">
        <v>27.5</v>
      </c>
      <c r="BK212" t="n">
        <v>50.1</v>
      </c>
      <c r="BL212" t="n">
        <v>89.5</v>
      </c>
      <c r="BM212" t="n">
        <v>87.3</v>
      </c>
      <c r="BN212" t="n">
        <v>10.5</v>
      </c>
      <c r="BO212" t="n">
        <v>12.7</v>
      </c>
      <c r="BP212" t="n">
        <v>0</v>
      </c>
      <c r="BQ212" t="n">
        <v>0</v>
      </c>
      <c r="BR212" t="n">
        <v>0</v>
      </c>
      <c r="BS212" t="n">
        <v>0</v>
      </c>
      <c r="BT212" t="n">
        <v>0</v>
      </c>
      <c r="BU212" t="n">
        <v>0</v>
      </c>
      <c r="BV212" t="n">
        <v>0</v>
      </c>
      <c r="BW212" t="n">
        <v>0</v>
      </c>
      <c r="BX212" t="n">
        <v>0</v>
      </c>
      <c r="BY212" t="n">
        <v>0</v>
      </c>
      <c r="BZ212" t="n">
        <v>409</v>
      </c>
      <c r="CA212" t="n">
        <v>137</v>
      </c>
      <c r="CB212" t="n">
        <v>71</v>
      </c>
      <c r="CC212" t="n">
        <v>113</v>
      </c>
      <c r="CD212" t="n">
        <v>94</v>
      </c>
      <c r="CE212" t="n">
        <v>156</v>
      </c>
      <c r="CF212" t="n">
        <v>295</v>
      </c>
      <c r="CG212" t="n">
        <v>301</v>
      </c>
      <c r="CH212" t="n">
        <v>409</v>
      </c>
      <c r="CI212" t="n">
        <v>137</v>
      </c>
      <c r="CJ212" t="n">
        <v>71</v>
      </c>
      <c r="CK212" t="n">
        <v>113</v>
      </c>
      <c r="CL212" t="n">
        <v>94</v>
      </c>
      <c r="CM212" t="n">
        <v>156</v>
      </c>
      <c r="CN212" t="n">
        <v>295</v>
      </c>
      <c r="CO212" t="n">
        <v>301</v>
      </c>
      <c r="CP212" t="n">
        <v>0</v>
      </c>
      <c r="CQ212" t="n">
        <v>0</v>
      </c>
      <c r="CR212" t="n">
        <v>0</v>
      </c>
      <c r="CS212" t="n">
        <v>0</v>
      </c>
      <c r="CT212" t="n">
        <v>0</v>
      </c>
      <c r="CU212" t="n">
        <v>0</v>
      </c>
      <c r="CV212" t="n">
        <v>0</v>
      </c>
      <c r="CW212" t="n">
        <v>0</v>
      </c>
      <c r="CX212" t="n">
        <v>12.3</v>
      </c>
      <c r="CY212" t="n">
        <v>17.7</v>
      </c>
      <c r="CZ212" t="n">
        <v>21.3</v>
      </c>
      <c r="DA212" t="n">
        <v>27.6</v>
      </c>
      <c r="DB212" t="n">
        <v>12.2</v>
      </c>
      <c r="DC212" t="n">
        <v>15.5</v>
      </c>
      <c r="DD212" t="n">
        <v>20.7</v>
      </c>
      <c r="DE212" t="n">
        <v>23.5</v>
      </c>
      <c r="DF212" t="n">
        <v>12.3</v>
      </c>
      <c r="DG212" t="n">
        <v>17.7</v>
      </c>
      <c r="DH212" t="n">
        <v>21.3</v>
      </c>
      <c r="DI212" t="n">
        <v>27.6</v>
      </c>
      <c r="DJ212" t="n">
        <v>12.2</v>
      </c>
      <c r="DK212" t="n">
        <v>15.5</v>
      </c>
      <c r="DL212" t="n">
        <v>20.7</v>
      </c>
      <c r="DM212" t="n">
        <v>23.5</v>
      </c>
      <c r="DN212" t="n">
        <v>0</v>
      </c>
      <c r="DO212" t="n">
        <v>0</v>
      </c>
      <c r="DP212" t="n">
        <v>0</v>
      </c>
      <c r="DQ212" t="n">
        <v>0</v>
      </c>
      <c r="DR212" t="n">
        <v>0</v>
      </c>
      <c r="DS212" t="n">
        <v>0</v>
      </c>
      <c r="DT212" t="n">
        <v>0</v>
      </c>
      <c r="DU212" t="n">
        <v>0</v>
      </c>
      <c r="DV212" t="inlineStr">
        <is>
          <t>(CONTRACTS OF 40,000 POUNDS)</t>
        </is>
      </c>
    </row>
    <row r="213">
      <c r="A213" t="inlineStr">
        <is>
          <t>LIVE CATTLE - CHICAGO MERCANTILE EXCHANGE</t>
        </is>
      </c>
      <c r="B213" t="n">
        <v>230103</v>
      </c>
      <c r="C213" s="1" t="n">
        <v>44929</v>
      </c>
      <c r="D213" t="inlineStr">
        <is>
          <t>057642</t>
        </is>
      </c>
      <c r="E213" t="inlineStr">
        <is>
          <t xml:space="preserve">CME </t>
        </is>
      </c>
      <c r="F213" t="inlineStr">
        <is>
          <t>00</t>
        </is>
      </c>
      <c r="G213" t="inlineStr">
        <is>
          <t xml:space="preserve">057 </t>
        </is>
      </c>
      <c r="H213" t="n">
        <v>332624</v>
      </c>
      <c r="I213" s="17" t="n">
        <v>129128</v>
      </c>
      <c r="J213" s="17" t="n">
        <v>58639</v>
      </c>
      <c r="K213" t="n">
        <v>75771</v>
      </c>
      <c r="L213" t="n">
        <v>97353</v>
      </c>
      <c r="M213" t="n">
        <v>160750</v>
      </c>
      <c r="N213" t="n">
        <v>302252</v>
      </c>
      <c r="O213" t="n">
        <v>295160</v>
      </c>
      <c r="P213" t="n">
        <v>30372</v>
      </c>
      <c r="Q213" t="n">
        <v>37464</v>
      </c>
      <c r="R213" t="n">
        <v>332624</v>
      </c>
      <c r="S213" t="n">
        <v>129128</v>
      </c>
      <c r="T213" t="n">
        <v>58639</v>
      </c>
      <c r="U213" t="n">
        <v>75771</v>
      </c>
      <c r="V213" t="n">
        <v>97353</v>
      </c>
      <c r="W213" t="n">
        <v>160750</v>
      </c>
      <c r="X213" t="n">
        <v>302252</v>
      </c>
      <c r="Y213" t="n">
        <v>295160</v>
      </c>
      <c r="Z213" t="n">
        <v>30372</v>
      </c>
      <c r="AA213" t="n">
        <v>37464</v>
      </c>
      <c r="AB213" t="n">
        <v>0</v>
      </c>
      <c r="AC213" t="n">
        <v>0</v>
      </c>
      <c r="AD213" t="n">
        <v>0</v>
      </c>
      <c r="AE213" t="n">
        <v>0</v>
      </c>
      <c r="AF213" t="n">
        <v>0</v>
      </c>
      <c r="AG213" t="n">
        <v>0</v>
      </c>
      <c r="AH213" t="n">
        <v>0</v>
      </c>
      <c r="AI213" t="n">
        <v>0</v>
      </c>
      <c r="AJ213" t="n">
        <v>0</v>
      </c>
      <c r="AK213" t="n">
        <v>0</v>
      </c>
      <c r="AL213" t="n">
        <v>14380</v>
      </c>
      <c r="AM213" t="n">
        <v>4977</v>
      </c>
      <c r="AN213" t="n">
        <v>1689</v>
      </c>
      <c r="AO213" t="n">
        <v>9597</v>
      </c>
      <c r="AP213" t="n">
        <v>480</v>
      </c>
      <c r="AQ213" t="n">
        <v>1573</v>
      </c>
      <c r="AR213" t="n">
        <v>15054</v>
      </c>
      <c r="AS213" t="n">
        <v>12859</v>
      </c>
      <c r="AT213" t="n">
        <v>-674</v>
      </c>
      <c r="AU213" t="n">
        <v>1521</v>
      </c>
      <c r="AV213" t="n">
        <v>100</v>
      </c>
      <c r="AW213" t="n">
        <v>38.8</v>
      </c>
      <c r="AX213" t="n">
        <v>17.6</v>
      </c>
      <c r="AY213" t="n">
        <v>22.8</v>
      </c>
      <c r="AZ213" t="n">
        <v>29.3</v>
      </c>
      <c r="BA213" t="n">
        <v>48.3</v>
      </c>
      <c r="BB213" t="n">
        <v>90.90000000000001</v>
      </c>
      <c r="BC213" t="n">
        <v>88.7</v>
      </c>
      <c r="BD213" t="n">
        <v>9.1</v>
      </c>
      <c r="BE213" t="n">
        <v>11.3</v>
      </c>
      <c r="BF213" t="n">
        <v>100</v>
      </c>
      <c r="BG213" t="n">
        <v>38.8</v>
      </c>
      <c r="BH213" t="n">
        <v>17.6</v>
      </c>
      <c r="BI213" t="n">
        <v>22.8</v>
      </c>
      <c r="BJ213" t="n">
        <v>29.3</v>
      </c>
      <c r="BK213" t="n">
        <v>48.3</v>
      </c>
      <c r="BL213" t="n">
        <v>90.90000000000001</v>
      </c>
      <c r="BM213" t="n">
        <v>88.7</v>
      </c>
      <c r="BN213" t="n">
        <v>9.1</v>
      </c>
      <c r="BO213" t="n">
        <v>11.3</v>
      </c>
      <c r="BP213" t="n">
        <v>0</v>
      </c>
      <c r="BQ213" t="n">
        <v>0</v>
      </c>
      <c r="BR213" t="n">
        <v>0</v>
      </c>
      <c r="BS213" t="n">
        <v>0</v>
      </c>
      <c r="BT213" t="n">
        <v>0</v>
      </c>
      <c r="BU213" t="n">
        <v>0</v>
      </c>
      <c r="BV213" t="n">
        <v>0</v>
      </c>
      <c r="BW213" t="n">
        <v>0</v>
      </c>
      <c r="BX213" t="n">
        <v>0</v>
      </c>
      <c r="BY213" t="n">
        <v>0</v>
      </c>
      <c r="BZ213" t="n">
        <v>415</v>
      </c>
      <c r="CA213" t="n">
        <v>134</v>
      </c>
      <c r="CB213" t="n">
        <v>74</v>
      </c>
      <c r="CC213" t="n">
        <v>116</v>
      </c>
      <c r="CD213" t="n">
        <v>98</v>
      </c>
      <c r="CE213" t="n">
        <v>161</v>
      </c>
      <c r="CF213" t="n">
        <v>295</v>
      </c>
      <c r="CG213" t="n">
        <v>311</v>
      </c>
      <c r="CH213" t="n">
        <v>415</v>
      </c>
      <c r="CI213" t="n">
        <v>134</v>
      </c>
      <c r="CJ213" t="n">
        <v>74</v>
      </c>
      <c r="CK213" t="n">
        <v>116</v>
      </c>
      <c r="CL213" t="n">
        <v>98</v>
      </c>
      <c r="CM213" t="n">
        <v>161</v>
      </c>
      <c r="CN213" t="n">
        <v>295</v>
      </c>
      <c r="CO213" t="n">
        <v>311</v>
      </c>
      <c r="CP213" t="n">
        <v>0</v>
      </c>
      <c r="CQ213" t="n">
        <v>0</v>
      </c>
      <c r="CR213" t="n">
        <v>0</v>
      </c>
      <c r="CS213" t="n">
        <v>0</v>
      </c>
      <c r="CT213" t="n">
        <v>0</v>
      </c>
      <c r="CU213" t="n">
        <v>0</v>
      </c>
      <c r="CV213" t="n">
        <v>0</v>
      </c>
      <c r="CW213" t="n">
        <v>0</v>
      </c>
      <c r="CX213" t="n">
        <v>12.4</v>
      </c>
      <c r="CY213" t="n">
        <v>17</v>
      </c>
      <c r="CZ213" t="n">
        <v>21.4</v>
      </c>
      <c r="DA213" t="n">
        <v>26.6</v>
      </c>
      <c r="DB213" t="n">
        <v>12.4</v>
      </c>
      <c r="DC213" t="n">
        <v>14.7</v>
      </c>
      <c r="DD213" t="n">
        <v>20.7</v>
      </c>
      <c r="DE213" t="n">
        <v>22.9</v>
      </c>
      <c r="DF213" t="n">
        <v>12.4</v>
      </c>
      <c r="DG213" t="n">
        <v>17</v>
      </c>
      <c r="DH213" t="n">
        <v>21.4</v>
      </c>
      <c r="DI213" t="n">
        <v>26.6</v>
      </c>
      <c r="DJ213" t="n">
        <v>12.4</v>
      </c>
      <c r="DK213" t="n">
        <v>14.7</v>
      </c>
      <c r="DL213" t="n">
        <v>20.7</v>
      </c>
      <c r="DM213" t="n">
        <v>22.9</v>
      </c>
      <c r="DN213" t="n">
        <v>0</v>
      </c>
      <c r="DO213" t="n">
        <v>0</v>
      </c>
      <c r="DP213" t="n">
        <v>0</v>
      </c>
      <c r="DQ213" t="n">
        <v>0</v>
      </c>
      <c r="DR213" t="n">
        <v>0</v>
      </c>
      <c r="DS213" t="n">
        <v>0</v>
      </c>
      <c r="DT213" t="n">
        <v>0</v>
      </c>
      <c r="DU213" t="n">
        <v>0</v>
      </c>
      <c r="DV213" t="inlineStr">
        <is>
          <t>(CONTRACTS OF 40,000 POUNDS)</t>
        </is>
      </c>
    </row>
    <row r="214">
      <c r="A214" t="inlineStr">
        <is>
          <t>RANDOM LENGTH LUMBER - CHICAGO MERCANTILE EXCHANGE</t>
        </is>
      </c>
      <c r="B214" t="n">
        <v>230110</v>
      </c>
      <c r="C214" s="1" t="n">
        <v>44936</v>
      </c>
      <c r="D214" t="inlineStr">
        <is>
          <t>058643</t>
        </is>
      </c>
      <c r="E214" t="inlineStr">
        <is>
          <t xml:space="preserve">CME </t>
        </is>
      </c>
      <c r="F214" t="inlineStr">
        <is>
          <t>00</t>
        </is>
      </c>
      <c r="G214" t="inlineStr">
        <is>
          <t xml:space="preserve">058 </t>
        </is>
      </c>
      <c r="H214" t="n">
        <v>3182</v>
      </c>
      <c r="I214" s="17" t="n">
        <v>496</v>
      </c>
      <c r="J214" s="17" t="n">
        <v>2077</v>
      </c>
      <c r="K214" t="n">
        <v>163</v>
      </c>
      <c r="L214" t="n">
        <v>1359</v>
      </c>
      <c r="M214" t="n">
        <v>202</v>
      </c>
      <c r="N214" t="n">
        <v>2018</v>
      </c>
      <c r="O214" t="n">
        <v>2442</v>
      </c>
      <c r="P214" t="n">
        <v>1164</v>
      </c>
      <c r="Q214" t="n">
        <v>740</v>
      </c>
      <c r="R214" t="n">
        <v>3182</v>
      </c>
      <c r="S214" t="n">
        <v>496</v>
      </c>
      <c r="T214" t="n">
        <v>2077</v>
      </c>
      <c r="U214" t="n">
        <v>163</v>
      </c>
      <c r="V214" t="n">
        <v>1359</v>
      </c>
      <c r="W214" t="n">
        <v>202</v>
      </c>
      <c r="X214" t="n">
        <v>2018</v>
      </c>
      <c r="Y214" t="n">
        <v>2442</v>
      </c>
      <c r="Z214" t="n">
        <v>1164</v>
      </c>
      <c r="AA214" t="n">
        <v>740</v>
      </c>
      <c r="AB214" t="n">
        <v>0</v>
      </c>
      <c r="AC214" t="n">
        <v>0</v>
      </c>
      <c r="AD214" t="n">
        <v>0</v>
      </c>
      <c r="AE214" t="n">
        <v>0</v>
      </c>
      <c r="AF214" t="n">
        <v>0</v>
      </c>
      <c r="AG214" t="n">
        <v>0</v>
      </c>
      <c r="AH214" t="n">
        <v>0</v>
      </c>
      <c r="AI214" t="n">
        <v>0</v>
      </c>
      <c r="AJ214" t="n">
        <v>0</v>
      </c>
      <c r="AK214" t="n">
        <v>0</v>
      </c>
      <c r="AL214" t="n">
        <v>121</v>
      </c>
      <c r="AM214" t="n">
        <v>52</v>
      </c>
      <c r="AN214" t="n">
        <v>220</v>
      </c>
      <c r="AO214" t="n">
        <v>59</v>
      </c>
      <c r="AP214" t="n">
        <v>64</v>
      </c>
      <c r="AQ214" t="n">
        <v>-2</v>
      </c>
      <c r="AR214" t="n">
        <v>175</v>
      </c>
      <c r="AS214" t="n">
        <v>277</v>
      </c>
      <c r="AT214" t="n">
        <v>-54</v>
      </c>
      <c r="AU214" t="n">
        <v>-156</v>
      </c>
      <c r="AV214" t="n">
        <v>100</v>
      </c>
      <c r="AW214" t="n">
        <v>15.6</v>
      </c>
      <c r="AX214" t="n">
        <v>65.3</v>
      </c>
      <c r="AY214" t="n">
        <v>5.1</v>
      </c>
      <c r="AZ214" t="n">
        <v>42.7</v>
      </c>
      <c r="BA214" t="n">
        <v>6.3</v>
      </c>
      <c r="BB214" t="n">
        <v>63.4</v>
      </c>
      <c r="BC214" t="n">
        <v>76.7</v>
      </c>
      <c r="BD214" t="n">
        <v>36.6</v>
      </c>
      <c r="BE214" t="n">
        <v>23.3</v>
      </c>
      <c r="BF214" t="n">
        <v>100</v>
      </c>
      <c r="BG214" t="n">
        <v>15.6</v>
      </c>
      <c r="BH214" t="n">
        <v>65.3</v>
      </c>
      <c r="BI214" t="n">
        <v>5.1</v>
      </c>
      <c r="BJ214" t="n">
        <v>42.7</v>
      </c>
      <c r="BK214" t="n">
        <v>6.3</v>
      </c>
      <c r="BL214" t="n">
        <v>63.4</v>
      </c>
      <c r="BM214" t="n">
        <v>76.7</v>
      </c>
      <c r="BN214" t="n">
        <v>36.6</v>
      </c>
      <c r="BO214" t="n">
        <v>23.3</v>
      </c>
      <c r="BP214" t="n">
        <v>0</v>
      </c>
      <c r="BQ214" t="n">
        <v>0</v>
      </c>
      <c r="BR214" t="n">
        <v>0</v>
      </c>
      <c r="BS214" t="n">
        <v>0</v>
      </c>
      <c r="BT214" t="n">
        <v>0</v>
      </c>
      <c r="BU214" t="n">
        <v>0</v>
      </c>
      <c r="BV214" t="n">
        <v>0</v>
      </c>
      <c r="BW214" t="n">
        <v>0</v>
      </c>
      <c r="BX214" t="n">
        <v>0</v>
      </c>
      <c r="BY214" t="n">
        <v>0</v>
      </c>
      <c r="BZ214" t="n">
        <v>44</v>
      </c>
      <c r="CA214" t="n">
        <v>7</v>
      </c>
      <c r="CB214" t="n">
        <v>20</v>
      </c>
      <c r="CC214" t="n">
        <v>5</v>
      </c>
      <c r="CD214" t="n">
        <v>12</v>
      </c>
      <c r="CE214" t="n">
        <v>7</v>
      </c>
      <c r="CF214" t="n">
        <v>24</v>
      </c>
      <c r="CG214" t="n">
        <v>29</v>
      </c>
      <c r="CH214" t="n">
        <v>44</v>
      </c>
      <c r="CI214" t="n">
        <v>7</v>
      </c>
      <c r="CJ214" t="n">
        <v>20</v>
      </c>
      <c r="CK214" t="n">
        <v>5</v>
      </c>
      <c r="CL214" t="n">
        <v>12</v>
      </c>
      <c r="CM214" t="n">
        <v>7</v>
      </c>
      <c r="CN214" t="n">
        <v>24</v>
      </c>
      <c r="CO214" t="n">
        <v>29</v>
      </c>
      <c r="CP214" t="n">
        <v>0</v>
      </c>
      <c r="CQ214" t="n">
        <v>0</v>
      </c>
      <c r="CR214" t="n">
        <v>0</v>
      </c>
      <c r="CS214" t="n">
        <v>0</v>
      </c>
      <c r="CT214" t="n">
        <v>0</v>
      </c>
      <c r="CU214" t="n">
        <v>0</v>
      </c>
      <c r="CV214" t="n">
        <v>0</v>
      </c>
      <c r="CW214" t="n">
        <v>0</v>
      </c>
      <c r="CX214" t="n">
        <v>31</v>
      </c>
      <c r="CY214" t="n">
        <v>34.4</v>
      </c>
      <c r="CZ214" t="n">
        <v>42.9</v>
      </c>
      <c r="DA214" t="n">
        <v>51.2</v>
      </c>
      <c r="DB214" t="n">
        <v>30.8</v>
      </c>
      <c r="DC214" t="n">
        <v>34.4</v>
      </c>
      <c r="DD214" t="n">
        <v>42.6</v>
      </c>
      <c r="DE214" t="n">
        <v>51.2</v>
      </c>
      <c r="DF214" t="n">
        <v>31</v>
      </c>
      <c r="DG214" t="n">
        <v>34.4</v>
      </c>
      <c r="DH214" t="n">
        <v>42.9</v>
      </c>
      <c r="DI214" t="n">
        <v>51.2</v>
      </c>
      <c r="DJ214" t="n">
        <v>30.8</v>
      </c>
      <c r="DK214" t="n">
        <v>34.4</v>
      </c>
      <c r="DL214" t="n">
        <v>42.6</v>
      </c>
      <c r="DM214" t="n">
        <v>51.2</v>
      </c>
      <c r="DN214" t="n">
        <v>0</v>
      </c>
      <c r="DO214" t="n">
        <v>0</v>
      </c>
      <c r="DP214" t="n">
        <v>0</v>
      </c>
      <c r="DQ214" t="n">
        <v>0</v>
      </c>
      <c r="DR214" t="n">
        <v>0</v>
      </c>
      <c r="DS214" t="n">
        <v>0</v>
      </c>
      <c r="DT214" t="n">
        <v>0</v>
      </c>
      <c r="DU214" t="n">
        <v>0</v>
      </c>
      <c r="DV214" t="inlineStr">
        <is>
          <t>(CONTRACTS OF 110,000 BOARD FEET)</t>
        </is>
      </c>
    </row>
    <row r="215">
      <c r="A215" t="inlineStr">
        <is>
          <t>RANDOM LENGTH LUMBER - CHICAGO MERCANTILE EXCHANGE</t>
        </is>
      </c>
      <c r="B215" t="n">
        <v>230103</v>
      </c>
      <c r="C215" s="1" t="n">
        <v>44929</v>
      </c>
      <c r="D215" t="inlineStr">
        <is>
          <t>058643</t>
        </is>
      </c>
      <c r="E215" t="inlineStr">
        <is>
          <t xml:space="preserve">CME </t>
        </is>
      </c>
      <c r="F215" t="inlineStr">
        <is>
          <t>00</t>
        </is>
      </c>
      <c r="G215" t="inlineStr">
        <is>
          <t xml:space="preserve">058 </t>
        </is>
      </c>
      <c r="H215" t="n">
        <v>3061</v>
      </c>
      <c r="I215" s="17" t="n">
        <v>444</v>
      </c>
      <c r="J215" s="17" t="n">
        <v>1857</v>
      </c>
      <c r="K215" t="n">
        <v>104</v>
      </c>
      <c r="L215" t="n">
        <v>1295</v>
      </c>
      <c r="M215" t="n">
        <v>204</v>
      </c>
      <c r="N215" t="n">
        <v>1843</v>
      </c>
      <c r="O215" t="n">
        <v>2165</v>
      </c>
      <c r="P215" t="n">
        <v>1218</v>
      </c>
      <c r="Q215" t="n">
        <v>896</v>
      </c>
      <c r="R215" t="n">
        <v>3061</v>
      </c>
      <c r="S215" t="n">
        <v>444</v>
      </c>
      <c r="T215" t="n">
        <v>1857</v>
      </c>
      <c r="U215" t="n">
        <v>104</v>
      </c>
      <c r="V215" t="n">
        <v>1295</v>
      </c>
      <c r="W215" t="n">
        <v>204</v>
      </c>
      <c r="X215" t="n">
        <v>1843</v>
      </c>
      <c r="Y215" t="n">
        <v>2165</v>
      </c>
      <c r="Z215" t="n">
        <v>1218</v>
      </c>
      <c r="AA215" t="n">
        <v>896</v>
      </c>
      <c r="AB215" t="n">
        <v>0</v>
      </c>
      <c r="AC215" t="n">
        <v>0</v>
      </c>
      <c r="AD215" t="n">
        <v>0</v>
      </c>
      <c r="AE215" t="n">
        <v>0</v>
      </c>
      <c r="AF215" t="n">
        <v>0</v>
      </c>
      <c r="AG215" t="n">
        <v>0</v>
      </c>
      <c r="AH215" t="n">
        <v>0</v>
      </c>
      <c r="AI215" t="n">
        <v>0</v>
      </c>
      <c r="AJ215" t="n">
        <v>0</v>
      </c>
      <c r="AK215" t="n">
        <v>0</v>
      </c>
      <c r="AL215" t="n">
        <v>-29</v>
      </c>
      <c r="AM215" t="n">
        <v>-5</v>
      </c>
      <c r="AN215" t="n">
        <v>-38</v>
      </c>
      <c r="AO215" t="n">
        <v>-98</v>
      </c>
      <c r="AP215" t="n">
        <v>-11</v>
      </c>
      <c r="AQ215" t="n">
        <v>10</v>
      </c>
      <c r="AR215" t="n">
        <v>-114</v>
      </c>
      <c r="AS215" t="n">
        <v>-126</v>
      </c>
      <c r="AT215" t="n">
        <v>85</v>
      </c>
      <c r="AU215" t="n">
        <v>97</v>
      </c>
      <c r="AV215" t="n">
        <v>100</v>
      </c>
      <c r="AW215" t="n">
        <v>14.5</v>
      </c>
      <c r="AX215" t="n">
        <v>60.7</v>
      </c>
      <c r="AY215" t="n">
        <v>3.4</v>
      </c>
      <c r="AZ215" t="n">
        <v>42.3</v>
      </c>
      <c r="BA215" t="n">
        <v>6.7</v>
      </c>
      <c r="BB215" t="n">
        <v>60.2</v>
      </c>
      <c r="BC215" t="n">
        <v>70.7</v>
      </c>
      <c r="BD215" t="n">
        <v>39.8</v>
      </c>
      <c r="BE215" t="n">
        <v>29.3</v>
      </c>
      <c r="BF215" t="n">
        <v>100</v>
      </c>
      <c r="BG215" t="n">
        <v>14.5</v>
      </c>
      <c r="BH215" t="n">
        <v>60.7</v>
      </c>
      <c r="BI215" t="n">
        <v>3.4</v>
      </c>
      <c r="BJ215" t="n">
        <v>42.3</v>
      </c>
      <c r="BK215" t="n">
        <v>6.7</v>
      </c>
      <c r="BL215" t="n">
        <v>60.2</v>
      </c>
      <c r="BM215" t="n">
        <v>70.7</v>
      </c>
      <c r="BN215" t="n">
        <v>39.8</v>
      </c>
      <c r="BO215" t="n">
        <v>29.3</v>
      </c>
      <c r="BP215" t="n">
        <v>0</v>
      </c>
      <c r="BQ215" t="n">
        <v>0</v>
      </c>
      <c r="BR215" t="n">
        <v>0</v>
      </c>
      <c r="BS215" t="n">
        <v>0</v>
      </c>
      <c r="BT215" t="n">
        <v>0</v>
      </c>
      <c r="BU215" t="n">
        <v>0</v>
      </c>
      <c r="BV215" t="n">
        <v>0</v>
      </c>
      <c r="BW215" t="n">
        <v>0</v>
      </c>
      <c r="BX215" t="n">
        <v>0</v>
      </c>
      <c r="BY215" t="n">
        <v>0</v>
      </c>
      <c r="BZ215" t="n">
        <v>36</v>
      </c>
      <c r="CA215" t="n">
        <v>6</v>
      </c>
      <c r="CB215" t="n">
        <v>15</v>
      </c>
      <c r="CC215" t="n">
        <v>3</v>
      </c>
      <c r="CD215" t="n">
        <v>12</v>
      </c>
      <c r="CE215" t="n">
        <v>7</v>
      </c>
      <c r="CF215" t="n">
        <v>20</v>
      </c>
      <c r="CG215" t="n">
        <v>24</v>
      </c>
      <c r="CH215" t="n">
        <v>36</v>
      </c>
      <c r="CI215" t="n">
        <v>6</v>
      </c>
      <c r="CJ215" t="n">
        <v>15</v>
      </c>
      <c r="CK215" t="n">
        <v>3</v>
      </c>
      <c r="CL215" t="n">
        <v>12</v>
      </c>
      <c r="CM215" t="n">
        <v>7</v>
      </c>
      <c r="CN215" t="n">
        <v>20</v>
      </c>
      <c r="CO215" t="n">
        <v>24</v>
      </c>
      <c r="CP215" t="n">
        <v>0</v>
      </c>
      <c r="CQ215" t="n">
        <v>0</v>
      </c>
      <c r="CR215" t="n">
        <v>0</v>
      </c>
      <c r="CS215" t="n">
        <v>0</v>
      </c>
      <c r="CT215" t="n">
        <v>0</v>
      </c>
      <c r="CU215" t="n">
        <v>0</v>
      </c>
      <c r="CV215" t="n">
        <v>0</v>
      </c>
      <c r="CW215" t="n">
        <v>0</v>
      </c>
      <c r="CX215" t="n">
        <v>31.3</v>
      </c>
      <c r="CY215" t="n">
        <v>33.7</v>
      </c>
      <c r="CZ215" t="n">
        <v>43.6</v>
      </c>
      <c r="DA215" t="n">
        <v>49.8</v>
      </c>
      <c r="DB215" t="n">
        <v>31</v>
      </c>
      <c r="DC215" t="n">
        <v>33.7</v>
      </c>
      <c r="DD215" t="n">
        <v>43.1</v>
      </c>
      <c r="DE215" t="n">
        <v>49.8</v>
      </c>
      <c r="DF215" t="n">
        <v>31.3</v>
      </c>
      <c r="DG215" t="n">
        <v>33.7</v>
      </c>
      <c r="DH215" t="n">
        <v>43.6</v>
      </c>
      <c r="DI215" t="n">
        <v>49.8</v>
      </c>
      <c r="DJ215" t="n">
        <v>31</v>
      </c>
      <c r="DK215" t="n">
        <v>33.7</v>
      </c>
      <c r="DL215" t="n">
        <v>43.1</v>
      </c>
      <c r="DM215" t="n">
        <v>49.8</v>
      </c>
      <c r="DN215" t="n">
        <v>0</v>
      </c>
      <c r="DO215" t="n">
        <v>0</v>
      </c>
      <c r="DP215" t="n">
        <v>0</v>
      </c>
      <c r="DQ215" t="n">
        <v>0</v>
      </c>
      <c r="DR215" t="n">
        <v>0</v>
      </c>
      <c r="DS215" t="n">
        <v>0</v>
      </c>
      <c r="DT215" t="n">
        <v>0</v>
      </c>
      <c r="DU215" t="n">
        <v>0</v>
      </c>
      <c r="DV215" t="inlineStr">
        <is>
          <t>(CONTRACTS OF 110,000 BOARD FEET)</t>
        </is>
      </c>
    </row>
    <row r="216">
      <c r="A216" t="inlineStr">
        <is>
          <t>FEEDER CATTLE - CHICAGO MERCANTILE EXCHANGE</t>
        </is>
      </c>
      <c r="B216" t="n">
        <v>230110</v>
      </c>
      <c r="C216" s="1" t="n">
        <v>44936</v>
      </c>
      <c r="D216" t="inlineStr">
        <is>
          <t>061641</t>
        </is>
      </c>
      <c r="E216" t="inlineStr">
        <is>
          <t xml:space="preserve">CME </t>
        </is>
      </c>
      <c r="F216" t="inlineStr">
        <is>
          <t>00</t>
        </is>
      </c>
      <c r="G216" t="inlineStr">
        <is>
          <t xml:space="preserve">061 </t>
        </is>
      </c>
      <c r="H216" t="n">
        <v>44389</v>
      </c>
      <c r="I216" s="17" t="n">
        <v>13273</v>
      </c>
      <c r="J216" s="17" t="n">
        <v>13504</v>
      </c>
      <c r="K216" t="n">
        <v>9055</v>
      </c>
      <c r="L216" t="n">
        <v>13165</v>
      </c>
      <c r="M216" t="n">
        <v>9111</v>
      </c>
      <c r="N216" t="n">
        <v>35493</v>
      </c>
      <c r="O216" t="n">
        <v>31670</v>
      </c>
      <c r="P216" t="n">
        <v>8896</v>
      </c>
      <c r="Q216" t="n">
        <v>12719</v>
      </c>
      <c r="R216" t="n">
        <v>44389</v>
      </c>
      <c r="S216" t="n">
        <v>13273</v>
      </c>
      <c r="T216" t="n">
        <v>13504</v>
      </c>
      <c r="U216" t="n">
        <v>9055</v>
      </c>
      <c r="V216" t="n">
        <v>13165</v>
      </c>
      <c r="W216" t="n">
        <v>9111</v>
      </c>
      <c r="X216" t="n">
        <v>35493</v>
      </c>
      <c r="Y216" t="n">
        <v>31670</v>
      </c>
      <c r="Z216" t="n">
        <v>8896</v>
      </c>
      <c r="AA216" t="n">
        <v>12719</v>
      </c>
      <c r="AB216" t="n">
        <v>0</v>
      </c>
      <c r="AC216" t="n">
        <v>0</v>
      </c>
      <c r="AD216" t="n">
        <v>0</v>
      </c>
      <c r="AE216" t="n">
        <v>0</v>
      </c>
      <c r="AF216" t="n">
        <v>0</v>
      </c>
      <c r="AG216" t="n">
        <v>0</v>
      </c>
      <c r="AH216" t="n">
        <v>0</v>
      </c>
      <c r="AI216" t="n">
        <v>0</v>
      </c>
      <c r="AJ216" t="n">
        <v>0</v>
      </c>
      <c r="AK216" t="n">
        <v>0</v>
      </c>
      <c r="AL216" t="n">
        <v>472</v>
      </c>
      <c r="AM216" t="n">
        <v>1076</v>
      </c>
      <c r="AN216" t="n">
        <v>607</v>
      </c>
      <c r="AO216" t="n">
        <v>192</v>
      </c>
      <c r="AP216" t="n">
        <v>-1175</v>
      </c>
      <c r="AQ216" t="n">
        <v>-786</v>
      </c>
      <c r="AR216" t="n">
        <v>93</v>
      </c>
      <c r="AS216" t="n">
        <v>13</v>
      </c>
      <c r="AT216" t="n">
        <v>379</v>
      </c>
      <c r="AU216" t="n">
        <v>459</v>
      </c>
      <c r="AV216" t="n">
        <v>100</v>
      </c>
      <c r="AW216" t="n">
        <v>29.9</v>
      </c>
      <c r="AX216" t="n">
        <v>30.4</v>
      </c>
      <c r="AY216" t="n">
        <v>20.4</v>
      </c>
      <c r="AZ216" t="n">
        <v>29.7</v>
      </c>
      <c r="BA216" t="n">
        <v>20.5</v>
      </c>
      <c r="BB216" t="n">
        <v>80</v>
      </c>
      <c r="BC216" t="n">
        <v>71.3</v>
      </c>
      <c r="BD216" t="n">
        <v>20</v>
      </c>
      <c r="BE216" t="n">
        <v>28.7</v>
      </c>
      <c r="BF216" t="n">
        <v>100</v>
      </c>
      <c r="BG216" t="n">
        <v>29.9</v>
      </c>
      <c r="BH216" t="n">
        <v>30.4</v>
      </c>
      <c r="BI216" t="n">
        <v>20.4</v>
      </c>
      <c r="BJ216" t="n">
        <v>29.7</v>
      </c>
      <c r="BK216" t="n">
        <v>20.5</v>
      </c>
      <c r="BL216" t="n">
        <v>80</v>
      </c>
      <c r="BM216" t="n">
        <v>71.3</v>
      </c>
      <c r="BN216" t="n">
        <v>20</v>
      </c>
      <c r="BO216" t="n">
        <v>28.7</v>
      </c>
      <c r="BP216" t="n">
        <v>0</v>
      </c>
      <c r="BQ216" t="n">
        <v>0</v>
      </c>
      <c r="BR216" t="n">
        <v>0</v>
      </c>
      <c r="BS216" t="n">
        <v>0</v>
      </c>
      <c r="BT216" t="n">
        <v>0</v>
      </c>
      <c r="BU216" t="n">
        <v>0</v>
      </c>
      <c r="BV216" t="n">
        <v>0</v>
      </c>
      <c r="BW216" t="n">
        <v>0</v>
      </c>
      <c r="BX216" t="n">
        <v>0</v>
      </c>
      <c r="BY216" t="n">
        <v>0</v>
      </c>
      <c r="BZ216" t="n">
        <v>182</v>
      </c>
      <c r="CA216" t="n">
        <v>58</v>
      </c>
      <c r="CB216" t="n">
        <v>46</v>
      </c>
      <c r="CC216" t="n">
        <v>58</v>
      </c>
      <c r="CD216" t="n">
        <v>45</v>
      </c>
      <c r="CE216" t="n">
        <v>47</v>
      </c>
      <c r="CF216" t="n">
        <v>143</v>
      </c>
      <c r="CG216" t="n">
        <v>122</v>
      </c>
      <c r="CH216" t="n">
        <v>182</v>
      </c>
      <c r="CI216" t="n">
        <v>58</v>
      </c>
      <c r="CJ216" t="n">
        <v>46</v>
      </c>
      <c r="CK216" t="n">
        <v>58</v>
      </c>
      <c r="CL216" t="n">
        <v>45</v>
      </c>
      <c r="CM216" t="n">
        <v>47</v>
      </c>
      <c r="CN216" t="n">
        <v>143</v>
      </c>
      <c r="CO216" t="n">
        <v>122</v>
      </c>
      <c r="CP216" t="n">
        <v>0</v>
      </c>
      <c r="CQ216" t="n">
        <v>0</v>
      </c>
      <c r="CR216" t="n">
        <v>0</v>
      </c>
      <c r="CS216" t="n">
        <v>0</v>
      </c>
      <c r="CT216" t="n">
        <v>0</v>
      </c>
      <c r="CU216" t="n">
        <v>0</v>
      </c>
      <c r="CV216" t="n">
        <v>0</v>
      </c>
      <c r="CW216" t="n">
        <v>0</v>
      </c>
      <c r="CX216" t="n">
        <v>12.7</v>
      </c>
      <c r="CY216" t="n">
        <v>14</v>
      </c>
      <c r="CZ216" t="n">
        <v>23.3</v>
      </c>
      <c r="DA216" t="n">
        <v>24.6</v>
      </c>
      <c r="DB216" t="n">
        <v>10.2</v>
      </c>
      <c r="DC216" t="n">
        <v>10.7</v>
      </c>
      <c r="DD216" t="n">
        <v>16.3</v>
      </c>
      <c r="DE216" t="n">
        <v>17.7</v>
      </c>
      <c r="DF216" t="n">
        <v>12.7</v>
      </c>
      <c r="DG216" t="n">
        <v>14</v>
      </c>
      <c r="DH216" t="n">
        <v>23.3</v>
      </c>
      <c r="DI216" t="n">
        <v>24.6</v>
      </c>
      <c r="DJ216" t="n">
        <v>10.2</v>
      </c>
      <c r="DK216" t="n">
        <v>10.7</v>
      </c>
      <c r="DL216" t="n">
        <v>16.3</v>
      </c>
      <c r="DM216" t="n">
        <v>17.7</v>
      </c>
      <c r="DN216" t="n">
        <v>0</v>
      </c>
      <c r="DO216" t="n">
        <v>0</v>
      </c>
      <c r="DP216" t="n">
        <v>0</v>
      </c>
      <c r="DQ216" t="n">
        <v>0</v>
      </c>
      <c r="DR216" t="n">
        <v>0</v>
      </c>
      <c r="DS216" t="n">
        <v>0</v>
      </c>
      <c r="DT216" t="n">
        <v>0</v>
      </c>
      <c r="DU216" t="n">
        <v>0</v>
      </c>
      <c r="DV216" t="inlineStr">
        <is>
          <t>(CONTRACTS OF 50,000 POUNDS)</t>
        </is>
      </c>
    </row>
    <row r="217">
      <c r="A217" t="inlineStr">
        <is>
          <t>FEEDER CATTLE - CHICAGO MERCANTILE EXCHANGE</t>
        </is>
      </c>
      <c r="B217" t="n">
        <v>230103</v>
      </c>
      <c r="C217" s="1" t="n">
        <v>44929</v>
      </c>
      <c r="D217" t="inlineStr">
        <is>
          <t>061641</t>
        </is>
      </c>
      <c r="E217" t="inlineStr">
        <is>
          <t xml:space="preserve">CME </t>
        </is>
      </c>
      <c r="F217" t="inlineStr">
        <is>
          <t>00</t>
        </is>
      </c>
      <c r="G217" t="inlineStr">
        <is>
          <t xml:space="preserve">061 </t>
        </is>
      </c>
      <c r="H217" t="n">
        <v>43917</v>
      </c>
      <c r="I217" s="17" t="n">
        <v>12197</v>
      </c>
      <c r="J217" s="17" t="n">
        <v>12897</v>
      </c>
      <c r="K217" t="n">
        <v>8863</v>
      </c>
      <c r="L217" t="n">
        <v>14340</v>
      </c>
      <c r="M217" t="n">
        <v>9897</v>
      </c>
      <c r="N217" t="n">
        <v>35400</v>
      </c>
      <c r="O217" t="n">
        <v>31657</v>
      </c>
      <c r="P217" t="n">
        <v>8517</v>
      </c>
      <c r="Q217" t="n">
        <v>12260</v>
      </c>
      <c r="R217" t="n">
        <v>43917</v>
      </c>
      <c r="S217" t="n">
        <v>12197</v>
      </c>
      <c r="T217" t="n">
        <v>12897</v>
      </c>
      <c r="U217" t="n">
        <v>8863</v>
      </c>
      <c r="V217" t="n">
        <v>14340</v>
      </c>
      <c r="W217" t="n">
        <v>9897</v>
      </c>
      <c r="X217" t="n">
        <v>35400</v>
      </c>
      <c r="Y217" t="n">
        <v>31657</v>
      </c>
      <c r="Z217" t="n">
        <v>8517</v>
      </c>
      <c r="AA217" t="n">
        <v>12260</v>
      </c>
      <c r="AB217" t="n">
        <v>0</v>
      </c>
      <c r="AC217" t="n">
        <v>0</v>
      </c>
      <c r="AD217" t="n">
        <v>0</v>
      </c>
      <c r="AE217" t="n">
        <v>0</v>
      </c>
      <c r="AF217" t="n">
        <v>0</v>
      </c>
      <c r="AG217" t="n">
        <v>0</v>
      </c>
      <c r="AH217" t="n">
        <v>0</v>
      </c>
      <c r="AI217" t="n">
        <v>0</v>
      </c>
      <c r="AJ217" t="n">
        <v>0</v>
      </c>
      <c r="AK217" t="n">
        <v>0</v>
      </c>
      <c r="AL217" t="n">
        <v>174</v>
      </c>
      <c r="AM217" t="n">
        <v>885</v>
      </c>
      <c r="AN217" t="n">
        <v>82</v>
      </c>
      <c r="AO217" t="n">
        <v>-111</v>
      </c>
      <c r="AP217" t="n">
        <v>-941</v>
      </c>
      <c r="AQ217" t="n">
        <v>-436</v>
      </c>
      <c r="AR217" t="n">
        <v>-167</v>
      </c>
      <c r="AS217" t="n">
        <v>-465</v>
      </c>
      <c r="AT217" t="n">
        <v>341</v>
      </c>
      <c r="AU217" t="n">
        <v>639</v>
      </c>
      <c r="AV217" t="n">
        <v>100</v>
      </c>
      <c r="AW217" t="n">
        <v>27.8</v>
      </c>
      <c r="AX217" t="n">
        <v>29.4</v>
      </c>
      <c r="AY217" t="n">
        <v>20.2</v>
      </c>
      <c r="AZ217" t="n">
        <v>32.7</v>
      </c>
      <c r="BA217" t="n">
        <v>22.5</v>
      </c>
      <c r="BB217" t="n">
        <v>80.59999999999999</v>
      </c>
      <c r="BC217" t="n">
        <v>72.09999999999999</v>
      </c>
      <c r="BD217" t="n">
        <v>19.4</v>
      </c>
      <c r="BE217" t="n">
        <v>27.9</v>
      </c>
      <c r="BF217" t="n">
        <v>100</v>
      </c>
      <c r="BG217" t="n">
        <v>27.8</v>
      </c>
      <c r="BH217" t="n">
        <v>29.4</v>
      </c>
      <c r="BI217" t="n">
        <v>20.2</v>
      </c>
      <c r="BJ217" t="n">
        <v>32.7</v>
      </c>
      <c r="BK217" t="n">
        <v>22.5</v>
      </c>
      <c r="BL217" t="n">
        <v>80.59999999999999</v>
      </c>
      <c r="BM217" t="n">
        <v>72.09999999999999</v>
      </c>
      <c r="BN217" t="n">
        <v>19.4</v>
      </c>
      <c r="BO217" t="n">
        <v>27.9</v>
      </c>
      <c r="BP217" t="n">
        <v>0</v>
      </c>
      <c r="BQ217" t="n">
        <v>0</v>
      </c>
      <c r="BR217" t="n">
        <v>0</v>
      </c>
      <c r="BS217" t="n">
        <v>0</v>
      </c>
      <c r="BT217" t="n">
        <v>0</v>
      </c>
      <c r="BU217" t="n">
        <v>0</v>
      </c>
      <c r="BV217" t="n">
        <v>0</v>
      </c>
      <c r="BW217" t="n">
        <v>0</v>
      </c>
      <c r="BX217" t="n">
        <v>0</v>
      </c>
      <c r="BY217" t="n">
        <v>0</v>
      </c>
      <c r="BZ217" t="n">
        <v>179</v>
      </c>
      <c r="CA217" t="n">
        <v>47</v>
      </c>
      <c r="CB217" t="n">
        <v>51</v>
      </c>
      <c r="CC217" t="n">
        <v>54</v>
      </c>
      <c r="CD217" t="n">
        <v>50</v>
      </c>
      <c r="CE217" t="n">
        <v>46</v>
      </c>
      <c r="CF217" t="n">
        <v>134</v>
      </c>
      <c r="CG217" t="n">
        <v>124</v>
      </c>
      <c r="CH217" t="n">
        <v>179</v>
      </c>
      <c r="CI217" t="n">
        <v>47</v>
      </c>
      <c r="CJ217" t="n">
        <v>51</v>
      </c>
      <c r="CK217" t="n">
        <v>54</v>
      </c>
      <c r="CL217" t="n">
        <v>50</v>
      </c>
      <c r="CM217" t="n">
        <v>46</v>
      </c>
      <c r="CN217" t="n">
        <v>134</v>
      </c>
      <c r="CO217" t="n">
        <v>124</v>
      </c>
      <c r="CP217" t="n">
        <v>0</v>
      </c>
      <c r="CQ217" t="n">
        <v>0</v>
      </c>
      <c r="CR217" t="n">
        <v>0</v>
      </c>
      <c r="CS217" t="n">
        <v>0</v>
      </c>
      <c r="CT217" t="n">
        <v>0</v>
      </c>
      <c r="CU217" t="n">
        <v>0</v>
      </c>
      <c r="CV217" t="n">
        <v>0</v>
      </c>
      <c r="CW217" t="n">
        <v>0</v>
      </c>
      <c r="CX217" t="n">
        <v>15</v>
      </c>
      <c r="CY217" t="n">
        <v>16.3</v>
      </c>
      <c r="CZ217" t="n">
        <v>24.9</v>
      </c>
      <c r="DA217" t="n">
        <v>26.9</v>
      </c>
      <c r="DB217" t="n">
        <v>9.6</v>
      </c>
      <c r="DC217" t="n">
        <v>10.9</v>
      </c>
      <c r="DD217" t="n">
        <v>16.2</v>
      </c>
      <c r="DE217" t="n">
        <v>16.8</v>
      </c>
      <c r="DF217" t="n">
        <v>15</v>
      </c>
      <c r="DG217" t="n">
        <v>16.3</v>
      </c>
      <c r="DH217" t="n">
        <v>24.9</v>
      </c>
      <c r="DI217" t="n">
        <v>26.9</v>
      </c>
      <c r="DJ217" t="n">
        <v>9.6</v>
      </c>
      <c r="DK217" t="n">
        <v>10.9</v>
      </c>
      <c r="DL217" t="n">
        <v>16.2</v>
      </c>
      <c r="DM217" t="n">
        <v>16.8</v>
      </c>
      <c r="DN217" t="n">
        <v>0</v>
      </c>
      <c r="DO217" t="n">
        <v>0</v>
      </c>
      <c r="DP217" t="n">
        <v>0</v>
      </c>
      <c r="DQ217" t="n">
        <v>0</v>
      </c>
      <c r="DR217" t="n">
        <v>0</v>
      </c>
      <c r="DS217" t="n">
        <v>0</v>
      </c>
      <c r="DT217" t="n">
        <v>0</v>
      </c>
      <c r="DU217" t="n">
        <v>0</v>
      </c>
      <c r="DV217" t="inlineStr">
        <is>
          <t>(CONTRACTS OF 50,000 POUNDS)</t>
        </is>
      </c>
    </row>
    <row r="218">
      <c r="A218" t="inlineStr">
        <is>
          <t>CHEESE (CASH-SETTLED) - CHICAGO MERCANTILE EXCHANGE</t>
        </is>
      </c>
      <c r="B218" t="n">
        <v>230110</v>
      </c>
      <c r="C218" s="1" t="n">
        <v>44936</v>
      </c>
      <c r="D218" t="inlineStr">
        <is>
          <t>063642</t>
        </is>
      </c>
      <c r="E218" t="inlineStr">
        <is>
          <t xml:space="preserve">CME </t>
        </is>
      </c>
      <c r="F218" t="inlineStr">
        <is>
          <t>00</t>
        </is>
      </c>
      <c r="G218" t="inlineStr">
        <is>
          <t xml:space="preserve">063 </t>
        </is>
      </c>
      <c r="H218" t="n">
        <v>15761</v>
      </c>
      <c r="I218" s="17" t="n">
        <v>1874</v>
      </c>
      <c r="J218" s="17" t="n">
        <v>6225</v>
      </c>
      <c r="K218" t="n">
        <v>587</v>
      </c>
      <c r="L218" t="n">
        <v>12812</v>
      </c>
      <c r="M218" t="n">
        <v>8407</v>
      </c>
      <c r="N218" t="n">
        <v>15273</v>
      </c>
      <c r="O218" t="n">
        <v>15219</v>
      </c>
      <c r="P218" t="n">
        <v>488</v>
      </c>
      <c r="Q218" t="n">
        <v>542</v>
      </c>
      <c r="R218" t="n">
        <v>15761</v>
      </c>
      <c r="S218" t="n">
        <v>1874</v>
      </c>
      <c r="T218" t="n">
        <v>6225</v>
      </c>
      <c r="U218" t="n">
        <v>587</v>
      </c>
      <c r="V218" t="n">
        <v>12812</v>
      </c>
      <c r="W218" t="n">
        <v>8407</v>
      </c>
      <c r="X218" t="n">
        <v>15273</v>
      </c>
      <c r="Y218" t="n">
        <v>15219</v>
      </c>
      <c r="Z218" t="n">
        <v>488</v>
      </c>
      <c r="AA218" t="n">
        <v>542</v>
      </c>
      <c r="AB218" t="n">
        <v>0</v>
      </c>
      <c r="AC218" t="n">
        <v>0</v>
      </c>
      <c r="AD218" t="n">
        <v>0</v>
      </c>
      <c r="AE218" t="n">
        <v>0</v>
      </c>
      <c r="AF218" t="n">
        <v>0</v>
      </c>
      <c r="AG218" t="n">
        <v>0</v>
      </c>
      <c r="AH218" t="n">
        <v>0</v>
      </c>
      <c r="AI218" t="n">
        <v>0</v>
      </c>
      <c r="AJ218" t="n">
        <v>0</v>
      </c>
      <c r="AK218" t="n">
        <v>0</v>
      </c>
      <c r="AL218" t="n">
        <v>-2408</v>
      </c>
      <c r="AM218" t="n">
        <v>-202</v>
      </c>
      <c r="AN218" t="n">
        <v>-604</v>
      </c>
      <c r="AO218" t="n">
        <v>-50</v>
      </c>
      <c r="AP218" t="n">
        <v>-2165</v>
      </c>
      <c r="AQ218" t="n">
        <v>-1720</v>
      </c>
      <c r="AR218" t="n">
        <v>-2417</v>
      </c>
      <c r="AS218" t="n">
        <v>-2374</v>
      </c>
      <c r="AT218" t="n">
        <v>9</v>
      </c>
      <c r="AU218" t="n">
        <v>-34</v>
      </c>
      <c r="AV218" t="n">
        <v>100</v>
      </c>
      <c r="AW218" t="n">
        <v>11.9</v>
      </c>
      <c r="AX218" t="n">
        <v>39.5</v>
      </c>
      <c r="AY218" t="n">
        <v>3.7</v>
      </c>
      <c r="AZ218" t="n">
        <v>81.3</v>
      </c>
      <c r="BA218" t="n">
        <v>53.3</v>
      </c>
      <c r="BB218" t="n">
        <v>96.90000000000001</v>
      </c>
      <c r="BC218" t="n">
        <v>96.59999999999999</v>
      </c>
      <c r="BD218" t="n">
        <v>3.1</v>
      </c>
      <c r="BE218" t="n">
        <v>3.4</v>
      </c>
      <c r="BF218" t="n">
        <v>100</v>
      </c>
      <c r="BG218" t="n">
        <v>11.9</v>
      </c>
      <c r="BH218" t="n">
        <v>39.5</v>
      </c>
      <c r="BI218" t="n">
        <v>3.7</v>
      </c>
      <c r="BJ218" t="n">
        <v>81.3</v>
      </c>
      <c r="BK218" t="n">
        <v>53.3</v>
      </c>
      <c r="BL218" t="n">
        <v>96.90000000000001</v>
      </c>
      <c r="BM218" t="n">
        <v>96.59999999999999</v>
      </c>
      <c r="BN218" t="n">
        <v>3.1</v>
      </c>
      <c r="BO218" t="n">
        <v>3.4</v>
      </c>
      <c r="BP218" t="n">
        <v>0</v>
      </c>
      <c r="BQ218" t="n">
        <v>0</v>
      </c>
      <c r="BR218" t="n">
        <v>0</v>
      </c>
      <c r="BS218" t="n">
        <v>0</v>
      </c>
      <c r="BT218" t="n">
        <v>0</v>
      </c>
      <c r="BU218" t="n">
        <v>0</v>
      </c>
      <c r="BV218" t="n">
        <v>0</v>
      </c>
      <c r="BW218" t="n">
        <v>0</v>
      </c>
      <c r="BX218" t="n">
        <v>0</v>
      </c>
      <c r="BY218" t="n">
        <v>0</v>
      </c>
      <c r="BZ218" t="n">
        <v>43</v>
      </c>
      <c r="CA218" t="n">
        <v>3</v>
      </c>
      <c r="CB218" t="n">
        <v>12</v>
      </c>
      <c r="CC218" t="n">
        <v>5</v>
      </c>
      <c r="CD218" t="n">
        <v>21</v>
      </c>
      <c r="CE218" t="n">
        <v>17</v>
      </c>
      <c r="CF218" t="n">
        <v>28</v>
      </c>
      <c r="CG218" t="n">
        <v>30</v>
      </c>
      <c r="CH218" t="n">
        <v>43</v>
      </c>
      <c r="CI218" t="n">
        <v>3</v>
      </c>
      <c r="CJ218" t="n">
        <v>12</v>
      </c>
      <c r="CK218" t="n">
        <v>5</v>
      </c>
      <c r="CL218" t="n">
        <v>21</v>
      </c>
      <c r="CM218" t="n">
        <v>17</v>
      </c>
      <c r="CN218" t="n">
        <v>28</v>
      </c>
      <c r="CO218" t="n">
        <v>30</v>
      </c>
      <c r="CP218" t="n">
        <v>0</v>
      </c>
      <c r="CQ218" t="n">
        <v>0</v>
      </c>
      <c r="CR218" t="n">
        <v>0</v>
      </c>
      <c r="CS218" t="n">
        <v>0</v>
      </c>
      <c r="CT218" t="n">
        <v>0</v>
      </c>
      <c r="CU218" t="n">
        <v>0</v>
      </c>
      <c r="CV218" t="n">
        <v>0</v>
      </c>
      <c r="CW218" t="n">
        <v>0</v>
      </c>
      <c r="CX218" t="n">
        <v>53.9</v>
      </c>
      <c r="CY218" t="n">
        <v>57</v>
      </c>
      <c r="CZ218" t="n">
        <v>78</v>
      </c>
      <c r="DA218" t="n">
        <v>74.90000000000001</v>
      </c>
      <c r="DB218" t="n">
        <v>53.8</v>
      </c>
      <c r="DC218" t="n">
        <v>56.8</v>
      </c>
      <c r="DD218" t="n">
        <v>76.59999999999999</v>
      </c>
      <c r="DE218" t="n">
        <v>74.59999999999999</v>
      </c>
      <c r="DF218" t="n">
        <v>53.9</v>
      </c>
      <c r="DG218" t="n">
        <v>57</v>
      </c>
      <c r="DH218" t="n">
        <v>78</v>
      </c>
      <c r="DI218" t="n">
        <v>74.90000000000001</v>
      </c>
      <c r="DJ218" t="n">
        <v>53.8</v>
      </c>
      <c r="DK218" t="n">
        <v>56.8</v>
      </c>
      <c r="DL218" t="n">
        <v>76.59999999999999</v>
      </c>
      <c r="DM218" t="n">
        <v>74.59999999999999</v>
      </c>
      <c r="DN218" t="n">
        <v>0</v>
      </c>
      <c r="DO218" t="n">
        <v>0</v>
      </c>
      <c r="DP218" t="n">
        <v>0</v>
      </c>
      <c r="DQ218" t="n">
        <v>0</v>
      </c>
      <c r="DR218" t="n">
        <v>0</v>
      </c>
      <c r="DS218" t="n">
        <v>0</v>
      </c>
      <c r="DT218" t="n">
        <v>0</v>
      </c>
      <c r="DU218" t="n">
        <v>0</v>
      </c>
      <c r="DV218" t="inlineStr">
        <is>
          <t>(CONTRACTS OF 20,000 POUNDS)</t>
        </is>
      </c>
    </row>
    <row r="219">
      <c r="A219" t="inlineStr">
        <is>
          <t>CHEESE (CASH-SETTLED) - CHICAGO MERCANTILE EXCHANGE</t>
        </is>
      </c>
      <c r="B219" t="n">
        <v>230103</v>
      </c>
      <c r="C219" s="1" t="n">
        <v>44929</v>
      </c>
      <c r="D219" t="inlineStr">
        <is>
          <t>063642</t>
        </is>
      </c>
      <c r="E219" t="inlineStr">
        <is>
          <t xml:space="preserve">CME </t>
        </is>
      </c>
      <c r="F219" t="inlineStr">
        <is>
          <t>00</t>
        </is>
      </c>
      <c r="G219" t="inlineStr">
        <is>
          <t xml:space="preserve">063 </t>
        </is>
      </c>
      <c r="H219" t="n">
        <v>18169</v>
      </c>
      <c r="I219" s="17" t="n">
        <v>2076</v>
      </c>
      <c r="J219" s="17" t="n">
        <v>6829</v>
      </c>
      <c r="K219" t="n">
        <v>637</v>
      </c>
      <c r="L219" t="n">
        <v>14977</v>
      </c>
      <c r="M219" t="n">
        <v>10127</v>
      </c>
      <c r="N219" t="n">
        <v>17690</v>
      </c>
      <c r="O219" t="n">
        <v>17593</v>
      </c>
      <c r="P219" t="n">
        <v>479</v>
      </c>
      <c r="Q219" t="n">
        <v>576</v>
      </c>
      <c r="R219" t="n">
        <v>18169</v>
      </c>
      <c r="S219" t="n">
        <v>2076</v>
      </c>
      <c r="T219" t="n">
        <v>6829</v>
      </c>
      <c r="U219" t="n">
        <v>637</v>
      </c>
      <c r="V219" t="n">
        <v>14977</v>
      </c>
      <c r="W219" t="n">
        <v>10127</v>
      </c>
      <c r="X219" t="n">
        <v>17690</v>
      </c>
      <c r="Y219" t="n">
        <v>17593</v>
      </c>
      <c r="Z219" t="n">
        <v>479</v>
      </c>
      <c r="AA219" t="n">
        <v>576</v>
      </c>
      <c r="AB219" t="n">
        <v>0</v>
      </c>
      <c r="AC219" t="n">
        <v>0</v>
      </c>
      <c r="AD219" t="n">
        <v>0</v>
      </c>
      <c r="AE219" t="n">
        <v>0</v>
      </c>
      <c r="AF219" t="n">
        <v>0</v>
      </c>
      <c r="AG219" t="n">
        <v>0</v>
      </c>
      <c r="AH219" t="n">
        <v>0</v>
      </c>
      <c r="AI219" t="n">
        <v>0</v>
      </c>
      <c r="AJ219" t="n">
        <v>0</v>
      </c>
      <c r="AK219" t="n">
        <v>0</v>
      </c>
      <c r="AL219" t="n">
        <v>571</v>
      </c>
      <c r="AM219" t="n">
        <v>-5</v>
      </c>
      <c r="AN219" t="n">
        <v>422</v>
      </c>
      <c r="AO219" t="n">
        <v>-66</v>
      </c>
      <c r="AP219" t="n">
        <v>629</v>
      </c>
      <c r="AQ219" t="n">
        <v>202</v>
      </c>
      <c r="AR219" t="n">
        <v>558</v>
      </c>
      <c r="AS219" t="n">
        <v>558</v>
      </c>
      <c r="AT219" t="n">
        <v>13</v>
      </c>
      <c r="AU219" t="n">
        <v>13</v>
      </c>
      <c r="AV219" t="n">
        <v>100</v>
      </c>
      <c r="AW219" t="n">
        <v>11.4</v>
      </c>
      <c r="AX219" t="n">
        <v>37.6</v>
      </c>
      <c r="AY219" t="n">
        <v>3.5</v>
      </c>
      <c r="AZ219" t="n">
        <v>82.40000000000001</v>
      </c>
      <c r="BA219" t="n">
        <v>55.7</v>
      </c>
      <c r="BB219" t="n">
        <v>97.40000000000001</v>
      </c>
      <c r="BC219" t="n">
        <v>96.8</v>
      </c>
      <c r="BD219" t="n">
        <v>2.6</v>
      </c>
      <c r="BE219" t="n">
        <v>3.2</v>
      </c>
      <c r="BF219" t="n">
        <v>100</v>
      </c>
      <c r="BG219" t="n">
        <v>11.4</v>
      </c>
      <c r="BH219" t="n">
        <v>37.6</v>
      </c>
      <c r="BI219" t="n">
        <v>3.5</v>
      </c>
      <c r="BJ219" t="n">
        <v>82.40000000000001</v>
      </c>
      <c r="BK219" t="n">
        <v>55.7</v>
      </c>
      <c r="BL219" t="n">
        <v>97.40000000000001</v>
      </c>
      <c r="BM219" t="n">
        <v>96.8</v>
      </c>
      <c r="BN219" t="n">
        <v>2.6</v>
      </c>
      <c r="BO219" t="n">
        <v>3.2</v>
      </c>
      <c r="BP219" t="n">
        <v>0</v>
      </c>
      <c r="BQ219" t="n">
        <v>0</v>
      </c>
      <c r="BR219" t="n">
        <v>0</v>
      </c>
      <c r="BS219" t="n">
        <v>0</v>
      </c>
      <c r="BT219" t="n">
        <v>0</v>
      </c>
      <c r="BU219" t="n">
        <v>0</v>
      </c>
      <c r="BV219" t="n">
        <v>0</v>
      </c>
      <c r="BW219" t="n">
        <v>0</v>
      </c>
      <c r="BX219" t="n">
        <v>0</v>
      </c>
      <c r="BY219" t="n">
        <v>0</v>
      </c>
      <c r="BZ219" t="n">
        <v>47</v>
      </c>
      <c r="CA219" t="n">
        <v>3</v>
      </c>
      <c r="CB219" t="n">
        <v>12</v>
      </c>
      <c r="CC219" t="n">
        <v>6</v>
      </c>
      <c r="CD219" t="n">
        <v>24</v>
      </c>
      <c r="CE219" t="n">
        <v>22</v>
      </c>
      <c r="CF219" t="n">
        <v>32</v>
      </c>
      <c r="CG219" t="n">
        <v>35</v>
      </c>
      <c r="CH219" t="n">
        <v>47</v>
      </c>
      <c r="CI219" t="n">
        <v>3</v>
      </c>
      <c r="CJ219" t="n">
        <v>12</v>
      </c>
      <c r="CK219" t="n">
        <v>6</v>
      </c>
      <c r="CL219" t="n">
        <v>24</v>
      </c>
      <c r="CM219" t="n">
        <v>22</v>
      </c>
      <c r="CN219" t="n">
        <v>32</v>
      </c>
      <c r="CO219" t="n">
        <v>35</v>
      </c>
      <c r="CP219" t="n">
        <v>0</v>
      </c>
      <c r="CQ219" t="n">
        <v>0</v>
      </c>
      <c r="CR219" t="n">
        <v>0</v>
      </c>
      <c r="CS219" t="n">
        <v>0</v>
      </c>
      <c r="CT219" t="n">
        <v>0</v>
      </c>
      <c r="CU219" t="n">
        <v>0</v>
      </c>
      <c r="CV219" t="n">
        <v>0</v>
      </c>
      <c r="CW219" t="n">
        <v>0</v>
      </c>
      <c r="CX219" t="n">
        <v>53.2</v>
      </c>
      <c r="CY219" t="n">
        <v>56.1</v>
      </c>
      <c r="CZ219" t="n">
        <v>77.09999999999999</v>
      </c>
      <c r="DA219" t="n">
        <v>73.40000000000001</v>
      </c>
      <c r="DB219" t="n">
        <v>53</v>
      </c>
      <c r="DC219" t="n">
        <v>55.9</v>
      </c>
      <c r="DD219" t="n">
        <v>73.90000000000001</v>
      </c>
      <c r="DE219" t="n">
        <v>72.2</v>
      </c>
      <c r="DF219" t="n">
        <v>53.2</v>
      </c>
      <c r="DG219" t="n">
        <v>56.1</v>
      </c>
      <c r="DH219" t="n">
        <v>77.09999999999999</v>
      </c>
      <c r="DI219" t="n">
        <v>73.40000000000001</v>
      </c>
      <c r="DJ219" t="n">
        <v>53</v>
      </c>
      <c r="DK219" t="n">
        <v>55.9</v>
      </c>
      <c r="DL219" t="n">
        <v>73.90000000000001</v>
      </c>
      <c r="DM219" t="n">
        <v>72.2</v>
      </c>
      <c r="DN219" t="n">
        <v>0</v>
      </c>
      <c r="DO219" t="n">
        <v>0</v>
      </c>
      <c r="DP219" t="n">
        <v>0</v>
      </c>
      <c r="DQ219" t="n">
        <v>0</v>
      </c>
      <c r="DR219" t="n">
        <v>0</v>
      </c>
      <c r="DS219" t="n">
        <v>0</v>
      </c>
      <c r="DT219" t="n">
        <v>0</v>
      </c>
      <c r="DU219" t="n">
        <v>0</v>
      </c>
      <c r="DV219" t="inlineStr">
        <is>
          <t>(CONTRACTS OF 20,000 POUNDS)</t>
        </is>
      </c>
    </row>
    <row r="220">
      <c r="A220" t="inlineStr">
        <is>
          <t>MID-C DAY-AHEAD PEAK - ICE FUTURES ENERGY DIV</t>
        </is>
      </c>
      <c r="B220" t="n">
        <v>230110</v>
      </c>
      <c r="C220" s="1" t="n">
        <v>44936</v>
      </c>
      <c r="D220" t="inlineStr">
        <is>
          <t>064391</t>
        </is>
      </c>
      <c r="E220" t="inlineStr">
        <is>
          <t>IFED</t>
        </is>
      </c>
      <c r="F220" t="inlineStr">
        <is>
          <t>01</t>
        </is>
      </c>
      <c r="G220" t="inlineStr">
        <is>
          <t xml:space="preserve">064 </t>
        </is>
      </c>
      <c r="H220" t="n">
        <v>25979</v>
      </c>
      <c r="I220" s="17" t="n">
        <v>604</v>
      </c>
      <c r="J220" s="17" t="n">
        <v>200</v>
      </c>
      <c r="K220" t="n">
        <v>0</v>
      </c>
      <c r="L220" t="n">
        <v>25239</v>
      </c>
      <c r="M220" t="n">
        <v>25754</v>
      </c>
      <c r="N220" t="n">
        <v>25843</v>
      </c>
      <c r="O220" t="n">
        <v>25954</v>
      </c>
      <c r="P220" t="n">
        <v>136</v>
      </c>
      <c r="Q220" t="n">
        <v>25</v>
      </c>
      <c r="R220" t="n">
        <v>25979</v>
      </c>
      <c r="S220" t="n">
        <v>604</v>
      </c>
      <c r="T220" t="n">
        <v>200</v>
      </c>
      <c r="U220" t="n">
        <v>0</v>
      </c>
      <c r="V220" t="n">
        <v>25239</v>
      </c>
      <c r="W220" t="n">
        <v>25754</v>
      </c>
      <c r="X220" t="n">
        <v>25843</v>
      </c>
      <c r="Y220" t="n">
        <v>25954</v>
      </c>
      <c r="Z220" t="n">
        <v>136</v>
      </c>
      <c r="AA220" t="n">
        <v>25</v>
      </c>
      <c r="AB220" t="n">
        <v>0</v>
      </c>
      <c r="AC220" t="n">
        <v>0</v>
      </c>
      <c r="AD220" t="n">
        <v>0</v>
      </c>
      <c r="AE220" t="n">
        <v>0</v>
      </c>
      <c r="AF220" t="n">
        <v>0</v>
      </c>
      <c r="AG220" t="n">
        <v>0</v>
      </c>
      <c r="AH220" t="n">
        <v>0</v>
      </c>
      <c r="AI220" t="n">
        <v>0</v>
      </c>
      <c r="AJ220" t="n">
        <v>0</v>
      </c>
      <c r="AK220" t="n">
        <v>0</v>
      </c>
      <c r="AL220" t="n">
        <v>735</v>
      </c>
      <c r="AM220" t="n">
        <v>15</v>
      </c>
      <c r="AN220" t="n">
        <v>200</v>
      </c>
      <c r="AO220" t="n">
        <v>0</v>
      </c>
      <c r="AP220" t="n">
        <v>725</v>
      </c>
      <c r="AQ220" t="n">
        <v>530</v>
      </c>
      <c r="AR220" t="n">
        <v>740</v>
      </c>
      <c r="AS220" t="n">
        <v>730</v>
      </c>
      <c r="AT220" t="n">
        <v>-5</v>
      </c>
      <c r="AU220" t="n">
        <v>5</v>
      </c>
      <c r="AV220" t="n">
        <v>100</v>
      </c>
      <c r="AW220" t="n">
        <v>2.3</v>
      </c>
      <c r="AX220" t="n">
        <v>0.8</v>
      </c>
      <c r="AY220" t="n">
        <v>0</v>
      </c>
      <c r="AZ220" t="n">
        <v>97.2</v>
      </c>
      <c r="BA220" t="n">
        <v>99.09999999999999</v>
      </c>
      <c r="BB220" t="n">
        <v>99.5</v>
      </c>
      <c r="BC220" t="n">
        <v>99.90000000000001</v>
      </c>
      <c r="BD220" t="n">
        <v>0.5</v>
      </c>
      <c r="BE220" t="n">
        <v>0.1</v>
      </c>
      <c r="BF220" t="n">
        <v>100</v>
      </c>
      <c r="BG220" t="n">
        <v>2.3</v>
      </c>
      <c r="BH220" t="n">
        <v>0.8</v>
      </c>
      <c r="BI220" t="n">
        <v>0</v>
      </c>
      <c r="BJ220" t="n">
        <v>97.2</v>
      </c>
      <c r="BK220" t="n">
        <v>99.09999999999999</v>
      </c>
      <c r="BL220" t="n">
        <v>99.5</v>
      </c>
      <c r="BM220" t="n">
        <v>99.90000000000001</v>
      </c>
      <c r="BN220" t="n">
        <v>0.5</v>
      </c>
      <c r="BO220" t="n">
        <v>0.1</v>
      </c>
      <c r="BP220" t="n">
        <v>0</v>
      </c>
      <c r="BQ220" t="n">
        <v>0</v>
      </c>
      <c r="BR220" t="n">
        <v>0</v>
      </c>
      <c r="BS220" t="n">
        <v>0</v>
      </c>
      <c r="BT220" t="n">
        <v>0</v>
      </c>
      <c r="BU220" t="n">
        <v>0</v>
      </c>
      <c r="BV220" t="n">
        <v>0</v>
      </c>
      <c r="BW220" t="n">
        <v>0</v>
      </c>
      <c r="BX220" t="n">
        <v>0</v>
      </c>
      <c r="BY220" t="n">
        <v>0</v>
      </c>
      <c r="BZ220" t="n">
        <v>34</v>
      </c>
      <c r="CA220" t="n">
        <v>6</v>
      </c>
      <c r="CB220" t="n">
        <v>1</v>
      </c>
      <c r="CC220" t="n">
        <v>0</v>
      </c>
      <c r="CD220" t="n">
        <v>22</v>
      </c>
      <c r="CE220" t="n">
        <v>22</v>
      </c>
      <c r="CF220" t="n">
        <v>28</v>
      </c>
      <c r="CG220" t="n">
        <v>23</v>
      </c>
      <c r="CH220" t="n">
        <v>34</v>
      </c>
      <c r="CI220" t="n">
        <v>6</v>
      </c>
      <c r="CJ220" t="n">
        <v>1</v>
      </c>
      <c r="CK220" t="n">
        <v>0</v>
      </c>
      <c r="CL220" t="n">
        <v>22</v>
      </c>
      <c r="CM220" t="n">
        <v>22</v>
      </c>
      <c r="CN220" t="n">
        <v>28</v>
      </c>
      <c r="CO220" t="n">
        <v>23</v>
      </c>
      <c r="CP220" t="n">
        <v>0</v>
      </c>
      <c r="CQ220" t="n">
        <v>0</v>
      </c>
      <c r="CR220" t="n">
        <v>0</v>
      </c>
      <c r="CS220" t="n">
        <v>0</v>
      </c>
      <c r="CT220" t="n">
        <v>0</v>
      </c>
      <c r="CU220" t="n">
        <v>0</v>
      </c>
      <c r="CV220" t="n">
        <v>0</v>
      </c>
      <c r="CW220" t="n">
        <v>0</v>
      </c>
      <c r="CX220" t="n">
        <v>70.5</v>
      </c>
      <c r="CY220" t="n">
        <v>50.9</v>
      </c>
      <c r="CZ220" t="n">
        <v>84.7</v>
      </c>
      <c r="DA220" t="n">
        <v>78.09999999999999</v>
      </c>
      <c r="DB220" t="n">
        <v>62.7</v>
      </c>
      <c r="DC220" t="n">
        <v>39.7</v>
      </c>
      <c r="DD220" t="n">
        <v>67.5</v>
      </c>
      <c r="DE220" t="n">
        <v>58.4</v>
      </c>
      <c r="DF220" t="n">
        <v>70.5</v>
      </c>
      <c r="DG220" t="n">
        <v>50.9</v>
      </c>
      <c r="DH220" t="n">
        <v>84.7</v>
      </c>
      <c r="DI220" t="n">
        <v>78.09999999999999</v>
      </c>
      <c r="DJ220" t="n">
        <v>62.7</v>
      </c>
      <c r="DK220" t="n">
        <v>39.7</v>
      </c>
      <c r="DL220" t="n">
        <v>67.5</v>
      </c>
      <c r="DM220" t="n">
        <v>58.4</v>
      </c>
      <c r="DN220" t="n">
        <v>0</v>
      </c>
      <c r="DO220" t="n">
        <v>0</v>
      </c>
      <c r="DP220" t="n">
        <v>0</v>
      </c>
      <c r="DQ220" t="n">
        <v>0</v>
      </c>
      <c r="DR220" t="n">
        <v>0</v>
      </c>
      <c r="DS220" t="n">
        <v>0</v>
      </c>
      <c r="DT220" t="n">
        <v>0</v>
      </c>
      <c r="DU220" t="n">
        <v>0</v>
      </c>
      <c r="DV220" t="inlineStr">
        <is>
          <t>(Contracts of 400 MWh)</t>
        </is>
      </c>
    </row>
    <row r="221">
      <c r="A221" t="inlineStr">
        <is>
          <t>MID-C DAY-AHEAD PEAK - ICE FUTURES ENERGY DIV</t>
        </is>
      </c>
      <c r="B221" t="n">
        <v>230103</v>
      </c>
      <c r="C221" s="1" t="n">
        <v>44929</v>
      </c>
      <c r="D221" t="inlineStr">
        <is>
          <t>064391</t>
        </is>
      </c>
      <c r="E221" t="inlineStr">
        <is>
          <t>IFED</t>
        </is>
      </c>
      <c r="F221" t="inlineStr">
        <is>
          <t>01</t>
        </is>
      </c>
      <c r="G221" t="inlineStr">
        <is>
          <t xml:space="preserve">064 </t>
        </is>
      </c>
      <c r="H221" t="n">
        <v>25244</v>
      </c>
      <c r="I221" s="17" t="n">
        <v>589</v>
      </c>
      <c r="J221" s="17" t="n">
        <v>0</v>
      </c>
      <c r="K221" t="n">
        <v>0</v>
      </c>
      <c r="L221" t="n">
        <v>24514</v>
      </c>
      <c r="M221" t="n">
        <v>25224</v>
      </c>
      <c r="N221" t="n">
        <v>25103</v>
      </c>
      <c r="O221" t="n">
        <v>25224</v>
      </c>
      <c r="P221" t="n">
        <v>141</v>
      </c>
      <c r="Q221" t="n">
        <v>20</v>
      </c>
      <c r="R221" t="n">
        <v>25244</v>
      </c>
      <c r="S221" t="n">
        <v>589</v>
      </c>
      <c r="T221" t="n">
        <v>0</v>
      </c>
      <c r="U221" t="n">
        <v>0</v>
      </c>
      <c r="V221" t="n">
        <v>24514</v>
      </c>
      <c r="W221" t="n">
        <v>25224</v>
      </c>
      <c r="X221" t="n">
        <v>25103</v>
      </c>
      <c r="Y221" t="n">
        <v>25224</v>
      </c>
      <c r="Z221" t="n">
        <v>141</v>
      </c>
      <c r="AA221" t="n">
        <v>20</v>
      </c>
      <c r="AB221" t="n">
        <v>0</v>
      </c>
      <c r="AC221" t="n">
        <v>0</v>
      </c>
      <c r="AD221" t="n">
        <v>0</v>
      </c>
      <c r="AE221" t="n">
        <v>0</v>
      </c>
      <c r="AF221" t="n">
        <v>0</v>
      </c>
      <c r="AG221" t="n">
        <v>0</v>
      </c>
      <c r="AH221" t="n">
        <v>0</v>
      </c>
      <c r="AI221" t="n">
        <v>0</v>
      </c>
      <c r="AJ221" t="n">
        <v>0</v>
      </c>
      <c r="AK221" t="n">
        <v>0</v>
      </c>
      <c r="AL221" t="n">
        <v>-904</v>
      </c>
      <c r="AM221" t="n">
        <v>-26</v>
      </c>
      <c r="AN221" t="n">
        <v>-25</v>
      </c>
      <c r="AO221" t="n">
        <v>0</v>
      </c>
      <c r="AP221" t="n">
        <v>-893</v>
      </c>
      <c r="AQ221" t="n">
        <v>-863</v>
      </c>
      <c r="AR221" t="n">
        <v>-919</v>
      </c>
      <c r="AS221" t="n">
        <v>-888</v>
      </c>
      <c r="AT221" t="n">
        <v>15</v>
      </c>
      <c r="AU221" t="n">
        <v>-16</v>
      </c>
      <c r="AV221" t="n">
        <v>100</v>
      </c>
      <c r="AW221" t="n">
        <v>2.3</v>
      </c>
      <c r="AX221" t="n">
        <v>0</v>
      </c>
      <c r="AY221" t="n">
        <v>0</v>
      </c>
      <c r="AZ221" t="n">
        <v>97.09999999999999</v>
      </c>
      <c r="BA221" t="n">
        <v>99.90000000000001</v>
      </c>
      <c r="BB221" t="n">
        <v>99.40000000000001</v>
      </c>
      <c r="BC221" t="n">
        <v>99.90000000000001</v>
      </c>
      <c r="BD221" t="n">
        <v>0.6</v>
      </c>
      <c r="BE221" t="n">
        <v>0.1</v>
      </c>
      <c r="BF221" t="n">
        <v>100</v>
      </c>
      <c r="BG221" t="n">
        <v>2.3</v>
      </c>
      <c r="BH221" t="n">
        <v>0</v>
      </c>
      <c r="BI221" t="n">
        <v>0</v>
      </c>
      <c r="BJ221" t="n">
        <v>97.09999999999999</v>
      </c>
      <c r="BK221" t="n">
        <v>99.90000000000001</v>
      </c>
      <c r="BL221" t="n">
        <v>99.40000000000001</v>
      </c>
      <c r="BM221" t="n">
        <v>99.90000000000001</v>
      </c>
      <c r="BN221" t="n">
        <v>0.6</v>
      </c>
      <c r="BO221" t="n">
        <v>0.1</v>
      </c>
      <c r="BP221" t="n">
        <v>0</v>
      </c>
      <c r="BQ221" t="n">
        <v>0</v>
      </c>
      <c r="BR221" t="n">
        <v>0</v>
      </c>
      <c r="BS221" t="n">
        <v>0</v>
      </c>
      <c r="BT221" t="n">
        <v>0</v>
      </c>
      <c r="BU221" t="n">
        <v>0</v>
      </c>
      <c r="BV221" t="n">
        <v>0</v>
      </c>
      <c r="BW221" t="n">
        <v>0</v>
      </c>
      <c r="BX221" t="n">
        <v>0</v>
      </c>
      <c r="BY221" t="n">
        <v>0</v>
      </c>
      <c r="BZ221" t="n">
        <v>33</v>
      </c>
      <c r="CA221" t="n">
        <v>6</v>
      </c>
      <c r="CB221" t="n">
        <v>0</v>
      </c>
      <c r="CC221" t="n">
        <v>0</v>
      </c>
      <c r="CD221" t="n">
        <v>22</v>
      </c>
      <c r="CE221" t="n">
        <v>22</v>
      </c>
      <c r="CF221" t="n">
        <v>28</v>
      </c>
      <c r="CG221" t="n">
        <v>22</v>
      </c>
      <c r="CH221" t="n">
        <v>33</v>
      </c>
      <c r="CI221" t="n">
        <v>6</v>
      </c>
      <c r="CJ221" t="n">
        <v>0</v>
      </c>
      <c r="CK221" t="n">
        <v>0</v>
      </c>
      <c r="CL221" t="n">
        <v>22</v>
      </c>
      <c r="CM221" t="n">
        <v>22</v>
      </c>
      <c r="CN221" t="n">
        <v>28</v>
      </c>
      <c r="CO221" t="n">
        <v>22</v>
      </c>
      <c r="CP221" t="n">
        <v>0</v>
      </c>
      <c r="CQ221" t="n">
        <v>0</v>
      </c>
      <c r="CR221" t="n">
        <v>0</v>
      </c>
      <c r="CS221" t="n">
        <v>0</v>
      </c>
      <c r="CT221" t="n">
        <v>0</v>
      </c>
      <c r="CU221" t="n">
        <v>0</v>
      </c>
      <c r="CV221" t="n">
        <v>0</v>
      </c>
      <c r="CW221" t="n">
        <v>0</v>
      </c>
      <c r="CX221" t="n">
        <v>71.09999999999999</v>
      </c>
      <c r="CY221" t="n">
        <v>51</v>
      </c>
      <c r="CZ221" t="n">
        <v>86.40000000000001</v>
      </c>
      <c r="DA221" t="n">
        <v>78.90000000000001</v>
      </c>
      <c r="DB221" t="n">
        <v>63.4</v>
      </c>
      <c r="DC221" t="n">
        <v>40</v>
      </c>
      <c r="DD221" t="n">
        <v>68.5</v>
      </c>
      <c r="DE221" t="n">
        <v>60</v>
      </c>
      <c r="DF221" t="n">
        <v>71.09999999999999</v>
      </c>
      <c r="DG221" t="n">
        <v>51</v>
      </c>
      <c r="DH221" t="n">
        <v>86.40000000000001</v>
      </c>
      <c r="DI221" t="n">
        <v>78.90000000000001</v>
      </c>
      <c r="DJ221" t="n">
        <v>63.4</v>
      </c>
      <c r="DK221" t="n">
        <v>40</v>
      </c>
      <c r="DL221" t="n">
        <v>68.5</v>
      </c>
      <c r="DM221" t="n">
        <v>60</v>
      </c>
      <c r="DN221" t="n">
        <v>0</v>
      </c>
      <c r="DO221" t="n">
        <v>0</v>
      </c>
      <c r="DP221" t="n">
        <v>0</v>
      </c>
      <c r="DQ221" t="n">
        <v>0</v>
      </c>
      <c r="DR221" t="n">
        <v>0</v>
      </c>
      <c r="DS221" t="n">
        <v>0</v>
      </c>
      <c r="DT221" t="n">
        <v>0</v>
      </c>
      <c r="DU221" t="n">
        <v>0</v>
      </c>
      <c r="DV221" t="inlineStr">
        <is>
          <t>(Contracts of 400 MWh)</t>
        </is>
      </c>
    </row>
    <row r="222">
      <c r="A222" t="inlineStr">
        <is>
          <t>MID-C DAY-AHEAD OFF-PEAK - ICE FUTURES ENERGY DIV</t>
        </is>
      </c>
      <c r="B222" t="n">
        <v>230110</v>
      </c>
      <c r="C222" s="1" t="n">
        <v>44936</v>
      </c>
      <c r="D222" t="inlineStr">
        <is>
          <t>064392</t>
        </is>
      </c>
      <c r="E222" t="inlineStr">
        <is>
          <t>IFED</t>
        </is>
      </c>
      <c r="F222" t="inlineStr">
        <is>
          <t>01</t>
        </is>
      </c>
      <c r="G222" t="inlineStr">
        <is>
          <t xml:space="preserve">064 </t>
        </is>
      </c>
      <c r="H222" t="n">
        <v>18531</v>
      </c>
      <c r="I222" s="17" t="n">
        <v>2145</v>
      </c>
      <c r="J222" s="17" t="n">
        <v>0</v>
      </c>
      <c r="K222" t="n">
        <v>97</v>
      </c>
      <c r="L222" t="n">
        <v>16289</v>
      </c>
      <c r="M222" t="n">
        <v>18434</v>
      </c>
      <c r="N222" t="n">
        <v>18531</v>
      </c>
      <c r="O222" t="n">
        <v>18531</v>
      </c>
      <c r="P222" t="n">
        <v>0</v>
      </c>
      <c r="Q222" t="n">
        <v>0</v>
      </c>
      <c r="R222" t="n">
        <v>18531</v>
      </c>
      <c r="S222" t="n">
        <v>2145</v>
      </c>
      <c r="T222" t="n">
        <v>0</v>
      </c>
      <c r="U222" t="n">
        <v>97</v>
      </c>
      <c r="V222" t="n">
        <v>16289</v>
      </c>
      <c r="W222" t="n">
        <v>18434</v>
      </c>
      <c r="X222" t="n">
        <v>18531</v>
      </c>
      <c r="Y222" t="n">
        <v>18531</v>
      </c>
      <c r="Z222" t="n">
        <v>0</v>
      </c>
      <c r="AA222" t="n">
        <v>0</v>
      </c>
      <c r="AB222" t="n">
        <v>0</v>
      </c>
      <c r="AC222" t="n">
        <v>0</v>
      </c>
      <c r="AD222" t="n">
        <v>0</v>
      </c>
      <c r="AE222" t="n">
        <v>0</v>
      </c>
      <c r="AF222" t="n">
        <v>0</v>
      </c>
      <c r="AG222" t="n">
        <v>0</v>
      </c>
      <c r="AH222" t="n">
        <v>0</v>
      </c>
      <c r="AI222" t="n">
        <v>0</v>
      </c>
      <c r="AJ222" t="n">
        <v>0</v>
      </c>
      <c r="AK222" t="n">
        <v>0</v>
      </c>
      <c r="AL222" t="n">
        <v>155</v>
      </c>
      <c r="AM222" t="n">
        <v>-55</v>
      </c>
      <c r="AN222" t="n">
        <v>0</v>
      </c>
      <c r="AO222" t="n">
        <v>60</v>
      </c>
      <c r="AP222" t="n">
        <v>150</v>
      </c>
      <c r="AQ222" t="n">
        <v>105</v>
      </c>
      <c r="AR222" t="n">
        <v>155</v>
      </c>
      <c r="AS222" t="n">
        <v>165</v>
      </c>
      <c r="AT222" t="n">
        <v>0</v>
      </c>
      <c r="AU222" t="n">
        <v>-10</v>
      </c>
      <c r="AV222" t="n">
        <v>100</v>
      </c>
      <c r="AW222" t="n">
        <v>11.6</v>
      </c>
      <c r="AX222" t="n">
        <v>0</v>
      </c>
      <c r="AY222" t="n">
        <v>0.5</v>
      </c>
      <c r="AZ222" t="n">
        <v>87.90000000000001</v>
      </c>
      <c r="BA222" t="n">
        <v>99.5</v>
      </c>
      <c r="BB222" t="n">
        <v>100</v>
      </c>
      <c r="BC222" t="n">
        <v>100</v>
      </c>
      <c r="BD222" t="n">
        <v>0</v>
      </c>
      <c r="BE222" t="n">
        <v>0</v>
      </c>
      <c r="BF222" t="n">
        <v>100</v>
      </c>
      <c r="BG222" t="n">
        <v>11.6</v>
      </c>
      <c r="BH222" t="n">
        <v>0</v>
      </c>
      <c r="BI222" t="n">
        <v>0.5</v>
      </c>
      <c r="BJ222" t="n">
        <v>87.90000000000001</v>
      </c>
      <c r="BK222" t="n">
        <v>99.5</v>
      </c>
      <c r="BL222" t="n">
        <v>100</v>
      </c>
      <c r="BM222" t="n">
        <v>100</v>
      </c>
      <c r="BN222" t="n">
        <v>0</v>
      </c>
      <c r="BO222" t="n">
        <v>0</v>
      </c>
      <c r="BP222" t="n">
        <v>0</v>
      </c>
      <c r="BQ222" t="n">
        <v>0</v>
      </c>
      <c r="BR222" t="n">
        <v>0</v>
      </c>
      <c r="BS222" t="n">
        <v>0</v>
      </c>
      <c r="BT222" t="n">
        <v>0</v>
      </c>
      <c r="BU222" t="n">
        <v>0</v>
      </c>
      <c r="BV222" t="n">
        <v>0</v>
      </c>
      <c r="BW222" t="n">
        <v>0</v>
      </c>
      <c r="BX222" t="n">
        <v>0</v>
      </c>
      <c r="BY222" t="n">
        <v>0</v>
      </c>
      <c r="BZ222" t="n">
        <v>29</v>
      </c>
      <c r="CA222" t="n">
        <v>3</v>
      </c>
      <c r="CB222" t="n">
        <v>0</v>
      </c>
      <c r="CC222" t="n">
        <v>2</v>
      </c>
      <c r="CD222" t="n">
        <v>19</v>
      </c>
      <c r="CE222" t="n">
        <v>18</v>
      </c>
      <c r="CF222" t="n">
        <v>23</v>
      </c>
      <c r="CG222" t="n">
        <v>20</v>
      </c>
      <c r="CH222" t="n">
        <v>29</v>
      </c>
      <c r="CI222" t="n">
        <v>3</v>
      </c>
      <c r="CJ222" t="n">
        <v>0</v>
      </c>
      <c r="CK222" t="n">
        <v>2</v>
      </c>
      <c r="CL222" t="n">
        <v>19</v>
      </c>
      <c r="CM222" t="n">
        <v>18</v>
      </c>
      <c r="CN222" t="n">
        <v>23</v>
      </c>
      <c r="CO222" t="n">
        <v>20</v>
      </c>
      <c r="CP222" t="n">
        <v>0</v>
      </c>
      <c r="CQ222" t="n">
        <v>0</v>
      </c>
      <c r="CR222" t="n">
        <v>0</v>
      </c>
      <c r="CS222" t="n">
        <v>0</v>
      </c>
      <c r="CT222" t="n">
        <v>0</v>
      </c>
      <c r="CU222" t="n">
        <v>0</v>
      </c>
      <c r="CV222" t="n">
        <v>0</v>
      </c>
      <c r="CW222" t="n">
        <v>0</v>
      </c>
      <c r="CX222" t="n">
        <v>47.4</v>
      </c>
      <c r="CY222" t="n">
        <v>61.7</v>
      </c>
      <c r="CZ222" t="n">
        <v>73.90000000000001</v>
      </c>
      <c r="DA222" t="n">
        <v>87.8</v>
      </c>
      <c r="DB222" t="n">
        <v>44.5</v>
      </c>
      <c r="DC222" t="n">
        <v>50.4</v>
      </c>
      <c r="DD222" t="n">
        <v>62.3</v>
      </c>
      <c r="DE222" t="n">
        <v>70.3</v>
      </c>
      <c r="DF222" t="n">
        <v>47.4</v>
      </c>
      <c r="DG222" t="n">
        <v>61.7</v>
      </c>
      <c r="DH222" t="n">
        <v>73.90000000000001</v>
      </c>
      <c r="DI222" t="n">
        <v>87.8</v>
      </c>
      <c r="DJ222" t="n">
        <v>44.5</v>
      </c>
      <c r="DK222" t="n">
        <v>50.4</v>
      </c>
      <c r="DL222" t="n">
        <v>62.3</v>
      </c>
      <c r="DM222" t="n">
        <v>70.3</v>
      </c>
      <c r="DN222" t="n">
        <v>0</v>
      </c>
      <c r="DO222" t="n">
        <v>0</v>
      </c>
      <c r="DP222" t="n">
        <v>0</v>
      </c>
      <c r="DQ222" t="n">
        <v>0</v>
      </c>
      <c r="DR222" t="n">
        <v>0</v>
      </c>
      <c r="DS222" t="n">
        <v>0</v>
      </c>
      <c r="DT222" t="n">
        <v>0</v>
      </c>
      <c r="DU222" t="n">
        <v>0</v>
      </c>
      <c r="DV222" t="inlineStr">
        <is>
          <t>(1 MWh for about 368 Hours)</t>
        </is>
      </c>
    </row>
    <row r="223">
      <c r="A223" t="inlineStr">
        <is>
          <t>MID-C DAY-AHEAD OFF-PEAK - ICE FUTURES ENERGY DIV</t>
        </is>
      </c>
      <c r="B223" t="n">
        <v>230103</v>
      </c>
      <c r="C223" s="1" t="n">
        <v>44929</v>
      </c>
      <c r="D223" t="inlineStr">
        <is>
          <t>064392</t>
        </is>
      </c>
      <c r="E223" t="inlineStr">
        <is>
          <t>IFED</t>
        </is>
      </c>
      <c r="F223" t="inlineStr">
        <is>
          <t>01</t>
        </is>
      </c>
      <c r="G223" t="inlineStr">
        <is>
          <t xml:space="preserve">064 </t>
        </is>
      </c>
      <c r="H223" t="n">
        <v>18376</v>
      </c>
      <c r="I223" s="17" t="n">
        <v>2200</v>
      </c>
      <c r="J223" s="17" t="n">
        <v>0</v>
      </c>
      <c r="K223" t="n">
        <v>37</v>
      </c>
      <c r="L223" t="n">
        <v>16139</v>
      </c>
      <c r="M223" t="n">
        <v>18329</v>
      </c>
      <c r="N223" t="n">
        <v>18376</v>
      </c>
      <c r="O223" t="n">
        <v>18366</v>
      </c>
      <c r="P223" t="n">
        <v>0</v>
      </c>
      <c r="Q223" t="n">
        <v>10</v>
      </c>
      <c r="R223" t="n">
        <v>18376</v>
      </c>
      <c r="S223" t="n">
        <v>2200</v>
      </c>
      <c r="T223" t="n">
        <v>0</v>
      </c>
      <c r="U223" t="n">
        <v>37</v>
      </c>
      <c r="V223" t="n">
        <v>16139</v>
      </c>
      <c r="W223" t="n">
        <v>18329</v>
      </c>
      <c r="X223" t="n">
        <v>18376</v>
      </c>
      <c r="Y223" t="n">
        <v>18366</v>
      </c>
      <c r="Z223" t="n">
        <v>0</v>
      </c>
      <c r="AA223" t="n">
        <v>10</v>
      </c>
      <c r="AB223" t="n">
        <v>0</v>
      </c>
      <c r="AC223" t="n">
        <v>0</v>
      </c>
      <c r="AD223" t="n">
        <v>0</v>
      </c>
      <c r="AE223" t="n">
        <v>0</v>
      </c>
      <c r="AF223" t="n">
        <v>0</v>
      </c>
      <c r="AG223" t="n">
        <v>0</v>
      </c>
      <c r="AH223" t="n">
        <v>0</v>
      </c>
      <c r="AI223" t="n">
        <v>0</v>
      </c>
      <c r="AJ223" t="n">
        <v>0</v>
      </c>
      <c r="AK223" t="n">
        <v>0</v>
      </c>
      <c r="AL223" t="n">
        <v>-1042</v>
      </c>
      <c r="AM223" t="n">
        <v>273</v>
      </c>
      <c r="AN223" t="n">
        <v>0</v>
      </c>
      <c r="AO223" t="n">
        <v>-63</v>
      </c>
      <c r="AP223" t="n">
        <v>-1237</v>
      </c>
      <c r="AQ223" t="n">
        <v>-989</v>
      </c>
      <c r="AR223" t="n">
        <v>-1027</v>
      </c>
      <c r="AS223" t="n">
        <v>-1052</v>
      </c>
      <c r="AT223" t="n">
        <v>-15</v>
      </c>
      <c r="AU223" t="n">
        <v>10</v>
      </c>
      <c r="AV223" t="n">
        <v>100</v>
      </c>
      <c r="AW223" t="n">
        <v>12</v>
      </c>
      <c r="AX223" t="n">
        <v>0</v>
      </c>
      <c r="AY223" t="n">
        <v>0.2</v>
      </c>
      <c r="AZ223" t="n">
        <v>87.8</v>
      </c>
      <c r="BA223" t="n">
        <v>99.7</v>
      </c>
      <c r="BB223" t="n">
        <v>100</v>
      </c>
      <c r="BC223" t="n">
        <v>99.90000000000001</v>
      </c>
      <c r="BD223" t="n">
        <v>0</v>
      </c>
      <c r="BE223" t="n">
        <v>0.1</v>
      </c>
      <c r="BF223" t="n">
        <v>100</v>
      </c>
      <c r="BG223" t="n">
        <v>12</v>
      </c>
      <c r="BH223" t="n">
        <v>0</v>
      </c>
      <c r="BI223" t="n">
        <v>0.2</v>
      </c>
      <c r="BJ223" t="n">
        <v>87.8</v>
      </c>
      <c r="BK223" t="n">
        <v>99.7</v>
      </c>
      <c r="BL223" t="n">
        <v>100</v>
      </c>
      <c r="BM223" t="n">
        <v>99.90000000000001</v>
      </c>
      <c r="BN223" t="n">
        <v>0</v>
      </c>
      <c r="BO223" t="n">
        <v>0.1</v>
      </c>
      <c r="BP223" t="n">
        <v>0</v>
      </c>
      <c r="BQ223" t="n">
        <v>0</v>
      </c>
      <c r="BR223" t="n">
        <v>0</v>
      </c>
      <c r="BS223" t="n">
        <v>0</v>
      </c>
      <c r="BT223" t="n">
        <v>0</v>
      </c>
      <c r="BU223" t="n">
        <v>0</v>
      </c>
      <c r="BV223" t="n">
        <v>0</v>
      </c>
      <c r="BW223" t="n">
        <v>0</v>
      </c>
      <c r="BX223" t="n">
        <v>0</v>
      </c>
      <c r="BY223" t="n">
        <v>0</v>
      </c>
      <c r="BZ223" t="n">
        <v>28</v>
      </c>
      <c r="CA223" t="n">
        <v>3</v>
      </c>
      <c r="CB223" t="n">
        <v>0</v>
      </c>
      <c r="CC223" t="n">
        <v>1</v>
      </c>
      <c r="CD223" t="n">
        <v>19</v>
      </c>
      <c r="CE223" t="n">
        <v>18</v>
      </c>
      <c r="CF223" t="n">
        <v>22</v>
      </c>
      <c r="CG223" t="n">
        <v>19</v>
      </c>
      <c r="CH223" t="n">
        <v>28</v>
      </c>
      <c r="CI223" t="n">
        <v>3</v>
      </c>
      <c r="CJ223" t="n">
        <v>0</v>
      </c>
      <c r="CK223" t="n">
        <v>1</v>
      </c>
      <c r="CL223" t="n">
        <v>19</v>
      </c>
      <c r="CM223" t="n">
        <v>18</v>
      </c>
      <c r="CN223" t="n">
        <v>22</v>
      </c>
      <c r="CO223" t="n">
        <v>19</v>
      </c>
      <c r="CP223" t="n">
        <v>0</v>
      </c>
      <c r="CQ223" t="n">
        <v>0</v>
      </c>
      <c r="CR223" t="n">
        <v>0</v>
      </c>
      <c r="CS223" t="n">
        <v>0</v>
      </c>
      <c r="CT223" t="n">
        <v>0</v>
      </c>
      <c r="CU223" t="n">
        <v>0</v>
      </c>
      <c r="CV223" t="n">
        <v>0</v>
      </c>
      <c r="CW223" t="n">
        <v>0</v>
      </c>
      <c r="CX223" t="n">
        <v>46.3</v>
      </c>
      <c r="CY223" t="n">
        <v>61.6</v>
      </c>
      <c r="CZ223" t="n">
        <v>74</v>
      </c>
      <c r="DA223" t="n">
        <v>88.2</v>
      </c>
      <c r="DB223" t="n">
        <v>43.1</v>
      </c>
      <c r="DC223" t="n">
        <v>49.8</v>
      </c>
      <c r="DD223" t="n">
        <v>62.1</v>
      </c>
      <c r="DE223" t="n">
        <v>70.2</v>
      </c>
      <c r="DF223" t="n">
        <v>46.3</v>
      </c>
      <c r="DG223" t="n">
        <v>61.6</v>
      </c>
      <c r="DH223" t="n">
        <v>74</v>
      </c>
      <c r="DI223" t="n">
        <v>88.2</v>
      </c>
      <c r="DJ223" t="n">
        <v>43.1</v>
      </c>
      <c r="DK223" t="n">
        <v>49.8</v>
      </c>
      <c r="DL223" t="n">
        <v>62.1</v>
      </c>
      <c r="DM223" t="n">
        <v>70.2</v>
      </c>
      <c r="DN223" t="n">
        <v>0</v>
      </c>
      <c r="DO223" t="n">
        <v>0</v>
      </c>
      <c r="DP223" t="n">
        <v>0</v>
      </c>
      <c r="DQ223" t="n">
        <v>0</v>
      </c>
      <c r="DR223" t="n">
        <v>0</v>
      </c>
      <c r="DS223" t="n">
        <v>0</v>
      </c>
      <c r="DT223" t="n">
        <v>0</v>
      </c>
      <c r="DU223" t="n">
        <v>0</v>
      </c>
      <c r="DV223" t="inlineStr">
        <is>
          <t>(1 MWh for about 368 Hours)</t>
        </is>
      </c>
    </row>
    <row r="224">
      <c r="A224" t="inlineStr">
        <is>
          <t>PJM WESTERN HUB RT OFF - ICE FUTURES ENERGY DIV</t>
        </is>
      </c>
      <c r="B224" t="n">
        <v>230110</v>
      </c>
      <c r="C224" s="1" t="n">
        <v>44936</v>
      </c>
      <c r="D224" t="inlineStr">
        <is>
          <t>064394</t>
        </is>
      </c>
      <c r="E224" t="inlineStr">
        <is>
          <t>IFED</t>
        </is>
      </c>
      <c r="F224" t="inlineStr">
        <is>
          <t>01</t>
        </is>
      </c>
      <c r="G224" t="inlineStr">
        <is>
          <t xml:space="preserve">064 </t>
        </is>
      </c>
      <c r="H224" t="n">
        <v>199523</v>
      </c>
      <c r="I224" s="17" t="n">
        <v>43017</v>
      </c>
      <c r="J224" s="17" t="n">
        <v>5654</v>
      </c>
      <c r="K224" t="n">
        <v>11638</v>
      </c>
      <c r="L224" t="n">
        <v>144179</v>
      </c>
      <c r="M224" t="n">
        <v>181969</v>
      </c>
      <c r="N224" t="n">
        <v>198834</v>
      </c>
      <c r="O224" t="n">
        <v>199261</v>
      </c>
      <c r="P224" t="n">
        <v>689</v>
      </c>
      <c r="Q224" t="n">
        <v>262</v>
      </c>
      <c r="R224" t="n">
        <v>199523</v>
      </c>
      <c r="S224" t="n">
        <v>43017</v>
      </c>
      <c r="T224" t="n">
        <v>5654</v>
      </c>
      <c r="U224" t="n">
        <v>11638</v>
      </c>
      <c r="V224" t="n">
        <v>144179</v>
      </c>
      <c r="W224" t="n">
        <v>181969</v>
      </c>
      <c r="X224" t="n">
        <v>198834</v>
      </c>
      <c r="Y224" t="n">
        <v>199261</v>
      </c>
      <c r="Z224" t="n">
        <v>689</v>
      </c>
      <c r="AA224" t="n">
        <v>262</v>
      </c>
      <c r="AB224" t="n">
        <v>0</v>
      </c>
      <c r="AC224" t="n">
        <v>0</v>
      </c>
      <c r="AD224" t="n">
        <v>0</v>
      </c>
      <c r="AE224" t="n">
        <v>0</v>
      </c>
      <c r="AF224" t="n">
        <v>0</v>
      </c>
      <c r="AG224" t="n">
        <v>0</v>
      </c>
      <c r="AH224" t="n">
        <v>0</v>
      </c>
      <c r="AI224" t="n">
        <v>0</v>
      </c>
      <c r="AJ224" t="n">
        <v>0</v>
      </c>
      <c r="AK224" t="n">
        <v>0</v>
      </c>
      <c r="AL224" t="n">
        <v>-4818</v>
      </c>
      <c r="AM224" t="n">
        <v>-1103</v>
      </c>
      <c r="AN224" t="n">
        <v>-1527</v>
      </c>
      <c r="AO224" t="n">
        <v>755</v>
      </c>
      <c r="AP224" t="n">
        <v>-4431</v>
      </c>
      <c r="AQ224" t="n">
        <v>-4004</v>
      </c>
      <c r="AR224" t="n">
        <v>-4779</v>
      </c>
      <c r="AS224" t="n">
        <v>-4776</v>
      </c>
      <c r="AT224" t="n">
        <v>-39</v>
      </c>
      <c r="AU224" t="n">
        <v>-42</v>
      </c>
      <c r="AV224" t="n">
        <v>100</v>
      </c>
      <c r="AW224" t="n">
        <v>21.6</v>
      </c>
      <c r="AX224" t="n">
        <v>2.8</v>
      </c>
      <c r="AY224" t="n">
        <v>5.8</v>
      </c>
      <c r="AZ224" t="n">
        <v>72.3</v>
      </c>
      <c r="BA224" t="n">
        <v>91.2</v>
      </c>
      <c r="BB224" t="n">
        <v>99.7</v>
      </c>
      <c r="BC224" t="n">
        <v>99.90000000000001</v>
      </c>
      <c r="BD224" t="n">
        <v>0.3</v>
      </c>
      <c r="BE224" t="n">
        <v>0.1</v>
      </c>
      <c r="BF224" t="n">
        <v>100</v>
      </c>
      <c r="BG224" t="n">
        <v>21.6</v>
      </c>
      <c r="BH224" t="n">
        <v>2.8</v>
      </c>
      <c r="BI224" t="n">
        <v>5.8</v>
      </c>
      <c r="BJ224" t="n">
        <v>72.3</v>
      </c>
      <c r="BK224" t="n">
        <v>91.2</v>
      </c>
      <c r="BL224" t="n">
        <v>99.7</v>
      </c>
      <c r="BM224" t="n">
        <v>99.90000000000001</v>
      </c>
      <c r="BN224" t="n">
        <v>0.3</v>
      </c>
      <c r="BO224" t="n">
        <v>0.1</v>
      </c>
      <c r="BP224" t="n">
        <v>0</v>
      </c>
      <c r="BQ224" t="n">
        <v>0</v>
      </c>
      <c r="BR224" t="n">
        <v>0</v>
      </c>
      <c r="BS224" t="n">
        <v>0</v>
      </c>
      <c r="BT224" t="n">
        <v>0</v>
      </c>
      <c r="BU224" t="n">
        <v>0</v>
      </c>
      <c r="BV224" t="n">
        <v>0</v>
      </c>
      <c r="BW224" t="n">
        <v>0</v>
      </c>
      <c r="BX224" t="n">
        <v>0</v>
      </c>
      <c r="BY224" t="n">
        <v>0</v>
      </c>
      <c r="BZ224" t="n">
        <v>74</v>
      </c>
      <c r="CA224" t="n">
        <v>11</v>
      </c>
      <c r="CB224" t="n">
        <v>14</v>
      </c>
      <c r="CC224" t="n">
        <v>10</v>
      </c>
      <c r="CD224" t="n">
        <v>40</v>
      </c>
      <c r="CE224" t="n">
        <v>44</v>
      </c>
      <c r="CF224" t="n">
        <v>57</v>
      </c>
      <c r="CG224" t="n">
        <v>62</v>
      </c>
      <c r="CH224" t="n">
        <v>74</v>
      </c>
      <c r="CI224" t="n">
        <v>11</v>
      </c>
      <c r="CJ224" t="n">
        <v>14</v>
      </c>
      <c r="CK224" t="n">
        <v>10</v>
      </c>
      <c r="CL224" t="n">
        <v>40</v>
      </c>
      <c r="CM224" t="n">
        <v>44</v>
      </c>
      <c r="CN224" t="n">
        <v>57</v>
      </c>
      <c r="CO224" t="n">
        <v>62</v>
      </c>
      <c r="CP224" t="n">
        <v>0</v>
      </c>
      <c r="CQ224" t="n">
        <v>0</v>
      </c>
      <c r="CR224" t="n">
        <v>0</v>
      </c>
      <c r="CS224" t="n">
        <v>0</v>
      </c>
      <c r="CT224" t="n">
        <v>0</v>
      </c>
      <c r="CU224" t="n">
        <v>0</v>
      </c>
      <c r="CV224" t="n">
        <v>0</v>
      </c>
      <c r="CW224" t="n">
        <v>0</v>
      </c>
      <c r="CX224" t="n">
        <v>49.7</v>
      </c>
      <c r="CY224" t="n">
        <v>51.6</v>
      </c>
      <c r="CZ224" t="n">
        <v>67.09999999999999</v>
      </c>
      <c r="DA224" t="n">
        <v>69.5</v>
      </c>
      <c r="DB224" t="n">
        <v>43.9</v>
      </c>
      <c r="DC224" t="n">
        <v>42.2</v>
      </c>
      <c r="DD224" t="n">
        <v>58.7</v>
      </c>
      <c r="DE224" t="n">
        <v>52.9</v>
      </c>
      <c r="DF224" t="n">
        <v>49.7</v>
      </c>
      <c r="DG224" t="n">
        <v>51.6</v>
      </c>
      <c r="DH224" t="n">
        <v>67.09999999999999</v>
      </c>
      <c r="DI224" t="n">
        <v>69.5</v>
      </c>
      <c r="DJ224" t="n">
        <v>43.9</v>
      </c>
      <c r="DK224" t="n">
        <v>42.2</v>
      </c>
      <c r="DL224" t="n">
        <v>58.7</v>
      </c>
      <c r="DM224" t="n">
        <v>52.9</v>
      </c>
      <c r="DN224" t="n">
        <v>0</v>
      </c>
      <c r="DO224" t="n">
        <v>0</v>
      </c>
      <c r="DP224" t="n">
        <v>0</v>
      </c>
      <c r="DQ224" t="n">
        <v>0</v>
      </c>
      <c r="DR224" t="n">
        <v>0</v>
      </c>
      <c r="DS224" t="n">
        <v>0</v>
      </c>
      <c r="DT224" t="n">
        <v>0</v>
      </c>
      <c r="DU224" t="n">
        <v>0</v>
      </c>
      <c r="DV224" t="inlineStr">
        <is>
          <t>(Contracts of 1Megawatt for 368 Hours)</t>
        </is>
      </c>
    </row>
    <row r="225">
      <c r="A225" t="inlineStr">
        <is>
          <t>PJM WESTERN HUB RT OFF - ICE FUTURES ENERGY DIV</t>
        </is>
      </c>
      <c r="B225" t="n">
        <v>230103</v>
      </c>
      <c r="C225" s="1" t="n">
        <v>44929</v>
      </c>
      <c r="D225" t="inlineStr">
        <is>
          <t>064394</t>
        </is>
      </c>
      <c r="E225" t="inlineStr">
        <is>
          <t>IFED</t>
        </is>
      </c>
      <c r="F225" t="inlineStr">
        <is>
          <t>01</t>
        </is>
      </c>
      <c r="G225" t="inlineStr">
        <is>
          <t xml:space="preserve">064 </t>
        </is>
      </c>
      <c r="H225" t="n">
        <v>204341</v>
      </c>
      <c r="I225" s="17" t="n">
        <v>44120</v>
      </c>
      <c r="J225" s="17" t="n">
        <v>7181</v>
      </c>
      <c r="K225" t="n">
        <v>10883</v>
      </c>
      <c r="L225" t="n">
        <v>148610</v>
      </c>
      <c r="M225" t="n">
        <v>185973</v>
      </c>
      <c r="N225" t="n">
        <v>203613</v>
      </c>
      <c r="O225" t="n">
        <v>204037</v>
      </c>
      <c r="P225" t="n">
        <v>728</v>
      </c>
      <c r="Q225" t="n">
        <v>304</v>
      </c>
      <c r="R225" t="n">
        <v>204341</v>
      </c>
      <c r="S225" t="n">
        <v>44120</v>
      </c>
      <c r="T225" t="n">
        <v>7181</v>
      </c>
      <c r="U225" t="n">
        <v>10883</v>
      </c>
      <c r="V225" t="n">
        <v>148610</v>
      </c>
      <c r="W225" t="n">
        <v>185973</v>
      </c>
      <c r="X225" t="n">
        <v>203613</v>
      </c>
      <c r="Y225" t="n">
        <v>204037</v>
      </c>
      <c r="Z225" t="n">
        <v>728</v>
      </c>
      <c r="AA225" t="n">
        <v>304</v>
      </c>
      <c r="AB225" t="n">
        <v>0</v>
      </c>
      <c r="AC225" t="n">
        <v>0</v>
      </c>
      <c r="AD225" t="n">
        <v>0</v>
      </c>
      <c r="AE225" t="n">
        <v>0</v>
      </c>
      <c r="AF225" t="n">
        <v>0</v>
      </c>
      <c r="AG225" t="n">
        <v>0</v>
      </c>
      <c r="AH225" t="n">
        <v>0</v>
      </c>
      <c r="AI225" t="n">
        <v>0</v>
      </c>
      <c r="AJ225" t="n">
        <v>0</v>
      </c>
      <c r="AK225" t="n">
        <v>0</v>
      </c>
      <c r="AL225" t="n">
        <v>-507</v>
      </c>
      <c r="AM225" t="n">
        <v>-2830</v>
      </c>
      <c r="AN225" t="n">
        <v>361</v>
      </c>
      <c r="AO225" t="n">
        <v>757</v>
      </c>
      <c r="AP225" t="n">
        <v>1991</v>
      </c>
      <c r="AQ225" t="n">
        <v>-1432</v>
      </c>
      <c r="AR225" t="n">
        <v>-82</v>
      </c>
      <c r="AS225" t="n">
        <v>-314</v>
      </c>
      <c r="AT225" t="n">
        <v>-425</v>
      </c>
      <c r="AU225" t="n">
        <v>-193</v>
      </c>
      <c r="AV225" t="n">
        <v>100</v>
      </c>
      <c r="AW225" t="n">
        <v>21.6</v>
      </c>
      <c r="AX225" t="n">
        <v>3.5</v>
      </c>
      <c r="AY225" t="n">
        <v>5.3</v>
      </c>
      <c r="AZ225" t="n">
        <v>72.7</v>
      </c>
      <c r="BA225" t="n">
        <v>91</v>
      </c>
      <c r="BB225" t="n">
        <v>99.59999999999999</v>
      </c>
      <c r="BC225" t="n">
        <v>99.90000000000001</v>
      </c>
      <c r="BD225" t="n">
        <v>0.4</v>
      </c>
      <c r="BE225" t="n">
        <v>0.1</v>
      </c>
      <c r="BF225" t="n">
        <v>100</v>
      </c>
      <c r="BG225" t="n">
        <v>21.6</v>
      </c>
      <c r="BH225" t="n">
        <v>3.5</v>
      </c>
      <c r="BI225" t="n">
        <v>5.3</v>
      </c>
      <c r="BJ225" t="n">
        <v>72.7</v>
      </c>
      <c r="BK225" t="n">
        <v>91</v>
      </c>
      <c r="BL225" t="n">
        <v>99.59999999999999</v>
      </c>
      <c r="BM225" t="n">
        <v>99.90000000000001</v>
      </c>
      <c r="BN225" t="n">
        <v>0.4</v>
      </c>
      <c r="BO225" t="n">
        <v>0.1</v>
      </c>
      <c r="BP225" t="n">
        <v>0</v>
      </c>
      <c r="BQ225" t="n">
        <v>0</v>
      </c>
      <c r="BR225" t="n">
        <v>0</v>
      </c>
      <c r="BS225" t="n">
        <v>0</v>
      </c>
      <c r="BT225" t="n">
        <v>0</v>
      </c>
      <c r="BU225" t="n">
        <v>0</v>
      </c>
      <c r="BV225" t="n">
        <v>0</v>
      </c>
      <c r="BW225" t="n">
        <v>0</v>
      </c>
      <c r="BX225" t="n">
        <v>0</v>
      </c>
      <c r="BY225" t="n">
        <v>0</v>
      </c>
      <c r="BZ225" t="n">
        <v>74</v>
      </c>
      <c r="CA225" t="n">
        <v>11</v>
      </c>
      <c r="CB225" t="n">
        <v>15</v>
      </c>
      <c r="CC225" t="n">
        <v>11</v>
      </c>
      <c r="CD225" t="n">
        <v>40</v>
      </c>
      <c r="CE225" t="n">
        <v>43</v>
      </c>
      <c r="CF225" t="n">
        <v>57</v>
      </c>
      <c r="CG225" t="n">
        <v>63</v>
      </c>
      <c r="CH225" t="n">
        <v>74</v>
      </c>
      <c r="CI225" t="n">
        <v>11</v>
      </c>
      <c r="CJ225" t="n">
        <v>15</v>
      </c>
      <c r="CK225" t="n">
        <v>11</v>
      </c>
      <c r="CL225" t="n">
        <v>40</v>
      </c>
      <c r="CM225" t="n">
        <v>43</v>
      </c>
      <c r="CN225" t="n">
        <v>57</v>
      </c>
      <c r="CO225" t="n">
        <v>63</v>
      </c>
      <c r="CP225" t="n">
        <v>0</v>
      </c>
      <c r="CQ225" t="n">
        <v>0</v>
      </c>
      <c r="CR225" t="n">
        <v>0</v>
      </c>
      <c r="CS225" t="n">
        <v>0</v>
      </c>
      <c r="CT225" t="n">
        <v>0</v>
      </c>
      <c r="CU225" t="n">
        <v>0</v>
      </c>
      <c r="CV225" t="n">
        <v>0</v>
      </c>
      <c r="CW225" t="n">
        <v>0</v>
      </c>
      <c r="CX225" t="n">
        <v>45.9</v>
      </c>
      <c r="CY225" t="n">
        <v>51.6</v>
      </c>
      <c r="CZ225" t="n">
        <v>62.8</v>
      </c>
      <c r="DA225" t="n">
        <v>69.3</v>
      </c>
      <c r="DB225" t="n">
        <v>40.5</v>
      </c>
      <c r="DC225" t="n">
        <v>42.6</v>
      </c>
      <c r="DD225" t="n">
        <v>56.1</v>
      </c>
      <c r="DE225" t="n">
        <v>53.3</v>
      </c>
      <c r="DF225" t="n">
        <v>45.9</v>
      </c>
      <c r="DG225" t="n">
        <v>51.6</v>
      </c>
      <c r="DH225" t="n">
        <v>62.8</v>
      </c>
      <c r="DI225" t="n">
        <v>69.3</v>
      </c>
      <c r="DJ225" t="n">
        <v>40.5</v>
      </c>
      <c r="DK225" t="n">
        <v>42.6</v>
      </c>
      <c r="DL225" t="n">
        <v>56.1</v>
      </c>
      <c r="DM225" t="n">
        <v>53.3</v>
      </c>
      <c r="DN225" t="n">
        <v>0</v>
      </c>
      <c r="DO225" t="n">
        <v>0</v>
      </c>
      <c r="DP225" t="n">
        <v>0</v>
      </c>
      <c r="DQ225" t="n">
        <v>0</v>
      </c>
      <c r="DR225" t="n">
        <v>0</v>
      </c>
      <c r="DS225" t="n">
        <v>0</v>
      </c>
      <c r="DT225" t="n">
        <v>0</v>
      </c>
      <c r="DU225" t="n">
        <v>0</v>
      </c>
      <c r="DV225" t="inlineStr">
        <is>
          <t>(Contracts of 1Megawatt for 368 Hours)</t>
        </is>
      </c>
    </row>
    <row r="226">
      <c r="A226" t="inlineStr">
        <is>
          <t>SP15 FIN DA PEAK FIXED - ICE FUTURES ENERGY DIV</t>
        </is>
      </c>
      <c r="B226" t="n">
        <v>230110</v>
      </c>
      <c r="C226" s="1" t="n">
        <v>44936</v>
      </c>
      <c r="D226" t="inlineStr">
        <is>
          <t>064395</t>
        </is>
      </c>
      <c r="E226" t="inlineStr">
        <is>
          <t>IFED</t>
        </is>
      </c>
      <c r="F226" t="inlineStr">
        <is>
          <t>01</t>
        </is>
      </c>
      <c r="G226" t="inlineStr">
        <is>
          <t xml:space="preserve">064 </t>
        </is>
      </c>
      <c r="H226" t="n">
        <v>73791</v>
      </c>
      <c r="I226" s="17" t="n">
        <v>2680</v>
      </c>
      <c r="J226" s="17" t="n">
        <v>2750</v>
      </c>
      <c r="K226" t="n">
        <v>2298</v>
      </c>
      <c r="L226" t="n">
        <v>68088</v>
      </c>
      <c r="M226" t="n">
        <v>68725</v>
      </c>
      <c r="N226" t="n">
        <v>73066</v>
      </c>
      <c r="O226" t="n">
        <v>73773</v>
      </c>
      <c r="P226" t="n">
        <v>725</v>
      </c>
      <c r="Q226" t="n">
        <v>18</v>
      </c>
      <c r="R226" t="n">
        <v>73791</v>
      </c>
      <c r="S226" t="n">
        <v>2680</v>
      </c>
      <c r="T226" t="n">
        <v>2750</v>
      </c>
      <c r="U226" t="n">
        <v>2298</v>
      </c>
      <c r="V226" t="n">
        <v>68088</v>
      </c>
      <c r="W226" t="n">
        <v>68725</v>
      </c>
      <c r="X226" t="n">
        <v>73066</v>
      </c>
      <c r="Y226" t="n">
        <v>73773</v>
      </c>
      <c r="Z226" t="n">
        <v>725</v>
      </c>
      <c r="AA226" t="n">
        <v>18</v>
      </c>
      <c r="AB226" t="n">
        <v>0</v>
      </c>
      <c r="AC226" t="n">
        <v>0</v>
      </c>
      <c r="AD226" t="n">
        <v>0</v>
      </c>
      <c r="AE226" t="n">
        <v>0</v>
      </c>
      <c r="AF226" t="n">
        <v>0</v>
      </c>
      <c r="AG226" t="n">
        <v>0</v>
      </c>
      <c r="AH226" t="n">
        <v>0</v>
      </c>
      <c r="AI226" t="n">
        <v>0</v>
      </c>
      <c r="AJ226" t="n">
        <v>0</v>
      </c>
      <c r="AK226" t="n">
        <v>0</v>
      </c>
      <c r="AL226" t="n">
        <v>-6751</v>
      </c>
      <c r="AM226" t="n">
        <v>798</v>
      </c>
      <c r="AN226" t="n">
        <v>-1084</v>
      </c>
      <c r="AO226" t="n">
        <v>-669</v>
      </c>
      <c r="AP226" t="n">
        <v>-6844</v>
      </c>
      <c r="AQ226" t="n">
        <v>-4978</v>
      </c>
      <c r="AR226" t="n">
        <v>-6715</v>
      </c>
      <c r="AS226" t="n">
        <v>-6731</v>
      </c>
      <c r="AT226" t="n">
        <v>-36</v>
      </c>
      <c r="AU226" t="n">
        <v>-20</v>
      </c>
      <c r="AV226" t="n">
        <v>100</v>
      </c>
      <c r="AW226" t="n">
        <v>3.6</v>
      </c>
      <c r="AX226" t="n">
        <v>3.7</v>
      </c>
      <c r="AY226" t="n">
        <v>3.1</v>
      </c>
      <c r="AZ226" t="n">
        <v>92.3</v>
      </c>
      <c r="BA226" t="n">
        <v>93.09999999999999</v>
      </c>
      <c r="BB226" t="n">
        <v>99</v>
      </c>
      <c r="BC226" t="n">
        <v>100</v>
      </c>
      <c r="BD226" t="n">
        <v>1</v>
      </c>
      <c r="BE226" t="n">
        <v>0</v>
      </c>
      <c r="BF226" t="n">
        <v>100</v>
      </c>
      <c r="BG226" t="n">
        <v>3.6</v>
      </c>
      <c r="BH226" t="n">
        <v>3.7</v>
      </c>
      <c r="BI226" t="n">
        <v>3.1</v>
      </c>
      <c r="BJ226" t="n">
        <v>92.3</v>
      </c>
      <c r="BK226" t="n">
        <v>93.09999999999999</v>
      </c>
      <c r="BL226" t="n">
        <v>99</v>
      </c>
      <c r="BM226" t="n">
        <v>100</v>
      </c>
      <c r="BN226" t="n">
        <v>1</v>
      </c>
      <c r="BO226" t="n">
        <v>0</v>
      </c>
      <c r="BP226" t="n">
        <v>0</v>
      </c>
      <c r="BQ226" t="n">
        <v>0</v>
      </c>
      <c r="BR226" t="n">
        <v>0</v>
      </c>
      <c r="BS226" t="n">
        <v>0</v>
      </c>
      <c r="BT226" t="n">
        <v>0</v>
      </c>
      <c r="BU226" t="n">
        <v>0</v>
      </c>
      <c r="BV226" t="n">
        <v>0</v>
      </c>
      <c r="BW226" t="n">
        <v>0</v>
      </c>
      <c r="BX226" t="n">
        <v>0</v>
      </c>
      <c r="BY226" t="n">
        <v>0</v>
      </c>
      <c r="BZ226" t="n">
        <v>42</v>
      </c>
      <c r="CA226" t="n">
        <v>7</v>
      </c>
      <c r="CB226" t="n">
        <v>4</v>
      </c>
      <c r="CC226" t="n">
        <v>7</v>
      </c>
      <c r="CD226" t="n">
        <v>24</v>
      </c>
      <c r="CE226" t="n">
        <v>19</v>
      </c>
      <c r="CF226" t="n">
        <v>34</v>
      </c>
      <c r="CG226" t="n">
        <v>28</v>
      </c>
      <c r="CH226" t="n">
        <v>42</v>
      </c>
      <c r="CI226" t="n">
        <v>7</v>
      </c>
      <c r="CJ226" t="n">
        <v>4</v>
      </c>
      <c r="CK226" t="n">
        <v>7</v>
      </c>
      <c r="CL226" t="n">
        <v>24</v>
      </c>
      <c r="CM226" t="n">
        <v>19</v>
      </c>
      <c r="CN226" t="n">
        <v>34</v>
      </c>
      <c r="CO226" t="n">
        <v>28</v>
      </c>
      <c r="CP226" t="n">
        <v>0</v>
      </c>
      <c r="CQ226" t="n">
        <v>0</v>
      </c>
      <c r="CR226" t="n">
        <v>0</v>
      </c>
      <c r="CS226" t="n">
        <v>0</v>
      </c>
      <c r="CT226" t="n">
        <v>0</v>
      </c>
      <c r="CU226" t="n">
        <v>0</v>
      </c>
      <c r="CV226" t="n">
        <v>0</v>
      </c>
      <c r="CW226" t="n">
        <v>0</v>
      </c>
      <c r="CX226" t="n">
        <v>64.5</v>
      </c>
      <c r="CY226" t="n">
        <v>61.9</v>
      </c>
      <c r="CZ226" t="n">
        <v>78.2</v>
      </c>
      <c r="DA226" t="n">
        <v>87.5</v>
      </c>
      <c r="DB226" t="n">
        <v>63.3</v>
      </c>
      <c r="DC226" t="n">
        <v>53.6</v>
      </c>
      <c r="DD226" t="n">
        <v>72.5</v>
      </c>
      <c r="DE226" t="n">
        <v>76.7</v>
      </c>
      <c r="DF226" t="n">
        <v>64.5</v>
      </c>
      <c r="DG226" t="n">
        <v>61.9</v>
      </c>
      <c r="DH226" t="n">
        <v>78.2</v>
      </c>
      <c r="DI226" t="n">
        <v>87.5</v>
      </c>
      <c r="DJ226" t="n">
        <v>63.3</v>
      </c>
      <c r="DK226" t="n">
        <v>53.6</v>
      </c>
      <c r="DL226" t="n">
        <v>72.5</v>
      </c>
      <c r="DM226" t="n">
        <v>76.7</v>
      </c>
      <c r="DN226" t="n">
        <v>0</v>
      </c>
      <c r="DO226" t="n">
        <v>0</v>
      </c>
      <c r="DP226" t="n">
        <v>0</v>
      </c>
      <c r="DQ226" t="n">
        <v>0</v>
      </c>
      <c r="DR226" t="n">
        <v>0</v>
      </c>
      <c r="DS226" t="n">
        <v>0</v>
      </c>
      <c r="DT226" t="n">
        <v>0</v>
      </c>
      <c r="DU226" t="n">
        <v>0</v>
      </c>
      <c r="DV226" t="inlineStr">
        <is>
          <t>(Contracts of 400 Megawatt Hours)</t>
        </is>
      </c>
    </row>
    <row r="227">
      <c r="A227" t="inlineStr">
        <is>
          <t>SP15 FIN DA PEAK FIXED - ICE FUTURES ENERGY DIV</t>
        </is>
      </c>
      <c r="B227" t="n">
        <v>230103</v>
      </c>
      <c r="C227" s="1" t="n">
        <v>44929</v>
      </c>
      <c r="D227" t="inlineStr">
        <is>
          <t>064395</t>
        </is>
      </c>
      <c r="E227" t="inlineStr">
        <is>
          <t>IFED</t>
        </is>
      </c>
      <c r="F227" t="inlineStr">
        <is>
          <t>01</t>
        </is>
      </c>
      <c r="G227" t="inlineStr">
        <is>
          <t xml:space="preserve">064 </t>
        </is>
      </c>
      <c r="H227" t="n">
        <v>80542</v>
      </c>
      <c r="I227" s="17" t="n">
        <v>1882</v>
      </c>
      <c r="J227" s="17" t="n">
        <v>3834</v>
      </c>
      <c r="K227" t="n">
        <v>2967</v>
      </c>
      <c r="L227" t="n">
        <v>74932</v>
      </c>
      <c r="M227" t="n">
        <v>73703</v>
      </c>
      <c r="N227" t="n">
        <v>79781</v>
      </c>
      <c r="O227" t="n">
        <v>80504</v>
      </c>
      <c r="P227" t="n">
        <v>761</v>
      </c>
      <c r="Q227" t="n">
        <v>38</v>
      </c>
      <c r="R227" t="n">
        <v>80542</v>
      </c>
      <c r="S227" t="n">
        <v>1882</v>
      </c>
      <c r="T227" t="n">
        <v>3834</v>
      </c>
      <c r="U227" t="n">
        <v>2967</v>
      </c>
      <c r="V227" t="n">
        <v>74932</v>
      </c>
      <c r="W227" t="n">
        <v>73703</v>
      </c>
      <c r="X227" t="n">
        <v>79781</v>
      </c>
      <c r="Y227" t="n">
        <v>80504</v>
      </c>
      <c r="Z227" t="n">
        <v>761</v>
      </c>
      <c r="AA227" t="n">
        <v>38</v>
      </c>
      <c r="AB227" t="n">
        <v>0</v>
      </c>
      <c r="AC227" t="n">
        <v>0</v>
      </c>
      <c r="AD227" t="n">
        <v>0</v>
      </c>
      <c r="AE227" t="n">
        <v>0</v>
      </c>
      <c r="AF227" t="n">
        <v>0</v>
      </c>
      <c r="AG227" t="n">
        <v>0</v>
      </c>
      <c r="AH227" t="n">
        <v>0</v>
      </c>
      <c r="AI227" t="n">
        <v>0</v>
      </c>
      <c r="AJ227" t="n">
        <v>0</v>
      </c>
      <c r="AK227" t="n">
        <v>0</v>
      </c>
      <c r="AL227" t="n">
        <v>-42</v>
      </c>
      <c r="AM227" t="n">
        <v>-256</v>
      </c>
      <c r="AN227" t="n">
        <v>220</v>
      </c>
      <c r="AO227" t="n">
        <v>40</v>
      </c>
      <c r="AP227" t="n">
        <v>162</v>
      </c>
      <c r="AQ227" t="n">
        <v>-298</v>
      </c>
      <c r="AR227" t="n">
        <v>-54</v>
      </c>
      <c r="AS227" t="n">
        <v>-38</v>
      </c>
      <c r="AT227" t="n">
        <v>12</v>
      </c>
      <c r="AU227" t="n">
        <v>-4</v>
      </c>
      <c r="AV227" t="n">
        <v>100</v>
      </c>
      <c r="AW227" t="n">
        <v>2.3</v>
      </c>
      <c r="AX227" t="n">
        <v>4.8</v>
      </c>
      <c r="AY227" t="n">
        <v>3.7</v>
      </c>
      <c r="AZ227" t="n">
        <v>93</v>
      </c>
      <c r="BA227" t="n">
        <v>91.5</v>
      </c>
      <c r="BB227" t="n">
        <v>99.09999999999999</v>
      </c>
      <c r="BC227" t="n">
        <v>100</v>
      </c>
      <c r="BD227" t="n">
        <v>0.9</v>
      </c>
      <c r="BE227" t="n">
        <v>0</v>
      </c>
      <c r="BF227" t="n">
        <v>100</v>
      </c>
      <c r="BG227" t="n">
        <v>2.3</v>
      </c>
      <c r="BH227" t="n">
        <v>4.8</v>
      </c>
      <c r="BI227" t="n">
        <v>3.7</v>
      </c>
      <c r="BJ227" t="n">
        <v>93</v>
      </c>
      <c r="BK227" t="n">
        <v>91.5</v>
      </c>
      <c r="BL227" t="n">
        <v>99.09999999999999</v>
      </c>
      <c r="BM227" t="n">
        <v>100</v>
      </c>
      <c r="BN227" t="n">
        <v>0.9</v>
      </c>
      <c r="BO227" t="n">
        <v>0</v>
      </c>
      <c r="BP227" t="n">
        <v>0</v>
      </c>
      <c r="BQ227" t="n">
        <v>0</v>
      </c>
      <c r="BR227" t="n">
        <v>0</v>
      </c>
      <c r="BS227" t="n">
        <v>0</v>
      </c>
      <c r="BT227" t="n">
        <v>0</v>
      </c>
      <c r="BU227" t="n">
        <v>0</v>
      </c>
      <c r="BV227" t="n">
        <v>0</v>
      </c>
      <c r="BW227" t="n">
        <v>0</v>
      </c>
      <c r="BX227" t="n">
        <v>0</v>
      </c>
      <c r="BY227" t="n">
        <v>0</v>
      </c>
      <c r="BZ227" t="n">
        <v>44</v>
      </c>
      <c r="CA227" t="n">
        <v>7</v>
      </c>
      <c r="CB227" t="n">
        <v>5</v>
      </c>
      <c r="CC227" t="n">
        <v>9</v>
      </c>
      <c r="CD227" t="n">
        <v>26</v>
      </c>
      <c r="CE227" t="n">
        <v>17</v>
      </c>
      <c r="CF227" t="n">
        <v>38</v>
      </c>
      <c r="CG227" t="n">
        <v>27</v>
      </c>
      <c r="CH227" t="n">
        <v>44</v>
      </c>
      <c r="CI227" t="n">
        <v>7</v>
      </c>
      <c r="CJ227" t="n">
        <v>5</v>
      </c>
      <c r="CK227" t="n">
        <v>9</v>
      </c>
      <c r="CL227" t="n">
        <v>26</v>
      </c>
      <c r="CM227" t="n">
        <v>17</v>
      </c>
      <c r="CN227" t="n">
        <v>38</v>
      </c>
      <c r="CO227" t="n">
        <v>27</v>
      </c>
      <c r="CP227" t="n">
        <v>0</v>
      </c>
      <c r="CQ227" t="n">
        <v>0</v>
      </c>
      <c r="CR227" t="n">
        <v>0</v>
      </c>
      <c r="CS227" t="n">
        <v>0</v>
      </c>
      <c r="CT227" t="n">
        <v>0</v>
      </c>
      <c r="CU227" t="n">
        <v>0</v>
      </c>
      <c r="CV227" t="n">
        <v>0</v>
      </c>
      <c r="CW227" t="n">
        <v>0</v>
      </c>
      <c r="CX227" t="n">
        <v>62.2</v>
      </c>
      <c r="CY227" t="n">
        <v>60.7</v>
      </c>
      <c r="CZ227" t="n">
        <v>78.5</v>
      </c>
      <c r="DA227" t="n">
        <v>86</v>
      </c>
      <c r="DB227" t="n">
        <v>62.2</v>
      </c>
      <c r="DC227" t="n">
        <v>52.2</v>
      </c>
      <c r="DD227" t="n">
        <v>73.5</v>
      </c>
      <c r="DE227" t="n">
        <v>74.59999999999999</v>
      </c>
      <c r="DF227" t="n">
        <v>62.2</v>
      </c>
      <c r="DG227" t="n">
        <v>60.7</v>
      </c>
      <c r="DH227" t="n">
        <v>78.5</v>
      </c>
      <c r="DI227" t="n">
        <v>86</v>
      </c>
      <c r="DJ227" t="n">
        <v>62.2</v>
      </c>
      <c r="DK227" t="n">
        <v>52.2</v>
      </c>
      <c r="DL227" t="n">
        <v>73.5</v>
      </c>
      <c r="DM227" t="n">
        <v>74.59999999999999</v>
      </c>
      <c r="DN227" t="n">
        <v>0</v>
      </c>
      <c r="DO227" t="n">
        <v>0</v>
      </c>
      <c r="DP227" t="n">
        <v>0</v>
      </c>
      <c r="DQ227" t="n">
        <v>0</v>
      </c>
      <c r="DR227" t="n">
        <v>0</v>
      </c>
      <c r="DS227" t="n">
        <v>0</v>
      </c>
      <c r="DT227" t="n">
        <v>0</v>
      </c>
      <c r="DU227" t="n">
        <v>0</v>
      </c>
      <c r="DV227" t="inlineStr">
        <is>
          <t>(Contracts of 400 Megawatt Hours)</t>
        </is>
      </c>
    </row>
    <row r="228">
      <c r="A228" t="inlineStr">
        <is>
          <t>CAISO SP-15 DA OFF-PK FIXED - ICE FUTURES ENERGY DIV</t>
        </is>
      </c>
      <c r="B228" t="n">
        <v>230110</v>
      </c>
      <c r="C228" s="1" t="n">
        <v>44936</v>
      </c>
      <c r="D228" t="inlineStr">
        <is>
          <t>064396</t>
        </is>
      </c>
      <c r="E228" t="inlineStr">
        <is>
          <t>IFED</t>
        </is>
      </c>
      <c r="F228" t="inlineStr">
        <is>
          <t>01</t>
        </is>
      </c>
      <c r="G228" t="inlineStr">
        <is>
          <t xml:space="preserve">064 </t>
        </is>
      </c>
      <c r="H228" t="n">
        <v>57640</v>
      </c>
      <c r="I228" s="17" t="n">
        <v>830</v>
      </c>
      <c r="J228" s="17" t="n">
        <v>6530</v>
      </c>
      <c r="K228" t="n">
        <v>1540</v>
      </c>
      <c r="L228" t="n">
        <v>54880</v>
      </c>
      <c r="M228" t="n">
        <v>49564</v>
      </c>
      <c r="N228" t="n">
        <v>57250</v>
      </c>
      <c r="O228" t="n">
        <v>57634</v>
      </c>
      <c r="P228" t="n">
        <v>390</v>
      </c>
      <c r="Q228" t="n">
        <v>6</v>
      </c>
      <c r="R228" t="n">
        <v>57640</v>
      </c>
      <c r="S228" t="n">
        <v>830</v>
      </c>
      <c r="T228" t="n">
        <v>6530</v>
      </c>
      <c r="U228" t="n">
        <v>1540</v>
      </c>
      <c r="V228" t="n">
        <v>54880</v>
      </c>
      <c r="W228" t="n">
        <v>49564</v>
      </c>
      <c r="X228" t="n">
        <v>57250</v>
      </c>
      <c r="Y228" t="n">
        <v>57634</v>
      </c>
      <c r="Z228" t="n">
        <v>390</v>
      </c>
      <c r="AA228" t="n">
        <v>6</v>
      </c>
      <c r="AB228" t="n">
        <v>0</v>
      </c>
      <c r="AC228" t="n">
        <v>0</v>
      </c>
      <c r="AD228" t="n">
        <v>0</v>
      </c>
      <c r="AE228" t="n">
        <v>0</v>
      </c>
      <c r="AF228" t="n">
        <v>0</v>
      </c>
      <c r="AG228" t="n">
        <v>0</v>
      </c>
      <c r="AH228" t="n">
        <v>0</v>
      </c>
      <c r="AI228" t="n">
        <v>0</v>
      </c>
      <c r="AJ228" t="n">
        <v>0</v>
      </c>
      <c r="AK228" t="n">
        <v>0</v>
      </c>
      <c r="AL228" t="n">
        <v>-2555</v>
      </c>
      <c r="AM228" t="n">
        <v>-298</v>
      </c>
      <c r="AN228" t="n">
        <v>-154</v>
      </c>
      <c r="AO228" t="n">
        <v>-299</v>
      </c>
      <c r="AP228" t="n">
        <v>-1950</v>
      </c>
      <c r="AQ228" t="n">
        <v>-2096</v>
      </c>
      <c r="AR228" t="n">
        <v>-2547</v>
      </c>
      <c r="AS228" t="n">
        <v>-2549</v>
      </c>
      <c r="AT228" t="n">
        <v>-8</v>
      </c>
      <c r="AU228" t="n">
        <v>-6</v>
      </c>
      <c r="AV228" t="n">
        <v>100</v>
      </c>
      <c r="AW228" t="n">
        <v>1.4</v>
      </c>
      <c r="AX228" t="n">
        <v>11.3</v>
      </c>
      <c r="AY228" t="n">
        <v>2.7</v>
      </c>
      <c r="AZ228" t="n">
        <v>95.2</v>
      </c>
      <c r="BA228" t="n">
        <v>86</v>
      </c>
      <c r="BB228" t="n">
        <v>99.3</v>
      </c>
      <c r="BC228" t="n">
        <v>100</v>
      </c>
      <c r="BD228" t="n">
        <v>0.7</v>
      </c>
      <c r="BE228" t="n">
        <v>0</v>
      </c>
      <c r="BF228" t="n">
        <v>100</v>
      </c>
      <c r="BG228" t="n">
        <v>1.4</v>
      </c>
      <c r="BH228" t="n">
        <v>11.3</v>
      </c>
      <c r="BI228" t="n">
        <v>2.7</v>
      </c>
      <c r="BJ228" t="n">
        <v>95.2</v>
      </c>
      <c r="BK228" t="n">
        <v>86</v>
      </c>
      <c r="BL228" t="n">
        <v>99.3</v>
      </c>
      <c r="BM228" t="n">
        <v>100</v>
      </c>
      <c r="BN228" t="n">
        <v>0.7</v>
      </c>
      <c r="BO228" t="n">
        <v>0</v>
      </c>
      <c r="BP228" t="n">
        <v>0</v>
      </c>
      <c r="BQ228" t="n">
        <v>0</v>
      </c>
      <c r="BR228" t="n">
        <v>0</v>
      </c>
      <c r="BS228" t="n">
        <v>0</v>
      </c>
      <c r="BT228" t="n">
        <v>0</v>
      </c>
      <c r="BU228" t="n">
        <v>0</v>
      </c>
      <c r="BV228" t="n">
        <v>0</v>
      </c>
      <c r="BW228" t="n">
        <v>0</v>
      </c>
      <c r="BX228" t="n">
        <v>0</v>
      </c>
      <c r="BY228" t="n">
        <v>0</v>
      </c>
      <c r="BZ228" t="n">
        <v>29</v>
      </c>
      <c r="CA228" t="n">
        <v>2</v>
      </c>
      <c r="CB228" t="n">
        <v>6</v>
      </c>
      <c r="CC228" t="n">
        <v>2</v>
      </c>
      <c r="CD228" t="n">
        <v>16</v>
      </c>
      <c r="CE228" t="n">
        <v>15</v>
      </c>
      <c r="CF228" t="n">
        <v>20</v>
      </c>
      <c r="CG228" t="n">
        <v>21</v>
      </c>
      <c r="CH228" t="n">
        <v>29</v>
      </c>
      <c r="CI228" t="n">
        <v>2</v>
      </c>
      <c r="CJ228" t="n">
        <v>6</v>
      </c>
      <c r="CK228" t="n">
        <v>2</v>
      </c>
      <c r="CL228" t="n">
        <v>16</v>
      </c>
      <c r="CM228" t="n">
        <v>15</v>
      </c>
      <c r="CN228" t="n">
        <v>20</v>
      </c>
      <c r="CO228" t="n">
        <v>21</v>
      </c>
      <c r="CP228" t="n">
        <v>0</v>
      </c>
      <c r="CQ228" t="n">
        <v>0</v>
      </c>
      <c r="CR228" t="n">
        <v>0</v>
      </c>
      <c r="CS228" t="n">
        <v>0</v>
      </c>
      <c r="CT228" t="n">
        <v>0</v>
      </c>
      <c r="CU228" t="n">
        <v>0</v>
      </c>
      <c r="CV228" t="n">
        <v>0</v>
      </c>
      <c r="CW228" t="n">
        <v>0</v>
      </c>
      <c r="CX228" t="n">
        <v>68.40000000000001</v>
      </c>
      <c r="CY228" t="n">
        <v>70.7</v>
      </c>
      <c r="CZ228" t="n">
        <v>85.3</v>
      </c>
      <c r="DA228" t="n">
        <v>91.3</v>
      </c>
      <c r="DB228" t="n">
        <v>67.8</v>
      </c>
      <c r="DC228" t="n">
        <v>63.8</v>
      </c>
      <c r="DD228" t="n">
        <v>81.40000000000001</v>
      </c>
      <c r="DE228" t="n">
        <v>82.09999999999999</v>
      </c>
      <c r="DF228" t="n">
        <v>68.40000000000001</v>
      </c>
      <c r="DG228" t="n">
        <v>70.7</v>
      </c>
      <c r="DH228" t="n">
        <v>85.3</v>
      </c>
      <c r="DI228" t="n">
        <v>91.3</v>
      </c>
      <c r="DJ228" t="n">
        <v>67.8</v>
      </c>
      <c r="DK228" t="n">
        <v>63.8</v>
      </c>
      <c r="DL228" t="n">
        <v>81.40000000000001</v>
      </c>
      <c r="DM228" t="n">
        <v>82.09999999999999</v>
      </c>
      <c r="DN228" t="n">
        <v>0</v>
      </c>
      <c r="DO228" t="n">
        <v>0</v>
      </c>
      <c r="DP228" t="n">
        <v>0</v>
      </c>
      <c r="DQ228" t="n">
        <v>0</v>
      </c>
      <c r="DR228" t="n">
        <v>0</v>
      </c>
      <c r="DS228" t="n">
        <v>0</v>
      </c>
      <c r="DT228" t="n">
        <v>0</v>
      </c>
      <c r="DU228" t="n">
        <v>0</v>
      </c>
      <c r="DV228" t="inlineStr">
        <is>
          <t>(1 MW per Hour for about 386 Hours)</t>
        </is>
      </c>
    </row>
    <row r="229">
      <c r="A229" t="inlineStr">
        <is>
          <t>CAISO SP-15 DA OFF-PK FIXED - ICE FUTURES ENERGY DIV</t>
        </is>
      </c>
      <c r="B229" t="n">
        <v>230103</v>
      </c>
      <c r="C229" s="1" t="n">
        <v>44929</v>
      </c>
      <c r="D229" t="inlineStr">
        <is>
          <t>064396</t>
        </is>
      </c>
      <c r="E229" t="inlineStr">
        <is>
          <t>IFED</t>
        </is>
      </c>
      <c r="F229" t="inlineStr">
        <is>
          <t>01</t>
        </is>
      </c>
      <c r="G229" t="inlineStr">
        <is>
          <t xml:space="preserve">064 </t>
        </is>
      </c>
      <c r="H229" t="n">
        <v>60195</v>
      </c>
      <c r="I229" s="17" t="n">
        <v>1128</v>
      </c>
      <c r="J229" s="17" t="n">
        <v>6684</v>
      </c>
      <c r="K229" t="n">
        <v>1839</v>
      </c>
      <c r="L229" t="n">
        <v>56830</v>
      </c>
      <c r="M229" t="n">
        <v>51660</v>
      </c>
      <c r="N229" t="n">
        <v>59797</v>
      </c>
      <c r="O229" t="n">
        <v>60183</v>
      </c>
      <c r="P229" t="n">
        <v>398</v>
      </c>
      <c r="Q229" t="n">
        <v>12</v>
      </c>
      <c r="R229" t="n">
        <v>60195</v>
      </c>
      <c r="S229" t="n">
        <v>1128</v>
      </c>
      <c r="T229" t="n">
        <v>6684</v>
      </c>
      <c r="U229" t="n">
        <v>1839</v>
      </c>
      <c r="V229" t="n">
        <v>56830</v>
      </c>
      <c r="W229" t="n">
        <v>51660</v>
      </c>
      <c r="X229" t="n">
        <v>59797</v>
      </c>
      <c r="Y229" t="n">
        <v>60183</v>
      </c>
      <c r="Z229" t="n">
        <v>398</v>
      </c>
      <c r="AA229" t="n">
        <v>12</v>
      </c>
      <c r="AB229" t="n">
        <v>0</v>
      </c>
      <c r="AC229" t="n">
        <v>0</v>
      </c>
      <c r="AD229" t="n">
        <v>0</v>
      </c>
      <c r="AE229" t="n">
        <v>0</v>
      </c>
      <c r="AF229" t="n">
        <v>0</v>
      </c>
      <c r="AG229" t="n">
        <v>0</v>
      </c>
      <c r="AH229" t="n">
        <v>0</v>
      </c>
      <c r="AI229" t="n">
        <v>0</v>
      </c>
      <c r="AJ229" t="n">
        <v>0</v>
      </c>
      <c r="AK229" t="n">
        <v>0</v>
      </c>
      <c r="AL229" t="n">
        <v>-50</v>
      </c>
      <c r="AM229" t="n">
        <v>-476</v>
      </c>
      <c r="AN229" t="n">
        <v>-204</v>
      </c>
      <c r="AO229" t="n">
        <v>76</v>
      </c>
      <c r="AP229" t="n">
        <v>354</v>
      </c>
      <c r="AQ229" t="n">
        <v>81</v>
      </c>
      <c r="AR229" t="n">
        <v>-46</v>
      </c>
      <c r="AS229" t="n">
        <v>-47</v>
      </c>
      <c r="AT229" t="n">
        <v>-4</v>
      </c>
      <c r="AU229" t="n">
        <v>-3</v>
      </c>
      <c r="AV229" t="n">
        <v>100</v>
      </c>
      <c r="AW229" t="n">
        <v>1.9</v>
      </c>
      <c r="AX229" t="n">
        <v>11.1</v>
      </c>
      <c r="AY229" t="n">
        <v>3.1</v>
      </c>
      <c r="AZ229" t="n">
        <v>94.40000000000001</v>
      </c>
      <c r="BA229" t="n">
        <v>85.8</v>
      </c>
      <c r="BB229" t="n">
        <v>99.3</v>
      </c>
      <c r="BC229" t="n">
        <v>100</v>
      </c>
      <c r="BD229" t="n">
        <v>0.7</v>
      </c>
      <c r="BE229" t="n">
        <v>0</v>
      </c>
      <c r="BF229" t="n">
        <v>100</v>
      </c>
      <c r="BG229" t="n">
        <v>1.9</v>
      </c>
      <c r="BH229" t="n">
        <v>11.1</v>
      </c>
      <c r="BI229" t="n">
        <v>3.1</v>
      </c>
      <c r="BJ229" t="n">
        <v>94.40000000000001</v>
      </c>
      <c r="BK229" t="n">
        <v>85.8</v>
      </c>
      <c r="BL229" t="n">
        <v>99.3</v>
      </c>
      <c r="BM229" t="n">
        <v>100</v>
      </c>
      <c r="BN229" t="n">
        <v>0.7</v>
      </c>
      <c r="BO229" t="n">
        <v>0</v>
      </c>
      <c r="BP229" t="n">
        <v>0</v>
      </c>
      <c r="BQ229" t="n">
        <v>0</v>
      </c>
      <c r="BR229" t="n">
        <v>0</v>
      </c>
      <c r="BS229" t="n">
        <v>0</v>
      </c>
      <c r="BT229" t="n">
        <v>0</v>
      </c>
      <c r="BU229" t="n">
        <v>0</v>
      </c>
      <c r="BV229" t="n">
        <v>0</v>
      </c>
      <c r="BW229" t="n">
        <v>0</v>
      </c>
      <c r="BX229" t="n">
        <v>0</v>
      </c>
      <c r="BY229" t="n">
        <v>0</v>
      </c>
      <c r="BZ229" t="n">
        <v>29</v>
      </c>
      <c r="CA229" t="n">
        <v>3</v>
      </c>
      <c r="CB229" t="n">
        <v>4</v>
      </c>
      <c r="CC229" t="n">
        <v>3</v>
      </c>
      <c r="CD229" t="n">
        <v>17</v>
      </c>
      <c r="CE229" t="n">
        <v>16</v>
      </c>
      <c r="CF229" t="n">
        <v>22</v>
      </c>
      <c r="CG229" t="n">
        <v>21</v>
      </c>
      <c r="CH229" t="n">
        <v>29</v>
      </c>
      <c r="CI229" t="n">
        <v>3</v>
      </c>
      <c r="CJ229" t="n">
        <v>4</v>
      </c>
      <c r="CK229" t="n">
        <v>3</v>
      </c>
      <c r="CL229" t="n">
        <v>17</v>
      </c>
      <c r="CM229" t="n">
        <v>16</v>
      </c>
      <c r="CN229" t="n">
        <v>22</v>
      </c>
      <c r="CO229" t="n">
        <v>21</v>
      </c>
      <c r="CP229" t="n">
        <v>0</v>
      </c>
      <c r="CQ229" t="n">
        <v>0</v>
      </c>
      <c r="CR229" t="n">
        <v>0</v>
      </c>
      <c r="CS229" t="n">
        <v>0</v>
      </c>
      <c r="CT229" t="n">
        <v>0</v>
      </c>
      <c r="CU229" t="n">
        <v>0</v>
      </c>
      <c r="CV229" t="n">
        <v>0</v>
      </c>
      <c r="CW229" t="n">
        <v>0</v>
      </c>
      <c r="CX229" t="n">
        <v>67</v>
      </c>
      <c r="CY229" t="n">
        <v>71.5</v>
      </c>
      <c r="CZ229" t="n">
        <v>83.7</v>
      </c>
      <c r="DA229" t="n">
        <v>90.59999999999999</v>
      </c>
      <c r="DB229" t="n">
        <v>66.40000000000001</v>
      </c>
      <c r="DC229" t="n">
        <v>64.90000000000001</v>
      </c>
      <c r="DD229" t="n">
        <v>79.8</v>
      </c>
      <c r="DE229" t="n">
        <v>81</v>
      </c>
      <c r="DF229" t="n">
        <v>67</v>
      </c>
      <c r="DG229" t="n">
        <v>71.5</v>
      </c>
      <c r="DH229" t="n">
        <v>83.7</v>
      </c>
      <c r="DI229" t="n">
        <v>90.59999999999999</v>
      </c>
      <c r="DJ229" t="n">
        <v>66.40000000000001</v>
      </c>
      <c r="DK229" t="n">
        <v>64.90000000000001</v>
      </c>
      <c r="DL229" t="n">
        <v>79.8</v>
      </c>
      <c r="DM229" t="n">
        <v>81</v>
      </c>
      <c r="DN229" t="n">
        <v>0</v>
      </c>
      <c r="DO229" t="n">
        <v>0</v>
      </c>
      <c r="DP229" t="n">
        <v>0</v>
      </c>
      <c r="DQ229" t="n">
        <v>0</v>
      </c>
      <c r="DR229" t="n">
        <v>0</v>
      </c>
      <c r="DS229" t="n">
        <v>0</v>
      </c>
      <c r="DT229" t="n">
        <v>0</v>
      </c>
      <c r="DU229" t="n">
        <v>0</v>
      </c>
      <c r="DV229" t="inlineStr">
        <is>
          <t>(1 MW per Hour for about 386 Hours)</t>
        </is>
      </c>
    </row>
    <row r="230">
      <c r="A230" t="inlineStr">
        <is>
          <t>PJM AEP DAYTON RT OFF-PK FIXED - ICE FUTURES ENERGY DIV</t>
        </is>
      </c>
      <c r="B230" t="n">
        <v>230110</v>
      </c>
      <c r="C230" s="1" t="n">
        <v>44936</v>
      </c>
      <c r="D230" t="inlineStr">
        <is>
          <t>06439A</t>
        </is>
      </c>
      <c r="E230" t="inlineStr">
        <is>
          <t>IFED</t>
        </is>
      </c>
      <c r="F230" t="inlineStr">
        <is>
          <t>01</t>
        </is>
      </c>
      <c r="G230" t="inlineStr">
        <is>
          <t xml:space="preserve">064 </t>
        </is>
      </c>
      <c r="H230" t="n">
        <v>52284</v>
      </c>
      <c r="I230" s="17" t="n">
        <v>2747</v>
      </c>
      <c r="J230" s="17" t="n">
        <v>2827</v>
      </c>
      <c r="K230" t="n">
        <v>1766</v>
      </c>
      <c r="L230" t="n">
        <v>47094</v>
      </c>
      <c r="M230" t="n">
        <v>47464</v>
      </c>
      <c r="N230" t="n">
        <v>51607</v>
      </c>
      <c r="O230" t="n">
        <v>52057</v>
      </c>
      <c r="P230" t="n">
        <v>677</v>
      </c>
      <c r="Q230" t="n">
        <v>227</v>
      </c>
      <c r="R230" t="n">
        <v>52284</v>
      </c>
      <c r="S230" t="n">
        <v>2747</v>
      </c>
      <c r="T230" t="n">
        <v>2827</v>
      </c>
      <c r="U230" t="n">
        <v>1766</v>
      </c>
      <c r="V230" t="n">
        <v>47094</v>
      </c>
      <c r="W230" t="n">
        <v>47464</v>
      </c>
      <c r="X230" t="n">
        <v>51607</v>
      </c>
      <c r="Y230" t="n">
        <v>52057</v>
      </c>
      <c r="Z230" t="n">
        <v>677</v>
      </c>
      <c r="AA230" t="n">
        <v>227</v>
      </c>
      <c r="AB230" t="n">
        <v>0</v>
      </c>
      <c r="AC230" t="n">
        <v>0</v>
      </c>
      <c r="AD230" t="n">
        <v>0</v>
      </c>
      <c r="AE230" t="n">
        <v>0</v>
      </c>
      <c r="AF230" t="n">
        <v>0</v>
      </c>
      <c r="AG230" t="n">
        <v>0</v>
      </c>
      <c r="AH230" t="n">
        <v>0</v>
      </c>
      <c r="AI230" t="n">
        <v>0</v>
      </c>
      <c r="AJ230" t="n">
        <v>0</v>
      </c>
      <c r="AK230" t="n">
        <v>0</v>
      </c>
      <c r="AL230" t="n">
        <v>-1430</v>
      </c>
      <c r="AM230" t="n">
        <v>190</v>
      </c>
      <c r="AN230" t="n">
        <v>-25</v>
      </c>
      <c r="AO230" t="n">
        <v>-1709</v>
      </c>
      <c r="AP230" t="n">
        <v>106</v>
      </c>
      <c r="AQ230" t="n">
        <v>173</v>
      </c>
      <c r="AR230" t="n">
        <v>-1413</v>
      </c>
      <c r="AS230" t="n">
        <v>-1561</v>
      </c>
      <c r="AT230" t="n">
        <v>-17</v>
      </c>
      <c r="AU230" t="n">
        <v>131</v>
      </c>
      <c r="AV230" t="n">
        <v>100</v>
      </c>
      <c r="AW230" t="n">
        <v>5.3</v>
      </c>
      <c r="AX230" t="n">
        <v>5.4</v>
      </c>
      <c r="AY230" t="n">
        <v>3.4</v>
      </c>
      <c r="AZ230" t="n">
        <v>90.09999999999999</v>
      </c>
      <c r="BA230" t="n">
        <v>90.8</v>
      </c>
      <c r="BB230" t="n">
        <v>98.7</v>
      </c>
      <c r="BC230" t="n">
        <v>99.59999999999999</v>
      </c>
      <c r="BD230" t="n">
        <v>1.3</v>
      </c>
      <c r="BE230" t="n">
        <v>0.4</v>
      </c>
      <c r="BF230" t="n">
        <v>100</v>
      </c>
      <c r="BG230" t="n">
        <v>5.3</v>
      </c>
      <c r="BH230" t="n">
        <v>5.4</v>
      </c>
      <c r="BI230" t="n">
        <v>3.4</v>
      </c>
      <c r="BJ230" t="n">
        <v>90.09999999999999</v>
      </c>
      <c r="BK230" t="n">
        <v>90.8</v>
      </c>
      <c r="BL230" t="n">
        <v>98.7</v>
      </c>
      <c r="BM230" t="n">
        <v>99.59999999999999</v>
      </c>
      <c r="BN230" t="n">
        <v>1.3</v>
      </c>
      <c r="BO230" t="n">
        <v>0.4</v>
      </c>
      <c r="BP230" t="n">
        <v>0</v>
      </c>
      <c r="BQ230" t="n">
        <v>0</v>
      </c>
      <c r="BR230" t="n">
        <v>0</v>
      </c>
      <c r="BS230" t="n">
        <v>0</v>
      </c>
      <c r="BT230" t="n">
        <v>0</v>
      </c>
      <c r="BU230" t="n">
        <v>0</v>
      </c>
      <c r="BV230" t="n">
        <v>0</v>
      </c>
      <c r="BW230" t="n">
        <v>0</v>
      </c>
      <c r="BX230" t="n">
        <v>0</v>
      </c>
      <c r="BY230" t="n">
        <v>0</v>
      </c>
      <c r="BZ230" t="n">
        <v>33</v>
      </c>
      <c r="CA230" t="n">
        <v>3</v>
      </c>
      <c r="CB230" t="n">
        <v>2</v>
      </c>
      <c r="CC230" t="n">
        <v>3</v>
      </c>
      <c r="CD230" t="n">
        <v>28</v>
      </c>
      <c r="CE230" t="n">
        <v>21</v>
      </c>
      <c r="CF230" t="n">
        <v>33</v>
      </c>
      <c r="CG230" t="n">
        <v>24</v>
      </c>
      <c r="CH230" t="n">
        <v>33</v>
      </c>
      <c r="CI230" t="n">
        <v>3</v>
      </c>
      <c r="CJ230" t="n">
        <v>2</v>
      </c>
      <c r="CK230" t="n">
        <v>3</v>
      </c>
      <c r="CL230" t="n">
        <v>28</v>
      </c>
      <c r="CM230" t="n">
        <v>21</v>
      </c>
      <c r="CN230" t="n">
        <v>33</v>
      </c>
      <c r="CO230" t="n">
        <v>24</v>
      </c>
      <c r="CP230" t="n">
        <v>0</v>
      </c>
      <c r="CQ230" t="n">
        <v>0</v>
      </c>
      <c r="CR230" t="n">
        <v>0</v>
      </c>
      <c r="CS230" t="n">
        <v>0</v>
      </c>
      <c r="CT230" t="n">
        <v>0</v>
      </c>
      <c r="CU230" t="n">
        <v>0</v>
      </c>
      <c r="CV230" t="n">
        <v>0</v>
      </c>
      <c r="CW230" t="n">
        <v>0</v>
      </c>
      <c r="CX230" t="n">
        <v>37.8</v>
      </c>
      <c r="CY230" t="n">
        <v>56.3</v>
      </c>
      <c r="CZ230" t="n">
        <v>63.4</v>
      </c>
      <c r="DA230" t="n">
        <v>76</v>
      </c>
      <c r="DB230" t="n">
        <v>27.4</v>
      </c>
      <c r="DC230" t="n">
        <v>32.7</v>
      </c>
      <c r="DD230" t="n">
        <v>42.3</v>
      </c>
      <c r="DE230" t="n">
        <v>46.8</v>
      </c>
      <c r="DF230" t="n">
        <v>37.8</v>
      </c>
      <c r="DG230" t="n">
        <v>56.3</v>
      </c>
      <c r="DH230" t="n">
        <v>63.4</v>
      </c>
      <c r="DI230" t="n">
        <v>76</v>
      </c>
      <c r="DJ230" t="n">
        <v>27.4</v>
      </c>
      <c r="DK230" t="n">
        <v>32.7</v>
      </c>
      <c r="DL230" t="n">
        <v>42.3</v>
      </c>
      <c r="DM230" t="n">
        <v>46.8</v>
      </c>
      <c r="DN230" t="n">
        <v>0</v>
      </c>
      <c r="DO230" t="n">
        <v>0</v>
      </c>
      <c r="DP230" t="n">
        <v>0</v>
      </c>
      <c r="DQ230" t="n">
        <v>0</v>
      </c>
      <c r="DR230" t="n">
        <v>0</v>
      </c>
      <c r="DS230" t="n">
        <v>0</v>
      </c>
      <c r="DT230" t="n">
        <v>0</v>
      </c>
      <c r="DU230" t="n">
        <v>0</v>
      </c>
      <c r="DV230" t="inlineStr">
        <is>
          <t>(1 MW per Hour for about 386 Hours)</t>
        </is>
      </c>
    </row>
    <row r="231">
      <c r="A231" t="inlineStr">
        <is>
          <t>PJM AEP DAYTON RT OFF-PK FIXED - ICE FUTURES ENERGY DIV</t>
        </is>
      </c>
      <c r="B231" t="n">
        <v>230103</v>
      </c>
      <c r="C231" s="1" t="n">
        <v>44929</v>
      </c>
      <c r="D231" t="inlineStr">
        <is>
          <t>06439A</t>
        </is>
      </c>
      <c r="E231" t="inlineStr">
        <is>
          <t>IFED</t>
        </is>
      </c>
      <c r="F231" t="inlineStr">
        <is>
          <t>01</t>
        </is>
      </c>
      <c r="G231" t="inlineStr">
        <is>
          <t xml:space="preserve">064 </t>
        </is>
      </c>
      <c r="H231" t="n">
        <v>53714</v>
      </c>
      <c r="I231" s="17" t="n">
        <v>2557</v>
      </c>
      <c r="J231" s="17" t="n">
        <v>2852</v>
      </c>
      <c r="K231" t="n">
        <v>3475</v>
      </c>
      <c r="L231" t="n">
        <v>46988</v>
      </c>
      <c r="M231" t="n">
        <v>47291</v>
      </c>
      <c r="N231" t="n">
        <v>53020</v>
      </c>
      <c r="O231" t="n">
        <v>53618</v>
      </c>
      <c r="P231" t="n">
        <v>694</v>
      </c>
      <c r="Q231" t="n">
        <v>96</v>
      </c>
      <c r="R231" t="n">
        <v>53714</v>
      </c>
      <c r="S231" t="n">
        <v>2557</v>
      </c>
      <c r="T231" t="n">
        <v>2852</v>
      </c>
      <c r="U231" t="n">
        <v>3475</v>
      </c>
      <c r="V231" t="n">
        <v>46988</v>
      </c>
      <c r="W231" t="n">
        <v>47291</v>
      </c>
      <c r="X231" t="n">
        <v>53020</v>
      </c>
      <c r="Y231" t="n">
        <v>53618</v>
      </c>
      <c r="Z231" t="n">
        <v>694</v>
      </c>
      <c r="AA231" t="n">
        <v>96</v>
      </c>
      <c r="AB231" t="n">
        <v>0</v>
      </c>
      <c r="AC231" t="n">
        <v>0</v>
      </c>
      <c r="AD231" t="n">
        <v>0</v>
      </c>
      <c r="AE231" t="n">
        <v>0</v>
      </c>
      <c r="AF231" t="n">
        <v>0</v>
      </c>
      <c r="AG231" t="n">
        <v>0</v>
      </c>
      <c r="AH231" t="n">
        <v>0</v>
      </c>
      <c r="AI231" t="n">
        <v>0</v>
      </c>
      <c r="AJ231" t="n">
        <v>0</v>
      </c>
      <c r="AK231" t="n">
        <v>0</v>
      </c>
      <c r="AL231" t="n">
        <v>834</v>
      </c>
      <c r="AM231" t="n">
        <v>0</v>
      </c>
      <c r="AN231" t="n">
        <v>-760</v>
      </c>
      <c r="AO231" t="n">
        <v>760</v>
      </c>
      <c r="AP231" t="n">
        <v>55</v>
      </c>
      <c r="AQ231" t="n">
        <v>816</v>
      </c>
      <c r="AR231" t="n">
        <v>815</v>
      </c>
      <c r="AS231" t="n">
        <v>816</v>
      </c>
      <c r="AT231" t="n">
        <v>19</v>
      </c>
      <c r="AU231" t="n">
        <v>18</v>
      </c>
      <c r="AV231" t="n">
        <v>100</v>
      </c>
      <c r="AW231" t="n">
        <v>4.8</v>
      </c>
      <c r="AX231" t="n">
        <v>5.3</v>
      </c>
      <c r="AY231" t="n">
        <v>6.5</v>
      </c>
      <c r="AZ231" t="n">
        <v>87.5</v>
      </c>
      <c r="BA231" t="n">
        <v>88</v>
      </c>
      <c r="BB231" t="n">
        <v>98.7</v>
      </c>
      <c r="BC231" t="n">
        <v>99.8</v>
      </c>
      <c r="BD231" t="n">
        <v>1.3</v>
      </c>
      <c r="BE231" t="n">
        <v>0.2</v>
      </c>
      <c r="BF231" t="n">
        <v>100</v>
      </c>
      <c r="BG231" t="n">
        <v>4.8</v>
      </c>
      <c r="BH231" t="n">
        <v>5.3</v>
      </c>
      <c r="BI231" t="n">
        <v>6.5</v>
      </c>
      <c r="BJ231" t="n">
        <v>87.5</v>
      </c>
      <c r="BK231" t="n">
        <v>88</v>
      </c>
      <c r="BL231" t="n">
        <v>98.7</v>
      </c>
      <c r="BM231" t="n">
        <v>99.8</v>
      </c>
      <c r="BN231" t="n">
        <v>1.3</v>
      </c>
      <c r="BO231" t="n">
        <v>0.2</v>
      </c>
      <c r="BP231" t="n">
        <v>0</v>
      </c>
      <c r="BQ231" t="n">
        <v>0</v>
      </c>
      <c r="BR231" t="n">
        <v>0</v>
      </c>
      <c r="BS231" t="n">
        <v>0</v>
      </c>
      <c r="BT231" t="n">
        <v>0</v>
      </c>
      <c r="BU231" t="n">
        <v>0</v>
      </c>
      <c r="BV231" t="n">
        <v>0</v>
      </c>
      <c r="BW231" t="n">
        <v>0</v>
      </c>
      <c r="BX231" t="n">
        <v>0</v>
      </c>
      <c r="BY231" t="n">
        <v>0</v>
      </c>
      <c r="BZ231" t="n">
        <v>38</v>
      </c>
      <c r="CA231" t="n">
        <v>3</v>
      </c>
      <c r="CB231" t="n">
        <v>4</v>
      </c>
      <c r="CC231" t="n">
        <v>6</v>
      </c>
      <c r="CD231" t="n">
        <v>29</v>
      </c>
      <c r="CE231" t="n">
        <v>25</v>
      </c>
      <c r="CF231" t="n">
        <v>36</v>
      </c>
      <c r="CG231" t="n">
        <v>31</v>
      </c>
      <c r="CH231" t="n">
        <v>38</v>
      </c>
      <c r="CI231" t="n">
        <v>3</v>
      </c>
      <c r="CJ231" t="n">
        <v>4</v>
      </c>
      <c r="CK231" t="n">
        <v>6</v>
      </c>
      <c r="CL231" t="n">
        <v>29</v>
      </c>
      <c r="CM231" t="n">
        <v>25</v>
      </c>
      <c r="CN231" t="n">
        <v>36</v>
      </c>
      <c r="CO231" t="n">
        <v>31</v>
      </c>
      <c r="CP231" t="n">
        <v>0</v>
      </c>
      <c r="CQ231" t="n">
        <v>0</v>
      </c>
      <c r="CR231" t="n">
        <v>0</v>
      </c>
      <c r="CS231" t="n">
        <v>0</v>
      </c>
      <c r="CT231" t="n">
        <v>0</v>
      </c>
      <c r="CU231" t="n">
        <v>0</v>
      </c>
      <c r="CV231" t="n">
        <v>0</v>
      </c>
      <c r="CW231" t="n">
        <v>0</v>
      </c>
      <c r="CX231" t="n">
        <v>36</v>
      </c>
      <c r="CY231" t="n">
        <v>53.1</v>
      </c>
      <c r="CZ231" t="n">
        <v>57.3</v>
      </c>
      <c r="DA231" t="n">
        <v>73.40000000000001</v>
      </c>
      <c r="DB231" t="n">
        <v>25.6</v>
      </c>
      <c r="DC231" t="n">
        <v>34.7</v>
      </c>
      <c r="DD231" t="n">
        <v>38.9</v>
      </c>
      <c r="DE231" t="n">
        <v>44.8</v>
      </c>
      <c r="DF231" t="n">
        <v>36</v>
      </c>
      <c r="DG231" t="n">
        <v>53.1</v>
      </c>
      <c r="DH231" t="n">
        <v>57.3</v>
      </c>
      <c r="DI231" t="n">
        <v>73.40000000000001</v>
      </c>
      <c r="DJ231" t="n">
        <v>25.6</v>
      </c>
      <c r="DK231" t="n">
        <v>34.7</v>
      </c>
      <c r="DL231" t="n">
        <v>38.9</v>
      </c>
      <c r="DM231" t="n">
        <v>44.8</v>
      </c>
      <c r="DN231" t="n">
        <v>0</v>
      </c>
      <c r="DO231" t="n">
        <v>0</v>
      </c>
      <c r="DP231" t="n">
        <v>0</v>
      </c>
      <c r="DQ231" t="n">
        <v>0</v>
      </c>
      <c r="DR231" t="n">
        <v>0</v>
      </c>
      <c r="DS231" t="n">
        <v>0</v>
      </c>
      <c r="DT231" t="n">
        <v>0</v>
      </c>
      <c r="DU231" t="n">
        <v>0</v>
      </c>
      <c r="DV231" t="inlineStr">
        <is>
          <t>(1 MW per Hour for about 386 Hours)</t>
        </is>
      </c>
    </row>
    <row r="232">
      <c r="A232" t="inlineStr">
        <is>
          <t>PJM AEP DAYTON RT PEAK FIXED - ICE FUTURES ENERGY DIV</t>
        </is>
      </c>
      <c r="B232" t="n">
        <v>230110</v>
      </c>
      <c r="C232" s="1" t="n">
        <v>44936</v>
      </c>
      <c r="D232" t="inlineStr">
        <is>
          <t>06439B</t>
        </is>
      </c>
      <c r="E232" t="inlineStr">
        <is>
          <t>IFED</t>
        </is>
      </c>
      <c r="F232" t="inlineStr">
        <is>
          <t>01</t>
        </is>
      </c>
      <c r="G232" t="inlineStr">
        <is>
          <t xml:space="preserve">064 </t>
        </is>
      </c>
      <c r="H232" t="n">
        <v>61500</v>
      </c>
      <c r="I232" s="17" t="n">
        <v>118</v>
      </c>
      <c r="J232" s="17" t="n">
        <v>6532</v>
      </c>
      <c r="K232" t="n">
        <v>1885</v>
      </c>
      <c r="L232" t="n">
        <v>58696</v>
      </c>
      <c r="M232" t="n">
        <v>52966</v>
      </c>
      <c r="N232" t="n">
        <v>60699</v>
      </c>
      <c r="O232" t="n">
        <v>61383</v>
      </c>
      <c r="P232" t="n">
        <v>801</v>
      </c>
      <c r="Q232" t="n">
        <v>117</v>
      </c>
      <c r="R232" t="n">
        <v>61500</v>
      </c>
      <c r="S232" t="n">
        <v>118</v>
      </c>
      <c r="T232" t="n">
        <v>6532</v>
      </c>
      <c r="U232" t="n">
        <v>1885</v>
      </c>
      <c r="V232" t="n">
        <v>58696</v>
      </c>
      <c r="W232" t="n">
        <v>52966</v>
      </c>
      <c r="X232" t="n">
        <v>60699</v>
      </c>
      <c r="Y232" t="n">
        <v>61383</v>
      </c>
      <c r="Z232" t="n">
        <v>801</v>
      </c>
      <c r="AA232" t="n">
        <v>117</v>
      </c>
      <c r="AB232" t="n">
        <v>0</v>
      </c>
      <c r="AC232" t="n">
        <v>0</v>
      </c>
      <c r="AD232" t="n">
        <v>0</v>
      </c>
      <c r="AE232" t="n">
        <v>0</v>
      </c>
      <c r="AF232" t="n">
        <v>0</v>
      </c>
      <c r="AG232" t="n">
        <v>0</v>
      </c>
      <c r="AH232" t="n">
        <v>0</v>
      </c>
      <c r="AI232" t="n">
        <v>0</v>
      </c>
      <c r="AJ232" t="n">
        <v>0</v>
      </c>
      <c r="AK232" t="n">
        <v>0</v>
      </c>
      <c r="AL232" t="n">
        <v>-2036</v>
      </c>
      <c r="AM232" t="n">
        <v>-275</v>
      </c>
      <c r="AN232" t="n">
        <v>-116</v>
      </c>
      <c r="AO232" t="n">
        <v>-546</v>
      </c>
      <c r="AP232" t="n">
        <v>-1127</v>
      </c>
      <c r="AQ232" t="n">
        <v>-1358</v>
      </c>
      <c r="AR232" t="n">
        <v>-1948</v>
      </c>
      <c r="AS232" t="n">
        <v>-2020</v>
      </c>
      <c r="AT232" t="n">
        <v>-88</v>
      </c>
      <c r="AU232" t="n">
        <v>-16</v>
      </c>
      <c r="AV232" t="n">
        <v>100</v>
      </c>
      <c r="AW232" t="n">
        <v>0.2</v>
      </c>
      <c r="AX232" t="n">
        <v>10.6</v>
      </c>
      <c r="AY232" t="n">
        <v>3.1</v>
      </c>
      <c r="AZ232" t="n">
        <v>95.40000000000001</v>
      </c>
      <c r="BA232" t="n">
        <v>86.09999999999999</v>
      </c>
      <c r="BB232" t="n">
        <v>98.7</v>
      </c>
      <c r="BC232" t="n">
        <v>99.8</v>
      </c>
      <c r="BD232" t="n">
        <v>1.3</v>
      </c>
      <c r="BE232" t="n">
        <v>0.2</v>
      </c>
      <c r="BF232" t="n">
        <v>100</v>
      </c>
      <c r="BG232" t="n">
        <v>0.2</v>
      </c>
      <c r="BH232" t="n">
        <v>10.6</v>
      </c>
      <c r="BI232" t="n">
        <v>3.1</v>
      </c>
      <c r="BJ232" t="n">
        <v>95.40000000000001</v>
      </c>
      <c r="BK232" t="n">
        <v>86.09999999999999</v>
      </c>
      <c r="BL232" t="n">
        <v>98.7</v>
      </c>
      <c r="BM232" t="n">
        <v>99.8</v>
      </c>
      <c r="BN232" t="n">
        <v>1.3</v>
      </c>
      <c r="BO232" t="n">
        <v>0.2</v>
      </c>
      <c r="BP232" t="n">
        <v>0</v>
      </c>
      <c r="BQ232" t="n">
        <v>0</v>
      </c>
      <c r="BR232" t="n">
        <v>0</v>
      </c>
      <c r="BS232" t="n">
        <v>0</v>
      </c>
      <c r="BT232" t="n">
        <v>0</v>
      </c>
      <c r="BU232" t="n">
        <v>0</v>
      </c>
      <c r="BV232" t="n">
        <v>0</v>
      </c>
      <c r="BW232" t="n">
        <v>0</v>
      </c>
      <c r="BX232" t="n">
        <v>0</v>
      </c>
      <c r="BY232" t="n">
        <v>0</v>
      </c>
      <c r="BZ232" t="n">
        <v>43</v>
      </c>
      <c r="CA232" t="n">
        <v>2</v>
      </c>
      <c r="CB232" t="n">
        <v>10</v>
      </c>
      <c r="CC232" t="n">
        <v>5</v>
      </c>
      <c r="CD232" t="n">
        <v>29</v>
      </c>
      <c r="CE232" t="n">
        <v>23</v>
      </c>
      <c r="CF232" t="n">
        <v>36</v>
      </c>
      <c r="CG232" t="n">
        <v>34</v>
      </c>
      <c r="CH232" t="n">
        <v>43</v>
      </c>
      <c r="CI232" t="n">
        <v>2</v>
      </c>
      <c r="CJ232" t="n">
        <v>10</v>
      </c>
      <c r="CK232" t="n">
        <v>5</v>
      </c>
      <c r="CL232" t="n">
        <v>29</v>
      </c>
      <c r="CM232" t="n">
        <v>23</v>
      </c>
      <c r="CN232" t="n">
        <v>36</v>
      </c>
      <c r="CO232" t="n">
        <v>34</v>
      </c>
      <c r="CP232" t="n">
        <v>0</v>
      </c>
      <c r="CQ232" t="n">
        <v>0</v>
      </c>
      <c r="CR232" t="n">
        <v>0</v>
      </c>
      <c r="CS232" t="n">
        <v>0</v>
      </c>
      <c r="CT232" t="n">
        <v>0</v>
      </c>
      <c r="CU232" t="n">
        <v>0</v>
      </c>
      <c r="CV232" t="n">
        <v>0</v>
      </c>
      <c r="CW232" t="n">
        <v>0</v>
      </c>
      <c r="CX232" t="n">
        <v>38.7</v>
      </c>
      <c r="CY232" t="n">
        <v>48</v>
      </c>
      <c r="CZ232" t="n">
        <v>64.8</v>
      </c>
      <c r="DA232" t="n">
        <v>71.8</v>
      </c>
      <c r="DB232" t="n">
        <v>28.9</v>
      </c>
      <c r="DC232" t="n">
        <v>25.4</v>
      </c>
      <c r="DD232" t="n">
        <v>39</v>
      </c>
      <c r="DE232" t="n">
        <v>39.7</v>
      </c>
      <c r="DF232" t="n">
        <v>38.7</v>
      </c>
      <c r="DG232" t="n">
        <v>48</v>
      </c>
      <c r="DH232" t="n">
        <v>64.8</v>
      </c>
      <c r="DI232" t="n">
        <v>71.8</v>
      </c>
      <c r="DJ232" t="n">
        <v>28.9</v>
      </c>
      <c r="DK232" t="n">
        <v>25.4</v>
      </c>
      <c r="DL232" t="n">
        <v>39</v>
      </c>
      <c r="DM232" t="n">
        <v>39.7</v>
      </c>
      <c r="DN232" t="n">
        <v>0</v>
      </c>
      <c r="DO232" t="n">
        <v>0</v>
      </c>
      <c r="DP232" t="n">
        <v>0</v>
      </c>
      <c r="DQ232" t="n">
        <v>0</v>
      </c>
      <c r="DR232" t="n">
        <v>0</v>
      </c>
      <c r="DS232" t="n">
        <v>0</v>
      </c>
      <c r="DT232" t="n">
        <v>0</v>
      </c>
      <c r="DU232" t="n">
        <v>0</v>
      </c>
      <c r="DV232" t="inlineStr">
        <is>
          <t>800MWh</t>
        </is>
      </c>
    </row>
    <row r="233">
      <c r="A233" t="inlineStr">
        <is>
          <t>PJM AEP DAYTON RT PEAK FIXED - ICE FUTURES ENERGY DIV</t>
        </is>
      </c>
      <c r="B233" t="n">
        <v>230103</v>
      </c>
      <c r="C233" s="1" t="n">
        <v>44929</v>
      </c>
      <c r="D233" t="inlineStr">
        <is>
          <t>06439B</t>
        </is>
      </c>
      <c r="E233" t="inlineStr">
        <is>
          <t>IFED</t>
        </is>
      </c>
      <c r="F233" t="inlineStr">
        <is>
          <t>01</t>
        </is>
      </c>
      <c r="G233" t="inlineStr">
        <is>
          <t xml:space="preserve">064 </t>
        </is>
      </c>
      <c r="H233" t="n">
        <v>63536</v>
      </c>
      <c r="I233" s="17" t="n">
        <v>393</v>
      </c>
      <c r="J233" s="17" t="n">
        <v>6648</v>
      </c>
      <c r="K233" t="n">
        <v>2431</v>
      </c>
      <c r="L233" t="n">
        <v>59823</v>
      </c>
      <c r="M233" t="n">
        <v>54324</v>
      </c>
      <c r="N233" t="n">
        <v>62647</v>
      </c>
      <c r="O233" t="n">
        <v>63403</v>
      </c>
      <c r="P233" t="n">
        <v>889</v>
      </c>
      <c r="Q233" t="n">
        <v>133</v>
      </c>
      <c r="R233" t="n">
        <v>63536</v>
      </c>
      <c r="S233" t="n">
        <v>393</v>
      </c>
      <c r="T233" t="n">
        <v>6648</v>
      </c>
      <c r="U233" t="n">
        <v>2431</v>
      </c>
      <c r="V233" t="n">
        <v>59823</v>
      </c>
      <c r="W233" t="n">
        <v>54324</v>
      </c>
      <c r="X233" t="n">
        <v>62647</v>
      </c>
      <c r="Y233" t="n">
        <v>63403</v>
      </c>
      <c r="Z233" t="n">
        <v>889</v>
      </c>
      <c r="AA233" t="n">
        <v>133</v>
      </c>
      <c r="AB233" t="n">
        <v>0</v>
      </c>
      <c r="AC233" t="n">
        <v>0</v>
      </c>
      <c r="AD233" t="n">
        <v>0</v>
      </c>
      <c r="AE233" t="n">
        <v>0</v>
      </c>
      <c r="AF233" t="n">
        <v>0</v>
      </c>
      <c r="AG233" t="n">
        <v>0</v>
      </c>
      <c r="AH233" t="n">
        <v>0</v>
      </c>
      <c r="AI233" t="n">
        <v>0</v>
      </c>
      <c r="AJ233" t="n">
        <v>0</v>
      </c>
      <c r="AK233" t="n">
        <v>0</v>
      </c>
      <c r="AL233" t="n">
        <v>485</v>
      </c>
      <c r="AM233" t="n">
        <v>1</v>
      </c>
      <c r="AN233" t="n">
        <v>-480</v>
      </c>
      <c r="AO233" t="n">
        <v>211</v>
      </c>
      <c r="AP233" t="n">
        <v>259</v>
      </c>
      <c r="AQ233" t="n">
        <v>747</v>
      </c>
      <c r="AR233" t="n">
        <v>471</v>
      </c>
      <c r="AS233" t="n">
        <v>478</v>
      </c>
      <c r="AT233" t="n">
        <v>14</v>
      </c>
      <c r="AU233" t="n">
        <v>7</v>
      </c>
      <c r="AV233" t="n">
        <v>100</v>
      </c>
      <c r="AW233" t="n">
        <v>0.6</v>
      </c>
      <c r="AX233" t="n">
        <v>10.5</v>
      </c>
      <c r="AY233" t="n">
        <v>3.8</v>
      </c>
      <c r="AZ233" t="n">
        <v>94.2</v>
      </c>
      <c r="BA233" t="n">
        <v>85.5</v>
      </c>
      <c r="BB233" t="n">
        <v>98.59999999999999</v>
      </c>
      <c r="BC233" t="n">
        <v>99.8</v>
      </c>
      <c r="BD233" t="n">
        <v>1.4</v>
      </c>
      <c r="BE233" t="n">
        <v>0.2</v>
      </c>
      <c r="BF233" t="n">
        <v>100</v>
      </c>
      <c r="BG233" t="n">
        <v>0.6</v>
      </c>
      <c r="BH233" t="n">
        <v>10.5</v>
      </c>
      <c r="BI233" t="n">
        <v>3.8</v>
      </c>
      <c r="BJ233" t="n">
        <v>94.2</v>
      </c>
      <c r="BK233" t="n">
        <v>85.5</v>
      </c>
      <c r="BL233" t="n">
        <v>98.59999999999999</v>
      </c>
      <c r="BM233" t="n">
        <v>99.8</v>
      </c>
      <c r="BN233" t="n">
        <v>1.4</v>
      </c>
      <c r="BO233" t="n">
        <v>0.2</v>
      </c>
      <c r="BP233" t="n">
        <v>0</v>
      </c>
      <c r="BQ233" t="n">
        <v>0</v>
      </c>
      <c r="BR233" t="n">
        <v>0</v>
      </c>
      <c r="BS233" t="n">
        <v>0</v>
      </c>
      <c r="BT233" t="n">
        <v>0</v>
      </c>
      <c r="BU233" t="n">
        <v>0</v>
      </c>
      <c r="BV233" t="n">
        <v>0</v>
      </c>
      <c r="BW233" t="n">
        <v>0</v>
      </c>
      <c r="BX233" t="n">
        <v>0</v>
      </c>
      <c r="BY233" t="n">
        <v>0</v>
      </c>
      <c r="BZ233" t="n">
        <v>47</v>
      </c>
      <c r="CA233" t="n">
        <v>3</v>
      </c>
      <c r="CB233" t="n">
        <v>11</v>
      </c>
      <c r="CC233" t="n">
        <v>7</v>
      </c>
      <c r="CD233" t="n">
        <v>30</v>
      </c>
      <c r="CE233" t="n">
        <v>29</v>
      </c>
      <c r="CF233" t="n">
        <v>39</v>
      </c>
      <c r="CG233" t="n">
        <v>41</v>
      </c>
      <c r="CH233" t="n">
        <v>47</v>
      </c>
      <c r="CI233" t="n">
        <v>3</v>
      </c>
      <c r="CJ233" t="n">
        <v>11</v>
      </c>
      <c r="CK233" t="n">
        <v>7</v>
      </c>
      <c r="CL233" t="n">
        <v>30</v>
      </c>
      <c r="CM233" t="n">
        <v>29</v>
      </c>
      <c r="CN233" t="n">
        <v>39</v>
      </c>
      <c r="CO233" t="n">
        <v>41</v>
      </c>
      <c r="CP233" t="n">
        <v>0</v>
      </c>
      <c r="CQ233" t="n">
        <v>0</v>
      </c>
      <c r="CR233" t="n">
        <v>0</v>
      </c>
      <c r="CS233" t="n">
        <v>0</v>
      </c>
      <c r="CT233" t="n">
        <v>0</v>
      </c>
      <c r="CU233" t="n">
        <v>0</v>
      </c>
      <c r="CV233" t="n">
        <v>0</v>
      </c>
      <c r="CW233" t="n">
        <v>0</v>
      </c>
      <c r="CX233" t="n">
        <v>39.1</v>
      </c>
      <c r="CY233" t="n">
        <v>45</v>
      </c>
      <c r="CZ233" t="n">
        <v>60.8</v>
      </c>
      <c r="DA233" t="n">
        <v>66.40000000000001</v>
      </c>
      <c r="DB233" t="n">
        <v>27.8</v>
      </c>
      <c r="DC233" t="n">
        <v>24.5</v>
      </c>
      <c r="DD233" t="n">
        <v>37.8</v>
      </c>
      <c r="DE233" t="n">
        <v>37</v>
      </c>
      <c r="DF233" t="n">
        <v>39.1</v>
      </c>
      <c r="DG233" t="n">
        <v>45</v>
      </c>
      <c r="DH233" t="n">
        <v>60.8</v>
      </c>
      <c r="DI233" t="n">
        <v>66.40000000000001</v>
      </c>
      <c r="DJ233" t="n">
        <v>27.8</v>
      </c>
      <c r="DK233" t="n">
        <v>24.5</v>
      </c>
      <c r="DL233" t="n">
        <v>37.8</v>
      </c>
      <c r="DM233" t="n">
        <v>37</v>
      </c>
      <c r="DN233" t="n">
        <v>0</v>
      </c>
      <c r="DO233" t="n">
        <v>0</v>
      </c>
      <c r="DP233" t="n">
        <v>0</v>
      </c>
      <c r="DQ233" t="n">
        <v>0</v>
      </c>
      <c r="DR233" t="n">
        <v>0</v>
      </c>
      <c r="DS233" t="n">
        <v>0</v>
      </c>
      <c r="DT233" t="n">
        <v>0</v>
      </c>
      <c r="DU233" t="n">
        <v>0</v>
      </c>
      <c r="DV233" t="inlineStr">
        <is>
          <t>800MWh</t>
        </is>
      </c>
    </row>
    <row r="234">
      <c r="A234" t="inlineStr">
        <is>
          <t>PJM AEP DAYTON HUB DA OFF-PK - ICE FUTURES ENERGY DIV</t>
        </is>
      </c>
      <c r="B234" t="n">
        <v>230110</v>
      </c>
      <c r="C234" s="1" t="n">
        <v>44936</v>
      </c>
      <c r="D234" t="inlineStr">
        <is>
          <t>06439C</t>
        </is>
      </c>
      <c r="E234" t="inlineStr">
        <is>
          <t>IFED</t>
        </is>
      </c>
      <c r="F234" t="inlineStr">
        <is>
          <t>01</t>
        </is>
      </c>
      <c r="G234" t="inlineStr">
        <is>
          <t xml:space="preserve">064 </t>
        </is>
      </c>
      <c r="H234" t="n">
        <v>67519</v>
      </c>
      <c r="I234" s="17" t="n">
        <v>860</v>
      </c>
      <c r="J234" s="17" t="n">
        <v>12147</v>
      </c>
      <c r="K234" t="n">
        <v>114</v>
      </c>
      <c r="L234" t="n">
        <v>66273</v>
      </c>
      <c r="M234" t="n">
        <v>55208</v>
      </c>
      <c r="N234" t="n">
        <v>67247</v>
      </c>
      <c r="O234" t="n">
        <v>67469</v>
      </c>
      <c r="P234" t="n">
        <v>272</v>
      </c>
      <c r="Q234" t="n">
        <v>50</v>
      </c>
      <c r="R234" t="n">
        <v>67519</v>
      </c>
      <c r="S234" t="n">
        <v>860</v>
      </c>
      <c r="T234" t="n">
        <v>12147</v>
      </c>
      <c r="U234" t="n">
        <v>114</v>
      </c>
      <c r="V234" t="n">
        <v>66273</v>
      </c>
      <c r="W234" t="n">
        <v>55208</v>
      </c>
      <c r="X234" t="n">
        <v>67247</v>
      </c>
      <c r="Y234" t="n">
        <v>67469</v>
      </c>
      <c r="Z234" t="n">
        <v>272</v>
      </c>
      <c r="AA234" t="n">
        <v>50</v>
      </c>
      <c r="AB234" t="n">
        <v>0</v>
      </c>
      <c r="AC234" t="n">
        <v>0</v>
      </c>
      <c r="AD234" t="n">
        <v>0</v>
      </c>
      <c r="AE234" t="n">
        <v>0</v>
      </c>
      <c r="AF234" t="n">
        <v>0</v>
      </c>
      <c r="AG234" t="n">
        <v>0</v>
      </c>
      <c r="AH234" t="n">
        <v>0</v>
      </c>
      <c r="AI234" t="n">
        <v>0</v>
      </c>
      <c r="AJ234" t="n">
        <v>0</v>
      </c>
      <c r="AK234" t="n">
        <v>0</v>
      </c>
      <c r="AL234" t="n">
        <v>-1134</v>
      </c>
      <c r="AM234" t="n">
        <v>55</v>
      </c>
      <c r="AN234" t="n">
        <v>-461</v>
      </c>
      <c r="AO234" t="n">
        <v>0</v>
      </c>
      <c r="AP234" t="n">
        <v>-1146</v>
      </c>
      <c r="AQ234" t="n">
        <v>-663</v>
      </c>
      <c r="AR234" t="n">
        <v>-1091</v>
      </c>
      <c r="AS234" t="n">
        <v>-1124</v>
      </c>
      <c r="AT234" t="n">
        <v>-43</v>
      </c>
      <c r="AU234" t="n">
        <v>-10</v>
      </c>
      <c r="AV234" t="n">
        <v>100</v>
      </c>
      <c r="AW234" t="n">
        <v>1.3</v>
      </c>
      <c r="AX234" t="n">
        <v>18</v>
      </c>
      <c r="AY234" t="n">
        <v>0.2</v>
      </c>
      <c r="AZ234" t="n">
        <v>98.2</v>
      </c>
      <c r="BA234" t="n">
        <v>81.8</v>
      </c>
      <c r="BB234" t="n">
        <v>99.59999999999999</v>
      </c>
      <c r="BC234" t="n">
        <v>99.90000000000001</v>
      </c>
      <c r="BD234" t="n">
        <v>0.4</v>
      </c>
      <c r="BE234" t="n">
        <v>0.1</v>
      </c>
      <c r="BF234" t="n">
        <v>100</v>
      </c>
      <c r="BG234" t="n">
        <v>1.3</v>
      </c>
      <c r="BH234" t="n">
        <v>18</v>
      </c>
      <c r="BI234" t="n">
        <v>0.2</v>
      </c>
      <c r="BJ234" t="n">
        <v>98.2</v>
      </c>
      <c r="BK234" t="n">
        <v>81.8</v>
      </c>
      <c r="BL234" t="n">
        <v>99.59999999999999</v>
      </c>
      <c r="BM234" t="n">
        <v>99.90000000000001</v>
      </c>
      <c r="BN234" t="n">
        <v>0.4</v>
      </c>
      <c r="BO234" t="n">
        <v>0.1</v>
      </c>
      <c r="BP234" t="n">
        <v>0</v>
      </c>
      <c r="BQ234" t="n">
        <v>0</v>
      </c>
      <c r="BR234" t="n">
        <v>0</v>
      </c>
      <c r="BS234" t="n">
        <v>0</v>
      </c>
      <c r="BT234" t="n">
        <v>0</v>
      </c>
      <c r="BU234" t="n">
        <v>0</v>
      </c>
      <c r="BV234" t="n">
        <v>0</v>
      </c>
      <c r="BW234" t="n">
        <v>0</v>
      </c>
      <c r="BX234" t="n">
        <v>0</v>
      </c>
      <c r="BY234" t="n">
        <v>0</v>
      </c>
      <c r="BZ234" t="n">
        <v>38</v>
      </c>
      <c r="CA234" t="n">
        <v>1</v>
      </c>
      <c r="CB234" t="n">
        <v>3</v>
      </c>
      <c r="CC234" t="n">
        <v>2</v>
      </c>
      <c r="CD234" t="n">
        <v>26</v>
      </c>
      <c r="CE234" t="n">
        <v>26</v>
      </c>
      <c r="CF234" t="n">
        <v>28</v>
      </c>
      <c r="CG234" t="n">
        <v>30</v>
      </c>
      <c r="CH234" t="n">
        <v>38</v>
      </c>
      <c r="CI234" t="n">
        <v>1</v>
      </c>
      <c r="CJ234" t="n">
        <v>3</v>
      </c>
      <c r="CK234" t="n">
        <v>2</v>
      </c>
      <c r="CL234" t="n">
        <v>26</v>
      </c>
      <c r="CM234" t="n">
        <v>26</v>
      </c>
      <c r="CN234" t="n">
        <v>28</v>
      </c>
      <c r="CO234" t="n">
        <v>30</v>
      </c>
      <c r="CP234" t="n">
        <v>0</v>
      </c>
      <c r="CQ234" t="n">
        <v>0</v>
      </c>
      <c r="CR234" t="n">
        <v>0</v>
      </c>
      <c r="CS234" t="n">
        <v>0</v>
      </c>
      <c r="CT234" t="n">
        <v>0</v>
      </c>
      <c r="CU234" t="n">
        <v>0</v>
      </c>
      <c r="CV234" t="n">
        <v>0</v>
      </c>
      <c r="CW234" t="n">
        <v>0</v>
      </c>
      <c r="CX234" t="n">
        <v>47.9</v>
      </c>
      <c r="CY234" t="n">
        <v>52.7</v>
      </c>
      <c r="CZ234" t="n">
        <v>70.8</v>
      </c>
      <c r="DA234" t="n">
        <v>74.7</v>
      </c>
      <c r="DB234" t="n">
        <v>43.1</v>
      </c>
      <c r="DC234" t="n">
        <v>48.9</v>
      </c>
      <c r="DD234" t="n">
        <v>63.6</v>
      </c>
      <c r="DE234" t="n">
        <v>69.2</v>
      </c>
      <c r="DF234" t="n">
        <v>47.9</v>
      </c>
      <c r="DG234" t="n">
        <v>52.7</v>
      </c>
      <c r="DH234" t="n">
        <v>70.8</v>
      </c>
      <c r="DI234" t="n">
        <v>74.7</v>
      </c>
      <c r="DJ234" t="n">
        <v>43.1</v>
      </c>
      <c r="DK234" t="n">
        <v>48.9</v>
      </c>
      <c r="DL234" t="n">
        <v>63.6</v>
      </c>
      <c r="DM234" t="n">
        <v>69.2</v>
      </c>
      <c r="DN234" t="n">
        <v>0</v>
      </c>
      <c r="DO234" t="n">
        <v>0</v>
      </c>
      <c r="DP234" t="n">
        <v>0</v>
      </c>
      <c r="DQ234" t="n">
        <v>0</v>
      </c>
      <c r="DR234" t="n">
        <v>0</v>
      </c>
      <c r="DS234" t="n">
        <v>0</v>
      </c>
      <c r="DT234" t="n">
        <v>0</v>
      </c>
      <c r="DU234" t="n">
        <v>0</v>
      </c>
      <c r="DV234" t="inlineStr">
        <is>
          <t>1 MW</t>
        </is>
      </c>
    </row>
    <row r="235">
      <c r="A235" t="inlineStr">
        <is>
          <t>PJM AEP DAYTON HUB DA OFF-PK - ICE FUTURES ENERGY DIV</t>
        </is>
      </c>
      <c r="B235" t="n">
        <v>230103</v>
      </c>
      <c r="C235" s="1" t="n">
        <v>44929</v>
      </c>
      <c r="D235" t="inlineStr">
        <is>
          <t>06439C</t>
        </is>
      </c>
      <c r="E235" t="inlineStr">
        <is>
          <t>IFED</t>
        </is>
      </c>
      <c r="F235" t="inlineStr">
        <is>
          <t>01</t>
        </is>
      </c>
      <c r="G235" t="inlineStr">
        <is>
          <t xml:space="preserve">064 </t>
        </is>
      </c>
      <c r="H235" t="n">
        <v>68653</v>
      </c>
      <c r="I235" s="17" t="n">
        <v>805</v>
      </c>
      <c r="J235" s="17" t="n">
        <v>12608</v>
      </c>
      <c r="K235" t="n">
        <v>114</v>
      </c>
      <c r="L235" t="n">
        <v>67419</v>
      </c>
      <c r="M235" t="n">
        <v>55871</v>
      </c>
      <c r="N235" t="n">
        <v>68338</v>
      </c>
      <c r="O235" t="n">
        <v>68593</v>
      </c>
      <c r="P235" t="n">
        <v>315</v>
      </c>
      <c r="Q235" t="n">
        <v>60</v>
      </c>
      <c r="R235" t="n">
        <v>68653</v>
      </c>
      <c r="S235" t="n">
        <v>805</v>
      </c>
      <c r="T235" t="n">
        <v>12608</v>
      </c>
      <c r="U235" t="n">
        <v>114</v>
      </c>
      <c r="V235" t="n">
        <v>67419</v>
      </c>
      <c r="W235" t="n">
        <v>55871</v>
      </c>
      <c r="X235" t="n">
        <v>68338</v>
      </c>
      <c r="Y235" t="n">
        <v>68593</v>
      </c>
      <c r="Z235" t="n">
        <v>315</v>
      </c>
      <c r="AA235" t="n">
        <v>60</v>
      </c>
      <c r="AB235" t="n">
        <v>0</v>
      </c>
      <c r="AC235" t="n">
        <v>0</v>
      </c>
      <c r="AD235" t="n">
        <v>0</v>
      </c>
      <c r="AE235" t="n">
        <v>0</v>
      </c>
      <c r="AF235" t="n">
        <v>0</v>
      </c>
      <c r="AG235" t="n">
        <v>0</v>
      </c>
      <c r="AH235" t="n">
        <v>0</v>
      </c>
      <c r="AI235" t="n">
        <v>0</v>
      </c>
      <c r="AJ235" t="n">
        <v>0</v>
      </c>
      <c r="AK235" t="n">
        <v>0</v>
      </c>
      <c r="AL235" t="n">
        <v>955</v>
      </c>
      <c r="AM235" t="n">
        <v>0</v>
      </c>
      <c r="AN235" t="n">
        <v>1319</v>
      </c>
      <c r="AO235" t="n">
        <v>0</v>
      </c>
      <c r="AP235" t="n">
        <v>925</v>
      </c>
      <c r="AQ235" t="n">
        <v>-364</v>
      </c>
      <c r="AR235" t="n">
        <v>925</v>
      </c>
      <c r="AS235" t="n">
        <v>955</v>
      </c>
      <c r="AT235" t="n">
        <v>30</v>
      </c>
      <c r="AU235" t="n">
        <v>0</v>
      </c>
      <c r="AV235" t="n">
        <v>100</v>
      </c>
      <c r="AW235" t="n">
        <v>1.2</v>
      </c>
      <c r="AX235" t="n">
        <v>18.4</v>
      </c>
      <c r="AY235" t="n">
        <v>0.2</v>
      </c>
      <c r="AZ235" t="n">
        <v>98.2</v>
      </c>
      <c r="BA235" t="n">
        <v>81.40000000000001</v>
      </c>
      <c r="BB235" t="n">
        <v>99.5</v>
      </c>
      <c r="BC235" t="n">
        <v>99.90000000000001</v>
      </c>
      <c r="BD235" t="n">
        <v>0.5</v>
      </c>
      <c r="BE235" t="n">
        <v>0.1</v>
      </c>
      <c r="BF235" t="n">
        <v>100</v>
      </c>
      <c r="BG235" t="n">
        <v>1.2</v>
      </c>
      <c r="BH235" t="n">
        <v>18.4</v>
      </c>
      <c r="BI235" t="n">
        <v>0.2</v>
      </c>
      <c r="BJ235" t="n">
        <v>98.2</v>
      </c>
      <c r="BK235" t="n">
        <v>81.40000000000001</v>
      </c>
      <c r="BL235" t="n">
        <v>99.5</v>
      </c>
      <c r="BM235" t="n">
        <v>99.90000000000001</v>
      </c>
      <c r="BN235" t="n">
        <v>0.5</v>
      </c>
      <c r="BO235" t="n">
        <v>0.1</v>
      </c>
      <c r="BP235" t="n">
        <v>0</v>
      </c>
      <c r="BQ235" t="n">
        <v>0</v>
      </c>
      <c r="BR235" t="n">
        <v>0</v>
      </c>
      <c r="BS235" t="n">
        <v>0</v>
      </c>
      <c r="BT235" t="n">
        <v>0</v>
      </c>
      <c r="BU235" t="n">
        <v>0</v>
      </c>
      <c r="BV235" t="n">
        <v>0</v>
      </c>
      <c r="BW235" t="n">
        <v>0</v>
      </c>
      <c r="BX235" t="n">
        <v>0</v>
      </c>
      <c r="BY235" t="n">
        <v>0</v>
      </c>
      <c r="BZ235" t="n">
        <v>41</v>
      </c>
      <c r="CA235" t="n">
        <v>1</v>
      </c>
      <c r="CB235" t="n">
        <v>5</v>
      </c>
      <c r="CC235" t="n">
        <v>2</v>
      </c>
      <c r="CD235" t="n">
        <v>26</v>
      </c>
      <c r="CE235" t="n">
        <v>30</v>
      </c>
      <c r="CF235" t="n">
        <v>28</v>
      </c>
      <c r="CG235" t="n">
        <v>36</v>
      </c>
      <c r="CH235" t="n">
        <v>41</v>
      </c>
      <c r="CI235" t="n">
        <v>1</v>
      </c>
      <c r="CJ235" t="n">
        <v>5</v>
      </c>
      <c r="CK235" t="n">
        <v>2</v>
      </c>
      <c r="CL235" t="n">
        <v>26</v>
      </c>
      <c r="CM235" t="n">
        <v>30</v>
      </c>
      <c r="CN235" t="n">
        <v>28</v>
      </c>
      <c r="CO235" t="n">
        <v>36</v>
      </c>
      <c r="CP235" t="n">
        <v>0</v>
      </c>
      <c r="CQ235" t="n">
        <v>0</v>
      </c>
      <c r="CR235" t="n">
        <v>0</v>
      </c>
      <c r="CS235" t="n">
        <v>0</v>
      </c>
      <c r="CT235" t="n">
        <v>0</v>
      </c>
      <c r="CU235" t="n">
        <v>0</v>
      </c>
      <c r="CV235" t="n">
        <v>0</v>
      </c>
      <c r="CW235" t="n">
        <v>0</v>
      </c>
      <c r="CX235" t="n">
        <v>47</v>
      </c>
      <c r="CY235" t="n">
        <v>51</v>
      </c>
      <c r="CZ235" t="n">
        <v>70</v>
      </c>
      <c r="DA235" t="n">
        <v>73.2</v>
      </c>
      <c r="DB235" t="n">
        <v>41.7</v>
      </c>
      <c r="DC235" t="n">
        <v>47.7</v>
      </c>
      <c r="DD235" t="n">
        <v>60.9</v>
      </c>
      <c r="DE235" t="n">
        <v>66.09999999999999</v>
      </c>
      <c r="DF235" t="n">
        <v>47</v>
      </c>
      <c r="DG235" t="n">
        <v>51</v>
      </c>
      <c r="DH235" t="n">
        <v>70</v>
      </c>
      <c r="DI235" t="n">
        <v>73.2</v>
      </c>
      <c r="DJ235" t="n">
        <v>41.7</v>
      </c>
      <c r="DK235" t="n">
        <v>47.7</v>
      </c>
      <c r="DL235" t="n">
        <v>60.9</v>
      </c>
      <c r="DM235" t="n">
        <v>66.09999999999999</v>
      </c>
      <c r="DN235" t="n">
        <v>0</v>
      </c>
      <c r="DO235" t="n">
        <v>0</v>
      </c>
      <c r="DP235" t="n">
        <v>0</v>
      </c>
      <c r="DQ235" t="n">
        <v>0</v>
      </c>
      <c r="DR235" t="n">
        <v>0</v>
      </c>
      <c r="DS235" t="n">
        <v>0</v>
      </c>
      <c r="DT235" t="n">
        <v>0</v>
      </c>
      <c r="DU235" t="n">
        <v>0</v>
      </c>
      <c r="DV235" t="inlineStr">
        <is>
          <t>1 MW</t>
        </is>
      </c>
    </row>
    <row r="236">
      <c r="A236" t="inlineStr">
        <is>
          <t>PJM AEP DAYTON DA PEAK - ICE FUTURES ENERGY DIV</t>
        </is>
      </c>
      <c r="B236" t="n">
        <v>230110</v>
      </c>
      <c r="C236" s="1" t="n">
        <v>44936</v>
      </c>
      <c r="D236" t="inlineStr">
        <is>
          <t>06439F</t>
        </is>
      </c>
      <c r="E236" t="inlineStr">
        <is>
          <t>IFED</t>
        </is>
      </c>
      <c r="F236" t="inlineStr">
        <is>
          <t>01</t>
        </is>
      </c>
      <c r="G236" t="inlineStr">
        <is>
          <t xml:space="preserve">064 </t>
        </is>
      </c>
      <c r="H236" t="n">
        <v>86676</v>
      </c>
      <c r="I236" s="17" t="n">
        <v>1434</v>
      </c>
      <c r="J236" s="17" t="n">
        <v>12938</v>
      </c>
      <c r="K236" t="n">
        <v>113</v>
      </c>
      <c r="L236" t="n">
        <v>84782</v>
      </c>
      <c r="M236" t="n">
        <v>73264</v>
      </c>
      <c r="N236" t="n">
        <v>86329</v>
      </c>
      <c r="O236" t="n">
        <v>86315</v>
      </c>
      <c r="P236" t="n">
        <v>347</v>
      </c>
      <c r="Q236" t="n">
        <v>361</v>
      </c>
      <c r="R236" t="n">
        <v>86676</v>
      </c>
      <c r="S236" t="n">
        <v>1434</v>
      </c>
      <c r="T236" t="n">
        <v>12938</v>
      </c>
      <c r="U236" t="n">
        <v>113</v>
      </c>
      <c r="V236" t="n">
        <v>84782</v>
      </c>
      <c r="W236" t="n">
        <v>73264</v>
      </c>
      <c r="X236" t="n">
        <v>86329</v>
      </c>
      <c r="Y236" t="n">
        <v>86315</v>
      </c>
      <c r="Z236" t="n">
        <v>347</v>
      </c>
      <c r="AA236" t="n">
        <v>361</v>
      </c>
      <c r="AB236" t="n">
        <v>0</v>
      </c>
      <c r="AC236" t="n">
        <v>0</v>
      </c>
      <c r="AD236" t="n">
        <v>0</v>
      </c>
      <c r="AE236" t="n">
        <v>0</v>
      </c>
      <c r="AF236" t="n">
        <v>0</v>
      </c>
      <c r="AG236" t="n">
        <v>0</v>
      </c>
      <c r="AH236" t="n">
        <v>0</v>
      </c>
      <c r="AI236" t="n">
        <v>0</v>
      </c>
      <c r="AJ236" t="n">
        <v>0</v>
      </c>
      <c r="AK236" t="n">
        <v>0</v>
      </c>
      <c r="AL236" t="n">
        <v>-2726</v>
      </c>
      <c r="AM236" t="n">
        <v>34</v>
      </c>
      <c r="AN236" t="n">
        <v>-70</v>
      </c>
      <c r="AO236" t="n">
        <v>0</v>
      </c>
      <c r="AP236" t="n">
        <v>-2711</v>
      </c>
      <c r="AQ236" t="n">
        <v>-2654</v>
      </c>
      <c r="AR236" t="n">
        <v>-2677</v>
      </c>
      <c r="AS236" t="n">
        <v>-2724</v>
      </c>
      <c r="AT236" t="n">
        <v>-49</v>
      </c>
      <c r="AU236" t="n">
        <v>-2</v>
      </c>
      <c r="AV236" t="n">
        <v>100</v>
      </c>
      <c r="AW236" t="n">
        <v>1.7</v>
      </c>
      <c r="AX236" t="n">
        <v>14.9</v>
      </c>
      <c r="AY236" t="n">
        <v>0.1</v>
      </c>
      <c r="AZ236" t="n">
        <v>97.8</v>
      </c>
      <c r="BA236" t="n">
        <v>84.5</v>
      </c>
      <c r="BB236" t="n">
        <v>99.59999999999999</v>
      </c>
      <c r="BC236" t="n">
        <v>99.59999999999999</v>
      </c>
      <c r="BD236" t="n">
        <v>0.4</v>
      </c>
      <c r="BE236" t="n">
        <v>0.4</v>
      </c>
      <c r="BF236" t="n">
        <v>100</v>
      </c>
      <c r="BG236" t="n">
        <v>1.7</v>
      </c>
      <c r="BH236" t="n">
        <v>14.9</v>
      </c>
      <c r="BI236" t="n">
        <v>0.1</v>
      </c>
      <c r="BJ236" t="n">
        <v>97.8</v>
      </c>
      <c r="BK236" t="n">
        <v>84.5</v>
      </c>
      <c r="BL236" t="n">
        <v>99.59999999999999</v>
      </c>
      <c r="BM236" t="n">
        <v>99.59999999999999</v>
      </c>
      <c r="BN236" t="n">
        <v>0.4</v>
      </c>
      <c r="BO236" t="n">
        <v>0.4</v>
      </c>
      <c r="BP236" t="n">
        <v>0</v>
      </c>
      <c r="BQ236" t="n">
        <v>0</v>
      </c>
      <c r="BR236" t="n">
        <v>0</v>
      </c>
      <c r="BS236" t="n">
        <v>0</v>
      </c>
      <c r="BT236" t="n">
        <v>0</v>
      </c>
      <c r="BU236" t="n">
        <v>0</v>
      </c>
      <c r="BV236" t="n">
        <v>0</v>
      </c>
      <c r="BW236" t="n">
        <v>0</v>
      </c>
      <c r="BX236" t="n">
        <v>0</v>
      </c>
      <c r="BY236" t="n">
        <v>0</v>
      </c>
      <c r="BZ236" t="n">
        <v>40</v>
      </c>
      <c r="CA236" t="n">
        <v>1</v>
      </c>
      <c r="CB236" t="n">
        <v>4</v>
      </c>
      <c r="CC236" t="n">
        <v>1</v>
      </c>
      <c r="CD236" t="n">
        <v>26</v>
      </c>
      <c r="CE236" t="n">
        <v>25</v>
      </c>
      <c r="CF236" t="n">
        <v>28</v>
      </c>
      <c r="CG236" t="n">
        <v>29</v>
      </c>
      <c r="CH236" t="n">
        <v>40</v>
      </c>
      <c r="CI236" t="n">
        <v>1</v>
      </c>
      <c r="CJ236" t="n">
        <v>4</v>
      </c>
      <c r="CK236" t="n">
        <v>1</v>
      </c>
      <c r="CL236" t="n">
        <v>26</v>
      </c>
      <c r="CM236" t="n">
        <v>25</v>
      </c>
      <c r="CN236" t="n">
        <v>28</v>
      </c>
      <c r="CO236" t="n">
        <v>29</v>
      </c>
      <c r="CP236" t="n">
        <v>0</v>
      </c>
      <c r="CQ236" t="n">
        <v>0</v>
      </c>
      <c r="CR236" t="n">
        <v>0</v>
      </c>
      <c r="CS236" t="n">
        <v>0</v>
      </c>
      <c r="CT236" t="n">
        <v>0</v>
      </c>
      <c r="CU236" t="n">
        <v>0</v>
      </c>
      <c r="CV236" t="n">
        <v>0</v>
      </c>
      <c r="CW236" t="n">
        <v>0</v>
      </c>
      <c r="CX236" t="n">
        <v>48</v>
      </c>
      <c r="CY236" t="n">
        <v>55</v>
      </c>
      <c r="CZ236" t="n">
        <v>70.40000000000001</v>
      </c>
      <c r="DA236" t="n">
        <v>77.8</v>
      </c>
      <c r="DB236" t="n">
        <v>44.4</v>
      </c>
      <c r="DC236" t="n">
        <v>53.2</v>
      </c>
      <c r="DD236" t="n">
        <v>65.09999999999999</v>
      </c>
      <c r="DE236" t="n">
        <v>74.40000000000001</v>
      </c>
      <c r="DF236" t="n">
        <v>48</v>
      </c>
      <c r="DG236" t="n">
        <v>55</v>
      </c>
      <c r="DH236" t="n">
        <v>70.40000000000001</v>
      </c>
      <c r="DI236" t="n">
        <v>77.8</v>
      </c>
      <c r="DJ236" t="n">
        <v>44.4</v>
      </c>
      <c r="DK236" t="n">
        <v>53.2</v>
      </c>
      <c r="DL236" t="n">
        <v>65.09999999999999</v>
      </c>
      <c r="DM236" t="n">
        <v>74.40000000000001</v>
      </c>
      <c r="DN236" t="n">
        <v>0</v>
      </c>
      <c r="DO236" t="n">
        <v>0</v>
      </c>
      <c r="DP236" t="n">
        <v>0</v>
      </c>
      <c r="DQ236" t="n">
        <v>0</v>
      </c>
      <c r="DR236" t="n">
        <v>0</v>
      </c>
      <c r="DS236" t="n">
        <v>0</v>
      </c>
      <c r="DT236" t="n">
        <v>0</v>
      </c>
      <c r="DU236" t="n">
        <v>0</v>
      </c>
      <c r="DV236" t="inlineStr">
        <is>
          <t>1 MW</t>
        </is>
      </c>
    </row>
    <row r="237">
      <c r="A237" t="inlineStr">
        <is>
          <t>PJM AEP DAYTON DA PEAK - ICE FUTURES ENERGY DIV</t>
        </is>
      </c>
      <c r="B237" t="n">
        <v>230103</v>
      </c>
      <c r="C237" s="1" t="n">
        <v>44929</v>
      </c>
      <c r="D237" t="inlineStr">
        <is>
          <t>06439F</t>
        </is>
      </c>
      <c r="E237" t="inlineStr">
        <is>
          <t>IFED</t>
        </is>
      </c>
      <c r="F237" t="inlineStr">
        <is>
          <t>01</t>
        </is>
      </c>
      <c r="G237" t="inlineStr">
        <is>
          <t xml:space="preserve">064 </t>
        </is>
      </c>
      <c r="H237" t="n">
        <v>89402</v>
      </c>
      <c r="I237" s="17" t="n">
        <v>1400</v>
      </c>
      <c r="J237" s="17" t="n">
        <v>13008</v>
      </c>
      <c r="K237" t="n">
        <v>113</v>
      </c>
      <c r="L237" t="n">
        <v>87493</v>
      </c>
      <c r="M237" t="n">
        <v>75918</v>
      </c>
      <c r="N237" t="n">
        <v>89006</v>
      </c>
      <c r="O237" t="n">
        <v>89039</v>
      </c>
      <c r="P237" t="n">
        <v>396</v>
      </c>
      <c r="Q237" t="n">
        <v>363</v>
      </c>
      <c r="R237" t="n">
        <v>89402</v>
      </c>
      <c r="S237" t="n">
        <v>1400</v>
      </c>
      <c r="T237" t="n">
        <v>13008</v>
      </c>
      <c r="U237" t="n">
        <v>113</v>
      </c>
      <c r="V237" t="n">
        <v>87493</v>
      </c>
      <c r="W237" t="n">
        <v>75918</v>
      </c>
      <c r="X237" t="n">
        <v>89006</v>
      </c>
      <c r="Y237" t="n">
        <v>89039</v>
      </c>
      <c r="Z237" t="n">
        <v>396</v>
      </c>
      <c r="AA237" t="n">
        <v>363</v>
      </c>
      <c r="AB237" t="n">
        <v>0</v>
      </c>
      <c r="AC237" t="n">
        <v>0</v>
      </c>
      <c r="AD237" t="n">
        <v>0</v>
      </c>
      <c r="AE237" t="n">
        <v>0</v>
      </c>
      <c r="AF237" t="n">
        <v>0</v>
      </c>
      <c r="AG237" t="n">
        <v>0</v>
      </c>
      <c r="AH237" t="n">
        <v>0</v>
      </c>
      <c r="AI237" t="n">
        <v>0</v>
      </c>
      <c r="AJ237" t="n">
        <v>0</v>
      </c>
      <c r="AK237" t="n">
        <v>0</v>
      </c>
      <c r="AL237" t="n">
        <v>966</v>
      </c>
      <c r="AM237" t="n">
        <v>0</v>
      </c>
      <c r="AN237" t="n">
        <v>1238</v>
      </c>
      <c r="AO237" t="n">
        <v>0</v>
      </c>
      <c r="AP237" t="n">
        <v>967</v>
      </c>
      <c r="AQ237" t="n">
        <v>-272</v>
      </c>
      <c r="AR237" t="n">
        <v>967</v>
      </c>
      <c r="AS237" t="n">
        <v>966</v>
      </c>
      <c r="AT237" t="n">
        <v>-1</v>
      </c>
      <c r="AU237" t="n">
        <v>0</v>
      </c>
      <c r="AV237" t="n">
        <v>100</v>
      </c>
      <c r="AW237" t="n">
        <v>1.6</v>
      </c>
      <c r="AX237" t="n">
        <v>14.6</v>
      </c>
      <c r="AY237" t="n">
        <v>0.1</v>
      </c>
      <c r="AZ237" t="n">
        <v>97.90000000000001</v>
      </c>
      <c r="BA237" t="n">
        <v>84.90000000000001</v>
      </c>
      <c r="BB237" t="n">
        <v>99.59999999999999</v>
      </c>
      <c r="BC237" t="n">
        <v>99.59999999999999</v>
      </c>
      <c r="BD237" t="n">
        <v>0.4</v>
      </c>
      <c r="BE237" t="n">
        <v>0.4</v>
      </c>
      <c r="BF237" t="n">
        <v>100</v>
      </c>
      <c r="BG237" t="n">
        <v>1.6</v>
      </c>
      <c r="BH237" t="n">
        <v>14.6</v>
      </c>
      <c r="BI237" t="n">
        <v>0.1</v>
      </c>
      <c r="BJ237" t="n">
        <v>97.90000000000001</v>
      </c>
      <c r="BK237" t="n">
        <v>84.90000000000001</v>
      </c>
      <c r="BL237" t="n">
        <v>99.59999999999999</v>
      </c>
      <c r="BM237" t="n">
        <v>99.59999999999999</v>
      </c>
      <c r="BN237" t="n">
        <v>0.4</v>
      </c>
      <c r="BO237" t="n">
        <v>0.4</v>
      </c>
      <c r="BP237" t="n">
        <v>0</v>
      </c>
      <c r="BQ237" t="n">
        <v>0</v>
      </c>
      <c r="BR237" t="n">
        <v>0</v>
      </c>
      <c r="BS237" t="n">
        <v>0</v>
      </c>
      <c r="BT237" t="n">
        <v>0</v>
      </c>
      <c r="BU237" t="n">
        <v>0</v>
      </c>
      <c r="BV237" t="n">
        <v>0</v>
      </c>
      <c r="BW237" t="n">
        <v>0</v>
      </c>
      <c r="BX237" t="n">
        <v>0</v>
      </c>
      <c r="BY237" t="n">
        <v>0</v>
      </c>
      <c r="BZ237" t="n">
        <v>43</v>
      </c>
      <c r="CA237" t="n">
        <v>1</v>
      </c>
      <c r="CB237" t="n">
        <v>5</v>
      </c>
      <c r="CC237" t="n">
        <v>1</v>
      </c>
      <c r="CD237" t="n">
        <v>29</v>
      </c>
      <c r="CE237" t="n">
        <v>30</v>
      </c>
      <c r="CF237" t="n">
        <v>31</v>
      </c>
      <c r="CG237" t="n">
        <v>35</v>
      </c>
      <c r="CH237" t="n">
        <v>43</v>
      </c>
      <c r="CI237" t="n">
        <v>1</v>
      </c>
      <c r="CJ237" t="n">
        <v>5</v>
      </c>
      <c r="CK237" t="n">
        <v>1</v>
      </c>
      <c r="CL237" t="n">
        <v>29</v>
      </c>
      <c r="CM237" t="n">
        <v>30</v>
      </c>
      <c r="CN237" t="n">
        <v>31</v>
      </c>
      <c r="CO237" t="n">
        <v>35</v>
      </c>
      <c r="CP237" t="n">
        <v>0</v>
      </c>
      <c r="CQ237" t="n">
        <v>0</v>
      </c>
      <c r="CR237" t="n">
        <v>0</v>
      </c>
      <c r="CS237" t="n">
        <v>0</v>
      </c>
      <c r="CT237" t="n">
        <v>0</v>
      </c>
      <c r="CU237" t="n">
        <v>0</v>
      </c>
      <c r="CV237" t="n">
        <v>0</v>
      </c>
      <c r="CW237" t="n">
        <v>0</v>
      </c>
      <c r="CX237" t="n">
        <v>47.6</v>
      </c>
      <c r="CY237" t="n">
        <v>53.5</v>
      </c>
      <c r="CZ237" t="n">
        <v>70</v>
      </c>
      <c r="DA237" t="n">
        <v>75.09999999999999</v>
      </c>
      <c r="DB237" t="n">
        <v>44.2</v>
      </c>
      <c r="DC237" t="n">
        <v>53.3</v>
      </c>
      <c r="DD237" t="n">
        <v>63.9</v>
      </c>
      <c r="DE237" t="n">
        <v>70.90000000000001</v>
      </c>
      <c r="DF237" t="n">
        <v>47.6</v>
      </c>
      <c r="DG237" t="n">
        <v>53.5</v>
      </c>
      <c r="DH237" t="n">
        <v>70</v>
      </c>
      <c r="DI237" t="n">
        <v>75.09999999999999</v>
      </c>
      <c r="DJ237" t="n">
        <v>44.2</v>
      </c>
      <c r="DK237" t="n">
        <v>53.3</v>
      </c>
      <c r="DL237" t="n">
        <v>63.9</v>
      </c>
      <c r="DM237" t="n">
        <v>70.90000000000001</v>
      </c>
      <c r="DN237" t="n">
        <v>0</v>
      </c>
      <c r="DO237" t="n">
        <v>0</v>
      </c>
      <c r="DP237" t="n">
        <v>0</v>
      </c>
      <c r="DQ237" t="n">
        <v>0</v>
      </c>
      <c r="DR237" t="n">
        <v>0</v>
      </c>
      <c r="DS237" t="n">
        <v>0</v>
      </c>
      <c r="DT237" t="n">
        <v>0</v>
      </c>
      <c r="DU237" t="n">
        <v>0</v>
      </c>
      <c r="DV237" t="inlineStr">
        <is>
          <t>1 MW</t>
        </is>
      </c>
    </row>
    <row r="238">
      <c r="A238" t="inlineStr">
        <is>
          <t>MISO INDIANA  OFF-PEAK - ICE FUTURES ENERGY DIV</t>
        </is>
      </c>
      <c r="B238" t="n">
        <v>230110</v>
      </c>
      <c r="C238" s="1" t="n">
        <v>44936</v>
      </c>
      <c r="D238" t="inlineStr">
        <is>
          <t>06439K</t>
        </is>
      </c>
      <c r="E238" t="inlineStr">
        <is>
          <t>IFED</t>
        </is>
      </c>
      <c r="F238" t="inlineStr">
        <is>
          <t>01</t>
        </is>
      </c>
      <c r="G238" t="inlineStr">
        <is>
          <t xml:space="preserve">064 </t>
        </is>
      </c>
      <c r="H238" t="n">
        <v>33986</v>
      </c>
      <c r="I238" s="17" t="n">
        <v>0</v>
      </c>
      <c r="J238" s="17" t="n">
        <v>220</v>
      </c>
      <c r="K238" t="n">
        <v>0</v>
      </c>
      <c r="L238" t="n">
        <v>33734</v>
      </c>
      <c r="M238" t="n">
        <v>33520</v>
      </c>
      <c r="N238" t="n">
        <v>33734</v>
      </c>
      <c r="O238" t="n">
        <v>33740</v>
      </c>
      <c r="P238" t="n">
        <v>252</v>
      </c>
      <c r="Q238" t="n">
        <v>246</v>
      </c>
      <c r="R238" t="n">
        <v>33986</v>
      </c>
      <c r="S238" t="n">
        <v>0</v>
      </c>
      <c r="T238" t="n">
        <v>220</v>
      </c>
      <c r="U238" t="n">
        <v>0</v>
      </c>
      <c r="V238" t="n">
        <v>33734</v>
      </c>
      <c r="W238" t="n">
        <v>33520</v>
      </c>
      <c r="X238" t="n">
        <v>33734</v>
      </c>
      <c r="Y238" t="n">
        <v>33740</v>
      </c>
      <c r="Z238" t="n">
        <v>252</v>
      </c>
      <c r="AA238" t="n">
        <v>246</v>
      </c>
      <c r="AB238" t="n">
        <v>0</v>
      </c>
      <c r="AC238" t="n">
        <v>0</v>
      </c>
      <c r="AD238" t="n">
        <v>0</v>
      </c>
      <c r="AE238" t="n">
        <v>0</v>
      </c>
      <c r="AF238" t="n">
        <v>0</v>
      </c>
      <c r="AG238" t="n">
        <v>0</v>
      </c>
      <c r="AH238" t="n">
        <v>0</v>
      </c>
      <c r="AI238" t="n">
        <v>0</v>
      </c>
      <c r="AJ238" t="n">
        <v>0</v>
      </c>
      <c r="AK238" t="n">
        <v>0</v>
      </c>
      <c r="AL238" t="n">
        <v>-2124</v>
      </c>
      <c r="AM238" t="n">
        <v>0</v>
      </c>
      <c r="AN238" t="n">
        <v>-125</v>
      </c>
      <c r="AO238" t="n">
        <v>0</v>
      </c>
      <c r="AP238" t="n">
        <v>-2123</v>
      </c>
      <c r="AQ238" t="n">
        <v>-1974</v>
      </c>
      <c r="AR238" t="n">
        <v>-2123</v>
      </c>
      <c r="AS238" t="n">
        <v>-2099</v>
      </c>
      <c r="AT238" t="n">
        <v>-1</v>
      </c>
      <c r="AU238" t="n">
        <v>-25</v>
      </c>
      <c r="AV238" t="n">
        <v>100</v>
      </c>
      <c r="AW238" t="n">
        <v>0</v>
      </c>
      <c r="AX238" t="n">
        <v>0.6</v>
      </c>
      <c r="AY238" t="n">
        <v>0</v>
      </c>
      <c r="AZ238" t="n">
        <v>99.3</v>
      </c>
      <c r="BA238" t="n">
        <v>98.59999999999999</v>
      </c>
      <c r="BB238" t="n">
        <v>99.3</v>
      </c>
      <c r="BC238" t="n">
        <v>99.3</v>
      </c>
      <c r="BD238" t="n">
        <v>0.7</v>
      </c>
      <c r="BE238" t="n">
        <v>0.7</v>
      </c>
      <c r="BF238" t="n">
        <v>100</v>
      </c>
      <c r="BG238" t="n">
        <v>0</v>
      </c>
      <c r="BH238" t="n">
        <v>0.6</v>
      </c>
      <c r="BI238" t="n">
        <v>0</v>
      </c>
      <c r="BJ238" t="n">
        <v>99.3</v>
      </c>
      <c r="BK238" t="n">
        <v>98.59999999999999</v>
      </c>
      <c r="BL238" t="n">
        <v>99.3</v>
      </c>
      <c r="BM238" t="n">
        <v>99.3</v>
      </c>
      <c r="BN238" t="n">
        <v>0.7</v>
      </c>
      <c r="BO238" t="n">
        <v>0.7</v>
      </c>
      <c r="BP238" t="n">
        <v>0</v>
      </c>
      <c r="BQ238" t="n">
        <v>0</v>
      </c>
      <c r="BR238" t="n">
        <v>0</v>
      </c>
      <c r="BS238" t="n">
        <v>0</v>
      </c>
      <c r="BT238" t="n">
        <v>0</v>
      </c>
      <c r="BU238" t="n">
        <v>0</v>
      </c>
      <c r="BV238" t="n">
        <v>0</v>
      </c>
      <c r="BW238" t="n">
        <v>0</v>
      </c>
      <c r="BX238" t="n">
        <v>0</v>
      </c>
      <c r="BY238" t="n">
        <v>0</v>
      </c>
      <c r="BZ238" t="n">
        <v>20</v>
      </c>
      <c r="CA238" t="n">
        <v>0</v>
      </c>
      <c r="CB238" t="n">
        <v>1</v>
      </c>
      <c r="CC238" t="n">
        <v>0</v>
      </c>
      <c r="CD238" t="n">
        <v>15</v>
      </c>
      <c r="CE238" t="n">
        <v>12</v>
      </c>
      <c r="CF238" t="n">
        <v>15</v>
      </c>
      <c r="CG238" t="n">
        <v>13</v>
      </c>
      <c r="CH238" t="n">
        <v>20</v>
      </c>
      <c r="CI238" t="n">
        <v>0</v>
      </c>
      <c r="CJ238" t="n">
        <v>1</v>
      </c>
      <c r="CK238" t="n">
        <v>0</v>
      </c>
      <c r="CL238" t="n">
        <v>15</v>
      </c>
      <c r="CM238" t="n">
        <v>12</v>
      </c>
      <c r="CN238" t="n">
        <v>15</v>
      </c>
      <c r="CO238" t="n">
        <v>13</v>
      </c>
      <c r="CP238" t="n">
        <v>0</v>
      </c>
      <c r="CQ238" t="n">
        <v>0</v>
      </c>
      <c r="CR238" t="n">
        <v>0</v>
      </c>
      <c r="CS238" t="n">
        <v>0</v>
      </c>
      <c r="CT238" t="n">
        <v>0</v>
      </c>
      <c r="CU238" t="n">
        <v>0</v>
      </c>
      <c r="CV238" t="n">
        <v>0</v>
      </c>
      <c r="CW238" t="n">
        <v>0</v>
      </c>
      <c r="CX238" t="n">
        <v>73.7</v>
      </c>
      <c r="CY238" t="n">
        <v>79</v>
      </c>
      <c r="CZ238" t="n">
        <v>89.59999999999999</v>
      </c>
      <c r="DA238" t="n">
        <v>96.3</v>
      </c>
      <c r="DB238" t="n">
        <v>60.1</v>
      </c>
      <c r="DC238" t="n">
        <v>71</v>
      </c>
      <c r="DD238" t="n">
        <v>68.8</v>
      </c>
      <c r="DE238" t="n">
        <v>73.8</v>
      </c>
      <c r="DF238" t="n">
        <v>73.7</v>
      </c>
      <c r="DG238" t="n">
        <v>79</v>
      </c>
      <c r="DH238" t="n">
        <v>89.59999999999999</v>
      </c>
      <c r="DI238" t="n">
        <v>96.3</v>
      </c>
      <c r="DJ238" t="n">
        <v>60.1</v>
      </c>
      <c r="DK238" t="n">
        <v>71</v>
      </c>
      <c r="DL238" t="n">
        <v>68.8</v>
      </c>
      <c r="DM238" t="n">
        <v>73.8</v>
      </c>
      <c r="DN238" t="n">
        <v>0</v>
      </c>
      <c r="DO238" t="n">
        <v>0</v>
      </c>
      <c r="DP238" t="n">
        <v>0</v>
      </c>
      <c r="DQ238" t="n">
        <v>0</v>
      </c>
      <c r="DR238" t="n">
        <v>0</v>
      </c>
      <c r="DS238" t="n">
        <v>0</v>
      </c>
      <c r="DT238" t="n">
        <v>0</v>
      </c>
      <c r="DU238" t="n">
        <v>0</v>
      </c>
      <c r="DV238" t="inlineStr">
        <is>
          <t>1 MW</t>
        </is>
      </c>
    </row>
    <row r="239">
      <c r="A239" t="inlineStr">
        <is>
          <t>MISO INDIANA  OFF-PEAK - ICE FUTURES ENERGY DIV</t>
        </is>
      </c>
      <c r="B239" t="n">
        <v>230103</v>
      </c>
      <c r="C239" s="1" t="n">
        <v>44929</v>
      </c>
      <c r="D239" t="inlineStr">
        <is>
          <t>06439K</t>
        </is>
      </c>
      <c r="E239" t="inlineStr">
        <is>
          <t>IFED</t>
        </is>
      </c>
      <c r="F239" t="inlineStr">
        <is>
          <t>01</t>
        </is>
      </c>
      <c r="G239" t="inlineStr">
        <is>
          <t xml:space="preserve">064 </t>
        </is>
      </c>
      <c r="H239" t="n">
        <v>36110</v>
      </c>
      <c r="I239" s="17" t="n">
        <v>0</v>
      </c>
      <c r="J239" s="17" t="n">
        <v>345</v>
      </c>
      <c r="K239" t="n">
        <v>0</v>
      </c>
      <c r="L239" t="n">
        <v>35857</v>
      </c>
      <c r="M239" t="n">
        <v>35494</v>
      </c>
      <c r="N239" t="n">
        <v>35857</v>
      </c>
      <c r="O239" t="n">
        <v>35839</v>
      </c>
      <c r="P239" t="n">
        <v>253</v>
      </c>
      <c r="Q239" t="n">
        <v>271</v>
      </c>
      <c r="R239" t="n">
        <v>36110</v>
      </c>
      <c r="S239" t="n">
        <v>0</v>
      </c>
      <c r="T239" t="n">
        <v>345</v>
      </c>
      <c r="U239" t="n">
        <v>0</v>
      </c>
      <c r="V239" t="n">
        <v>35857</v>
      </c>
      <c r="W239" t="n">
        <v>35494</v>
      </c>
      <c r="X239" t="n">
        <v>35857</v>
      </c>
      <c r="Y239" t="n">
        <v>35839</v>
      </c>
      <c r="Z239" t="n">
        <v>253</v>
      </c>
      <c r="AA239" t="n">
        <v>271</v>
      </c>
      <c r="AB239" t="n">
        <v>0</v>
      </c>
      <c r="AC239" t="n">
        <v>0</v>
      </c>
      <c r="AD239" t="n">
        <v>0</v>
      </c>
      <c r="AE239" t="n">
        <v>0</v>
      </c>
      <c r="AF239" t="n">
        <v>0</v>
      </c>
      <c r="AG239" t="n">
        <v>0</v>
      </c>
      <c r="AH239" t="n">
        <v>0</v>
      </c>
      <c r="AI239" t="n">
        <v>0</v>
      </c>
      <c r="AJ239" t="n">
        <v>0</v>
      </c>
      <c r="AK239" t="n">
        <v>0</v>
      </c>
      <c r="AL239" t="n">
        <v>175</v>
      </c>
      <c r="AM239" t="n">
        <v>0</v>
      </c>
      <c r="AN239" t="n">
        <v>170</v>
      </c>
      <c r="AO239" t="n">
        <v>0</v>
      </c>
      <c r="AP239" t="n">
        <v>175</v>
      </c>
      <c r="AQ239" t="n">
        <v>10</v>
      </c>
      <c r="AR239" t="n">
        <v>175</v>
      </c>
      <c r="AS239" t="n">
        <v>180</v>
      </c>
      <c r="AT239" t="n">
        <v>0</v>
      </c>
      <c r="AU239" t="n">
        <v>-5</v>
      </c>
      <c r="AV239" t="n">
        <v>100</v>
      </c>
      <c r="AW239" t="n">
        <v>0</v>
      </c>
      <c r="AX239" t="n">
        <v>1</v>
      </c>
      <c r="AY239" t="n">
        <v>0</v>
      </c>
      <c r="AZ239" t="n">
        <v>99.3</v>
      </c>
      <c r="BA239" t="n">
        <v>98.3</v>
      </c>
      <c r="BB239" t="n">
        <v>99.3</v>
      </c>
      <c r="BC239" t="n">
        <v>99.2</v>
      </c>
      <c r="BD239" t="n">
        <v>0.7</v>
      </c>
      <c r="BE239" t="n">
        <v>0.8</v>
      </c>
      <c r="BF239" t="n">
        <v>100</v>
      </c>
      <c r="BG239" t="n">
        <v>0</v>
      </c>
      <c r="BH239" t="n">
        <v>1</v>
      </c>
      <c r="BI239" t="n">
        <v>0</v>
      </c>
      <c r="BJ239" t="n">
        <v>99.3</v>
      </c>
      <c r="BK239" t="n">
        <v>98.3</v>
      </c>
      <c r="BL239" t="n">
        <v>99.3</v>
      </c>
      <c r="BM239" t="n">
        <v>99.2</v>
      </c>
      <c r="BN239" t="n">
        <v>0.7</v>
      </c>
      <c r="BO239" t="n">
        <v>0.8</v>
      </c>
      <c r="BP239" t="n">
        <v>0</v>
      </c>
      <c r="BQ239" t="n">
        <v>0</v>
      </c>
      <c r="BR239" t="n">
        <v>0</v>
      </c>
      <c r="BS239" t="n">
        <v>0</v>
      </c>
      <c r="BT239" t="n">
        <v>0</v>
      </c>
      <c r="BU239" t="n">
        <v>0</v>
      </c>
      <c r="BV239" t="n">
        <v>0</v>
      </c>
      <c r="BW239" t="n">
        <v>0</v>
      </c>
      <c r="BX239" t="n">
        <v>0</v>
      </c>
      <c r="BY239" t="n">
        <v>0</v>
      </c>
      <c r="BZ239" t="n">
        <v>23</v>
      </c>
      <c r="CA239" t="n">
        <v>0</v>
      </c>
      <c r="CB239" t="n">
        <v>2</v>
      </c>
      <c r="CC239" t="n">
        <v>0</v>
      </c>
      <c r="CD239" t="n">
        <v>18</v>
      </c>
      <c r="CE239" t="n">
        <v>16</v>
      </c>
      <c r="CF239" t="n">
        <v>18</v>
      </c>
      <c r="CG239" t="n">
        <v>18</v>
      </c>
      <c r="CH239" t="n">
        <v>23</v>
      </c>
      <c r="CI239" t="n">
        <v>0</v>
      </c>
      <c r="CJ239" t="n">
        <v>2</v>
      </c>
      <c r="CK239" t="n">
        <v>0</v>
      </c>
      <c r="CL239" t="n">
        <v>18</v>
      </c>
      <c r="CM239" t="n">
        <v>16</v>
      </c>
      <c r="CN239" t="n">
        <v>18</v>
      </c>
      <c r="CO239" t="n">
        <v>18</v>
      </c>
      <c r="CP239" t="n">
        <v>0</v>
      </c>
      <c r="CQ239" t="n">
        <v>0</v>
      </c>
      <c r="CR239" t="n">
        <v>0</v>
      </c>
      <c r="CS239" t="n">
        <v>0</v>
      </c>
      <c r="CT239" t="n">
        <v>0</v>
      </c>
      <c r="CU239" t="n">
        <v>0</v>
      </c>
      <c r="CV239" t="n">
        <v>0</v>
      </c>
      <c r="CW239" t="n">
        <v>0</v>
      </c>
      <c r="CX239" t="n">
        <v>74.59999999999999</v>
      </c>
      <c r="CY239" t="n">
        <v>79.7</v>
      </c>
      <c r="CZ239" t="n">
        <v>89.2</v>
      </c>
      <c r="DA239" t="n">
        <v>95.40000000000001</v>
      </c>
      <c r="DB239" t="n">
        <v>63.3</v>
      </c>
      <c r="DC239" t="n">
        <v>70.40000000000001</v>
      </c>
      <c r="DD239" t="n">
        <v>71</v>
      </c>
      <c r="DE239" t="n">
        <v>73.59999999999999</v>
      </c>
      <c r="DF239" t="n">
        <v>74.59999999999999</v>
      </c>
      <c r="DG239" t="n">
        <v>79.7</v>
      </c>
      <c r="DH239" t="n">
        <v>89.2</v>
      </c>
      <c r="DI239" t="n">
        <v>95.40000000000001</v>
      </c>
      <c r="DJ239" t="n">
        <v>63.3</v>
      </c>
      <c r="DK239" t="n">
        <v>70.40000000000001</v>
      </c>
      <c r="DL239" t="n">
        <v>71</v>
      </c>
      <c r="DM239" t="n">
        <v>73.59999999999999</v>
      </c>
      <c r="DN239" t="n">
        <v>0</v>
      </c>
      <c r="DO239" t="n">
        <v>0</v>
      </c>
      <c r="DP239" t="n">
        <v>0</v>
      </c>
      <c r="DQ239" t="n">
        <v>0</v>
      </c>
      <c r="DR239" t="n">
        <v>0</v>
      </c>
      <c r="DS239" t="n">
        <v>0</v>
      </c>
      <c r="DT239" t="n">
        <v>0</v>
      </c>
      <c r="DU239" t="n">
        <v>0</v>
      </c>
      <c r="DV239" t="inlineStr">
        <is>
          <t>1 MW</t>
        </is>
      </c>
    </row>
    <row r="240">
      <c r="A240" t="inlineStr">
        <is>
          <t>ERCOT HOUSTON 345KV RT PK FIX - ICE FUTURES ENERGY DIV</t>
        </is>
      </c>
      <c r="B240" t="n">
        <v>230110</v>
      </c>
      <c r="C240" s="1" t="n">
        <v>44936</v>
      </c>
      <c r="D240" t="inlineStr">
        <is>
          <t>06439N</t>
        </is>
      </c>
      <c r="E240" t="inlineStr">
        <is>
          <t>IFED</t>
        </is>
      </c>
      <c r="F240" t="inlineStr">
        <is>
          <t>01</t>
        </is>
      </c>
      <c r="G240" t="inlineStr">
        <is>
          <t xml:space="preserve">064 </t>
        </is>
      </c>
      <c r="H240" t="n">
        <v>39450</v>
      </c>
      <c r="I240" s="17" t="n">
        <v>389</v>
      </c>
      <c r="J240" s="17" t="n">
        <v>10785</v>
      </c>
      <c r="K240" t="n">
        <v>39</v>
      </c>
      <c r="L240" t="n">
        <v>39014</v>
      </c>
      <c r="M240" t="n">
        <v>28626</v>
      </c>
      <c r="N240" t="n">
        <v>39442</v>
      </c>
      <c r="O240" t="n">
        <v>39450</v>
      </c>
      <c r="P240" t="n">
        <v>8</v>
      </c>
      <c r="Q240" t="n">
        <v>0</v>
      </c>
      <c r="R240" t="n">
        <v>39450</v>
      </c>
      <c r="S240" t="n">
        <v>389</v>
      </c>
      <c r="T240" t="n">
        <v>10785</v>
      </c>
      <c r="U240" t="n">
        <v>39</v>
      </c>
      <c r="V240" t="n">
        <v>39014</v>
      </c>
      <c r="W240" t="n">
        <v>28626</v>
      </c>
      <c r="X240" t="n">
        <v>39442</v>
      </c>
      <c r="Y240" t="n">
        <v>39450</v>
      </c>
      <c r="Z240" t="n">
        <v>8</v>
      </c>
      <c r="AA240" t="n">
        <v>0</v>
      </c>
      <c r="AB240" t="n">
        <v>0</v>
      </c>
      <c r="AC240" t="n">
        <v>0</v>
      </c>
      <c r="AD240" t="n">
        <v>0</v>
      </c>
      <c r="AE240" t="n">
        <v>0</v>
      </c>
      <c r="AF240" t="n">
        <v>0</v>
      </c>
      <c r="AG240" t="n">
        <v>0</v>
      </c>
      <c r="AH240" t="n">
        <v>0</v>
      </c>
      <c r="AI240" t="n">
        <v>0</v>
      </c>
      <c r="AJ240" t="n">
        <v>0</v>
      </c>
      <c r="AK240" t="n">
        <v>0</v>
      </c>
      <c r="AL240" t="n">
        <v>-2682</v>
      </c>
      <c r="AM240" t="n">
        <v>0</v>
      </c>
      <c r="AN240" t="n">
        <v>-1035</v>
      </c>
      <c r="AO240" t="n">
        <v>0</v>
      </c>
      <c r="AP240" t="n">
        <v>-2651</v>
      </c>
      <c r="AQ240" t="n">
        <v>-1647</v>
      </c>
      <c r="AR240" t="n">
        <v>-2651</v>
      </c>
      <c r="AS240" t="n">
        <v>-2682</v>
      </c>
      <c r="AT240" t="n">
        <v>-31</v>
      </c>
      <c r="AU240" t="n">
        <v>0</v>
      </c>
      <c r="AV240" t="n">
        <v>100</v>
      </c>
      <c r="AW240" t="n">
        <v>1</v>
      </c>
      <c r="AX240" t="n">
        <v>27.3</v>
      </c>
      <c r="AY240" t="n">
        <v>0.1</v>
      </c>
      <c r="AZ240" t="n">
        <v>98.90000000000001</v>
      </c>
      <c r="BA240" t="n">
        <v>72.59999999999999</v>
      </c>
      <c r="BB240" t="n">
        <v>100</v>
      </c>
      <c r="BC240" t="n">
        <v>100</v>
      </c>
      <c r="BD240" t="n">
        <v>0</v>
      </c>
      <c r="BE240" t="n">
        <v>0</v>
      </c>
      <c r="BF240" t="n">
        <v>100</v>
      </c>
      <c r="BG240" t="n">
        <v>1</v>
      </c>
      <c r="BH240" t="n">
        <v>27.3</v>
      </c>
      <c r="BI240" t="n">
        <v>0.1</v>
      </c>
      <c r="BJ240" t="n">
        <v>98.90000000000001</v>
      </c>
      <c r="BK240" t="n">
        <v>72.59999999999999</v>
      </c>
      <c r="BL240" t="n">
        <v>100</v>
      </c>
      <c r="BM240" t="n">
        <v>100</v>
      </c>
      <c r="BN240" t="n">
        <v>0</v>
      </c>
      <c r="BO240" t="n">
        <v>0</v>
      </c>
      <c r="BP240" t="n">
        <v>0</v>
      </c>
      <c r="BQ240" t="n">
        <v>0</v>
      </c>
      <c r="BR240" t="n">
        <v>0</v>
      </c>
      <c r="BS240" t="n">
        <v>0</v>
      </c>
      <c r="BT240" t="n">
        <v>0</v>
      </c>
      <c r="BU240" t="n">
        <v>0</v>
      </c>
      <c r="BV240" t="n">
        <v>0</v>
      </c>
      <c r="BW240" t="n">
        <v>0</v>
      </c>
      <c r="BX240" t="n">
        <v>0</v>
      </c>
      <c r="BY240" t="n">
        <v>0</v>
      </c>
      <c r="BZ240" t="n">
        <v>28</v>
      </c>
      <c r="CA240" t="n">
        <v>2</v>
      </c>
      <c r="CB240" t="n">
        <v>4</v>
      </c>
      <c r="CC240" t="n">
        <v>2</v>
      </c>
      <c r="CD240" t="n">
        <v>20</v>
      </c>
      <c r="CE240" t="n">
        <v>15</v>
      </c>
      <c r="CF240" t="n">
        <v>23</v>
      </c>
      <c r="CG240" t="n">
        <v>20</v>
      </c>
      <c r="CH240" t="n">
        <v>28</v>
      </c>
      <c r="CI240" t="n">
        <v>2</v>
      </c>
      <c r="CJ240" t="n">
        <v>4</v>
      </c>
      <c r="CK240" t="n">
        <v>2</v>
      </c>
      <c r="CL240" t="n">
        <v>20</v>
      </c>
      <c r="CM240" t="n">
        <v>15</v>
      </c>
      <c r="CN240" t="n">
        <v>23</v>
      </c>
      <c r="CO240" t="n">
        <v>20</v>
      </c>
      <c r="CP240" t="n">
        <v>0</v>
      </c>
      <c r="CQ240" t="n">
        <v>0</v>
      </c>
      <c r="CR240" t="n">
        <v>0</v>
      </c>
      <c r="CS240" t="n">
        <v>0</v>
      </c>
      <c r="CT240" t="n">
        <v>0</v>
      </c>
      <c r="CU240" t="n">
        <v>0</v>
      </c>
      <c r="CV240" t="n">
        <v>0</v>
      </c>
      <c r="CW240" t="n">
        <v>0</v>
      </c>
      <c r="CX240" t="n">
        <v>59.8</v>
      </c>
      <c r="CY240" t="n">
        <v>68.40000000000001</v>
      </c>
      <c r="CZ240" t="n">
        <v>81.40000000000001</v>
      </c>
      <c r="DA240" t="n">
        <v>89.2</v>
      </c>
      <c r="DB240" t="n">
        <v>55.8</v>
      </c>
      <c r="DC240" t="n">
        <v>65.8</v>
      </c>
      <c r="DD240" t="n">
        <v>67.7</v>
      </c>
      <c r="DE240" t="n">
        <v>77.2</v>
      </c>
      <c r="DF240" t="n">
        <v>59.8</v>
      </c>
      <c r="DG240" t="n">
        <v>68.40000000000001</v>
      </c>
      <c r="DH240" t="n">
        <v>81.40000000000001</v>
      </c>
      <c r="DI240" t="n">
        <v>89.2</v>
      </c>
      <c r="DJ240" t="n">
        <v>55.8</v>
      </c>
      <c r="DK240" t="n">
        <v>65.8</v>
      </c>
      <c r="DL240" t="n">
        <v>67.7</v>
      </c>
      <c r="DM240" t="n">
        <v>77.2</v>
      </c>
      <c r="DN240" t="n">
        <v>0</v>
      </c>
      <c r="DO240" t="n">
        <v>0</v>
      </c>
      <c r="DP240" t="n">
        <v>0</v>
      </c>
      <c r="DQ240" t="n">
        <v>0</v>
      </c>
      <c r="DR240" t="n">
        <v>0</v>
      </c>
      <c r="DS240" t="n">
        <v>0</v>
      </c>
      <c r="DT240" t="n">
        <v>0</v>
      </c>
      <c r="DU240" t="n">
        <v>0</v>
      </c>
      <c r="DV240" t="inlineStr">
        <is>
          <t>1 Mwh per Peak Hour</t>
        </is>
      </c>
    </row>
    <row r="241">
      <c r="A241" t="inlineStr">
        <is>
          <t>ERCOT HOUSTON 345KV RT PK FIX - ICE FUTURES ENERGY DIV</t>
        </is>
      </c>
      <c r="B241" t="n">
        <v>230103</v>
      </c>
      <c r="C241" s="1" t="n">
        <v>44929</v>
      </c>
      <c r="D241" t="inlineStr">
        <is>
          <t>06439N</t>
        </is>
      </c>
      <c r="E241" t="inlineStr">
        <is>
          <t>IFED</t>
        </is>
      </c>
      <c r="F241" t="inlineStr">
        <is>
          <t>01</t>
        </is>
      </c>
      <c r="G241" t="inlineStr">
        <is>
          <t xml:space="preserve">064 </t>
        </is>
      </c>
      <c r="H241" t="n">
        <v>42132</v>
      </c>
      <c r="I241" s="17" t="n">
        <v>389</v>
      </c>
      <c r="J241" s="17" t="n">
        <v>11820</v>
      </c>
      <c r="K241" t="n">
        <v>39</v>
      </c>
      <c r="L241" t="n">
        <v>41665</v>
      </c>
      <c r="M241" t="n">
        <v>30273</v>
      </c>
      <c r="N241" t="n">
        <v>42093</v>
      </c>
      <c r="O241" t="n">
        <v>42132</v>
      </c>
      <c r="P241" t="n">
        <v>39</v>
      </c>
      <c r="Q241" t="n">
        <v>0</v>
      </c>
      <c r="R241" t="n">
        <v>42132</v>
      </c>
      <c r="S241" t="n">
        <v>389</v>
      </c>
      <c r="T241" t="n">
        <v>11820</v>
      </c>
      <c r="U241" t="n">
        <v>39</v>
      </c>
      <c r="V241" t="n">
        <v>41665</v>
      </c>
      <c r="W241" t="n">
        <v>30273</v>
      </c>
      <c r="X241" t="n">
        <v>42093</v>
      </c>
      <c r="Y241" t="n">
        <v>42132</v>
      </c>
      <c r="Z241" t="n">
        <v>39</v>
      </c>
      <c r="AA241" t="n">
        <v>0</v>
      </c>
      <c r="AB241" t="n">
        <v>0</v>
      </c>
      <c r="AC241" t="n">
        <v>0</v>
      </c>
      <c r="AD241" t="n">
        <v>0</v>
      </c>
      <c r="AE241" t="n">
        <v>0</v>
      </c>
      <c r="AF241" t="n">
        <v>0</v>
      </c>
      <c r="AG241" t="n">
        <v>0</v>
      </c>
      <c r="AH241" t="n">
        <v>0</v>
      </c>
      <c r="AI241" t="n">
        <v>0</v>
      </c>
      <c r="AJ241" t="n">
        <v>0</v>
      </c>
      <c r="AK241" t="n">
        <v>0</v>
      </c>
      <c r="AL241" t="n">
        <v>120</v>
      </c>
      <c r="AM241" t="n">
        <v>1</v>
      </c>
      <c r="AN241" t="n">
        <v>0</v>
      </c>
      <c r="AO241" t="n">
        <v>0</v>
      </c>
      <c r="AP241" t="n">
        <v>119</v>
      </c>
      <c r="AQ241" t="n">
        <v>120</v>
      </c>
      <c r="AR241" t="n">
        <v>120</v>
      </c>
      <c r="AS241" t="n">
        <v>120</v>
      </c>
      <c r="AT241" t="n">
        <v>0</v>
      </c>
      <c r="AU241" t="n">
        <v>0</v>
      </c>
      <c r="AV241" t="n">
        <v>100</v>
      </c>
      <c r="AW241" t="n">
        <v>0.9</v>
      </c>
      <c r="AX241" t="n">
        <v>28.1</v>
      </c>
      <c r="AY241" t="n">
        <v>0.1</v>
      </c>
      <c r="AZ241" t="n">
        <v>98.90000000000001</v>
      </c>
      <c r="BA241" t="n">
        <v>71.90000000000001</v>
      </c>
      <c r="BB241" t="n">
        <v>99.90000000000001</v>
      </c>
      <c r="BC241" t="n">
        <v>100</v>
      </c>
      <c r="BD241" t="n">
        <v>0.1</v>
      </c>
      <c r="BE241" t="n">
        <v>0</v>
      </c>
      <c r="BF241" t="n">
        <v>100</v>
      </c>
      <c r="BG241" t="n">
        <v>0.9</v>
      </c>
      <c r="BH241" t="n">
        <v>28.1</v>
      </c>
      <c r="BI241" t="n">
        <v>0.1</v>
      </c>
      <c r="BJ241" t="n">
        <v>98.90000000000001</v>
      </c>
      <c r="BK241" t="n">
        <v>71.90000000000001</v>
      </c>
      <c r="BL241" t="n">
        <v>99.90000000000001</v>
      </c>
      <c r="BM241" t="n">
        <v>100</v>
      </c>
      <c r="BN241" t="n">
        <v>0.1</v>
      </c>
      <c r="BO241" t="n">
        <v>0</v>
      </c>
      <c r="BP241" t="n">
        <v>0</v>
      </c>
      <c r="BQ241" t="n">
        <v>0</v>
      </c>
      <c r="BR241" t="n">
        <v>0</v>
      </c>
      <c r="BS241" t="n">
        <v>0</v>
      </c>
      <c r="BT241" t="n">
        <v>0</v>
      </c>
      <c r="BU241" t="n">
        <v>0</v>
      </c>
      <c r="BV241" t="n">
        <v>0</v>
      </c>
      <c r="BW241" t="n">
        <v>0</v>
      </c>
      <c r="BX241" t="n">
        <v>0</v>
      </c>
      <c r="BY241" t="n">
        <v>0</v>
      </c>
      <c r="BZ241" t="n">
        <v>29</v>
      </c>
      <c r="CA241" t="n">
        <v>2</v>
      </c>
      <c r="CB241" t="n">
        <v>5</v>
      </c>
      <c r="CC241" t="n">
        <v>2</v>
      </c>
      <c r="CD241" t="n">
        <v>21</v>
      </c>
      <c r="CE241" t="n">
        <v>17</v>
      </c>
      <c r="CF241" t="n">
        <v>24</v>
      </c>
      <c r="CG241" t="n">
        <v>23</v>
      </c>
      <c r="CH241" t="n">
        <v>29</v>
      </c>
      <c r="CI241" t="n">
        <v>2</v>
      </c>
      <c r="CJ241" t="n">
        <v>5</v>
      </c>
      <c r="CK241" t="n">
        <v>2</v>
      </c>
      <c r="CL241" t="n">
        <v>21</v>
      </c>
      <c r="CM241" t="n">
        <v>17</v>
      </c>
      <c r="CN241" t="n">
        <v>24</v>
      </c>
      <c r="CO241" t="n">
        <v>23</v>
      </c>
      <c r="CP241" t="n">
        <v>0</v>
      </c>
      <c r="CQ241" t="n">
        <v>0</v>
      </c>
      <c r="CR241" t="n">
        <v>0</v>
      </c>
      <c r="CS241" t="n">
        <v>0</v>
      </c>
      <c r="CT241" t="n">
        <v>0</v>
      </c>
      <c r="CU241" t="n">
        <v>0</v>
      </c>
      <c r="CV241" t="n">
        <v>0</v>
      </c>
      <c r="CW241" t="n">
        <v>0</v>
      </c>
      <c r="CX241" t="n">
        <v>59.8</v>
      </c>
      <c r="CY241" t="n">
        <v>67.2</v>
      </c>
      <c r="CZ241" t="n">
        <v>80.90000000000001</v>
      </c>
      <c r="DA241" t="n">
        <v>86.7</v>
      </c>
      <c r="DB241" t="n">
        <v>52.7</v>
      </c>
      <c r="DC241" t="n">
        <v>64.5</v>
      </c>
      <c r="DD241" t="n">
        <v>64</v>
      </c>
      <c r="DE241" t="n">
        <v>74.5</v>
      </c>
      <c r="DF241" t="n">
        <v>59.8</v>
      </c>
      <c r="DG241" t="n">
        <v>67.2</v>
      </c>
      <c r="DH241" t="n">
        <v>80.90000000000001</v>
      </c>
      <c r="DI241" t="n">
        <v>86.7</v>
      </c>
      <c r="DJ241" t="n">
        <v>52.7</v>
      </c>
      <c r="DK241" t="n">
        <v>64.5</v>
      </c>
      <c r="DL241" t="n">
        <v>64</v>
      </c>
      <c r="DM241" t="n">
        <v>74.5</v>
      </c>
      <c r="DN241" t="n">
        <v>0</v>
      </c>
      <c r="DO241" t="n">
        <v>0</v>
      </c>
      <c r="DP241" t="n">
        <v>0</v>
      </c>
      <c r="DQ241" t="n">
        <v>0</v>
      </c>
      <c r="DR241" t="n">
        <v>0</v>
      </c>
      <c r="DS241" t="n">
        <v>0</v>
      </c>
      <c r="DT241" t="n">
        <v>0</v>
      </c>
      <c r="DU241" t="n">
        <v>0</v>
      </c>
      <c r="DV241" t="inlineStr">
        <is>
          <t>1 Mwh per Peak Hour</t>
        </is>
      </c>
    </row>
    <row r="242">
      <c r="A242" t="inlineStr">
        <is>
          <t>ERCOT Houston 345KV RT OFF FIX - ICE FUTURES ENERGY DIV</t>
        </is>
      </c>
      <c r="B242" t="n">
        <v>230110</v>
      </c>
      <c r="C242" s="1" t="n">
        <v>44936</v>
      </c>
      <c r="D242" t="inlineStr">
        <is>
          <t>06439Q</t>
        </is>
      </c>
      <c r="E242" t="inlineStr">
        <is>
          <t>IFED</t>
        </is>
      </c>
      <c r="F242" t="inlineStr">
        <is>
          <t>01</t>
        </is>
      </c>
      <c r="G242" t="inlineStr">
        <is>
          <t xml:space="preserve">064 </t>
        </is>
      </c>
      <c r="H242" t="n">
        <v>36717</v>
      </c>
      <c r="I242" s="17" t="n">
        <v>401</v>
      </c>
      <c r="J242" s="17" t="n">
        <v>8300</v>
      </c>
      <c r="K242" t="n">
        <v>350</v>
      </c>
      <c r="L242" t="n">
        <v>35756</v>
      </c>
      <c r="M242" t="n">
        <v>27955</v>
      </c>
      <c r="N242" t="n">
        <v>36507</v>
      </c>
      <c r="O242" t="n">
        <v>36605</v>
      </c>
      <c r="P242" t="n">
        <v>210</v>
      </c>
      <c r="Q242" t="n">
        <v>112</v>
      </c>
      <c r="R242" t="n">
        <v>36717</v>
      </c>
      <c r="S242" t="n">
        <v>401</v>
      </c>
      <c r="T242" t="n">
        <v>8300</v>
      </c>
      <c r="U242" t="n">
        <v>350</v>
      </c>
      <c r="V242" t="n">
        <v>35756</v>
      </c>
      <c r="W242" t="n">
        <v>27955</v>
      </c>
      <c r="X242" t="n">
        <v>36507</v>
      </c>
      <c r="Y242" t="n">
        <v>36605</v>
      </c>
      <c r="Z242" t="n">
        <v>210</v>
      </c>
      <c r="AA242" t="n">
        <v>112</v>
      </c>
      <c r="AB242" t="n">
        <v>0</v>
      </c>
      <c r="AC242" t="n">
        <v>0</v>
      </c>
      <c r="AD242" t="n">
        <v>0</v>
      </c>
      <c r="AE242" t="n">
        <v>0</v>
      </c>
      <c r="AF242" t="n">
        <v>0</v>
      </c>
      <c r="AG242" t="n">
        <v>0</v>
      </c>
      <c r="AH242" t="n">
        <v>0</v>
      </c>
      <c r="AI242" t="n">
        <v>0</v>
      </c>
      <c r="AJ242" t="n">
        <v>0</v>
      </c>
      <c r="AK242" t="n">
        <v>0</v>
      </c>
      <c r="AL242" t="n">
        <v>-1883</v>
      </c>
      <c r="AM242" t="n">
        <v>150</v>
      </c>
      <c r="AN242" t="n">
        <v>-1225</v>
      </c>
      <c r="AO242" t="n">
        <v>350</v>
      </c>
      <c r="AP242" t="n">
        <v>-2563</v>
      </c>
      <c r="AQ242" t="n">
        <v>-998</v>
      </c>
      <c r="AR242" t="n">
        <v>-2063</v>
      </c>
      <c r="AS242" t="n">
        <v>-1873</v>
      </c>
      <c r="AT242" t="n">
        <v>180</v>
      </c>
      <c r="AU242" t="n">
        <v>-10</v>
      </c>
      <c r="AV242" t="n">
        <v>100</v>
      </c>
      <c r="AW242" t="n">
        <v>1.1</v>
      </c>
      <c r="AX242" t="n">
        <v>22.6</v>
      </c>
      <c r="AY242" t="n">
        <v>1</v>
      </c>
      <c r="AZ242" t="n">
        <v>97.40000000000001</v>
      </c>
      <c r="BA242" t="n">
        <v>76.09999999999999</v>
      </c>
      <c r="BB242" t="n">
        <v>99.40000000000001</v>
      </c>
      <c r="BC242" t="n">
        <v>99.7</v>
      </c>
      <c r="BD242" t="n">
        <v>0.6</v>
      </c>
      <c r="BE242" t="n">
        <v>0.3</v>
      </c>
      <c r="BF242" t="n">
        <v>100</v>
      </c>
      <c r="BG242" t="n">
        <v>1.1</v>
      </c>
      <c r="BH242" t="n">
        <v>22.6</v>
      </c>
      <c r="BI242" t="n">
        <v>1</v>
      </c>
      <c r="BJ242" t="n">
        <v>97.40000000000001</v>
      </c>
      <c r="BK242" t="n">
        <v>76.09999999999999</v>
      </c>
      <c r="BL242" t="n">
        <v>99.40000000000001</v>
      </c>
      <c r="BM242" t="n">
        <v>99.7</v>
      </c>
      <c r="BN242" t="n">
        <v>0.6</v>
      </c>
      <c r="BO242" t="n">
        <v>0.3</v>
      </c>
      <c r="BP242" t="n">
        <v>0</v>
      </c>
      <c r="BQ242" t="n">
        <v>0</v>
      </c>
      <c r="BR242" t="n">
        <v>0</v>
      </c>
      <c r="BS242" t="n">
        <v>0</v>
      </c>
      <c r="BT242" t="n">
        <v>0</v>
      </c>
      <c r="BU242" t="n">
        <v>0</v>
      </c>
      <c r="BV242" t="n">
        <v>0</v>
      </c>
      <c r="BW242" t="n">
        <v>0</v>
      </c>
      <c r="BX242" t="n">
        <v>0</v>
      </c>
      <c r="BY242" t="n">
        <v>0</v>
      </c>
      <c r="BZ242" t="n">
        <v>24</v>
      </c>
      <c r="CA242" t="n">
        <v>2</v>
      </c>
      <c r="CB242" t="n">
        <v>2</v>
      </c>
      <c r="CC242" t="n">
        <v>1</v>
      </c>
      <c r="CD242" t="n">
        <v>19</v>
      </c>
      <c r="CE242" t="n">
        <v>12</v>
      </c>
      <c r="CF242" t="n">
        <v>21</v>
      </c>
      <c r="CG242" t="n">
        <v>15</v>
      </c>
      <c r="CH242" t="n">
        <v>24</v>
      </c>
      <c r="CI242" t="n">
        <v>2</v>
      </c>
      <c r="CJ242" t="n">
        <v>2</v>
      </c>
      <c r="CK242" t="n">
        <v>1</v>
      </c>
      <c r="CL242" t="n">
        <v>19</v>
      </c>
      <c r="CM242" t="n">
        <v>12</v>
      </c>
      <c r="CN242" t="n">
        <v>21</v>
      </c>
      <c r="CO242" t="n">
        <v>15</v>
      </c>
      <c r="CP242" t="n">
        <v>0</v>
      </c>
      <c r="CQ242" t="n">
        <v>0</v>
      </c>
      <c r="CR242" t="n">
        <v>0</v>
      </c>
      <c r="CS242" t="n">
        <v>0</v>
      </c>
      <c r="CT242" t="n">
        <v>0</v>
      </c>
      <c r="CU242" t="n">
        <v>0</v>
      </c>
      <c r="CV242" t="n">
        <v>0</v>
      </c>
      <c r="CW242" t="n">
        <v>0</v>
      </c>
      <c r="CX242" t="n">
        <v>62.3</v>
      </c>
      <c r="CY242" t="n">
        <v>74</v>
      </c>
      <c r="CZ242" t="n">
        <v>81.5</v>
      </c>
      <c r="DA242" t="n">
        <v>94</v>
      </c>
      <c r="DB242" t="n">
        <v>59.8</v>
      </c>
      <c r="DC242" t="n">
        <v>71.5</v>
      </c>
      <c r="DD242" t="n">
        <v>74</v>
      </c>
      <c r="DE242" t="n">
        <v>81.5</v>
      </c>
      <c r="DF242" t="n">
        <v>62.3</v>
      </c>
      <c r="DG242" t="n">
        <v>74</v>
      </c>
      <c r="DH242" t="n">
        <v>81.5</v>
      </c>
      <c r="DI242" t="n">
        <v>94</v>
      </c>
      <c r="DJ242" t="n">
        <v>59.8</v>
      </c>
      <c r="DK242" t="n">
        <v>71.5</v>
      </c>
      <c r="DL242" t="n">
        <v>74</v>
      </c>
      <c r="DM242" t="n">
        <v>81.5</v>
      </c>
      <c r="DN242" t="n">
        <v>0</v>
      </c>
      <c r="DO242" t="n">
        <v>0</v>
      </c>
      <c r="DP242" t="n">
        <v>0</v>
      </c>
      <c r="DQ242" t="n">
        <v>0</v>
      </c>
      <c r="DR242" t="n">
        <v>0</v>
      </c>
      <c r="DS242" t="n">
        <v>0</v>
      </c>
      <c r="DT242" t="n">
        <v>0</v>
      </c>
      <c r="DU242" t="n">
        <v>0</v>
      </c>
      <c r="DV242" t="inlineStr">
        <is>
          <t>1 MW</t>
        </is>
      </c>
    </row>
    <row r="243">
      <c r="A243" t="inlineStr">
        <is>
          <t>ERCOT Houston 345KV RT OFF FIX - ICE FUTURES ENERGY DIV</t>
        </is>
      </c>
      <c r="B243" t="n">
        <v>230103</v>
      </c>
      <c r="C243" s="1" t="n">
        <v>44929</v>
      </c>
      <c r="D243" t="inlineStr">
        <is>
          <t>06439Q</t>
        </is>
      </c>
      <c r="E243" t="inlineStr">
        <is>
          <t>IFED</t>
        </is>
      </c>
      <c r="F243" t="inlineStr">
        <is>
          <t>01</t>
        </is>
      </c>
      <c r="G243" t="inlineStr">
        <is>
          <t xml:space="preserve">064 </t>
        </is>
      </c>
      <c r="H243" t="n">
        <v>38600</v>
      </c>
      <c r="I243" s="17" t="n">
        <v>251</v>
      </c>
      <c r="J243" s="17" t="n">
        <v>9525</v>
      </c>
      <c r="K243" t="n">
        <v>0</v>
      </c>
      <c r="L243" t="n">
        <v>38319</v>
      </c>
      <c r="M243" t="n">
        <v>28953</v>
      </c>
      <c r="N243" t="n">
        <v>38570</v>
      </c>
      <c r="O243" t="n">
        <v>38478</v>
      </c>
      <c r="P243" t="n">
        <v>30</v>
      </c>
      <c r="Q243" t="n">
        <v>122</v>
      </c>
      <c r="R243" t="n">
        <v>38600</v>
      </c>
      <c r="S243" t="n">
        <v>251</v>
      </c>
      <c r="T243" t="n">
        <v>9525</v>
      </c>
      <c r="U243" t="n">
        <v>0</v>
      </c>
      <c r="V243" t="n">
        <v>38319</v>
      </c>
      <c r="W243" t="n">
        <v>28953</v>
      </c>
      <c r="X243" t="n">
        <v>38570</v>
      </c>
      <c r="Y243" t="n">
        <v>38478</v>
      </c>
      <c r="Z243" t="n">
        <v>30</v>
      </c>
      <c r="AA243" t="n">
        <v>122</v>
      </c>
      <c r="AB243" t="n">
        <v>0</v>
      </c>
      <c r="AC243" t="n">
        <v>0</v>
      </c>
      <c r="AD243" t="n">
        <v>0</v>
      </c>
      <c r="AE243" t="n">
        <v>0</v>
      </c>
      <c r="AF243" t="n">
        <v>0</v>
      </c>
      <c r="AG243" t="n">
        <v>0</v>
      </c>
      <c r="AH243" t="n">
        <v>0</v>
      </c>
      <c r="AI243" t="n">
        <v>0</v>
      </c>
      <c r="AJ243" t="n">
        <v>0</v>
      </c>
      <c r="AK243" t="n">
        <v>0</v>
      </c>
      <c r="AL243" t="n">
        <v>60</v>
      </c>
      <c r="AM243" t="n">
        <v>1</v>
      </c>
      <c r="AN243" t="n">
        <v>0</v>
      </c>
      <c r="AO243" t="n">
        <v>0</v>
      </c>
      <c r="AP243" t="n">
        <v>59</v>
      </c>
      <c r="AQ243" t="n">
        <v>60</v>
      </c>
      <c r="AR243" t="n">
        <v>60</v>
      </c>
      <c r="AS243" t="n">
        <v>60</v>
      </c>
      <c r="AT243" t="n">
        <v>0</v>
      </c>
      <c r="AU243" t="n">
        <v>0</v>
      </c>
      <c r="AV243" t="n">
        <v>100</v>
      </c>
      <c r="AW243" t="n">
        <v>0.7</v>
      </c>
      <c r="AX243" t="n">
        <v>24.7</v>
      </c>
      <c r="AY243" t="n">
        <v>0</v>
      </c>
      <c r="AZ243" t="n">
        <v>99.3</v>
      </c>
      <c r="BA243" t="n">
        <v>75</v>
      </c>
      <c r="BB243" t="n">
        <v>99.90000000000001</v>
      </c>
      <c r="BC243" t="n">
        <v>99.7</v>
      </c>
      <c r="BD243" t="n">
        <v>0.1</v>
      </c>
      <c r="BE243" t="n">
        <v>0.3</v>
      </c>
      <c r="BF243" t="n">
        <v>100</v>
      </c>
      <c r="BG243" t="n">
        <v>0.7</v>
      </c>
      <c r="BH243" t="n">
        <v>24.7</v>
      </c>
      <c r="BI243" t="n">
        <v>0</v>
      </c>
      <c r="BJ243" t="n">
        <v>99.3</v>
      </c>
      <c r="BK243" t="n">
        <v>75</v>
      </c>
      <c r="BL243" t="n">
        <v>99.90000000000001</v>
      </c>
      <c r="BM243" t="n">
        <v>99.7</v>
      </c>
      <c r="BN243" t="n">
        <v>0.1</v>
      </c>
      <c r="BO243" t="n">
        <v>0.3</v>
      </c>
      <c r="BP243" t="n">
        <v>0</v>
      </c>
      <c r="BQ243" t="n">
        <v>0</v>
      </c>
      <c r="BR243" t="n">
        <v>0</v>
      </c>
      <c r="BS243" t="n">
        <v>0</v>
      </c>
      <c r="BT243" t="n">
        <v>0</v>
      </c>
      <c r="BU243" t="n">
        <v>0</v>
      </c>
      <c r="BV243" t="n">
        <v>0</v>
      </c>
      <c r="BW243" t="n">
        <v>0</v>
      </c>
      <c r="BX243" t="n">
        <v>0</v>
      </c>
      <c r="BY243" t="n">
        <v>0</v>
      </c>
      <c r="BZ243" t="n">
        <v>25</v>
      </c>
      <c r="CA243" t="n">
        <v>1</v>
      </c>
      <c r="CB243" t="n">
        <v>3</v>
      </c>
      <c r="CC243" t="n">
        <v>0</v>
      </c>
      <c r="CD243" t="n">
        <v>21</v>
      </c>
      <c r="CE243" t="n">
        <v>14</v>
      </c>
      <c r="CF243" t="n">
        <v>22</v>
      </c>
      <c r="CG243" t="n">
        <v>17</v>
      </c>
      <c r="CH243" t="n">
        <v>25</v>
      </c>
      <c r="CI243" t="n">
        <v>1</v>
      </c>
      <c r="CJ243" t="n">
        <v>3</v>
      </c>
      <c r="CK243" t="n">
        <v>0</v>
      </c>
      <c r="CL243" t="n">
        <v>21</v>
      </c>
      <c r="CM243" t="n">
        <v>14</v>
      </c>
      <c r="CN243" t="n">
        <v>22</v>
      </c>
      <c r="CO243" t="n">
        <v>17</v>
      </c>
      <c r="CP243" t="n">
        <v>0</v>
      </c>
      <c r="CQ243" t="n">
        <v>0</v>
      </c>
      <c r="CR243" t="n">
        <v>0</v>
      </c>
      <c r="CS243" t="n">
        <v>0</v>
      </c>
      <c r="CT243" t="n">
        <v>0</v>
      </c>
      <c r="CU243" t="n">
        <v>0</v>
      </c>
      <c r="CV243" t="n">
        <v>0</v>
      </c>
      <c r="CW243" t="n">
        <v>0</v>
      </c>
      <c r="CX243" t="n">
        <v>61.9</v>
      </c>
      <c r="CY243" t="n">
        <v>73.7</v>
      </c>
      <c r="CZ243" t="n">
        <v>82.59999999999999</v>
      </c>
      <c r="DA243" t="n">
        <v>92.5</v>
      </c>
      <c r="DB243" t="n">
        <v>57.8</v>
      </c>
      <c r="DC243" t="n">
        <v>70.59999999999999</v>
      </c>
      <c r="DD243" t="n">
        <v>71.40000000000001</v>
      </c>
      <c r="DE243" t="n">
        <v>77.8</v>
      </c>
      <c r="DF243" t="n">
        <v>61.9</v>
      </c>
      <c r="DG243" t="n">
        <v>73.7</v>
      </c>
      <c r="DH243" t="n">
        <v>82.59999999999999</v>
      </c>
      <c r="DI243" t="n">
        <v>92.5</v>
      </c>
      <c r="DJ243" t="n">
        <v>57.8</v>
      </c>
      <c r="DK243" t="n">
        <v>70.59999999999999</v>
      </c>
      <c r="DL243" t="n">
        <v>71.40000000000001</v>
      </c>
      <c r="DM243" t="n">
        <v>77.8</v>
      </c>
      <c r="DN243" t="n">
        <v>0</v>
      </c>
      <c r="DO243" t="n">
        <v>0</v>
      </c>
      <c r="DP243" t="n">
        <v>0</v>
      </c>
      <c r="DQ243" t="n">
        <v>0</v>
      </c>
      <c r="DR243" t="n">
        <v>0</v>
      </c>
      <c r="DS243" t="n">
        <v>0</v>
      </c>
      <c r="DT243" t="n">
        <v>0</v>
      </c>
      <c r="DU243" t="n">
        <v>0</v>
      </c>
      <c r="DV243" t="inlineStr">
        <is>
          <t>1 MW</t>
        </is>
      </c>
    </row>
    <row r="244">
      <c r="A244" t="inlineStr">
        <is>
          <t>ERCOT NORTH 345KV RT PK FIX - ICE FUTURES ENERGY DIV</t>
        </is>
      </c>
      <c r="B244" t="n">
        <v>230110</v>
      </c>
      <c r="C244" s="1" t="n">
        <v>44936</v>
      </c>
      <c r="D244" t="inlineStr">
        <is>
          <t>06439R</t>
        </is>
      </c>
      <c r="E244" t="inlineStr">
        <is>
          <t>IFED</t>
        </is>
      </c>
      <c r="F244" t="inlineStr">
        <is>
          <t>01</t>
        </is>
      </c>
      <c r="G244" t="inlineStr">
        <is>
          <t xml:space="preserve">064 </t>
        </is>
      </c>
      <c r="H244" t="n">
        <v>142812</v>
      </c>
      <c r="I244" s="17" t="n">
        <v>18467</v>
      </c>
      <c r="J244" s="17" t="n">
        <v>8059</v>
      </c>
      <c r="K244" t="n">
        <v>7641</v>
      </c>
      <c r="L244" t="n">
        <v>115903</v>
      </c>
      <c r="M244" t="n">
        <v>126970</v>
      </c>
      <c r="N244" t="n">
        <v>142011</v>
      </c>
      <c r="O244" t="n">
        <v>142670</v>
      </c>
      <c r="P244" t="n">
        <v>801</v>
      </c>
      <c r="Q244" t="n">
        <v>142</v>
      </c>
      <c r="R244" t="n">
        <v>142812</v>
      </c>
      <c r="S244" t="n">
        <v>18467</v>
      </c>
      <c r="T244" t="n">
        <v>8059</v>
      </c>
      <c r="U244" t="n">
        <v>7641</v>
      </c>
      <c r="V244" t="n">
        <v>115903</v>
      </c>
      <c r="W244" t="n">
        <v>126970</v>
      </c>
      <c r="X244" t="n">
        <v>142011</v>
      </c>
      <c r="Y244" t="n">
        <v>142670</v>
      </c>
      <c r="Z244" t="n">
        <v>801</v>
      </c>
      <c r="AA244" t="n">
        <v>142</v>
      </c>
      <c r="AB244" t="n">
        <v>0</v>
      </c>
      <c r="AC244" t="n">
        <v>0</v>
      </c>
      <c r="AD244" t="n">
        <v>0</v>
      </c>
      <c r="AE244" t="n">
        <v>0</v>
      </c>
      <c r="AF244" t="n">
        <v>0</v>
      </c>
      <c r="AG244" t="n">
        <v>0</v>
      </c>
      <c r="AH244" t="n">
        <v>0</v>
      </c>
      <c r="AI244" t="n">
        <v>0</v>
      </c>
      <c r="AJ244" t="n">
        <v>0</v>
      </c>
      <c r="AK244" t="n">
        <v>0</v>
      </c>
      <c r="AL244" t="n">
        <v>-3645</v>
      </c>
      <c r="AM244" t="n">
        <v>938</v>
      </c>
      <c r="AN244" t="n">
        <v>2079</v>
      </c>
      <c r="AO244" t="n">
        <v>-469</v>
      </c>
      <c r="AP244" t="n">
        <v>-4181</v>
      </c>
      <c r="AQ244" t="n">
        <v>-5234</v>
      </c>
      <c r="AR244" t="n">
        <v>-3712</v>
      </c>
      <c r="AS244" t="n">
        <v>-3624</v>
      </c>
      <c r="AT244" t="n">
        <v>67</v>
      </c>
      <c r="AU244" t="n">
        <v>-21</v>
      </c>
      <c r="AV244" t="n">
        <v>100</v>
      </c>
      <c r="AW244" t="n">
        <v>12.9</v>
      </c>
      <c r="AX244" t="n">
        <v>5.6</v>
      </c>
      <c r="AY244" t="n">
        <v>5.4</v>
      </c>
      <c r="AZ244" t="n">
        <v>81.2</v>
      </c>
      <c r="BA244" t="n">
        <v>88.90000000000001</v>
      </c>
      <c r="BB244" t="n">
        <v>99.40000000000001</v>
      </c>
      <c r="BC244" t="n">
        <v>99.90000000000001</v>
      </c>
      <c r="BD244" t="n">
        <v>0.6</v>
      </c>
      <c r="BE244" t="n">
        <v>0.1</v>
      </c>
      <c r="BF244" t="n">
        <v>100</v>
      </c>
      <c r="BG244" t="n">
        <v>12.9</v>
      </c>
      <c r="BH244" t="n">
        <v>5.6</v>
      </c>
      <c r="BI244" t="n">
        <v>5.4</v>
      </c>
      <c r="BJ244" t="n">
        <v>81.2</v>
      </c>
      <c r="BK244" t="n">
        <v>88.90000000000001</v>
      </c>
      <c r="BL244" t="n">
        <v>99.40000000000001</v>
      </c>
      <c r="BM244" t="n">
        <v>99.90000000000001</v>
      </c>
      <c r="BN244" t="n">
        <v>0.6</v>
      </c>
      <c r="BO244" t="n">
        <v>0.1</v>
      </c>
      <c r="BP244" t="n">
        <v>0</v>
      </c>
      <c r="BQ244" t="n">
        <v>0</v>
      </c>
      <c r="BR244" t="n">
        <v>0</v>
      </c>
      <c r="BS244" t="n">
        <v>0</v>
      </c>
      <c r="BT244" t="n">
        <v>0</v>
      </c>
      <c r="BU244" t="n">
        <v>0</v>
      </c>
      <c r="BV244" t="n">
        <v>0</v>
      </c>
      <c r="BW244" t="n">
        <v>0</v>
      </c>
      <c r="BX244" t="n">
        <v>0</v>
      </c>
      <c r="BY244" t="n">
        <v>0</v>
      </c>
      <c r="BZ244" t="n">
        <v>67</v>
      </c>
      <c r="CA244" t="n">
        <v>11</v>
      </c>
      <c r="CB244" t="n">
        <v>11</v>
      </c>
      <c r="CC244" t="n">
        <v>13</v>
      </c>
      <c r="CD244" t="n">
        <v>38</v>
      </c>
      <c r="CE244" t="n">
        <v>40</v>
      </c>
      <c r="CF244" t="n">
        <v>56</v>
      </c>
      <c r="CG244" t="n">
        <v>57</v>
      </c>
      <c r="CH244" t="n">
        <v>67</v>
      </c>
      <c r="CI244" t="n">
        <v>11</v>
      </c>
      <c r="CJ244" t="n">
        <v>11</v>
      </c>
      <c r="CK244" t="n">
        <v>13</v>
      </c>
      <c r="CL244" t="n">
        <v>38</v>
      </c>
      <c r="CM244" t="n">
        <v>40</v>
      </c>
      <c r="CN244" t="n">
        <v>56</v>
      </c>
      <c r="CO244" t="n">
        <v>57</v>
      </c>
      <c r="CP244" t="n">
        <v>0</v>
      </c>
      <c r="CQ244" t="n">
        <v>0</v>
      </c>
      <c r="CR244" t="n">
        <v>0</v>
      </c>
      <c r="CS244" t="n">
        <v>0</v>
      </c>
      <c r="CT244" t="n">
        <v>0</v>
      </c>
      <c r="CU244" t="n">
        <v>0</v>
      </c>
      <c r="CV244" t="n">
        <v>0</v>
      </c>
      <c r="CW244" t="n">
        <v>0</v>
      </c>
      <c r="CX244" t="n">
        <v>46.3</v>
      </c>
      <c r="CY244" t="n">
        <v>52.7</v>
      </c>
      <c r="CZ244" t="n">
        <v>65.09999999999999</v>
      </c>
      <c r="DA244" t="n">
        <v>69.7</v>
      </c>
      <c r="DB244" t="n">
        <v>37.7</v>
      </c>
      <c r="DC244" t="n">
        <v>41.6</v>
      </c>
      <c r="DD244" t="n">
        <v>45.6</v>
      </c>
      <c r="DE244" t="n">
        <v>49.6</v>
      </c>
      <c r="DF244" t="n">
        <v>46.3</v>
      </c>
      <c r="DG244" t="n">
        <v>52.7</v>
      </c>
      <c r="DH244" t="n">
        <v>65.09999999999999</v>
      </c>
      <c r="DI244" t="n">
        <v>69.7</v>
      </c>
      <c r="DJ244" t="n">
        <v>37.7</v>
      </c>
      <c r="DK244" t="n">
        <v>41.6</v>
      </c>
      <c r="DL244" t="n">
        <v>45.6</v>
      </c>
      <c r="DM244" t="n">
        <v>49.6</v>
      </c>
      <c r="DN244" t="n">
        <v>0</v>
      </c>
      <c r="DO244" t="n">
        <v>0</v>
      </c>
      <c r="DP244" t="n">
        <v>0</v>
      </c>
      <c r="DQ244" t="n">
        <v>0</v>
      </c>
      <c r="DR244" t="n">
        <v>0</v>
      </c>
      <c r="DS244" t="n">
        <v>0</v>
      </c>
      <c r="DT244" t="n">
        <v>0</v>
      </c>
      <c r="DU244" t="n">
        <v>0</v>
      </c>
      <c r="DV244" t="inlineStr">
        <is>
          <t>1 Mw per Peak Hour</t>
        </is>
      </c>
    </row>
    <row r="245">
      <c r="A245" t="inlineStr">
        <is>
          <t>ERCOT NORTH 345KV RT PK FIX - ICE FUTURES ENERGY DIV</t>
        </is>
      </c>
      <c r="B245" t="n">
        <v>230103</v>
      </c>
      <c r="C245" s="1" t="n">
        <v>44929</v>
      </c>
      <c r="D245" t="inlineStr">
        <is>
          <t>06439R</t>
        </is>
      </c>
      <c r="E245" t="inlineStr">
        <is>
          <t>IFED</t>
        </is>
      </c>
      <c r="F245" t="inlineStr">
        <is>
          <t>01</t>
        </is>
      </c>
      <c r="G245" t="inlineStr">
        <is>
          <t xml:space="preserve">064 </t>
        </is>
      </c>
      <c r="H245" t="n">
        <v>146457</v>
      </c>
      <c r="I245" s="17" t="n">
        <v>17529</v>
      </c>
      <c r="J245" s="17" t="n">
        <v>5980</v>
      </c>
      <c r="K245" t="n">
        <v>8110</v>
      </c>
      <c r="L245" t="n">
        <v>120084</v>
      </c>
      <c r="M245" t="n">
        <v>132204</v>
      </c>
      <c r="N245" t="n">
        <v>145723</v>
      </c>
      <c r="O245" t="n">
        <v>146294</v>
      </c>
      <c r="P245" t="n">
        <v>734</v>
      </c>
      <c r="Q245" t="n">
        <v>163</v>
      </c>
      <c r="R245" t="n">
        <v>146457</v>
      </c>
      <c r="S245" t="n">
        <v>17529</v>
      </c>
      <c r="T245" t="n">
        <v>5980</v>
      </c>
      <c r="U245" t="n">
        <v>8110</v>
      </c>
      <c r="V245" t="n">
        <v>120084</v>
      </c>
      <c r="W245" t="n">
        <v>132204</v>
      </c>
      <c r="X245" t="n">
        <v>145723</v>
      </c>
      <c r="Y245" t="n">
        <v>146294</v>
      </c>
      <c r="Z245" t="n">
        <v>734</v>
      </c>
      <c r="AA245" t="n">
        <v>163</v>
      </c>
      <c r="AB245" t="n">
        <v>0</v>
      </c>
      <c r="AC245" t="n">
        <v>0</v>
      </c>
      <c r="AD245" t="n">
        <v>0</v>
      </c>
      <c r="AE245" t="n">
        <v>0</v>
      </c>
      <c r="AF245" t="n">
        <v>0</v>
      </c>
      <c r="AG245" t="n">
        <v>0</v>
      </c>
      <c r="AH245" t="n">
        <v>0</v>
      </c>
      <c r="AI245" t="n">
        <v>0</v>
      </c>
      <c r="AJ245" t="n">
        <v>0</v>
      </c>
      <c r="AK245" t="n">
        <v>0</v>
      </c>
      <c r="AL245" t="n">
        <v>-189</v>
      </c>
      <c r="AM245" t="n">
        <v>-301</v>
      </c>
      <c r="AN245" t="n">
        <v>-27</v>
      </c>
      <c r="AO245" t="n">
        <v>53</v>
      </c>
      <c r="AP245" t="n">
        <v>54</v>
      </c>
      <c r="AQ245" t="n">
        <v>-184</v>
      </c>
      <c r="AR245" t="n">
        <v>-194</v>
      </c>
      <c r="AS245" t="n">
        <v>-158</v>
      </c>
      <c r="AT245" t="n">
        <v>5</v>
      </c>
      <c r="AU245" t="n">
        <v>-31</v>
      </c>
      <c r="AV245" t="n">
        <v>100</v>
      </c>
      <c r="AW245" t="n">
        <v>12</v>
      </c>
      <c r="AX245" t="n">
        <v>4.1</v>
      </c>
      <c r="AY245" t="n">
        <v>5.5</v>
      </c>
      <c r="AZ245" t="n">
        <v>82</v>
      </c>
      <c r="BA245" t="n">
        <v>90.3</v>
      </c>
      <c r="BB245" t="n">
        <v>99.5</v>
      </c>
      <c r="BC245" t="n">
        <v>99.90000000000001</v>
      </c>
      <c r="BD245" t="n">
        <v>0.5</v>
      </c>
      <c r="BE245" t="n">
        <v>0.1</v>
      </c>
      <c r="BF245" t="n">
        <v>100</v>
      </c>
      <c r="BG245" t="n">
        <v>12</v>
      </c>
      <c r="BH245" t="n">
        <v>4.1</v>
      </c>
      <c r="BI245" t="n">
        <v>5.5</v>
      </c>
      <c r="BJ245" t="n">
        <v>82</v>
      </c>
      <c r="BK245" t="n">
        <v>90.3</v>
      </c>
      <c r="BL245" t="n">
        <v>99.5</v>
      </c>
      <c r="BM245" t="n">
        <v>99.90000000000001</v>
      </c>
      <c r="BN245" t="n">
        <v>0.5</v>
      </c>
      <c r="BO245" t="n">
        <v>0.1</v>
      </c>
      <c r="BP245" t="n">
        <v>0</v>
      </c>
      <c r="BQ245" t="n">
        <v>0</v>
      </c>
      <c r="BR245" t="n">
        <v>0</v>
      </c>
      <c r="BS245" t="n">
        <v>0</v>
      </c>
      <c r="BT245" t="n">
        <v>0</v>
      </c>
      <c r="BU245" t="n">
        <v>0</v>
      </c>
      <c r="BV245" t="n">
        <v>0</v>
      </c>
      <c r="BW245" t="n">
        <v>0</v>
      </c>
      <c r="BX245" t="n">
        <v>0</v>
      </c>
      <c r="BY245" t="n">
        <v>0</v>
      </c>
      <c r="BZ245" t="n">
        <v>66</v>
      </c>
      <c r="CA245" t="n">
        <v>12</v>
      </c>
      <c r="CB245" t="n">
        <v>10</v>
      </c>
      <c r="CC245" t="n">
        <v>14</v>
      </c>
      <c r="CD245" t="n">
        <v>39</v>
      </c>
      <c r="CE245" t="n">
        <v>41</v>
      </c>
      <c r="CF245" t="n">
        <v>58</v>
      </c>
      <c r="CG245" t="n">
        <v>58</v>
      </c>
      <c r="CH245" t="n">
        <v>66</v>
      </c>
      <c r="CI245" t="n">
        <v>12</v>
      </c>
      <c r="CJ245" t="n">
        <v>10</v>
      </c>
      <c r="CK245" t="n">
        <v>14</v>
      </c>
      <c r="CL245" t="n">
        <v>39</v>
      </c>
      <c r="CM245" t="n">
        <v>41</v>
      </c>
      <c r="CN245" t="n">
        <v>58</v>
      </c>
      <c r="CO245" t="n">
        <v>58</v>
      </c>
      <c r="CP245" t="n">
        <v>0</v>
      </c>
      <c r="CQ245" t="n">
        <v>0</v>
      </c>
      <c r="CR245" t="n">
        <v>0</v>
      </c>
      <c r="CS245" t="n">
        <v>0</v>
      </c>
      <c r="CT245" t="n">
        <v>0</v>
      </c>
      <c r="CU245" t="n">
        <v>0</v>
      </c>
      <c r="CV245" t="n">
        <v>0</v>
      </c>
      <c r="CW245" t="n">
        <v>0</v>
      </c>
      <c r="CX245" t="n">
        <v>43.6</v>
      </c>
      <c r="CY245" t="n">
        <v>54.6</v>
      </c>
      <c r="CZ245" t="n">
        <v>63.9</v>
      </c>
      <c r="DA245" t="n">
        <v>71.2</v>
      </c>
      <c r="DB245" t="n">
        <v>36.2</v>
      </c>
      <c r="DC245" t="n">
        <v>41.6</v>
      </c>
      <c r="DD245" t="n">
        <v>44.3</v>
      </c>
      <c r="DE245" t="n">
        <v>48.5</v>
      </c>
      <c r="DF245" t="n">
        <v>43.6</v>
      </c>
      <c r="DG245" t="n">
        <v>54.6</v>
      </c>
      <c r="DH245" t="n">
        <v>63.9</v>
      </c>
      <c r="DI245" t="n">
        <v>71.2</v>
      </c>
      <c r="DJ245" t="n">
        <v>36.2</v>
      </c>
      <c r="DK245" t="n">
        <v>41.6</v>
      </c>
      <c r="DL245" t="n">
        <v>44.3</v>
      </c>
      <c r="DM245" t="n">
        <v>48.5</v>
      </c>
      <c r="DN245" t="n">
        <v>0</v>
      </c>
      <c r="DO245" t="n">
        <v>0</v>
      </c>
      <c r="DP245" t="n">
        <v>0</v>
      </c>
      <c r="DQ245" t="n">
        <v>0</v>
      </c>
      <c r="DR245" t="n">
        <v>0</v>
      </c>
      <c r="DS245" t="n">
        <v>0</v>
      </c>
      <c r="DT245" t="n">
        <v>0</v>
      </c>
      <c r="DU245" t="n">
        <v>0</v>
      </c>
      <c r="DV245" t="inlineStr">
        <is>
          <t>1 Mw per Peak Hour</t>
        </is>
      </c>
    </row>
    <row r="246">
      <c r="A246" t="inlineStr">
        <is>
          <t>ERCOT SOUTH 345 KV RT PEAK FIX - ICE FUTURES ENERGY DIV</t>
        </is>
      </c>
      <c r="B246" t="n">
        <v>230110</v>
      </c>
      <c r="C246" s="1" t="n">
        <v>44936</v>
      </c>
      <c r="D246" t="inlineStr">
        <is>
          <t>06439S</t>
        </is>
      </c>
      <c r="E246" t="inlineStr">
        <is>
          <t>IFED</t>
        </is>
      </c>
      <c r="F246" t="inlineStr">
        <is>
          <t>01</t>
        </is>
      </c>
      <c r="G246" t="inlineStr">
        <is>
          <t xml:space="preserve">064 </t>
        </is>
      </c>
      <c r="H246" t="n">
        <v>29659</v>
      </c>
      <c r="I246" s="17" t="n">
        <v>0</v>
      </c>
      <c r="J246" s="17" t="n">
        <v>1908</v>
      </c>
      <c r="K246" t="n">
        <v>0</v>
      </c>
      <c r="L246" t="n">
        <v>29003</v>
      </c>
      <c r="M246" t="n">
        <v>27511</v>
      </c>
      <c r="N246" t="n">
        <v>29003</v>
      </c>
      <c r="O246" t="n">
        <v>29419</v>
      </c>
      <c r="P246" t="n">
        <v>656</v>
      </c>
      <c r="Q246" t="n">
        <v>240</v>
      </c>
      <c r="R246" t="n">
        <v>29659</v>
      </c>
      <c r="S246" t="n">
        <v>0</v>
      </c>
      <c r="T246" t="n">
        <v>1908</v>
      </c>
      <c r="U246" t="n">
        <v>0</v>
      </c>
      <c r="V246" t="n">
        <v>29003</v>
      </c>
      <c r="W246" t="n">
        <v>27511</v>
      </c>
      <c r="X246" t="n">
        <v>29003</v>
      </c>
      <c r="Y246" t="n">
        <v>29419</v>
      </c>
      <c r="Z246" t="n">
        <v>656</v>
      </c>
      <c r="AA246" t="n">
        <v>240</v>
      </c>
      <c r="AB246" t="n">
        <v>0</v>
      </c>
      <c r="AC246" t="n">
        <v>0</v>
      </c>
      <c r="AD246" t="n">
        <v>0</v>
      </c>
      <c r="AE246" t="n">
        <v>0</v>
      </c>
      <c r="AF246" t="n">
        <v>0</v>
      </c>
      <c r="AG246" t="n">
        <v>0</v>
      </c>
      <c r="AH246" t="n">
        <v>0</v>
      </c>
      <c r="AI246" t="n">
        <v>0</v>
      </c>
      <c r="AJ246" t="n">
        <v>0</v>
      </c>
      <c r="AK246" t="n">
        <v>0</v>
      </c>
      <c r="AL246" t="n">
        <v>-780</v>
      </c>
      <c r="AM246" t="n">
        <v>0</v>
      </c>
      <c r="AN246" t="n">
        <v>-100</v>
      </c>
      <c r="AO246" t="n">
        <v>0</v>
      </c>
      <c r="AP246" t="n">
        <v>-762</v>
      </c>
      <c r="AQ246" t="n">
        <v>-679</v>
      </c>
      <c r="AR246" t="n">
        <v>-762</v>
      </c>
      <c r="AS246" t="n">
        <v>-779</v>
      </c>
      <c r="AT246" t="n">
        <v>-18</v>
      </c>
      <c r="AU246" t="n">
        <v>-1</v>
      </c>
      <c r="AV246" t="n">
        <v>100</v>
      </c>
      <c r="AW246" t="n">
        <v>0</v>
      </c>
      <c r="AX246" t="n">
        <v>6.4</v>
      </c>
      <c r="AY246" t="n">
        <v>0</v>
      </c>
      <c r="AZ246" t="n">
        <v>97.8</v>
      </c>
      <c r="BA246" t="n">
        <v>92.8</v>
      </c>
      <c r="BB246" t="n">
        <v>97.8</v>
      </c>
      <c r="BC246" t="n">
        <v>99.2</v>
      </c>
      <c r="BD246" t="n">
        <v>2.2</v>
      </c>
      <c r="BE246" t="n">
        <v>0.8</v>
      </c>
      <c r="BF246" t="n">
        <v>100</v>
      </c>
      <c r="BG246" t="n">
        <v>0</v>
      </c>
      <c r="BH246" t="n">
        <v>6.4</v>
      </c>
      <c r="BI246" t="n">
        <v>0</v>
      </c>
      <c r="BJ246" t="n">
        <v>97.8</v>
      </c>
      <c r="BK246" t="n">
        <v>92.8</v>
      </c>
      <c r="BL246" t="n">
        <v>97.8</v>
      </c>
      <c r="BM246" t="n">
        <v>99.2</v>
      </c>
      <c r="BN246" t="n">
        <v>2.2</v>
      </c>
      <c r="BO246" t="n">
        <v>0.8</v>
      </c>
      <c r="BP246" t="n">
        <v>0</v>
      </c>
      <c r="BQ246" t="n">
        <v>0</v>
      </c>
      <c r="BR246" t="n">
        <v>0</v>
      </c>
      <c r="BS246" t="n">
        <v>0</v>
      </c>
      <c r="BT246" t="n">
        <v>0</v>
      </c>
      <c r="BU246" t="n">
        <v>0</v>
      </c>
      <c r="BV246" t="n">
        <v>0</v>
      </c>
      <c r="BW246" t="n">
        <v>0</v>
      </c>
      <c r="BX246" t="n">
        <v>0</v>
      </c>
      <c r="BY246" t="n">
        <v>0</v>
      </c>
      <c r="BZ246" t="n">
        <v>21</v>
      </c>
      <c r="CA246" t="n">
        <v>0</v>
      </c>
      <c r="CB246" t="n">
        <v>1</v>
      </c>
      <c r="CC246" t="n">
        <v>0</v>
      </c>
      <c r="CD246" t="n">
        <v>15</v>
      </c>
      <c r="CE246" t="n">
        <v>17</v>
      </c>
      <c r="CF246" t="n">
        <v>15</v>
      </c>
      <c r="CG246" t="n">
        <v>18</v>
      </c>
      <c r="CH246" t="n">
        <v>21</v>
      </c>
      <c r="CI246" t="n">
        <v>0</v>
      </c>
      <c r="CJ246" t="n">
        <v>1</v>
      </c>
      <c r="CK246" t="n">
        <v>0</v>
      </c>
      <c r="CL246" t="n">
        <v>15</v>
      </c>
      <c r="CM246" t="n">
        <v>17</v>
      </c>
      <c r="CN246" t="n">
        <v>15</v>
      </c>
      <c r="CO246" t="n">
        <v>18</v>
      </c>
      <c r="CP246" t="n">
        <v>0</v>
      </c>
      <c r="CQ246" t="n">
        <v>0</v>
      </c>
      <c r="CR246" t="n">
        <v>0</v>
      </c>
      <c r="CS246" t="n">
        <v>0</v>
      </c>
      <c r="CT246" t="n">
        <v>0</v>
      </c>
      <c r="CU246" t="n">
        <v>0</v>
      </c>
      <c r="CV246" t="n">
        <v>0</v>
      </c>
      <c r="CW246" t="n">
        <v>0</v>
      </c>
      <c r="CX246" t="n">
        <v>54.6</v>
      </c>
      <c r="CY246" t="n">
        <v>54.1</v>
      </c>
      <c r="CZ246" t="n">
        <v>86.40000000000001</v>
      </c>
      <c r="DA246" t="n">
        <v>80.7</v>
      </c>
      <c r="DB246" t="n">
        <v>40.7</v>
      </c>
      <c r="DC246" t="n">
        <v>48.3</v>
      </c>
      <c r="DD246" t="n">
        <v>60.7</v>
      </c>
      <c r="DE246" t="n">
        <v>64.09999999999999</v>
      </c>
      <c r="DF246" t="n">
        <v>54.6</v>
      </c>
      <c r="DG246" t="n">
        <v>54.1</v>
      </c>
      <c r="DH246" t="n">
        <v>86.40000000000001</v>
      </c>
      <c r="DI246" t="n">
        <v>80.7</v>
      </c>
      <c r="DJ246" t="n">
        <v>40.7</v>
      </c>
      <c r="DK246" t="n">
        <v>48.3</v>
      </c>
      <c r="DL246" t="n">
        <v>60.7</v>
      </c>
      <c r="DM246" t="n">
        <v>64.09999999999999</v>
      </c>
      <c r="DN246" t="n">
        <v>0</v>
      </c>
      <c r="DO246" t="n">
        <v>0</v>
      </c>
      <c r="DP246" t="n">
        <v>0</v>
      </c>
      <c r="DQ246" t="n">
        <v>0</v>
      </c>
      <c r="DR246" t="n">
        <v>0</v>
      </c>
      <c r="DS246" t="n">
        <v>0</v>
      </c>
      <c r="DT246" t="n">
        <v>0</v>
      </c>
      <c r="DU246" t="n">
        <v>0</v>
      </c>
      <c r="DV246" t="inlineStr">
        <is>
          <t>1 Mwh per Peak Hour</t>
        </is>
      </c>
    </row>
    <row r="247">
      <c r="A247" t="inlineStr">
        <is>
          <t>ERCOT SOUTH 345 KV RT PEAK FIX - ICE FUTURES ENERGY DIV</t>
        </is>
      </c>
      <c r="B247" t="n">
        <v>230103</v>
      </c>
      <c r="C247" s="1" t="n">
        <v>44929</v>
      </c>
      <c r="D247" t="inlineStr">
        <is>
          <t>06439S</t>
        </is>
      </c>
      <c r="E247" t="inlineStr">
        <is>
          <t>IFED</t>
        </is>
      </c>
      <c r="F247" t="inlineStr">
        <is>
          <t>01</t>
        </is>
      </c>
      <c r="G247" t="inlineStr">
        <is>
          <t xml:space="preserve">064 </t>
        </is>
      </c>
      <c r="H247" t="n">
        <v>30439</v>
      </c>
      <c r="I247" s="17" t="n">
        <v>0</v>
      </c>
      <c r="J247" s="17" t="n">
        <v>2008</v>
      </c>
      <c r="K247" t="n">
        <v>0</v>
      </c>
      <c r="L247" t="n">
        <v>29765</v>
      </c>
      <c r="M247" t="n">
        <v>28190</v>
      </c>
      <c r="N247" t="n">
        <v>29765</v>
      </c>
      <c r="O247" t="n">
        <v>30198</v>
      </c>
      <c r="P247" t="n">
        <v>674</v>
      </c>
      <c r="Q247" t="n">
        <v>241</v>
      </c>
      <c r="R247" t="n">
        <v>30439</v>
      </c>
      <c r="S247" t="n">
        <v>0</v>
      </c>
      <c r="T247" t="n">
        <v>2008</v>
      </c>
      <c r="U247" t="n">
        <v>0</v>
      </c>
      <c r="V247" t="n">
        <v>29765</v>
      </c>
      <c r="W247" t="n">
        <v>28190</v>
      </c>
      <c r="X247" t="n">
        <v>29765</v>
      </c>
      <c r="Y247" t="n">
        <v>30198</v>
      </c>
      <c r="Z247" t="n">
        <v>674</v>
      </c>
      <c r="AA247" t="n">
        <v>241</v>
      </c>
      <c r="AB247" t="n">
        <v>0</v>
      </c>
      <c r="AC247" t="n">
        <v>0</v>
      </c>
      <c r="AD247" t="n">
        <v>0</v>
      </c>
      <c r="AE247" t="n">
        <v>0</v>
      </c>
      <c r="AF247" t="n">
        <v>0</v>
      </c>
      <c r="AG247" t="n">
        <v>0</v>
      </c>
      <c r="AH247" t="n">
        <v>0</v>
      </c>
      <c r="AI247" t="n">
        <v>0</v>
      </c>
      <c r="AJ247" t="n">
        <v>0</v>
      </c>
      <c r="AK247" t="n">
        <v>0</v>
      </c>
      <c r="AL247" t="n">
        <v>63</v>
      </c>
      <c r="AM247" t="n">
        <v>0</v>
      </c>
      <c r="AN247" t="n">
        <v>0</v>
      </c>
      <c r="AO247" t="n">
        <v>0</v>
      </c>
      <c r="AP247" t="n">
        <v>43</v>
      </c>
      <c r="AQ247" t="n">
        <v>63</v>
      </c>
      <c r="AR247" t="n">
        <v>43</v>
      </c>
      <c r="AS247" t="n">
        <v>63</v>
      </c>
      <c r="AT247" t="n">
        <v>20</v>
      </c>
      <c r="AU247" t="n">
        <v>0</v>
      </c>
      <c r="AV247" t="n">
        <v>100</v>
      </c>
      <c r="AW247" t="n">
        <v>0</v>
      </c>
      <c r="AX247" t="n">
        <v>6.6</v>
      </c>
      <c r="AY247" t="n">
        <v>0</v>
      </c>
      <c r="AZ247" t="n">
        <v>97.8</v>
      </c>
      <c r="BA247" t="n">
        <v>92.59999999999999</v>
      </c>
      <c r="BB247" t="n">
        <v>97.8</v>
      </c>
      <c r="BC247" t="n">
        <v>99.2</v>
      </c>
      <c r="BD247" t="n">
        <v>2.2</v>
      </c>
      <c r="BE247" t="n">
        <v>0.8</v>
      </c>
      <c r="BF247" t="n">
        <v>100</v>
      </c>
      <c r="BG247" t="n">
        <v>0</v>
      </c>
      <c r="BH247" t="n">
        <v>6.6</v>
      </c>
      <c r="BI247" t="n">
        <v>0</v>
      </c>
      <c r="BJ247" t="n">
        <v>97.8</v>
      </c>
      <c r="BK247" t="n">
        <v>92.59999999999999</v>
      </c>
      <c r="BL247" t="n">
        <v>97.8</v>
      </c>
      <c r="BM247" t="n">
        <v>99.2</v>
      </c>
      <c r="BN247" t="n">
        <v>2.2</v>
      </c>
      <c r="BO247" t="n">
        <v>0.8</v>
      </c>
      <c r="BP247" t="n">
        <v>0</v>
      </c>
      <c r="BQ247" t="n">
        <v>0</v>
      </c>
      <c r="BR247" t="n">
        <v>0</v>
      </c>
      <c r="BS247" t="n">
        <v>0</v>
      </c>
      <c r="BT247" t="n">
        <v>0</v>
      </c>
      <c r="BU247" t="n">
        <v>0</v>
      </c>
      <c r="BV247" t="n">
        <v>0</v>
      </c>
      <c r="BW247" t="n">
        <v>0</v>
      </c>
      <c r="BX247" t="n">
        <v>0</v>
      </c>
      <c r="BY247" t="n">
        <v>0</v>
      </c>
      <c r="BZ247" t="n">
        <v>22</v>
      </c>
      <c r="CA247" t="n">
        <v>0</v>
      </c>
      <c r="CB247" t="n">
        <v>1</v>
      </c>
      <c r="CC247" t="n">
        <v>0</v>
      </c>
      <c r="CD247" t="n">
        <v>16</v>
      </c>
      <c r="CE247" t="n">
        <v>18</v>
      </c>
      <c r="CF247" t="n">
        <v>16</v>
      </c>
      <c r="CG247" t="n">
        <v>19</v>
      </c>
      <c r="CH247" t="n">
        <v>22</v>
      </c>
      <c r="CI247" t="n">
        <v>0</v>
      </c>
      <c r="CJ247" t="n">
        <v>1</v>
      </c>
      <c r="CK247" t="n">
        <v>0</v>
      </c>
      <c r="CL247" t="n">
        <v>16</v>
      </c>
      <c r="CM247" t="n">
        <v>18</v>
      </c>
      <c r="CN247" t="n">
        <v>16</v>
      </c>
      <c r="CO247" t="n">
        <v>19</v>
      </c>
      <c r="CP247" t="n">
        <v>0</v>
      </c>
      <c r="CQ247" t="n">
        <v>0</v>
      </c>
      <c r="CR247" t="n">
        <v>0</v>
      </c>
      <c r="CS247" t="n">
        <v>0</v>
      </c>
      <c r="CT247" t="n">
        <v>0</v>
      </c>
      <c r="CU247" t="n">
        <v>0</v>
      </c>
      <c r="CV247" t="n">
        <v>0</v>
      </c>
      <c r="CW247" t="n">
        <v>0</v>
      </c>
      <c r="CX247" t="n">
        <v>56.1</v>
      </c>
      <c r="CY247" t="n">
        <v>52.9</v>
      </c>
      <c r="CZ247" t="n">
        <v>85.40000000000001</v>
      </c>
      <c r="DA247" t="n">
        <v>79.40000000000001</v>
      </c>
      <c r="DB247" t="n">
        <v>41.4</v>
      </c>
      <c r="DC247" t="n">
        <v>47.5</v>
      </c>
      <c r="DD247" t="n">
        <v>59.9</v>
      </c>
      <c r="DE247" t="n">
        <v>63.4</v>
      </c>
      <c r="DF247" t="n">
        <v>56.1</v>
      </c>
      <c r="DG247" t="n">
        <v>52.9</v>
      </c>
      <c r="DH247" t="n">
        <v>85.40000000000001</v>
      </c>
      <c r="DI247" t="n">
        <v>79.40000000000001</v>
      </c>
      <c r="DJ247" t="n">
        <v>41.4</v>
      </c>
      <c r="DK247" t="n">
        <v>47.5</v>
      </c>
      <c r="DL247" t="n">
        <v>59.9</v>
      </c>
      <c r="DM247" t="n">
        <v>63.4</v>
      </c>
      <c r="DN247" t="n">
        <v>0</v>
      </c>
      <c r="DO247" t="n">
        <v>0</v>
      </c>
      <c r="DP247" t="n">
        <v>0</v>
      </c>
      <c r="DQ247" t="n">
        <v>0</v>
      </c>
      <c r="DR247" t="n">
        <v>0</v>
      </c>
      <c r="DS247" t="n">
        <v>0</v>
      </c>
      <c r="DT247" t="n">
        <v>0</v>
      </c>
      <c r="DU247" t="n">
        <v>0</v>
      </c>
      <c r="DV247" t="inlineStr">
        <is>
          <t>1 Mwh per Peak Hour</t>
        </is>
      </c>
    </row>
    <row r="248">
      <c r="A248" t="inlineStr">
        <is>
          <t>ERCOT-SOUTH MONTHLY OFFPEAK - ICE FUTURES ENERGY DIV</t>
        </is>
      </c>
      <c r="B248" t="n">
        <v>230110</v>
      </c>
      <c r="C248" s="1" t="n">
        <v>44936</v>
      </c>
      <c r="D248" t="inlineStr">
        <is>
          <t>06439U</t>
        </is>
      </c>
      <c r="E248" t="inlineStr">
        <is>
          <t>IFED</t>
        </is>
      </c>
      <c r="F248" t="inlineStr">
        <is>
          <t>01</t>
        </is>
      </c>
      <c r="G248" t="inlineStr">
        <is>
          <t xml:space="preserve">064 </t>
        </is>
      </c>
      <c r="H248" t="n">
        <v>27664</v>
      </c>
      <c r="I248" s="17" t="n">
        <v>0</v>
      </c>
      <c r="J248" s="17" t="n">
        <v>1908</v>
      </c>
      <c r="K248" t="n">
        <v>0</v>
      </c>
      <c r="L248" t="n">
        <v>26956</v>
      </c>
      <c r="M248" t="n">
        <v>25516</v>
      </c>
      <c r="N248" t="n">
        <v>26956</v>
      </c>
      <c r="O248" t="n">
        <v>27424</v>
      </c>
      <c r="P248" t="n">
        <v>708</v>
      </c>
      <c r="Q248" t="n">
        <v>240</v>
      </c>
      <c r="R248" t="n">
        <v>27664</v>
      </c>
      <c r="S248" t="n">
        <v>0</v>
      </c>
      <c r="T248" t="n">
        <v>1908</v>
      </c>
      <c r="U248" t="n">
        <v>0</v>
      </c>
      <c r="V248" t="n">
        <v>26956</v>
      </c>
      <c r="W248" t="n">
        <v>25516</v>
      </c>
      <c r="X248" t="n">
        <v>26956</v>
      </c>
      <c r="Y248" t="n">
        <v>27424</v>
      </c>
      <c r="Z248" t="n">
        <v>708</v>
      </c>
      <c r="AA248" t="n">
        <v>240</v>
      </c>
      <c r="AB248" t="n">
        <v>0</v>
      </c>
      <c r="AC248" t="n">
        <v>0</v>
      </c>
      <c r="AD248" t="n">
        <v>0</v>
      </c>
      <c r="AE248" t="n">
        <v>0</v>
      </c>
      <c r="AF248" t="n">
        <v>0</v>
      </c>
      <c r="AG248" t="n">
        <v>0</v>
      </c>
      <c r="AH248" t="n">
        <v>0</v>
      </c>
      <c r="AI248" t="n">
        <v>0</v>
      </c>
      <c r="AJ248" t="n">
        <v>0</v>
      </c>
      <c r="AK248" t="n">
        <v>0</v>
      </c>
      <c r="AL248" t="n">
        <v>-740</v>
      </c>
      <c r="AM248" t="n">
        <v>0</v>
      </c>
      <c r="AN248" t="n">
        <v>-100</v>
      </c>
      <c r="AO248" t="n">
        <v>0</v>
      </c>
      <c r="AP248" t="n">
        <v>-794</v>
      </c>
      <c r="AQ248" t="n">
        <v>-639</v>
      </c>
      <c r="AR248" t="n">
        <v>-794</v>
      </c>
      <c r="AS248" t="n">
        <v>-739</v>
      </c>
      <c r="AT248" t="n">
        <v>54</v>
      </c>
      <c r="AU248" t="n">
        <v>-1</v>
      </c>
      <c r="AV248" t="n">
        <v>100</v>
      </c>
      <c r="AW248" t="n">
        <v>0</v>
      </c>
      <c r="AX248" t="n">
        <v>6.9</v>
      </c>
      <c r="AY248" t="n">
        <v>0</v>
      </c>
      <c r="AZ248" t="n">
        <v>97.40000000000001</v>
      </c>
      <c r="BA248" t="n">
        <v>92.2</v>
      </c>
      <c r="BB248" t="n">
        <v>97.40000000000001</v>
      </c>
      <c r="BC248" t="n">
        <v>99.09999999999999</v>
      </c>
      <c r="BD248" t="n">
        <v>2.6</v>
      </c>
      <c r="BE248" t="n">
        <v>0.9</v>
      </c>
      <c r="BF248" t="n">
        <v>100</v>
      </c>
      <c r="BG248" t="n">
        <v>0</v>
      </c>
      <c r="BH248" t="n">
        <v>6.9</v>
      </c>
      <c r="BI248" t="n">
        <v>0</v>
      </c>
      <c r="BJ248" t="n">
        <v>97.40000000000001</v>
      </c>
      <c r="BK248" t="n">
        <v>92.2</v>
      </c>
      <c r="BL248" t="n">
        <v>97.40000000000001</v>
      </c>
      <c r="BM248" t="n">
        <v>99.09999999999999</v>
      </c>
      <c r="BN248" t="n">
        <v>2.6</v>
      </c>
      <c r="BO248" t="n">
        <v>0.9</v>
      </c>
      <c r="BP248" t="n">
        <v>0</v>
      </c>
      <c r="BQ248" t="n">
        <v>0</v>
      </c>
      <c r="BR248" t="n">
        <v>0</v>
      </c>
      <c r="BS248" t="n">
        <v>0</v>
      </c>
      <c r="BT248" t="n">
        <v>0</v>
      </c>
      <c r="BU248" t="n">
        <v>0</v>
      </c>
      <c r="BV248" t="n">
        <v>0</v>
      </c>
      <c r="BW248" t="n">
        <v>0</v>
      </c>
      <c r="BX248" t="n">
        <v>0</v>
      </c>
      <c r="BY248" t="n">
        <v>0</v>
      </c>
      <c r="BZ248" t="n">
        <v>20</v>
      </c>
      <c r="CA248" t="n">
        <v>0</v>
      </c>
      <c r="CB248" t="n">
        <v>1</v>
      </c>
      <c r="CC248" t="n">
        <v>0</v>
      </c>
      <c r="CD248" t="n">
        <v>15</v>
      </c>
      <c r="CE248" t="n">
        <v>16</v>
      </c>
      <c r="CF248" t="n">
        <v>15</v>
      </c>
      <c r="CG248" t="n">
        <v>17</v>
      </c>
      <c r="CH248" t="n">
        <v>20</v>
      </c>
      <c r="CI248" t="n">
        <v>0</v>
      </c>
      <c r="CJ248" t="n">
        <v>1</v>
      </c>
      <c r="CK248" t="n">
        <v>0</v>
      </c>
      <c r="CL248" t="n">
        <v>15</v>
      </c>
      <c r="CM248" t="n">
        <v>16</v>
      </c>
      <c r="CN248" t="n">
        <v>15</v>
      </c>
      <c r="CO248" t="n">
        <v>17</v>
      </c>
      <c r="CP248" t="n">
        <v>0</v>
      </c>
      <c r="CQ248" t="n">
        <v>0</v>
      </c>
      <c r="CR248" t="n">
        <v>0</v>
      </c>
      <c r="CS248" t="n">
        <v>0</v>
      </c>
      <c r="CT248" t="n">
        <v>0</v>
      </c>
      <c r="CU248" t="n">
        <v>0</v>
      </c>
      <c r="CV248" t="n">
        <v>0</v>
      </c>
      <c r="CW248" t="n">
        <v>0</v>
      </c>
      <c r="CX248" t="n">
        <v>57</v>
      </c>
      <c r="CY248" t="n">
        <v>48.9</v>
      </c>
      <c r="CZ248" t="n">
        <v>86.8</v>
      </c>
      <c r="DA248" t="n">
        <v>78.5</v>
      </c>
      <c r="DB248" t="n">
        <v>43.7</v>
      </c>
      <c r="DC248" t="n">
        <v>44.5</v>
      </c>
      <c r="DD248" t="n">
        <v>62.2</v>
      </c>
      <c r="DE248" t="n">
        <v>61.4</v>
      </c>
      <c r="DF248" t="n">
        <v>57</v>
      </c>
      <c r="DG248" t="n">
        <v>48.9</v>
      </c>
      <c r="DH248" t="n">
        <v>86.8</v>
      </c>
      <c r="DI248" t="n">
        <v>78.5</v>
      </c>
      <c r="DJ248" t="n">
        <v>43.7</v>
      </c>
      <c r="DK248" t="n">
        <v>44.5</v>
      </c>
      <c r="DL248" t="n">
        <v>62.2</v>
      </c>
      <c r="DM248" t="n">
        <v>61.4</v>
      </c>
      <c r="DN248" t="n">
        <v>0</v>
      </c>
      <c r="DO248" t="n">
        <v>0</v>
      </c>
      <c r="DP248" t="n">
        <v>0</v>
      </c>
      <c r="DQ248" t="n">
        <v>0</v>
      </c>
      <c r="DR248" t="n">
        <v>0</v>
      </c>
      <c r="DS248" t="n">
        <v>0</v>
      </c>
      <c r="DT248" t="n">
        <v>0</v>
      </c>
      <c r="DU248" t="n">
        <v>0</v>
      </c>
      <c r="DV248" t="inlineStr">
        <is>
          <t>1 MW</t>
        </is>
      </c>
    </row>
    <row r="249">
      <c r="A249" t="inlineStr">
        <is>
          <t>ERCOT-SOUTH MONTHLY OFFPEAK - ICE FUTURES ENERGY DIV</t>
        </is>
      </c>
      <c r="B249" t="n">
        <v>230103</v>
      </c>
      <c r="C249" s="1" t="n">
        <v>44929</v>
      </c>
      <c r="D249" t="inlineStr">
        <is>
          <t>06439U</t>
        </is>
      </c>
      <c r="E249" t="inlineStr">
        <is>
          <t>IFED</t>
        </is>
      </c>
      <c r="F249" t="inlineStr">
        <is>
          <t>01</t>
        </is>
      </c>
      <c r="G249" t="inlineStr">
        <is>
          <t xml:space="preserve">064 </t>
        </is>
      </c>
      <c r="H249" t="n">
        <v>28404</v>
      </c>
      <c r="I249" s="17" t="n">
        <v>0</v>
      </c>
      <c r="J249" s="17" t="n">
        <v>2008</v>
      </c>
      <c r="K249" t="n">
        <v>0</v>
      </c>
      <c r="L249" t="n">
        <v>27750</v>
      </c>
      <c r="M249" t="n">
        <v>26155</v>
      </c>
      <c r="N249" t="n">
        <v>27750</v>
      </c>
      <c r="O249" t="n">
        <v>28163</v>
      </c>
      <c r="P249" t="n">
        <v>654</v>
      </c>
      <c r="Q249" t="n">
        <v>241</v>
      </c>
      <c r="R249" t="n">
        <v>28404</v>
      </c>
      <c r="S249" t="n">
        <v>0</v>
      </c>
      <c r="T249" t="n">
        <v>2008</v>
      </c>
      <c r="U249" t="n">
        <v>0</v>
      </c>
      <c r="V249" t="n">
        <v>27750</v>
      </c>
      <c r="W249" t="n">
        <v>26155</v>
      </c>
      <c r="X249" t="n">
        <v>27750</v>
      </c>
      <c r="Y249" t="n">
        <v>28163</v>
      </c>
      <c r="Z249" t="n">
        <v>654</v>
      </c>
      <c r="AA249" t="n">
        <v>241</v>
      </c>
      <c r="AB249" t="n">
        <v>0</v>
      </c>
      <c r="AC249" t="n">
        <v>0</v>
      </c>
      <c r="AD249" t="n">
        <v>0</v>
      </c>
      <c r="AE249" t="n">
        <v>0</v>
      </c>
      <c r="AF249" t="n">
        <v>0</v>
      </c>
      <c r="AG249" t="n">
        <v>0</v>
      </c>
      <c r="AH249" t="n">
        <v>0</v>
      </c>
      <c r="AI249" t="n">
        <v>0</v>
      </c>
      <c r="AJ249" t="n">
        <v>0</v>
      </c>
      <c r="AK249" t="n">
        <v>0</v>
      </c>
      <c r="AL249" t="n">
        <v>0</v>
      </c>
      <c r="AM249" t="n">
        <v>0</v>
      </c>
      <c r="AN249" t="n">
        <v>0</v>
      </c>
      <c r="AO249" t="n">
        <v>0</v>
      </c>
      <c r="AP249" t="n">
        <v>0</v>
      </c>
      <c r="AQ249" t="n">
        <v>0</v>
      </c>
      <c r="AR249" t="n">
        <v>0</v>
      </c>
      <c r="AS249" t="n">
        <v>0</v>
      </c>
      <c r="AT249" t="n">
        <v>0</v>
      </c>
      <c r="AU249" t="n">
        <v>0</v>
      </c>
      <c r="AV249" t="n">
        <v>100</v>
      </c>
      <c r="AW249" t="n">
        <v>0</v>
      </c>
      <c r="AX249" t="n">
        <v>7.1</v>
      </c>
      <c r="AY249" t="n">
        <v>0</v>
      </c>
      <c r="AZ249" t="n">
        <v>97.7</v>
      </c>
      <c r="BA249" t="n">
        <v>92.09999999999999</v>
      </c>
      <c r="BB249" t="n">
        <v>97.7</v>
      </c>
      <c r="BC249" t="n">
        <v>99.2</v>
      </c>
      <c r="BD249" t="n">
        <v>2.3</v>
      </c>
      <c r="BE249" t="n">
        <v>0.8</v>
      </c>
      <c r="BF249" t="n">
        <v>100</v>
      </c>
      <c r="BG249" t="n">
        <v>0</v>
      </c>
      <c r="BH249" t="n">
        <v>7.1</v>
      </c>
      <c r="BI249" t="n">
        <v>0</v>
      </c>
      <c r="BJ249" t="n">
        <v>97.7</v>
      </c>
      <c r="BK249" t="n">
        <v>92.09999999999999</v>
      </c>
      <c r="BL249" t="n">
        <v>97.7</v>
      </c>
      <c r="BM249" t="n">
        <v>99.2</v>
      </c>
      <c r="BN249" t="n">
        <v>2.3</v>
      </c>
      <c r="BO249" t="n">
        <v>0.8</v>
      </c>
      <c r="BP249" t="n">
        <v>0</v>
      </c>
      <c r="BQ249" t="n">
        <v>0</v>
      </c>
      <c r="BR249" t="n">
        <v>0</v>
      </c>
      <c r="BS249" t="n">
        <v>0</v>
      </c>
      <c r="BT249" t="n">
        <v>0</v>
      </c>
      <c r="BU249" t="n">
        <v>0</v>
      </c>
      <c r="BV249" t="n">
        <v>0</v>
      </c>
      <c r="BW249" t="n">
        <v>0</v>
      </c>
      <c r="BX249" t="n">
        <v>0</v>
      </c>
      <c r="BY249" t="n">
        <v>0</v>
      </c>
      <c r="BZ249" t="n">
        <v>22</v>
      </c>
      <c r="CA249" t="n">
        <v>0</v>
      </c>
      <c r="CB249" t="n">
        <v>1</v>
      </c>
      <c r="CC249" t="n">
        <v>0</v>
      </c>
      <c r="CD249" t="n">
        <v>16</v>
      </c>
      <c r="CE249" t="n">
        <v>17</v>
      </c>
      <c r="CF249" t="n">
        <v>16</v>
      </c>
      <c r="CG249" t="n">
        <v>18</v>
      </c>
      <c r="CH249" t="n">
        <v>22</v>
      </c>
      <c r="CI249" t="n">
        <v>0</v>
      </c>
      <c r="CJ249" t="n">
        <v>1</v>
      </c>
      <c r="CK249" t="n">
        <v>0</v>
      </c>
      <c r="CL249" t="n">
        <v>16</v>
      </c>
      <c r="CM249" t="n">
        <v>17</v>
      </c>
      <c r="CN249" t="n">
        <v>16</v>
      </c>
      <c r="CO249" t="n">
        <v>18</v>
      </c>
      <c r="CP249" t="n">
        <v>0</v>
      </c>
      <c r="CQ249" t="n">
        <v>0</v>
      </c>
      <c r="CR249" t="n">
        <v>0</v>
      </c>
      <c r="CS249" t="n">
        <v>0</v>
      </c>
      <c r="CT249" t="n">
        <v>0</v>
      </c>
      <c r="CU249" t="n">
        <v>0</v>
      </c>
      <c r="CV249" t="n">
        <v>0</v>
      </c>
      <c r="CW249" t="n">
        <v>0</v>
      </c>
      <c r="CX249" t="n">
        <v>58.4</v>
      </c>
      <c r="CY249" t="n">
        <v>47.8</v>
      </c>
      <c r="CZ249" t="n">
        <v>85.40000000000001</v>
      </c>
      <c r="DA249" t="n">
        <v>77.3</v>
      </c>
      <c r="DB249" t="n">
        <v>44.3</v>
      </c>
      <c r="DC249" t="n">
        <v>44.1</v>
      </c>
      <c r="DD249" t="n">
        <v>61.1</v>
      </c>
      <c r="DE249" t="n">
        <v>60.7</v>
      </c>
      <c r="DF249" t="n">
        <v>58.4</v>
      </c>
      <c r="DG249" t="n">
        <v>47.8</v>
      </c>
      <c r="DH249" t="n">
        <v>85.40000000000001</v>
      </c>
      <c r="DI249" t="n">
        <v>77.3</v>
      </c>
      <c r="DJ249" t="n">
        <v>44.3</v>
      </c>
      <c r="DK249" t="n">
        <v>44.1</v>
      </c>
      <c r="DL249" t="n">
        <v>61.1</v>
      </c>
      <c r="DM249" t="n">
        <v>60.7</v>
      </c>
      <c r="DN249" t="n">
        <v>0</v>
      </c>
      <c r="DO249" t="n">
        <v>0</v>
      </c>
      <c r="DP249" t="n">
        <v>0</v>
      </c>
      <c r="DQ249" t="n">
        <v>0</v>
      </c>
      <c r="DR249" t="n">
        <v>0</v>
      </c>
      <c r="DS249" t="n">
        <v>0</v>
      </c>
      <c r="DT249" t="n">
        <v>0</v>
      </c>
      <c r="DU249" t="n">
        <v>0</v>
      </c>
      <c r="DV249" t="inlineStr">
        <is>
          <t>1 MW</t>
        </is>
      </c>
    </row>
    <row r="250">
      <c r="A250" t="inlineStr">
        <is>
          <t>ERCOT WEST 345KV RT PEAK - ICE FUTURES ENERGY DIV</t>
        </is>
      </c>
      <c r="B250" t="n">
        <v>230110</v>
      </c>
      <c r="C250" s="1" t="n">
        <v>44936</v>
      </c>
      <c r="D250" t="inlineStr">
        <is>
          <t>06439V</t>
        </is>
      </c>
      <c r="E250" t="inlineStr">
        <is>
          <t>IFED</t>
        </is>
      </c>
      <c r="F250" t="inlineStr">
        <is>
          <t>01</t>
        </is>
      </c>
      <c r="G250" t="inlineStr">
        <is>
          <t xml:space="preserve">064 </t>
        </is>
      </c>
      <c r="H250" t="n">
        <v>43294</v>
      </c>
      <c r="I250" s="17" t="n">
        <v>0</v>
      </c>
      <c r="J250" s="17" t="n">
        <v>9559</v>
      </c>
      <c r="K250" t="n">
        <v>0</v>
      </c>
      <c r="L250" t="n">
        <v>42904</v>
      </c>
      <c r="M250" t="n">
        <v>33491</v>
      </c>
      <c r="N250" t="n">
        <v>42904</v>
      </c>
      <c r="O250" t="n">
        <v>43050</v>
      </c>
      <c r="P250" t="n">
        <v>390</v>
      </c>
      <c r="Q250" t="n">
        <v>244</v>
      </c>
      <c r="R250" t="n">
        <v>43294</v>
      </c>
      <c r="S250" t="n">
        <v>0</v>
      </c>
      <c r="T250" t="n">
        <v>9559</v>
      </c>
      <c r="U250" t="n">
        <v>0</v>
      </c>
      <c r="V250" t="n">
        <v>42904</v>
      </c>
      <c r="W250" t="n">
        <v>33491</v>
      </c>
      <c r="X250" t="n">
        <v>42904</v>
      </c>
      <c r="Y250" t="n">
        <v>43050</v>
      </c>
      <c r="Z250" t="n">
        <v>390</v>
      </c>
      <c r="AA250" t="n">
        <v>244</v>
      </c>
      <c r="AB250" t="n">
        <v>0</v>
      </c>
      <c r="AC250" t="n">
        <v>0</v>
      </c>
      <c r="AD250" t="n">
        <v>0</v>
      </c>
      <c r="AE250" t="n">
        <v>0</v>
      </c>
      <c r="AF250" t="n">
        <v>0</v>
      </c>
      <c r="AG250" t="n">
        <v>0</v>
      </c>
      <c r="AH250" t="n">
        <v>0</v>
      </c>
      <c r="AI250" t="n">
        <v>0</v>
      </c>
      <c r="AJ250" t="n">
        <v>0</v>
      </c>
      <c r="AK250" t="n">
        <v>0</v>
      </c>
      <c r="AL250" t="n">
        <v>-2649</v>
      </c>
      <c r="AM250" t="n">
        <v>0</v>
      </c>
      <c r="AN250" t="n">
        <v>-200</v>
      </c>
      <c r="AO250" t="n">
        <v>0</v>
      </c>
      <c r="AP250" t="n">
        <v>-3019</v>
      </c>
      <c r="AQ250" t="n">
        <v>-2589</v>
      </c>
      <c r="AR250" t="n">
        <v>-3019</v>
      </c>
      <c r="AS250" t="n">
        <v>-2789</v>
      </c>
      <c r="AT250" t="n">
        <v>370</v>
      </c>
      <c r="AU250" t="n">
        <v>140</v>
      </c>
      <c r="AV250" t="n">
        <v>100</v>
      </c>
      <c r="AW250" t="n">
        <v>0</v>
      </c>
      <c r="AX250" t="n">
        <v>22.1</v>
      </c>
      <c r="AY250" t="n">
        <v>0</v>
      </c>
      <c r="AZ250" t="n">
        <v>99.09999999999999</v>
      </c>
      <c r="BA250" t="n">
        <v>77.40000000000001</v>
      </c>
      <c r="BB250" t="n">
        <v>99.09999999999999</v>
      </c>
      <c r="BC250" t="n">
        <v>99.40000000000001</v>
      </c>
      <c r="BD250" t="n">
        <v>0.9</v>
      </c>
      <c r="BE250" t="n">
        <v>0.6</v>
      </c>
      <c r="BF250" t="n">
        <v>100</v>
      </c>
      <c r="BG250" t="n">
        <v>0</v>
      </c>
      <c r="BH250" t="n">
        <v>22.1</v>
      </c>
      <c r="BI250" t="n">
        <v>0</v>
      </c>
      <c r="BJ250" t="n">
        <v>99.09999999999999</v>
      </c>
      <c r="BK250" t="n">
        <v>77.40000000000001</v>
      </c>
      <c r="BL250" t="n">
        <v>99.09999999999999</v>
      </c>
      <c r="BM250" t="n">
        <v>99.40000000000001</v>
      </c>
      <c r="BN250" t="n">
        <v>0.9</v>
      </c>
      <c r="BO250" t="n">
        <v>0.6</v>
      </c>
      <c r="BP250" t="n">
        <v>0</v>
      </c>
      <c r="BQ250" t="n">
        <v>0</v>
      </c>
      <c r="BR250" t="n">
        <v>0</v>
      </c>
      <c r="BS250" t="n">
        <v>0</v>
      </c>
      <c r="BT250" t="n">
        <v>0</v>
      </c>
      <c r="BU250" t="n">
        <v>0</v>
      </c>
      <c r="BV250" t="n">
        <v>0</v>
      </c>
      <c r="BW250" t="n">
        <v>0</v>
      </c>
      <c r="BX250" t="n">
        <v>0</v>
      </c>
      <c r="BY250" t="n">
        <v>0</v>
      </c>
      <c r="BZ250" t="n">
        <v>24</v>
      </c>
      <c r="CA250" t="n">
        <v>0</v>
      </c>
      <c r="CB250" t="n">
        <v>3</v>
      </c>
      <c r="CC250" t="n">
        <v>0</v>
      </c>
      <c r="CD250" t="n">
        <v>19</v>
      </c>
      <c r="CE250" t="n">
        <v>15</v>
      </c>
      <c r="CF250" t="n">
        <v>19</v>
      </c>
      <c r="CG250" t="n">
        <v>18</v>
      </c>
      <c r="CH250" t="n">
        <v>24</v>
      </c>
      <c r="CI250" t="n">
        <v>0</v>
      </c>
      <c r="CJ250" t="n">
        <v>3</v>
      </c>
      <c r="CK250" t="n">
        <v>0</v>
      </c>
      <c r="CL250" t="n">
        <v>19</v>
      </c>
      <c r="CM250" t="n">
        <v>15</v>
      </c>
      <c r="CN250" t="n">
        <v>19</v>
      </c>
      <c r="CO250" t="n">
        <v>18</v>
      </c>
      <c r="CP250" t="n">
        <v>0</v>
      </c>
      <c r="CQ250" t="n">
        <v>0</v>
      </c>
      <c r="CR250" t="n">
        <v>0</v>
      </c>
      <c r="CS250" t="n">
        <v>0</v>
      </c>
      <c r="CT250" t="n">
        <v>0</v>
      </c>
      <c r="CU250" t="n">
        <v>0</v>
      </c>
      <c r="CV250" t="n">
        <v>0</v>
      </c>
      <c r="CW250" t="n">
        <v>0</v>
      </c>
      <c r="CX250" t="n">
        <v>71.40000000000001</v>
      </c>
      <c r="CY250" t="n">
        <v>52.8</v>
      </c>
      <c r="CZ250" t="n">
        <v>86</v>
      </c>
      <c r="DA250" t="n">
        <v>80.09999999999999</v>
      </c>
      <c r="DB250" t="n">
        <v>68.2</v>
      </c>
      <c r="DC250" t="n">
        <v>49.7</v>
      </c>
      <c r="DD250" t="n">
        <v>75.8</v>
      </c>
      <c r="DE250" t="n">
        <v>69.40000000000001</v>
      </c>
      <c r="DF250" t="n">
        <v>71.40000000000001</v>
      </c>
      <c r="DG250" t="n">
        <v>52.8</v>
      </c>
      <c r="DH250" t="n">
        <v>86</v>
      </c>
      <c r="DI250" t="n">
        <v>80.09999999999999</v>
      </c>
      <c r="DJ250" t="n">
        <v>68.2</v>
      </c>
      <c r="DK250" t="n">
        <v>49.7</v>
      </c>
      <c r="DL250" t="n">
        <v>75.8</v>
      </c>
      <c r="DM250" t="n">
        <v>69.40000000000001</v>
      </c>
      <c r="DN250" t="n">
        <v>0</v>
      </c>
      <c r="DO250" t="n">
        <v>0</v>
      </c>
      <c r="DP250" t="n">
        <v>0</v>
      </c>
      <c r="DQ250" t="n">
        <v>0</v>
      </c>
      <c r="DR250" t="n">
        <v>0</v>
      </c>
      <c r="DS250" t="n">
        <v>0</v>
      </c>
      <c r="DT250" t="n">
        <v>0</v>
      </c>
      <c r="DU250" t="n">
        <v>0</v>
      </c>
      <c r="DV250" t="inlineStr">
        <is>
          <t>1 Mwh per peak hour</t>
        </is>
      </c>
    </row>
    <row r="251">
      <c r="A251" t="inlineStr">
        <is>
          <t>ERCOT WEST 345KV RT PEAK - ICE FUTURES ENERGY DIV</t>
        </is>
      </c>
      <c r="B251" t="n">
        <v>230103</v>
      </c>
      <c r="C251" s="1" t="n">
        <v>44929</v>
      </c>
      <c r="D251" t="inlineStr">
        <is>
          <t>06439V</t>
        </is>
      </c>
      <c r="E251" t="inlineStr">
        <is>
          <t>IFED</t>
        </is>
      </c>
      <c r="F251" t="inlineStr">
        <is>
          <t>01</t>
        </is>
      </c>
      <c r="G251" t="inlineStr">
        <is>
          <t xml:space="preserve">064 </t>
        </is>
      </c>
      <c r="H251" t="n">
        <v>45943</v>
      </c>
      <c r="I251" s="17" t="n">
        <v>0</v>
      </c>
      <c r="J251" s="17" t="n">
        <v>9759</v>
      </c>
      <c r="K251" t="n">
        <v>0</v>
      </c>
      <c r="L251" t="n">
        <v>45923</v>
      </c>
      <c r="M251" t="n">
        <v>36080</v>
      </c>
      <c r="N251" t="n">
        <v>45923</v>
      </c>
      <c r="O251" t="n">
        <v>45839</v>
      </c>
      <c r="P251" t="n">
        <v>20</v>
      </c>
      <c r="Q251" t="n">
        <v>104</v>
      </c>
      <c r="R251" t="n">
        <v>45943</v>
      </c>
      <c r="S251" t="n">
        <v>0</v>
      </c>
      <c r="T251" t="n">
        <v>9759</v>
      </c>
      <c r="U251" t="n">
        <v>0</v>
      </c>
      <c r="V251" t="n">
        <v>45923</v>
      </c>
      <c r="W251" t="n">
        <v>36080</v>
      </c>
      <c r="X251" t="n">
        <v>45923</v>
      </c>
      <c r="Y251" t="n">
        <v>45839</v>
      </c>
      <c r="Z251" t="n">
        <v>20</v>
      </c>
      <c r="AA251" t="n">
        <v>104</v>
      </c>
      <c r="AB251" t="n">
        <v>0</v>
      </c>
      <c r="AC251" t="n">
        <v>0</v>
      </c>
      <c r="AD251" t="n">
        <v>0</v>
      </c>
      <c r="AE251" t="n">
        <v>0</v>
      </c>
      <c r="AF251" t="n">
        <v>0</v>
      </c>
      <c r="AG251" t="n">
        <v>0</v>
      </c>
      <c r="AH251" t="n">
        <v>0</v>
      </c>
      <c r="AI251" t="n">
        <v>0</v>
      </c>
      <c r="AJ251" t="n">
        <v>0</v>
      </c>
      <c r="AK251" t="n">
        <v>0</v>
      </c>
      <c r="AL251" t="n">
        <v>0</v>
      </c>
      <c r="AM251" t="n">
        <v>0</v>
      </c>
      <c r="AN251" t="n">
        <v>-600</v>
      </c>
      <c r="AO251" t="n">
        <v>0</v>
      </c>
      <c r="AP251" t="n">
        <v>0</v>
      </c>
      <c r="AQ251" t="n">
        <v>600</v>
      </c>
      <c r="AR251" t="n">
        <v>0</v>
      </c>
      <c r="AS251" t="n">
        <v>0</v>
      </c>
      <c r="AT251" t="n">
        <v>0</v>
      </c>
      <c r="AU251" t="n">
        <v>0</v>
      </c>
      <c r="AV251" t="n">
        <v>100</v>
      </c>
      <c r="AW251" t="n">
        <v>0</v>
      </c>
      <c r="AX251" t="n">
        <v>21.2</v>
      </c>
      <c r="AY251" t="n">
        <v>0</v>
      </c>
      <c r="AZ251" t="n">
        <v>100</v>
      </c>
      <c r="BA251" t="n">
        <v>78.5</v>
      </c>
      <c r="BB251" t="n">
        <v>100</v>
      </c>
      <c r="BC251" t="n">
        <v>99.8</v>
      </c>
      <c r="BD251" t="n">
        <v>0</v>
      </c>
      <c r="BE251" t="n">
        <v>0.2</v>
      </c>
      <c r="BF251" t="n">
        <v>100</v>
      </c>
      <c r="BG251" t="n">
        <v>0</v>
      </c>
      <c r="BH251" t="n">
        <v>21.2</v>
      </c>
      <c r="BI251" t="n">
        <v>0</v>
      </c>
      <c r="BJ251" t="n">
        <v>100</v>
      </c>
      <c r="BK251" t="n">
        <v>78.5</v>
      </c>
      <c r="BL251" t="n">
        <v>100</v>
      </c>
      <c r="BM251" t="n">
        <v>99.8</v>
      </c>
      <c r="BN251" t="n">
        <v>0</v>
      </c>
      <c r="BO251" t="n">
        <v>0.2</v>
      </c>
      <c r="BP251" t="n">
        <v>0</v>
      </c>
      <c r="BQ251" t="n">
        <v>0</v>
      </c>
      <c r="BR251" t="n">
        <v>0</v>
      </c>
      <c r="BS251" t="n">
        <v>0</v>
      </c>
      <c r="BT251" t="n">
        <v>0</v>
      </c>
      <c r="BU251" t="n">
        <v>0</v>
      </c>
      <c r="BV251" t="n">
        <v>0</v>
      </c>
      <c r="BW251" t="n">
        <v>0</v>
      </c>
      <c r="BX251" t="n">
        <v>0</v>
      </c>
      <c r="BY251" t="n">
        <v>0</v>
      </c>
      <c r="BZ251" t="n">
        <v>27</v>
      </c>
      <c r="CA251" t="n">
        <v>0</v>
      </c>
      <c r="CB251" t="n">
        <v>3</v>
      </c>
      <c r="CC251" t="n">
        <v>0</v>
      </c>
      <c r="CD251" t="n">
        <v>21</v>
      </c>
      <c r="CE251" t="n">
        <v>17</v>
      </c>
      <c r="CF251" t="n">
        <v>21</v>
      </c>
      <c r="CG251" t="n">
        <v>20</v>
      </c>
      <c r="CH251" t="n">
        <v>27</v>
      </c>
      <c r="CI251" t="n">
        <v>0</v>
      </c>
      <c r="CJ251" t="n">
        <v>3</v>
      </c>
      <c r="CK251" t="n">
        <v>0</v>
      </c>
      <c r="CL251" t="n">
        <v>21</v>
      </c>
      <c r="CM251" t="n">
        <v>17</v>
      </c>
      <c r="CN251" t="n">
        <v>21</v>
      </c>
      <c r="CO251" t="n">
        <v>20</v>
      </c>
      <c r="CP251" t="n">
        <v>0</v>
      </c>
      <c r="CQ251" t="n">
        <v>0</v>
      </c>
      <c r="CR251" t="n">
        <v>0</v>
      </c>
      <c r="CS251" t="n">
        <v>0</v>
      </c>
      <c r="CT251" t="n">
        <v>0</v>
      </c>
      <c r="CU251" t="n">
        <v>0</v>
      </c>
      <c r="CV251" t="n">
        <v>0</v>
      </c>
      <c r="CW251" t="n">
        <v>0</v>
      </c>
      <c r="CX251" t="n">
        <v>70</v>
      </c>
      <c r="CY251" t="n">
        <v>52.9</v>
      </c>
      <c r="CZ251" t="n">
        <v>85.7</v>
      </c>
      <c r="DA251" t="n">
        <v>79.8</v>
      </c>
      <c r="DB251" t="n">
        <v>66.7</v>
      </c>
      <c r="DC251" t="n">
        <v>49.5</v>
      </c>
      <c r="DD251" t="n">
        <v>74.7</v>
      </c>
      <c r="DE251" t="n">
        <v>69.5</v>
      </c>
      <c r="DF251" t="n">
        <v>70</v>
      </c>
      <c r="DG251" t="n">
        <v>52.9</v>
      </c>
      <c r="DH251" t="n">
        <v>85.7</v>
      </c>
      <c r="DI251" t="n">
        <v>79.8</v>
      </c>
      <c r="DJ251" t="n">
        <v>66.7</v>
      </c>
      <c r="DK251" t="n">
        <v>49.5</v>
      </c>
      <c r="DL251" t="n">
        <v>74.7</v>
      </c>
      <c r="DM251" t="n">
        <v>69.5</v>
      </c>
      <c r="DN251" t="n">
        <v>0</v>
      </c>
      <c r="DO251" t="n">
        <v>0</v>
      </c>
      <c r="DP251" t="n">
        <v>0</v>
      </c>
      <c r="DQ251" t="n">
        <v>0</v>
      </c>
      <c r="DR251" t="n">
        <v>0</v>
      </c>
      <c r="DS251" t="n">
        <v>0</v>
      </c>
      <c r="DT251" t="n">
        <v>0</v>
      </c>
      <c r="DU251" t="n">
        <v>0</v>
      </c>
      <c r="DV251" t="inlineStr">
        <is>
          <t>1 Mwh per peak hour</t>
        </is>
      </c>
    </row>
    <row r="252">
      <c r="A252" t="inlineStr">
        <is>
          <t>ERCOT WEST 345K RT OFF-PEAK - ICE FUTURES ENERGY DIV</t>
        </is>
      </c>
      <c r="B252" t="n">
        <v>230110</v>
      </c>
      <c r="C252" s="1" t="n">
        <v>44936</v>
      </c>
      <c r="D252" t="inlineStr">
        <is>
          <t>06439W</t>
        </is>
      </c>
      <c r="E252" t="inlineStr">
        <is>
          <t>IFED</t>
        </is>
      </c>
      <c r="F252" t="inlineStr">
        <is>
          <t>01</t>
        </is>
      </c>
      <c r="G252" t="inlineStr">
        <is>
          <t xml:space="preserve">064 </t>
        </is>
      </c>
      <c r="H252" t="n">
        <v>39583</v>
      </c>
      <c r="I252" s="17" t="n">
        <v>0</v>
      </c>
      <c r="J252" s="17" t="n">
        <v>9609</v>
      </c>
      <c r="K252" t="n">
        <v>0</v>
      </c>
      <c r="L252" t="n">
        <v>39213</v>
      </c>
      <c r="M252" t="n">
        <v>29670</v>
      </c>
      <c r="N252" t="n">
        <v>39213</v>
      </c>
      <c r="O252" t="n">
        <v>39279</v>
      </c>
      <c r="P252" t="n">
        <v>370</v>
      </c>
      <c r="Q252" t="n">
        <v>304</v>
      </c>
      <c r="R252" t="n">
        <v>39583</v>
      </c>
      <c r="S252" t="n">
        <v>0</v>
      </c>
      <c r="T252" t="n">
        <v>9609</v>
      </c>
      <c r="U252" t="n">
        <v>0</v>
      </c>
      <c r="V252" t="n">
        <v>39213</v>
      </c>
      <c r="W252" t="n">
        <v>29670</v>
      </c>
      <c r="X252" t="n">
        <v>39213</v>
      </c>
      <c r="Y252" t="n">
        <v>39279</v>
      </c>
      <c r="Z252" t="n">
        <v>370</v>
      </c>
      <c r="AA252" t="n">
        <v>304</v>
      </c>
      <c r="AB252" t="n">
        <v>0</v>
      </c>
      <c r="AC252" t="n">
        <v>0</v>
      </c>
      <c r="AD252" t="n">
        <v>0</v>
      </c>
      <c r="AE252" t="n">
        <v>0</v>
      </c>
      <c r="AF252" t="n">
        <v>0</v>
      </c>
      <c r="AG252" t="n">
        <v>0</v>
      </c>
      <c r="AH252" t="n">
        <v>0</v>
      </c>
      <c r="AI252" t="n">
        <v>0</v>
      </c>
      <c r="AJ252" t="n">
        <v>0</v>
      </c>
      <c r="AK252" t="n">
        <v>0</v>
      </c>
      <c r="AL252" t="n">
        <v>-2318</v>
      </c>
      <c r="AM252" t="n">
        <v>0</v>
      </c>
      <c r="AN252" t="n">
        <v>-100</v>
      </c>
      <c r="AO252" t="n">
        <v>0</v>
      </c>
      <c r="AP252" t="n">
        <v>-2673</v>
      </c>
      <c r="AQ252" t="n">
        <v>-2418</v>
      </c>
      <c r="AR252" t="n">
        <v>-2673</v>
      </c>
      <c r="AS252" t="n">
        <v>-2518</v>
      </c>
      <c r="AT252" t="n">
        <v>355</v>
      </c>
      <c r="AU252" t="n">
        <v>200</v>
      </c>
      <c r="AV252" t="n">
        <v>100</v>
      </c>
      <c r="AW252" t="n">
        <v>0</v>
      </c>
      <c r="AX252" t="n">
        <v>24.3</v>
      </c>
      <c r="AY252" t="n">
        <v>0</v>
      </c>
      <c r="AZ252" t="n">
        <v>99.09999999999999</v>
      </c>
      <c r="BA252" t="n">
        <v>75</v>
      </c>
      <c r="BB252" t="n">
        <v>99.09999999999999</v>
      </c>
      <c r="BC252" t="n">
        <v>99.2</v>
      </c>
      <c r="BD252" t="n">
        <v>0.9</v>
      </c>
      <c r="BE252" t="n">
        <v>0.8</v>
      </c>
      <c r="BF252" t="n">
        <v>100</v>
      </c>
      <c r="BG252" t="n">
        <v>0</v>
      </c>
      <c r="BH252" t="n">
        <v>24.3</v>
      </c>
      <c r="BI252" t="n">
        <v>0</v>
      </c>
      <c r="BJ252" t="n">
        <v>99.09999999999999</v>
      </c>
      <c r="BK252" t="n">
        <v>75</v>
      </c>
      <c r="BL252" t="n">
        <v>99.09999999999999</v>
      </c>
      <c r="BM252" t="n">
        <v>99.2</v>
      </c>
      <c r="BN252" t="n">
        <v>0.9</v>
      </c>
      <c r="BO252" t="n">
        <v>0.8</v>
      </c>
      <c r="BP252" t="n">
        <v>0</v>
      </c>
      <c r="BQ252" t="n">
        <v>0</v>
      </c>
      <c r="BR252" t="n">
        <v>0</v>
      </c>
      <c r="BS252" t="n">
        <v>0</v>
      </c>
      <c r="BT252" t="n">
        <v>0</v>
      </c>
      <c r="BU252" t="n">
        <v>0</v>
      </c>
      <c r="BV252" t="n">
        <v>0</v>
      </c>
      <c r="BW252" t="n">
        <v>0</v>
      </c>
      <c r="BX252" t="n">
        <v>0</v>
      </c>
      <c r="BY252" t="n">
        <v>0</v>
      </c>
      <c r="BZ252" t="n">
        <v>26</v>
      </c>
      <c r="CA252" t="n">
        <v>0</v>
      </c>
      <c r="CB252" t="n">
        <v>4</v>
      </c>
      <c r="CC252" t="n">
        <v>0</v>
      </c>
      <c r="CD252" t="n">
        <v>19</v>
      </c>
      <c r="CE252" t="n">
        <v>17</v>
      </c>
      <c r="CF252" t="n">
        <v>19</v>
      </c>
      <c r="CG252" t="n">
        <v>21</v>
      </c>
      <c r="CH252" t="n">
        <v>26</v>
      </c>
      <c r="CI252" t="n">
        <v>0</v>
      </c>
      <c r="CJ252" t="n">
        <v>4</v>
      </c>
      <c r="CK252" t="n">
        <v>0</v>
      </c>
      <c r="CL252" t="n">
        <v>19</v>
      </c>
      <c r="CM252" t="n">
        <v>17</v>
      </c>
      <c r="CN252" t="n">
        <v>19</v>
      </c>
      <c r="CO252" t="n">
        <v>21</v>
      </c>
      <c r="CP252" t="n">
        <v>0</v>
      </c>
      <c r="CQ252" t="n">
        <v>0</v>
      </c>
      <c r="CR252" t="n">
        <v>0</v>
      </c>
      <c r="CS252" t="n">
        <v>0</v>
      </c>
      <c r="CT252" t="n">
        <v>0</v>
      </c>
      <c r="CU252" t="n">
        <v>0</v>
      </c>
      <c r="CV252" t="n">
        <v>0</v>
      </c>
      <c r="CW252" t="n">
        <v>0</v>
      </c>
      <c r="CX252" t="n">
        <v>67.3</v>
      </c>
      <c r="CY252" t="n">
        <v>55.6</v>
      </c>
      <c r="CZ252" t="n">
        <v>84.8</v>
      </c>
      <c r="DA252" t="n">
        <v>80.3</v>
      </c>
      <c r="DB252" t="n">
        <v>60</v>
      </c>
      <c r="DC252" t="n">
        <v>52</v>
      </c>
      <c r="DD252" t="n">
        <v>68.2</v>
      </c>
      <c r="DE252" t="n">
        <v>66.09999999999999</v>
      </c>
      <c r="DF252" t="n">
        <v>67.3</v>
      </c>
      <c r="DG252" t="n">
        <v>55.6</v>
      </c>
      <c r="DH252" t="n">
        <v>84.8</v>
      </c>
      <c r="DI252" t="n">
        <v>80.3</v>
      </c>
      <c r="DJ252" t="n">
        <v>60</v>
      </c>
      <c r="DK252" t="n">
        <v>52</v>
      </c>
      <c r="DL252" t="n">
        <v>68.2</v>
      </c>
      <c r="DM252" t="n">
        <v>66.09999999999999</v>
      </c>
      <c r="DN252" t="n">
        <v>0</v>
      </c>
      <c r="DO252" t="n">
        <v>0</v>
      </c>
      <c r="DP252" t="n">
        <v>0</v>
      </c>
      <c r="DQ252" t="n">
        <v>0</v>
      </c>
      <c r="DR252" t="n">
        <v>0</v>
      </c>
      <c r="DS252" t="n">
        <v>0</v>
      </c>
      <c r="DT252" t="n">
        <v>0</v>
      </c>
      <c r="DU252" t="n">
        <v>0</v>
      </c>
      <c r="DV252" t="inlineStr">
        <is>
          <t>1 MWh per Off-Peak Hour</t>
        </is>
      </c>
    </row>
    <row r="253">
      <c r="A253" t="inlineStr">
        <is>
          <t>ERCOT WEST 345K RT OFF-PEAK - ICE FUTURES ENERGY DIV</t>
        </is>
      </c>
      <c r="B253" t="n">
        <v>230103</v>
      </c>
      <c r="C253" s="1" t="n">
        <v>44929</v>
      </c>
      <c r="D253" t="inlineStr">
        <is>
          <t>06439W</t>
        </is>
      </c>
      <c r="E253" t="inlineStr">
        <is>
          <t>IFED</t>
        </is>
      </c>
      <c r="F253" t="inlineStr">
        <is>
          <t>01</t>
        </is>
      </c>
      <c r="G253" t="inlineStr">
        <is>
          <t xml:space="preserve">064 </t>
        </is>
      </c>
      <c r="H253" t="n">
        <v>41901</v>
      </c>
      <c r="I253" s="17" t="n">
        <v>0</v>
      </c>
      <c r="J253" s="17" t="n">
        <v>9709</v>
      </c>
      <c r="K253" t="n">
        <v>0</v>
      </c>
      <c r="L253" t="n">
        <v>41886</v>
      </c>
      <c r="M253" t="n">
        <v>32088</v>
      </c>
      <c r="N253" t="n">
        <v>41886</v>
      </c>
      <c r="O253" t="n">
        <v>41797</v>
      </c>
      <c r="P253" t="n">
        <v>15</v>
      </c>
      <c r="Q253" t="n">
        <v>104</v>
      </c>
      <c r="R253" t="n">
        <v>41901</v>
      </c>
      <c r="S253" t="n">
        <v>0</v>
      </c>
      <c r="T253" t="n">
        <v>9709</v>
      </c>
      <c r="U253" t="n">
        <v>0</v>
      </c>
      <c r="V253" t="n">
        <v>41886</v>
      </c>
      <c r="W253" t="n">
        <v>32088</v>
      </c>
      <c r="X253" t="n">
        <v>41886</v>
      </c>
      <c r="Y253" t="n">
        <v>41797</v>
      </c>
      <c r="Z253" t="n">
        <v>15</v>
      </c>
      <c r="AA253" t="n">
        <v>104</v>
      </c>
      <c r="AB253" t="n">
        <v>0</v>
      </c>
      <c r="AC253" t="n">
        <v>0</v>
      </c>
      <c r="AD253" t="n">
        <v>0</v>
      </c>
      <c r="AE253" t="n">
        <v>0</v>
      </c>
      <c r="AF253" t="n">
        <v>0</v>
      </c>
      <c r="AG253" t="n">
        <v>0</v>
      </c>
      <c r="AH253" t="n">
        <v>0</v>
      </c>
      <c r="AI253" t="n">
        <v>0</v>
      </c>
      <c r="AJ253" t="n">
        <v>0</v>
      </c>
      <c r="AK253" t="n">
        <v>0</v>
      </c>
      <c r="AL253" t="n">
        <v>0</v>
      </c>
      <c r="AM253" t="n">
        <v>0</v>
      </c>
      <c r="AN253" t="n">
        <v>-600</v>
      </c>
      <c r="AO253" t="n">
        <v>0</v>
      </c>
      <c r="AP253" t="n">
        <v>0</v>
      </c>
      <c r="AQ253" t="n">
        <v>600</v>
      </c>
      <c r="AR253" t="n">
        <v>0</v>
      </c>
      <c r="AS253" t="n">
        <v>0</v>
      </c>
      <c r="AT253" t="n">
        <v>0</v>
      </c>
      <c r="AU253" t="n">
        <v>0</v>
      </c>
      <c r="AV253" t="n">
        <v>100</v>
      </c>
      <c r="AW253" t="n">
        <v>0</v>
      </c>
      <c r="AX253" t="n">
        <v>23.2</v>
      </c>
      <c r="AY253" t="n">
        <v>0</v>
      </c>
      <c r="AZ253" t="n">
        <v>100</v>
      </c>
      <c r="BA253" t="n">
        <v>76.59999999999999</v>
      </c>
      <c r="BB253" t="n">
        <v>100</v>
      </c>
      <c r="BC253" t="n">
        <v>99.8</v>
      </c>
      <c r="BD253" t="n">
        <v>0</v>
      </c>
      <c r="BE253" t="n">
        <v>0.2</v>
      </c>
      <c r="BF253" t="n">
        <v>100</v>
      </c>
      <c r="BG253" t="n">
        <v>0</v>
      </c>
      <c r="BH253" t="n">
        <v>23.2</v>
      </c>
      <c r="BI253" t="n">
        <v>0</v>
      </c>
      <c r="BJ253" t="n">
        <v>100</v>
      </c>
      <c r="BK253" t="n">
        <v>76.59999999999999</v>
      </c>
      <c r="BL253" t="n">
        <v>100</v>
      </c>
      <c r="BM253" t="n">
        <v>99.8</v>
      </c>
      <c r="BN253" t="n">
        <v>0</v>
      </c>
      <c r="BO253" t="n">
        <v>0.2</v>
      </c>
      <c r="BP253" t="n">
        <v>0</v>
      </c>
      <c r="BQ253" t="n">
        <v>0</v>
      </c>
      <c r="BR253" t="n">
        <v>0</v>
      </c>
      <c r="BS253" t="n">
        <v>0</v>
      </c>
      <c r="BT253" t="n">
        <v>0</v>
      </c>
      <c r="BU253" t="n">
        <v>0</v>
      </c>
      <c r="BV253" t="n">
        <v>0</v>
      </c>
      <c r="BW253" t="n">
        <v>0</v>
      </c>
      <c r="BX253" t="n">
        <v>0</v>
      </c>
      <c r="BY253" t="n">
        <v>0</v>
      </c>
      <c r="BZ253" t="n">
        <v>27</v>
      </c>
      <c r="CA253" t="n">
        <v>0</v>
      </c>
      <c r="CB253" t="n">
        <v>3</v>
      </c>
      <c r="CC253" t="n">
        <v>0</v>
      </c>
      <c r="CD253" t="n">
        <v>21</v>
      </c>
      <c r="CE253" t="n">
        <v>18</v>
      </c>
      <c r="CF253" t="n">
        <v>21</v>
      </c>
      <c r="CG253" t="n">
        <v>21</v>
      </c>
      <c r="CH253" t="n">
        <v>27</v>
      </c>
      <c r="CI253" t="n">
        <v>0</v>
      </c>
      <c r="CJ253" t="n">
        <v>3</v>
      </c>
      <c r="CK253" t="n">
        <v>0</v>
      </c>
      <c r="CL253" t="n">
        <v>21</v>
      </c>
      <c r="CM253" t="n">
        <v>18</v>
      </c>
      <c r="CN253" t="n">
        <v>21</v>
      </c>
      <c r="CO253" t="n">
        <v>21</v>
      </c>
      <c r="CP253" t="n">
        <v>0</v>
      </c>
      <c r="CQ253" t="n">
        <v>0</v>
      </c>
      <c r="CR253" t="n">
        <v>0</v>
      </c>
      <c r="CS253" t="n">
        <v>0</v>
      </c>
      <c r="CT253" t="n">
        <v>0</v>
      </c>
      <c r="CU253" t="n">
        <v>0</v>
      </c>
      <c r="CV253" t="n">
        <v>0</v>
      </c>
      <c r="CW253" t="n">
        <v>0</v>
      </c>
      <c r="CX253" t="n">
        <v>66.2</v>
      </c>
      <c r="CY253" t="n">
        <v>54.2</v>
      </c>
      <c r="CZ253" t="n">
        <v>84</v>
      </c>
      <c r="DA253" t="n">
        <v>77.90000000000001</v>
      </c>
      <c r="DB253" t="n">
        <v>58.6</v>
      </c>
      <c r="DC253" t="n">
        <v>50.9</v>
      </c>
      <c r="DD253" t="n">
        <v>66.90000000000001</v>
      </c>
      <c r="DE253" t="n">
        <v>64.90000000000001</v>
      </c>
      <c r="DF253" t="n">
        <v>66.2</v>
      </c>
      <c r="DG253" t="n">
        <v>54.2</v>
      </c>
      <c r="DH253" t="n">
        <v>84</v>
      </c>
      <c r="DI253" t="n">
        <v>77.90000000000001</v>
      </c>
      <c r="DJ253" t="n">
        <v>58.6</v>
      </c>
      <c r="DK253" t="n">
        <v>50.9</v>
      </c>
      <c r="DL253" t="n">
        <v>66.90000000000001</v>
      </c>
      <c r="DM253" t="n">
        <v>64.90000000000001</v>
      </c>
      <c r="DN253" t="n">
        <v>0</v>
      </c>
      <c r="DO253" t="n">
        <v>0</v>
      </c>
      <c r="DP253" t="n">
        <v>0</v>
      </c>
      <c r="DQ253" t="n">
        <v>0</v>
      </c>
      <c r="DR253" t="n">
        <v>0</v>
      </c>
      <c r="DS253" t="n">
        <v>0</v>
      </c>
      <c r="DT253" t="n">
        <v>0</v>
      </c>
      <c r="DU253" t="n">
        <v>0</v>
      </c>
      <c r="DV253" t="inlineStr">
        <is>
          <t>1 MWh per Off-Peak Hour</t>
        </is>
      </c>
    </row>
    <row r="254">
      <c r="A254" t="inlineStr">
        <is>
          <t>ERCOT - NORTH MONTHLY OFF-PEAK - ICE FUTURES ENERGY DIV</t>
        </is>
      </c>
      <c r="B254" t="n">
        <v>230110</v>
      </c>
      <c r="C254" s="1" t="n">
        <v>44936</v>
      </c>
      <c r="D254" t="inlineStr">
        <is>
          <t>0643A8</t>
        </is>
      </c>
      <c r="E254" t="inlineStr">
        <is>
          <t>IFED</t>
        </is>
      </c>
      <c r="F254" t="inlineStr">
        <is>
          <t>01</t>
        </is>
      </c>
      <c r="G254" t="inlineStr">
        <is>
          <t xml:space="preserve">064 </t>
        </is>
      </c>
      <c r="H254" t="n">
        <v>108746</v>
      </c>
      <c r="I254" s="17" t="n">
        <v>19512</v>
      </c>
      <c r="J254" s="17" t="n">
        <v>2531</v>
      </c>
      <c r="K254" t="n">
        <v>1029</v>
      </c>
      <c r="L254" t="n">
        <v>87147</v>
      </c>
      <c r="M254" t="n">
        <v>104568</v>
      </c>
      <c r="N254" t="n">
        <v>107688</v>
      </c>
      <c r="O254" t="n">
        <v>108128</v>
      </c>
      <c r="P254" t="n">
        <v>1058</v>
      </c>
      <c r="Q254" t="n">
        <v>618</v>
      </c>
      <c r="R254" t="n">
        <v>108746</v>
      </c>
      <c r="S254" t="n">
        <v>19512</v>
      </c>
      <c r="T254" t="n">
        <v>2531</v>
      </c>
      <c r="U254" t="n">
        <v>1029</v>
      </c>
      <c r="V254" t="n">
        <v>87147</v>
      </c>
      <c r="W254" t="n">
        <v>104568</v>
      </c>
      <c r="X254" t="n">
        <v>107688</v>
      </c>
      <c r="Y254" t="n">
        <v>108128</v>
      </c>
      <c r="Z254" t="n">
        <v>1058</v>
      </c>
      <c r="AA254" t="n">
        <v>618</v>
      </c>
      <c r="AB254" t="n">
        <v>0</v>
      </c>
      <c r="AC254" t="n">
        <v>0</v>
      </c>
      <c r="AD254" t="n">
        <v>0</v>
      </c>
      <c r="AE254" t="n">
        <v>0</v>
      </c>
      <c r="AF254" t="n">
        <v>0</v>
      </c>
      <c r="AG254" t="n">
        <v>0</v>
      </c>
      <c r="AH254" t="n">
        <v>0</v>
      </c>
      <c r="AI254" t="n">
        <v>0</v>
      </c>
      <c r="AJ254" t="n">
        <v>0</v>
      </c>
      <c r="AK254" t="n">
        <v>0</v>
      </c>
      <c r="AL254" t="n">
        <v>-1378</v>
      </c>
      <c r="AM254" t="n">
        <v>-443</v>
      </c>
      <c r="AN254" t="n">
        <v>2050</v>
      </c>
      <c r="AO254" t="n">
        <v>-200</v>
      </c>
      <c r="AP254" t="n">
        <v>-831</v>
      </c>
      <c r="AQ254" t="n">
        <v>-3235</v>
      </c>
      <c r="AR254" t="n">
        <v>-1474</v>
      </c>
      <c r="AS254" t="n">
        <v>-1385</v>
      </c>
      <c r="AT254" t="n">
        <v>96</v>
      </c>
      <c r="AU254" t="n">
        <v>7</v>
      </c>
      <c r="AV254" t="n">
        <v>100</v>
      </c>
      <c r="AW254" t="n">
        <v>17.9</v>
      </c>
      <c r="AX254" t="n">
        <v>2.3</v>
      </c>
      <c r="AY254" t="n">
        <v>0.9</v>
      </c>
      <c r="AZ254" t="n">
        <v>80.09999999999999</v>
      </c>
      <c r="BA254" t="n">
        <v>96.2</v>
      </c>
      <c r="BB254" t="n">
        <v>99</v>
      </c>
      <c r="BC254" t="n">
        <v>99.40000000000001</v>
      </c>
      <c r="BD254" t="n">
        <v>1</v>
      </c>
      <c r="BE254" t="n">
        <v>0.6</v>
      </c>
      <c r="BF254" t="n">
        <v>100</v>
      </c>
      <c r="BG254" t="n">
        <v>17.9</v>
      </c>
      <c r="BH254" t="n">
        <v>2.3</v>
      </c>
      <c r="BI254" t="n">
        <v>0.9</v>
      </c>
      <c r="BJ254" t="n">
        <v>80.09999999999999</v>
      </c>
      <c r="BK254" t="n">
        <v>96.2</v>
      </c>
      <c r="BL254" t="n">
        <v>99</v>
      </c>
      <c r="BM254" t="n">
        <v>99.40000000000001</v>
      </c>
      <c r="BN254" t="n">
        <v>1</v>
      </c>
      <c r="BO254" t="n">
        <v>0.6</v>
      </c>
      <c r="BP254" t="n">
        <v>0</v>
      </c>
      <c r="BQ254" t="n">
        <v>0</v>
      </c>
      <c r="BR254" t="n">
        <v>0</v>
      </c>
      <c r="BS254" t="n">
        <v>0</v>
      </c>
      <c r="BT254" t="n">
        <v>0</v>
      </c>
      <c r="BU254" t="n">
        <v>0</v>
      </c>
      <c r="BV254" t="n">
        <v>0</v>
      </c>
      <c r="BW254" t="n">
        <v>0</v>
      </c>
      <c r="BX254" t="n">
        <v>0</v>
      </c>
      <c r="BY254" t="n">
        <v>0</v>
      </c>
      <c r="BZ254" t="n">
        <v>40</v>
      </c>
      <c r="CA254" t="n">
        <v>6</v>
      </c>
      <c r="CB254" t="n">
        <v>2</v>
      </c>
      <c r="CC254" t="n">
        <v>3</v>
      </c>
      <c r="CD254" t="n">
        <v>27</v>
      </c>
      <c r="CE254" t="n">
        <v>27</v>
      </c>
      <c r="CF254" t="n">
        <v>34</v>
      </c>
      <c r="CG254" t="n">
        <v>31</v>
      </c>
      <c r="CH254" t="n">
        <v>40</v>
      </c>
      <c r="CI254" t="n">
        <v>6</v>
      </c>
      <c r="CJ254" t="n">
        <v>2</v>
      </c>
      <c r="CK254" t="n">
        <v>3</v>
      </c>
      <c r="CL254" t="n">
        <v>27</v>
      </c>
      <c r="CM254" t="n">
        <v>27</v>
      </c>
      <c r="CN254" t="n">
        <v>34</v>
      </c>
      <c r="CO254" t="n">
        <v>31</v>
      </c>
      <c r="CP254" t="n">
        <v>0</v>
      </c>
      <c r="CQ254" t="n">
        <v>0</v>
      </c>
      <c r="CR254" t="n">
        <v>0</v>
      </c>
      <c r="CS254" t="n">
        <v>0</v>
      </c>
      <c r="CT254" t="n">
        <v>0</v>
      </c>
      <c r="CU254" t="n">
        <v>0</v>
      </c>
      <c r="CV254" t="n">
        <v>0</v>
      </c>
      <c r="CW254" t="n">
        <v>0</v>
      </c>
      <c r="CX254" t="n">
        <v>54.5</v>
      </c>
      <c r="CY254" t="n">
        <v>60.4</v>
      </c>
      <c r="CZ254" t="n">
        <v>72</v>
      </c>
      <c r="DA254" t="n">
        <v>80</v>
      </c>
      <c r="DB254" t="n">
        <v>50.5</v>
      </c>
      <c r="DC254" t="n">
        <v>53.8</v>
      </c>
      <c r="DD254" t="n">
        <v>62.5</v>
      </c>
      <c r="DE254" t="n">
        <v>65.90000000000001</v>
      </c>
      <c r="DF254" t="n">
        <v>54.5</v>
      </c>
      <c r="DG254" t="n">
        <v>60.4</v>
      </c>
      <c r="DH254" t="n">
        <v>72</v>
      </c>
      <c r="DI254" t="n">
        <v>80</v>
      </c>
      <c r="DJ254" t="n">
        <v>50.5</v>
      </c>
      <c r="DK254" t="n">
        <v>53.8</v>
      </c>
      <c r="DL254" t="n">
        <v>62.5</v>
      </c>
      <c r="DM254" t="n">
        <v>65.90000000000001</v>
      </c>
      <c r="DN254" t="n">
        <v>0</v>
      </c>
      <c r="DO254" t="n">
        <v>0</v>
      </c>
      <c r="DP254" t="n">
        <v>0</v>
      </c>
      <c r="DQ254" t="n">
        <v>0</v>
      </c>
      <c r="DR254" t="n">
        <v>0</v>
      </c>
      <c r="DS254" t="n">
        <v>0</v>
      </c>
      <c r="DT254" t="n">
        <v>0</v>
      </c>
      <c r="DU254" t="n">
        <v>0</v>
      </c>
      <c r="DV254" t="inlineStr">
        <is>
          <t>1 Mwh per Off-Peak Hour</t>
        </is>
      </c>
    </row>
    <row r="255">
      <c r="A255" t="inlineStr">
        <is>
          <t>ERCOT - NORTH MONTHLY OFF-PEAK - ICE FUTURES ENERGY DIV</t>
        </is>
      </c>
      <c r="B255" t="n">
        <v>230103</v>
      </c>
      <c r="C255" s="1" t="n">
        <v>44929</v>
      </c>
      <c r="D255" t="inlineStr">
        <is>
          <t>0643A8</t>
        </is>
      </c>
      <c r="E255" t="inlineStr">
        <is>
          <t>IFED</t>
        </is>
      </c>
      <c r="F255" t="inlineStr">
        <is>
          <t>01</t>
        </is>
      </c>
      <c r="G255" t="inlineStr">
        <is>
          <t xml:space="preserve">064 </t>
        </is>
      </c>
      <c r="H255" t="n">
        <v>110124</v>
      </c>
      <c r="I255" s="17" t="n">
        <v>19955</v>
      </c>
      <c r="J255" s="17" t="n">
        <v>481</v>
      </c>
      <c r="K255" t="n">
        <v>1229</v>
      </c>
      <c r="L255" t="n">
        <v>87978</v>
      </c>
      <c r="M255" t="n">
        <v>107803</v>
      </c>
      <c r="N255" t="n">
        <v>109162</v>
      </c>
      <c r="O255" t="n">
        <v>109513</v>
      </c>
      <c r="P255" t="n">
        <v>962</v>
      </c>
      <c r="Q255" t="n">
        <v>611</v>
      </c>
      <c r="R255" t="n">
        <v>110124</v>
      </c>
      <c r="S255" t="n">
        <v>19955</v>
      </c>
      <c r="T255" t="n">
        <v>481</v>
      </c>
      <c r="U255" t="n">
        <v>1229</v>
      </c>
      <c r="V255" t="n">
        <v>87978</v>
      </c>
      <c r="W255" t="n">
        <v>107803</v>
      </c>
      <c r="X255" t="n">
        <v>109162</v>
      </c>
      <c r="Y255" t="n">
        <v>109513</v>
      </c>
      <c r="Z255" t="n">
        <v>962</v>
      </c>
      <c r="AA255" t="n">
        <v>611</v>
      </c>
      <c r="AB255" t="n">
        <v>0</v>
      </c>
      <c r="AC255" t="n">
        <v>0</v>
      </c>
      <c r="AD255" t="n">
        <v>0</v>
      </c>
      <c r="AE255" t="n">
        <v>0</v>
      </c>
      <c r="AF255" t="n">
        <v>0</v>
      </c>
      <c r="AG255" t="n">
        <v>0</v>
      </c>
      <c r="AH255" t="n">
        <v>0</v>
      </c>
      <c r="AI255" t="n">
        <v>0</v>
      </c>
      <c r="AJ255" t="n">
        <v>0</v>
      </c>
      <c r="AK255" t="n">
        <v>0</v>
      </c>
      <c r="AL255" t="n">
        <v>-286</v>
      </c>
      <c r="AM255" t="n">
        <v>-225</v>
      </c>
      <c r="AN255" t="n">
        <v>1</v>
      </c>
      <c r="AO255" t="n">
        <v>0</v>
      </c>
      <c r="AP255" t="n">
        <v>-61</v>
      </c>
      <c r="AQ255" t="n">
        <v>-287</v>
      </c>
      <c r="AR255" t="n">
        <v>-286</v>
      </c>
      <c r="AS255" t="n">
        <v>-286</v>
      </c>
      <c r="AT255" t="n">
        <v>0</v>
      </c>
      <c r="AU255" t="n">
        <v>0</v>
      </c>
      <c r="AV255" t="n">
        <v>100</v>
      </c>
      <c r="AW255" t="n">
        <v>18.1</v>
      </c>
      <c r="AX255" t="n">
        <v>0.4</v>
      </c>
      <c r="AY255" t="n">
        <v>1.1</v>
      </c>
      <c r="AZ255" t="n">
        <v>79.90000000000001</v>
      </c>
      <c r="BA255" t="n">
        <v>97.90000000000001</v>
      </c>
      <c r="BB255" t="n">
        <v>99.09999999999999</v>
      </c>
      <c r="BC255" t="n">
        <v>99.40000000000001</v>
      </c>
      <c r="BD255" t="n">
        <v>0.9</v>
      </c>
      <c r="BE255" t="n">
        <v>0.6</v>
      </c>
      <c r="BF255" t="n">
        <v>100</v>
      </c>
      <c r="BG255" t="n">
        <v>18.1</v>
      </c>
      <c r="BH255" t="n">
        <v>0.4</v>
      </c>
      <c r="BI255" t="n">
        <v>1.1</v>
      </c>
      <c r="BJ255" t="n">
        <v>79.90000000000001</v>
      </c>
      <c r="BK255" t="n">
        <v>97.90000000000001</v>
      </c>
      <c r="BL255" t="n">
        <v>99.09999999999999</v>
      </c>
      <c r="BM255" t="n">
        <v>99.40000000000001</v>
      </c>
      <c r="BN255" t="n">
        <v>0.9</v>
      </c>
      <c r="BO255" t="n">
        <v>0.6</v>
      </c>
      <c r="BP255" t="n">
        <v>0</v>
      </c>
      <c r="BQ255" t="n">
        <v>0</v>
      </c>
      <c r="BR255" t="n">
        <v>0</v>
      </c>
      <c r="BS255" t="n">
        <v>0</v>
      </c>
      <c r="BT255" t="n">
        <v>0</v>
      </c>
      <c r="BU255" t="n">
        <v>0</v>
      </c>
      <c r="BV255" t="n">
        <v>0</v>
      </c>
      <c r="BW255" t="n">
        <v>0</v>
      </c>
      <c r="BX255" t="n">
        <v>0</v>
      </c>
      <c r="BY255" t="n">
        <v>0</v>
      </c>
      <c r="BZ255" t="n">
        <v>43</v>
      </c>
      <c r="CA255" t="n">
        <v>7</v>
      </c>
      <c r="CB255" t="n">
        <v>3</v>
      </c>
      <c r="CC255" t="n">
        <v>4</v>
      </c>
      <c r="CD255" t="n">
        <v>27</v>
      </c>
      <c r="CE255" t="n">
        <v>29</v>
      </c>
      <c r="CF255" t="n">
        <v>35</v>
      </c>
      <c r="CG255" t="n">
        <v>35</v>
      </c>
      <c r="CH255" t="n">
        <v>43</v>
      </c>
      <c r="CI255" t="n">
        <v>7</v>
      </c>
      <c r="CJ255" t="n">
        <v>3</v>
      </c>
      <c r="CK255" t="n">
        <v>4</v>
      </c>
      <c r="CL255" t="n">
        <v>27</v>
      </c>
      <c r="CM255" t="n">
        <v>29</v>
      </c>
      <c r="CN255" t="n">
        <v>35</v>
      </c>
      <c r="CO255" t="n">
        <v>35</v>
      </c>
      <c r="CP255" t="n">
        <v>0</v>
      </c>
      <c r="CQ255" t="n">
        <v>0</v>
      </c>
      <c r="CR255" t="n">
        <v>0</v>
      </c>
      <c r="CS255" t="n">
        <v>0</v>
      </c>
      <c r="CT255" t="n">
        <v>0</v>
      </c>
      <c r="CU255" t="n">
        <v>0</v>
      </c>
      <c r="CV255" t="n">
        <v>0</v>
      </c>
      <c r="CW255" t="n">
        <v>0</v>
      </c>
      <c r="CX255" t="n">
        <v>52.9</v>
      </c>
      <c r="CY255" t="n">
        <v>60.5</v>
      </c>
      <c r="CZ255" t="n">
        <v>70.5</v>
      </c>
      <c r="DA255" t="n">
        <v>79.7</v>
      </c>
      <c r="DB255" t="n">
        <v>48.8</v>
      </c>
      <c r="DC255" t="n">
        <v>54</v>
      </c>
      <c r="DD255" t="n">
        <v>61.7</v>
      </c>
      <c r="DE255" t="n">
        <v>65.59999999999999</v>
      </c>
      <c r="DF255" t="n">
        <v>52.9</v>
      </c>
      <c r="DG255" t="n">
        <v>60.5</v>
      </c>
      <c r="DH255" t="n">
        <v>70.5</v>
      </c>
      <c r="DI255" t="n">
        <v>79.7</v>
      </c>
      <c r="DJ255" t="n">
        <v>48.8</v>
      </c>
      <c r="DK255" t="n">
        <v>54</v>
      </c>
      <c r="DL255" t="n">
        <v>61.7</v>
      </c>
      <c r="DM255" t="n">
        <v>65.59999999999999</v>
      </c>
      <c r="DN255" t="n">
        <v>0</v>
      </c>
      <c r="DO255" t="n">
        <v>0</v>
      </c>
      <c r="DP255" t="n">
        <v>0</v>
      </c>
      <c r="DQ255" t="n">
        <v>0</v>
      </c>
      <c r="DR255" t="n">
        <v>0</v>
      </c>
      <c r="DS255" t="n">
        <v>0</v>
      </c>
      <c r="DT255" t="n">
        <v>0</v>
      </c>
      <c r="DU255" t="n">
        <v>0</v>
      </c>
      <c r="DV255" t="inlineStr">
        <is>
          <t>1 Mwh per Off-Peak Hour</t>
        </is>
      </c>
    </row>
    <row r="256">
      <c r="A256" t="inlineStr">
        <is>
          <t>MISO IN. DAY-AHEAD PEAK - ICE FUTURES ENERGY DIV</t>
        </is>
      </c>
      <c r="B256" t="n">
        <v>230110</v>
      </c>
      <c r="C256" s="1" t="n">
        <v>44936</v>
      </c>
      <c r="D256" t="inlineStr">
        <is>
          <t>0643AZ</t>
        </is>
      </c>
      <c r="E256" t="inlineStr">
        <is>
          <t>IFED</t>
        </is>
      </c>
      <c r="F256" t="inlineStr">
        <is>
          <t>01</t>
        </is>
      </c>
      <c r="G256" t="inlineStr">
        <is>
          <t xml:space="preserve">064 </t>
        </is>
      </c>
      <c r="H256" t="n">
        <v>40536</v>
      </c>
      <c r="I256" s="17" t="n">
        <v>0</v>
      </c>
      <c r="J256" s="17" t="n">
        <v>220</v>
      </c>
      <c r="K256" t="n">
        <v>0</v>
      </c>
      <c r="L256" t="n">
        <v>40211</v>
      </c>
      <c r="M256" t="n">
        <v>40052</v>
      </c>
      <c r="N256" t="n">
        <v>40211</v>
      </c>
      <c r="O256" t="n">
        <v>40272</v>
      </c>
      <c r="P256" t="n">
        <v>325</v>
      </c>
      <c r="Q256" t="n">
        <v>264</v>
      </c>
      <c r="R256" t="n">
        <v>40536</v>
      </c>
      <c r="S256" t="n">
        <v>0</v>
      </c>
      <c r="T256" t="n">
        <v>220</v>
      </c>
      <c r="U256" t="n">
        <v>0</v>
      </c>
      <c r="V256" t="n">
        <v>40211</v>
      </c>
      <c r="W256" t="n">
        <v>40052</v>
      </c>
      <c r="X256" t="n">
        <v>40211</v>
      </c>
      <c r="Y256" t="n">
        <v>40272</v>
      </c>
      <c r="Z256" t="n">
        <v>325</v>
      </c>
      <c r="AA256" t="n">
        <v>264</v>
      </c>
      <c r="AB256" t="n">
        <v>0</v>
      </c>
      <c r="AC256" t="n">
        <v>0</v>
      </c>
      <c r="AD256" t="n">
        <v>0</v>
      </c>
      <c r="AE256" t="n">
        <v>0</v>
      </c>
      <c r="AF256" t="n">
        <v>0</v>
      </c>
      <c r="AG256" t="n">
        <v>0</v>
      </c>
      <c r="AH256" t="n">
        <v>0</v>
      </c>
      <c r="AI256" t="n">
        <v>0</v>
      </c>
      <c r="AJ256" t="n">
        <v>0</v>
      </c>
      <c r="AK256" t="n">
        <v>0</v>
      </c>
      <c r="AL256" t="n">
        <v>-1950</v>
      </c>
      <c r="AM256" t="n">
        <v>0</v>
      </c>
      <c r="AN256" t="n">
        <v>-30</v>
      </c>
      <c r="AO256" t="n">
        <v>-50</v>
      </c>
      <c r="AP256" t="n">
        <v>-1870</v>
      </c>
      <c r="AQ256" t="n">
        <v>-1832</v>
      </c>
      <c r="AR256" t="n">
        <v>-1920</v>
      </c>
      <c r="AS256" t="n">
        <v>-1912</v>
      </c>
      <c r="AT256" t="n">
        <v>-30</v>
      </c>
      <c r="AU256" t="n">
        <v>-38</v>
      </c>
      <c r="AV256" t="n">
        <v>100</v>
      </c>
      <c r="AW256" t="n">
        <v>0</v>
      </c>
      <c r="AX256" t="n">
        <v>0.5</v>
      </c>
      <c r="AY256" t="n">
        <v>0</v>
      </c>
      <c r="AZ256" t="n">
        <v>99.2</v>
      </c>
      <c r="BA256" t="n">
        <v>98.8</v>
      </c>
      <c r="BB256" t="n">
        <v>99.2</v>
      </c>
      <c r="BC256" t="n">
        <v>99.3</v>
      </c>
      <c r="BD256" t="n">
        <v>0.8</v>
      </c>
      <c r="BE256" t="n">
        <v>0.7</v>
      </c>
      <c r="BF256" t="n">
        <v>100</v>
      </c>
      <c r="BG256" t="n">
        <v>0</v>
      </c>
      <c r="BH256" t="n">
        <v>0.5</v>
      </c>
      <c r="BI256" t="n">
        <v>0</v>
      </c>
      <c r="BJ256" t="n">
        <v>99.2</v>
      </c>
      <c r="BK256" t="n">
        <v>98.8</v>
      </c>
      <c r="BL256" t="n">
        <v>99.2</v>
      </c>
      <c r="BM256" t="n">
        <v>99.3</v>
      </c>
      <c r="BN256" t="n">
        <v>0.8</v>
      </c>
      <c r="BO256" t="n">
        <v>0.7</v>
      </c>
      <c r="BP256" t="n">
        <v>0</v>
      </c>
      <c r="BQ256" t="n">
        <v>0</v>
      </c>
      <c r="BR256" t="n">
        <v>0</v>
      </c>
      <c r="BS256" t="n">
        <v>0</v>
      </c>
      <c r="BT256" t="n">
        <v>0</v>
      </c>
      <c r="BU256" t="n">
        <v>0</v>
      </c>
      <c r="BV256" t="n">
        <v>0</v>
      </c>
      <c r="BW256" t="n">
        <v>0</v>
      </c>
      <c r="BX256" t="n">
        <v>0</v>
      </c>
      <c r="BY256" t="n">
        <v>0</v>
      </c>
      <c r="BZ256" t="n">
        <v>25</v>
      </c>
      <c r="CA256" t="n">
        <v>0</v>
      </c>
      <c r="CB256" t="n">
        <v>1</v>
      </c>
      <c r="CC256" t="n">
        <v>0</v>
      </c>
      <c r="CD256" t="n">
        <v>20</v>
      </c>
      <c r="CE256" t="n">
        <v>14</v>
      </c>
      <c r="CF256" t="n">
        <v>20</v>
      </c>
      <c r="CG256" t="n">
        <v>15</v>
      </c>
      <c r="CH256" t="n">
        <v>25</v>
      </c>
      <c r="CI256" t="n">
        <v>0</v>
      </c>
      <c r="CJ256" t="n">
        <v>1</v>
      </c>
      <c r="CK256" t="n">
        <v>0</v>
      </c>
      <c r="CL256" t="n">
        <v>20</v>
      </c>
      <c r="CM256" t="n">
        <v>14</v>
      </c>
      <c r="CN256" t="n">
        <v>20</v>
      </c>
      <c r="CO256" t="n">
        <v>15</v>
      </c>
      <c r="CP256" t="n">
        <v>0</v>
      </c>
      <c r="CQ256" t="n">
        <v>0</v>
      </c>
      <c r="CR256" t="n">
        <v>0</v>
      </c>
      <c r="CS256" t="n">
        <v>0</v>
      </c>
      <c r="CT256" t="n">
        <v>0</v>
      </c>
      <c r="CU256" t="n">
        <v>0</v>
      </c>
      <c r="CV256" t="n">
        <v>0</v>
      </c>
      <c r="CW256" t="n">
        <v>0</v>
      </c>
      <c r="CX256" t="n">
        <v>69.59999999999999</v>
      </c>
      <c r="CY256" t="n">
        <v>73.7</v>
      </c>
      <c r="CZ256" t="n">
        <v>86.8</v>
      </c>
      <c r="DA256" t="n">
        <v>94.2</v>
      </c>
      <c r="DB256" t="n">
        <v>57</v>
      </c>
      <c r="DC256" t="n">
        <v>73.7</v>
      </c>
      <c r="DD256" t="n">
        <v>70.5</v>
      </c>
      <c r="DE256" t="n">
        <v>77.8</v>
      </c>
      <c r="DF256" t="n">
        <v>69.59999999999999</v>
      </c>
      <c r="DG256" t="n">
        <v>73.7</v>
      </c>
      <c r="DH256" t="n">
        <v>86.8</v>
      </c>
      <c r="DI256" t="n">
        <v>94.2</v>
      </c>
      <c r="DJ256" t="n">
        <v>57</v>
      </c>
      <c r="DK256" t="n">
        <v>73.7</v>
      </c>
      <c r="DL256" t="n">
        <v>70.5</v>
      </c>
      <c r="DM256" t="n">
        <v>77.8</v>
      </c>
      <c r="DN256" t="n">
        <v>0</v>
      </c>
      <c r="DO256" t="n">
        <v>0</v>
      </c>
      <c r="DP256" t="n">
        <v>0</v>
      </c>
      <c r="DQ256" t="n">
        <v>0</v>
      </c>
      <c r="DR256" t="n">
        <v>0</v>
      </c>
      <c r="DS256" t="n">
        <v>0</v>
      </c>
      <c r="DT256" t="n">
        <v>0</v>
      </c>
      <c r="DU256" t="n">
        <v>0</v>
      </c>
      <c r="DV256" t="inlineStr">
        <is>
          <t>1 MW</t>
        </is>
      </c>
    </row>
    <row r="257">
      <c r="A257" t="inlineStr">
        <is>
          <t>MISO IN. DAY-AHEAD PEAK - ICE FUTURES ENERGY DIV</t>
        </is>
      </c>
      <c r="B257" t="n">
        <v>230103</v>
      </c>
      <c r="C257" s="1" t="n">
        <v>44929</v>
      </c>
      <c r="D257" t="inlineStr">
        <is>
          <t>0643AZ</t>
        </is>
      </c>
      <c r="E257" t="inlineStr">
        <is>
          <t>IFED</t>
        </is>
      </c>
      <c r="F257" t="inlineStr">
        <is>
          <t>01</t>
        </is>
      </c>
      <c r="G257" t="inlineStr">
        <is>
          <t xml:space="preserve">064 </t>
        </is>
      </c>
      <c r="H257" t="n">
        <v>42486</v>
      </c>
      <c r="I257" s="17" t="n">
        <v>0</v>
      </c>
      <c r="J257" s="17" t="n">
        <v>250</v>
      </c>
      <c r="K257" t="n">
        <v>50</v>
      </c>
      <c r="L257" t="n">
        <v>42081</v>
      </c>
      <c r="M257" t="n">
        <v>41884</v>
      </c>
      <c r="N257" t="n">
        <v>42131</v>
      </c>
      <c r="O257" t="n">
        <v>42184</v>
      </c>
      <c r="P257" t="n">
        <v>355</v>
      </c>
      <c r="Q257" t="n">
        <v>302</v>
      </c>
      <c r="R257" t="n">
        <v>42486</v>
      </c>
      <c r="S257" t="n">
        <v>0</v>
      </c>
      <c r="T257" t="n">
        <v>250</v>
      </c>
      <c r="U257" t="n">
        <v>50</v>
      </c>
      <c r="V257" t="n">
        <v>42081</v>
      </c>
      <c r="W257" t="n">
        <v>41884</v>
      </c>
      <c r="X257" t="n">
        <v>42131</v>
      </c>
      <c r="Y257" t="n">
        <v>42184</v>
      </c>
      <c r="Z257" t="n">
        <v>355</v>
      </c>
      <c r="AA257" t="n">
        <v>302</v>
      </c>
      <c r="AB257" t="n">
        <v>0</v>
      </c>
      <c r="AC257" t="n">
        <v>0</v>
      </c>
      <c r="AD257" t="n">
        <v>0</v>
      </c>
      <c r="AE257" t="n">
        <v>0</v>
      </c>
      <c r="AF257" t="n">
        <v>0</v>
      </c>
      <c r="AG257" t="n">
        <v>0</v>
      </c>
      <c r="AH257" t="n">
        <v>0</v>
      </c>
      <c r="AI257" t="n">
        <v>0</v>
      </c>
      <c r="AJ257" t="n">
        <v>0</v>
      </c>
      <c r="AK257" t="n">
        <v>0</v>
      </c>
      <c r="AL257" t="n">
        <v>391</v>
      </c>
      <c r="AM257" t="n">
        <v>0</v>
      </c>
      <c r="AN257" t="n">
        <v>170</v>
      </c>
      <c r="AO257" t="n">
        <v>0</v>
      </c>
      <c r="AP257" t="n">
        <v>391</v>
      </c>
      <c r="AQ257" t="n">
        <v>221</v>
      </c>
      <c r="AR257" t="n">
        <v>391</v>
      </c>
      <c r="AS257" t="n">
        <v>391</v>
      </c>
      <c r="AT257" t="n">
        <v>0</v>
      </c>
      <c r="AU257" t="n">
        <v>0</v>
      </c>
      <c r="AV257" t="n">
        <v>100</v>
      </c>
      <c r="AW257" t="n">
        <v>0</v>
      </c>
      <c r="AX257" t="n">
        <v>0.6</v>
      </c>
      <c r="AY257" t="n">
        <v>0.1</v>
      </c>
      <c r="AZ257" t="n">
        <v>99</v>
      </c>
      <c r="BA257" t="n">
        <v>98.59999999999999</v>
      </c>
      <c r="BB257" t="n">
        <v>99.2</v>
      </c>
      <c r="BC257" t="n">
        <v>99.3</v>
      </c>
      <c r="BD257" t="n">
        <v>0.8</v>
      </c>
      <c r="BE257" t="n">
        <v>0.7</v>
      </c>
      <c r="BF257" t="n">
        <v>100</v>
      </c>
      <c r="BG257" t="n">
        <v>0</v>
      </c>
      <c r="BH257" t="n">
        <v>0.6</v>
      </c>
      <c r="BI257" t="n">
        <v>0.1</v>
      </c>
      <c r="BJ257" t="n">
        <v>99</v>
      </c>
      <c r="BK257" t="n">
        <v>98.59999999999999</v>
      </c>
      <c r="BL257" t="n">
        <v>99.2</v>
      </c>
      <c r="BM257" t="n">
        <v>99.3</v>
      </c>
      <c r="BN257" t="n">
        <v>0.8</v>
      </c>
      <c r="BO257" t="n">
        <v>0.7</v>
      </c>
      <c r="BP257" t="n">
        <v>0</v>
      </c>
      <c r="BQ257" t="n">
        <v>0</v>
      </c>
      <c r="BR257" t="n">
        <v>0</v>
      </c>
      <c r="BS257" t="n">
        <v>0</v>
      </c>
      <c r="BT257" t="n">
        <v>0</v>
      </c>
      <c r="BU257" t="n">
        <v>0</v>
      </c>
      <c r="BV257" t="n">
        <v>0</v>
      </c>
      <c r="BW257" t="n">
        <v>0</v>
      </c>
      <c r="BX257" t="n">
        <v>0</v>
      </c>
      <c r="BY257" t="n">
        <v>0</v>
      </c>
      <c r="BZ257" t="n">
        <v>27</v>
      </c>
      <c r="CA257" t="n">
        <v>0</v>
      </c>
      <c r="CB257" t="n">
        <v>2</v>
      </c>
      <c r="CC257" t="n">
        <v>1</v>
      </c>
      <c r="CD257" t="n">
        <v>23</v>
      </c>
      <c r="CE257" t="n">
        <v>15</v>
      </c>
      <c r="CF257" t="n">
        <v>24</v>
      </c>
      <c r="CG257" t="n">
        <v>17</v>
      </c>
      <c r="CH257" t="n">
        <v>27</v>
      </c>
      <c r="CI257" t="n">
        <v>0</v>
      </c>
      <c r="CJ257" t="n">
        <v>2</v>
      </c>
      <c r="CK257" t="n">
        <v>1</v>
      </c>
      <c r="CL257" t="n">
        <v>23</v>
      </c>
      <c r="CM257" t="n">
        <v>15</v>
      </c>
      <c r="CN257" t="n">
        <v>24</v>
      </c>
      <c r="CO257" t="n">
        <v>17</v>
      </c>
      <c r="CP257" t="n">
        <v>0</v>
      </c>
      <c r="CQ257" t="n">
        <v>0</v>
      </c>
      <c r="CR257" t="n">
        <v>0</v>
      </c>
      <c r="CS257" t="n">
        <v>0</v>
      </c>
      <c r="CT257" t="n">
        <v>0</v>
      </c>
      <c r="CU257" t="n">
        <v>0</v>
      </c>
      <c r="CV257" t="n">
        <v>0</v>
      </c>
      <c r="CW257" t="n">
        <v>0</v>
      </c>
      <c r="CX257" t="n">
        <v>69.40000000000001</v>
      </c>
      <c r="CY257" t="n">
        <v>74.2</v>
      </c>
      <c r="CZ257" t="n">
        <v>86.2</v>
      </c>
      <c r="DA257" t="n">
        <v>93.7</v>
      </c>
      <c r="DB257" t="n">
        <v>57.5</v>
      </c>
      <c r="DC257" t="n">
        <v>72.8</v>
      </c>
      <c r="DD257" t="n">
        <v>71.2</v>
      </c>
      <c r="DE257" t="n">
        <v>76.90000000000001</v>
      </c>
      <c r="DF257" t="n">
        <v>69.40000000000001</v>
      </c>
      <c r="DG257" t="n">
        <v>74.2</v>
      </c>
      <c r="DH257" t="n">
        <v>86.2</v>
      </c>
      <c r="DI257" t="n">
        <v>93.7</v>
      </c>
      <c r="DJ257" t="n">
        <v>57.5</v>
      </c>
      <c r="DK257" t="n">
        <v>72.8</v>
      </c>
      <c r="DL257" t="n">
        <v>71.2</v>
      </c>
      <c r="DM257" t="n">
        <v>76.90000000000001</v>
      </c>
      <c r="DN257" t="n">
        <v>0</v>
      </c>
      <c r="DO257" t="n">
        <v>0</v>
      </c>
      <c r="DP257" t="n">
        <v>0</v>
      </c>
      <c r="DQ257" t="n">
        <v>0</v>
      </c>
      <c r="DR257" t="n">
        <v>0</v>
      </c>
      <c r="DS257" t="n">
        <v>0</v>
      </c>
      <c r="DT257" t="n">
        <v>0</v>
      </c>
      <c r="DU257" t="n">
        <v>0</v>
      </c>
      <c r="DV257" t="inlineStr">
        <is>
          <t>1 MW</t>
        </is>
      </c>
    </row>
    <row r="258">
      <c r="A258" t="inlineStr">
        <is>
          <t>MISO INDIANA HUB RT PEAK - ICE FUTURES ENERGY DIV</t>
        </is>
      </c>
      <c r="B258" t="n">
        <v>230110</v>
      </c>
      <c r="C258" s="1" t="n">
        <v>44936</v>
      </c>
      <c r="D258" t="inlineStr">
        <is>
          <t>0643B3</t>
        </is>
      </c>
      <c r="E258" t="inlineStr">
        <is>
          <t>IFED</t>
        </is>
      </c>
      <c r="F258" t="inlineStr">
        <is>
          <t>01</t>
        </is>
      </c>
      <c r="G258" t="inlineStr">
        <is>
          <t xml:space="preserve">064 </t>
        </is>
      </c>
      <c r="H258" t="n">
        <v>47312</v>
      </c>
      <c r="I258" s="17" t="n">
        <v>775</v>
      </c>
      <c r="J258" s="17" t="n">
        <v>150</v>
      </c>
      <c r="K258" t="n">
        <v>78</v>
      </c>
      <c r="L258" t="n">
        <v>46102</v>
      </c>
      <c r="M258" t="n">
        <v>47033</v>
      </c>
      <c r="N258" t="n">
        <v>46955</v>
      </c>
      <c r="O258" t="n">
        <v>47261</v>
      </c>
      <c r="P258" t="n">
        <v>357</v>
      </c>
      <c r="Q258" t="n">
        <v>51</v>
      </c>
      <c r="R258" t="n">
        <v>47312</v>
      </c>
      <c r="S258" t="n">
        <v>775</v>
      </c>
      <c r="T258" t="n">
        <v>150</v>
      </c>
      <c r="U258" t="n">
        <v>78</v>
      </c>
      <c r="V258" t="n">
        <v>46102</v>
      </c>
      <c r="W258" t="n">
        <v>47033</v>
      </c>
      <c r="X258" t="n">
        <v>46955</v>
      </c>
      <c r="Y258" t="n">
        <v>47261</v>
      </c>
      <c r="Z258" t="n">
        <v>357</v>
      </c>
      <c r="AA258" t="n">
        <v>51</v>
      </c>
      <c r="AB258" t="n">
        <v>0</v>
      </c>
      <c r="AC258" t="n">
        <v>0</v>
      </c>
      <c r="AD258" t="n">
        <v>0</v>
      </c>
      <c r="AE258" t="n">
        <v>0</v>
      </c>
      <c r="AF258" t="n">
        <v>0</v>
      </c>
      <c r="AG258" t="n">
        <v>0</v>
      </c>
      <c r="AH258" t="n">
        <v>0</v>
      </c>
      <c r="AI258" t="n">
        <v>0</v>
      </c>
      <c r="AJ258" t="n">
        <v>0</v>
      </c>
      <c r="AK258" t="n">
        <v>0</v>
      </c>
      <c r="AL258" t="n">
        <v>-2669</v>
      </c>
      <c r="AM258" t="n">
        <v>196</v>
      </c>
      <c r="AN258" t="n">
        <v>-78</v>
      </c>
      <c r="AO258" t="n">
        <v>23</v>
      </c>
      <c r="AP258" t="n">
        <v>-2890</v>
      </c>
      <c r="AQ258" t="n">
        <v>-2580</v>
      </c>
      <c r="AR258" t="n">
        <v>-2671</v>
      </c>
      <c r="AS258" t="n">
        <v>-2635</v>
      </c>
      <c r="AT258" t="n">
        <v>2</v>
      </c>
      <c r="AU258" t="n">
        <v>-34</v>
      </c>
      <c r="AV258" t="n">
        <v>100</v>
      </c>
      <c r="AW258" t="n">
        <v>1.6</v>
      </c>
      <c r="AX258" t="n">
        <v>0.3</v>
      </c>
      <c r="AY258" t="n">
        <v>0.2</v>
      </c>
      <c r="AZ258" t="n">
        <v>97.40000000000001</v>
      </c>
      <c r="BA258" t="n">
        <v>99.40000000000001</v>
      </c>
      <c r="BB258" t="n">
        <v>99.2</v>
      </c>
      <c r="BC258" t="n">
        <v>99.90000000000001</v>
      </c>
      <c r="BD258" t="n">
        <v>0.8</v>
      </c>
      <c r="BE258" t="n">
        <v>0.1</v>
      </c>
      <c r="BF258" t="n">
        <v>100</v>
      </c>
      <c r="BG258" t="n">
        <v>1.6</v>
      </c>
      <c r="BH258" t="n">
        <v>0.3</v>
      </c>
      <c r="BI258" t="n">
        <v>0.2</v>
      </c>
      <c r="BJ258" t="n">
        <v>97.40000000000001</v>
      </c>
      <c r="BK258" t="n">
        <v>99.40000000000001</v>
      </c>
      <c r="BL258" t="n">
        <v>99.2</v>
      </c>
      <c r="BM258" t="n">
        <v>99.90000000000001</v>
      </c>
      <c r="BN258" t="n">
        <v>0.8</v>
      </c>
      <c r="BO258" t="n">
        <v>0.1</v>
      </c>
      <c r="BP258" t="n">
        <v>0</v>
      </c>
      <c r="BQ258" t="n">
        <v>0</v>
      </c>
      <c r="BR258" t="n">
        <v>0</v>
      </c>
      <c r="BS258" t="n">
        <v>0</v>
      </c>
      <c r="BT258" t="n">
        <v>0</v>
      </c>
      <c r="BU258" t="n">
        <v>0</v>
      </c>
      <c r="BV258" t="n">
        <v>0</v>
      </c>
      <c r="BW258" t="n">
        <v>0</v>
      </c>
      <c r="BX258" t="n">
        <v>0</v>
      </c>
      <c r="BY258" t="n">
        <v>0</v>
      </c>
      <c r="BZ258" t="n">
        <v>24</v>
      </c>
      <c r="CA258" t="n">
        <v>2</v>
      </c>
      <c r="CB258" t="n">
        <v>2</v>
      </c>
      <c r="CC258" t="n">
        <v>3</v>
      </c>
      <c r="CD258" t="n">
        <v>18</v>
      </c>
      <c r="CE258" t="n">
        <v>16</v>
      </c>
      <c r="CF258" t="n">
        <v>21</v>
      </c>
      <c r="CG258" t="n">
        <v>20</v>
      </c>
      <c r="CH258" t="n">
        <v>24</v>
      </c>
      <c r="CI258" t="n">
        <v>2</v>
      </c>
      <c r="CJ258" t="n">
        <v>2</v>
      </c>
      <c r="CK258" t="n">
        <v>3</v>
      </c>
      <c r="CL258" t="n">
        <v>18</v>
      </c>
      <c r="CM258" t="n">
        <v>16</v>
      </c>
      <c r="CN258" t="n">
        <v>21</v>
      </c>
      <c r="CO258" t="n">
        <v>20</v>
      </c>
      <c r="CP258" t="n">
        <v>0</v>
      </c>
      <c r="CQ258" t="n">
        <v>0</v>
      </c>
      <c r="CR258" t="n">
        <v>0</v>
      </c>
      <c r="CS258" t="n">
        <v>0</v>
      </c>
      <c r="CT258" t="n">
        <v>0</v>
      </c>
      <c r="CU258" t="n">
        <v>0</v>
      </c>
      <c r="CV258" t="n">
        <v>0</v>
      </c>
      <c r="CW258" t="n">
        <v>0</v>
      </c>
      <c r="CX258" t="n">
        <v>52.2</v>
      </c>
      <c r="CY258" t="n">
        <v>73.2</v>
      </c>
      <c r="CZ258" t="n">
        <v>80</v>
      </c>
      <c r="DA258" t="n">
        <v>91</v>
      </c>
      <c r="DB258" t="n">
        <v>42.2</v>
      </c>
      <c r="DC258" t="n">
        <v>57.6</v>
      </c>
      <c r="DD258" t="n">
        <v>54.4</v>
      </c>
      <c r="DE258" t="n">
        <v>59.8</v>
      </c>
      <c r="DF258" t="n">
        <v>52.2</v>
      </c>
      <c r="DG258" t="n">
        <v>73.2</v>
      </c>
      <c r="DH258" t="n">
        <v>80</v>
      </c>
      <c r="DI258" t="n">
        <v>91</v>
      </c>
      <c r="DJ258" t="n">
        <v>42.2</v>
      </c>
      <c r="DK258" t="n">
        <v>57.6</v>
      </c>
      <c r="DL258" t="n">
        <v>54.4</v>
      </c>
      <c r="DM258" t="n">
        <v>59.8</v>
      </c>
      <c r="DN258" t="n">
        <v>0</v>
      </c>
      <c r="DO258" t="n">
        <v>0</v>
      </c>
      <c r="DP258" t="n">
        <v>0</v>
      </c>
      <c r="DQ258" t="n">
        <v>0</v>
      </c>
      <c r="DR258" t="n">
        <v>0</v>
      </c>
      <c r="DS258" t="n">
        <v>0</v>
      </c>
      <c r="DT258" t="n">
        <v>0</v>
      </c>
      <c r="DU258" t="n">
        <v>0</v>
      </c>
      <c r="DV258" t="inlineStr">
        <is>
          <t>800 Mwh</t>
        </is>
      </c>
    </row>
    <row r="259">
      <c r="A259" t="inlineStr">
        <is>
          <t>MISO INDIANA HUB RT PEAK - ICE FUTURES ENERGY DIV</t>
        </is>
      </c>
      <c r="B259" t="n">
        <v>230103</v>
      </c>
      <c r="C259" s="1" t="n">
        <v>44929</v>
      </c>
      <c r="D259" t="inlineStr">
        <is>
          <t>0643B3</t>
        </is>
      </c>
      <c r="E259" t="inlineStr">
        <is>
          <t>IFED</t>
        </is>
      </c>
      <c r="F259" t="inlineStr">
        <is>
          <t>01</t>
        </is>
      </c>
      <c r="G259" t="inlineStr">
        <is>
          <t xml:space="preserve">064 </t>
        </is>
      </c>
      <c r="H259" t="n">
        <v>49981</v>
      </c>
      <c r="I259" s="17" t="n">
        <v>579</v>
      </c>
      <c r="J259" s="17" t="n">
        <v>228</v>
      </c>
      <c r="K259" t="n">
        <v>55</v>
      </c>
      <c r="L259" t="n">
        <v>48992</v>
      </c>
      <c r="M259" t="n">
        <v>49613</v>
      </c>
      <c r="N259" t="n">
        <v>49626</v>
      </c>
      <c r="O259" t="n">
        <v>49896</v>
      </c>
      <c r="P259" t="n">
        <v>355</v>
      </c>
      <c r="Q259" t="n">
        <v>85</v>
      </c>
      <c r="R259" t="n">
        <v>49981</v>
      </c>
      <c r="S259" t="n">
        <v>579</v>
      </c>
      <c r="T259" t="n">
        <v>228</v>
      </c>
      <c r="U259" t="n">
        <v>55</v>
      </c>
      <c r="V259" t="n">
        <v>48992</v>
      </c>
      <c r="W259" t="n">
        <v>49613</v>
      </c>
      <c r="X259" t="n">
        <v>49626</v>
      </c>
      <c r="Y259" t="n">
        <v>49896</v>
      </c>
      <c r="Z259" t="n">
        <v>355</v>
      </c>
      <c r="AA259" t="n">
        <v>85</v>
      </c>
      <c r="AB259" t="n">
        <v>0</v>
      </c>
      <c r="AC259" t="n">
        <v>0</v>
      </c>
      <c r="AD259" t="n">
        <v>0</v>
      </c>
      <c r="AE259" t="n">
        <v>0</v>
      </c>
      <c r="AF259" t="n">
        <v>0</v>
      </c>
      <c r="AG259" t="n">
        <v>0</v>
      </c>
      <c r="AH259" t="n">
        <v>0</v>
      </c>
      <c r="AI259" t="n">
        <v>0</v>
      </c>
      <c r="AJ259" t="n">
        <v>0</v>
      </c>
      <c r="AK259" t="n">
        <v>0</v>
      </c>
      <c r="AL259" t="n">
        <v>267</v>
      </c>
      <c r="AM259" t="n">
        <v>494</v>
      </c>
      <c r="AN259" t="n">
        <v>-170</v>
      </c>
      <c r="AO259" t="n">
        <v>-225</v>
      </c>
      <c r="AP259" t="n">
        <v>-2</v>
      </c>
      <c r="AQ259" t="n">
        <v>662</v>
      </c>
      <c r="AR259" t="n">
        <v>267</v>
      </c>
      <c r="AS259" t="n">
        <v>267</v>
      </c>
      <c r="AT259" t="n">
        <v>0</v>
      </c>
      <c r="AU259" t="n">
        <v>0</v>
      </c>
      <c r="AV259" t="n">
        <v>100</v>
      </c>
      <c r="AW259" t="n">
        <v>1.2</v>
      </c>
      <c r="AX259" t="n">
        <v>0.5</v>
      </c>
      <c r="AY259" t="n">
        <v>0.1</v>
      </c>
      <c r="AZ259" t="n">
        <v>98</v>
      </c>
      <c r="BA259" t="n">
        <v>99.3</v>
      </c>
      <c r="BB259" t="n">
        <v>99.3</v>
      </c>
      <c r="BC259" t="n">
        <v>99.8</v>
      </c>
      <c r="BD259" t="n">
        <v>0.7</v>
      </c>
      <c r="BE259" t="n">
        <v>0.2</v>
      </c>
      <c r="BF259" t="n">
        <v>100</v>
      </c>
      <c r="BG259" t="n">
        <v>1.2</v>
      </c>
      <c r="BH259" t="n">
        <v>0.5</v>
      </c>
      <c r="BI259" t="n">
        <v>0.1</v>
      </c>
      <c r="BJ259" t="n">
        <v>98</v>
      </c>
      <c r="BK259" t="n">
        <v>99.3</v>
      </c>
      <c r="BL259" t="n">
        <v>99.3</v>
      </c>
      <c r="BM259" t="n">
        <v>99.8</v>
      </c>
      <c r="BN259" t="n">
        <v>0.7</v>
      </c>
      <c r="BO259" t="n">
        <v>0.2</v>
      </c>
      <c r="BP259" t="n">
        <v>0</v>
      </c>
      <c r="BQ259" t="n">
        <v>0</v>
      </c>
      <c r="BR259" t="n">
        <v>0</v>
      </c>
      <c r="BS259" t="n">
        <v>0</v>
      </c>
      <c r="BT259" t="n">
        <v>0</v>
      </c>
      <c r="BU259" t="n">
        <v>0</v>
      </c>
      <c r="BV259" t="n">
        <v>0</v>
      </c>
      <c r="BW259" t="n">
        <v>0</v>
      </c>
      <c r="BX259" t="n">
        <v>0</v>
      </c>
      <c r="BY259" t="n">
        <v>0</v>
      </c>
      <c r="BZ259" t="n">
        <v>23</v>
      </c>
      <c r="CA259" t="n">
        <v>1</v>
      </c>
      <c r="CB259" t="n">
        <v>2</v>
      </c>
      <c r="CC259" t="n">
        <v>1</v>
      </c>
      <c r="CD259" t="n">
        <v>18</v>
      </c>
      <c r="CE259" t="n">
        <v>16</v>
      </c>
      <c r="CF259" t="n">
        <v>19</v>
      </c>
      <c r="CG259" t="n">
        <v>19</v>
      </c>
      <c r="CH259" t="n">
        <v>23</v>
      </c>
      <c r="CI259" t="n">
        <v>1</v>
      </c>
      <c r="CJ259" t="n">
        <v>2</v>
      </c>
      <c r="CK259" t="n">
        <v>1</v>
      </c>
      <c r="CL259" t="n">
        <v>18</v>
      </c>
      <c r="CM259" t="n">
        <v>16</v>
      </c>
      <c r="CN259" t="n">
        <v>19</v>
      </c>
      <c r="CO259" t="n">
        <v>19</v>
      </c>
      <c r="CP259" t="n">
        <v>0</v>
      </c>
      <c r="CQ259" t="n">
        <v>0</v>
      </c>
      <c r="CR259" t="n">
        <v>0</v>
      </c>
      <c r="CS259" t="n">
        <v>0</v>
      </c>
      <c r="CT259" t="n">
        <v>0</v>
      </c>
      <c r="CU259" t="n">
        <v>0</v>
      </c>
      <c r="CV259" t="n">
        <v>0</v>
      </c>
      <c r="CW259" t="n">
        <v>0</v>
      </c>
      <c r="CX259" t="n">
        <v>51.2</v>
      </c>
      <c r="CY259" t="n">
        <v>73.3</v>
      </c>
      <c r="CZ259" t="n">
        <v>78.8</v>
      </c>
      <c r="DA259" t="n">
        <v>90.40000000000001</v>
      </c>
      <c r="DB259" t="n">
        <v>40.4</v>
      </c>
      <c r="DC259" t="n">
        <v>56.3</v>
      </c>
      <c r="DD259" t="n">
        <v>54.2</v>
      </c>
      <c r="DE259" t="n">
        <v>58.6</v>
      </c>
      <c r="DF259" t="n">
        <v>51.2</v>
      </c>
      <c r="DG259" t="n">
        <v>73.3</v>
      </c>
      <c r="DH259" t="n">
        <v>78.8</v>
      </c>
      <c r="DI259" t="n">
        <v>90.40000000000001</v>
      </c>
      <c r="DJ259" t="n">
        <v>40.4</v>
      </c>
      <c r="DK259" t="n">
        <v>56.3</v>
      </c>
      <c r="DL259" t="n">
        <v>54.2</v>
      </c>
      <c r="DM259" t="n">
        <v>58.6</v>
      </c>
      <c r="DN259" t="n">
        <v>0</v>
      </c>
      <c r="DO259" t="n">
        <v>0</v>
      </c>
      <c r="DP259" t="n">
        <v>0</v>
      </c>
      <c r="DQ259" t="n">
        <v>0</v>
      </c>
      <c r="DR259" t="n">
        <v>0</v>
      </c>
      <c r="DS259" t="n">
        <v>0</v>
      </c>
      <c r="DT259" t="n">
        <v>0</v>
      </c>
      <c r="DU259" t="n">
        <v>0</v>
      </c>
      <c r="DV259" t="inlineStr">
        <is>
          <t>800 Mwh</t>
        </is>
      </c>
    </row>
    <row r="260">
      <c r="A260" t="inlineStr">
        <is>
          <t>PJM N. IL HUB DA OFF-PK - ICE FUTURES ENERGY DIV</t>
        </is>
      </c>
      <c r="B260" t="n">
        <v>230110</v>
      </c>
      <c r="C260" s="1" t="n">
        <v>44936</v>
      </c>
      <c r="D260" t="inlineStr">
        <is>
          <t>0643BC</t>
        </is>
      </c>
      <c r="E260" t="inlineStr">
        <is>
          <t>IFED</t>
        </is>
      </c>
      <c r="F260" t="inlineStr">
        <is>
          <t>01</t>
        </is>
      </c>
      <c r="G260" t="inlineStr">
        <is>
          <t xml:space="preserve">064 </t>
        </is>
      </c>
      <c r="H260" t="n">
        <v>41001</v>
      </c>
      <c r="I260" s="17" t="n">
        <v>1682</v>
      </c>
      <c r="J260" s="17" t="n">
        <v>1240</v>
      </c>
      <c r="K260" t="n">
        <v>0</v>
      </c>
      <c r="L260" t="n">
        <v>39037</v>
      </c>
      <c r="M260" t="n">
        <v>39236</v>
      </c>
      <c r="N260" t="n">
        <v>40719</v>
      </c>
      <c r="O260" t="n">
        <v>40476</v>
      </c>
      <c r="P260" t="n">
        <v>282</v>
      </c>
      <c r="Q260" t="n">
        <v>525</v>
      </c>
      <c r="R260" t="n">
        <v>41001</v>
      </c>
      <c r="S260" t="n">
        <v>1682</v>
      </c>
      <c r="T260" t="n">
        <v>1240</v>
      </c>
      <c r="U260" t="n">
        <v>0</v>
      </c>
      <c r="V260" t="n">
        <v>39037</v>
      </c>
      <c r="W260" t="n">
        <v>39236</v>
      </c>
      <c r="X260" t="n">
        <v>40719</v>
      </c>
      <c r="Y260" t="n">
        <v>40476</v>
      </c>
      <c r="Z260" t="n">
        <v>282</v>
      </c>
      <c r="AA260" t="n">
        <v>525</v>
      </c>
      <c r="AB260" t="n">
        <v>0</v>
      </c>
      <c r="AC260" t="n">
        <v>0</v>
      </c>
      <c r="AD260" t="n">
        <v>0</v>
      </c>
      <c r="AE260" t="n">
        <v>0</v>
      </c>
      <c r="AF260" t="n">
        <v>0</v>
      </c>
      <c r="AG260" t="n">
        <v>0</v>
      </c>
      <c r="AH260" t="n">
        <v>0</v>
      </c>
      <c r="AI260" t="n">
        <v>0</v>
      </c>
      <c r="AJ260" t="n">
        <v>0</v>
      </c>
      <c r="AK260" t="n">
        <v>0</v>
      </c>
      <c r="AL260" t="n">
        <v>-3371</v>
      </c>
      <c r="AM260" t="n">
        <v>-181</v>
      </c>
      <c r="AN260" t="n">
        <v>-100</v>
      </c>
      <c r="AO260" t="n">
        <v>0</v>
      </c>
      <c r="AP260" t="n">
        <v>-3177</v>
      </c>
      <c r="AQ260" t="n">
        <v>-3266</v>
      </c>
      <c r="AR260" t="n">
        <v>-3358</v>
      </c>
      <c r="AS260" t="n">
        <v>-3366</v>
      </c>
      <c r="AT260" t="n">
        <v>-13</v>
      </c>
      <c r="AU260" t="n">
        <v>-5</v>
      </c>
      <c r="AV260" t="n">
        <v>100</v>
      </c>
      <c r="AW260" t="n">
        <v>4.1</v>
      </c>
      <c r="AX260" t="n">
        <v>3</v>
      </c>
      <c r="AY260" t="n">
        <v>0</v>
      </c>
      <c r="AZ260" t="n">
        <v>95.2</v>
      </c>
      <c r="BA260" t="n">
        <v>95.7</v>
      </c>
      <c r="BB260" t="n">
        <v>99.3</v>
      </c>
      <c r="BC260" t="n">
        <v>98.7</v>
      </c>
      <c r="BD260" t="n">
        <v>0.7</v>
      </c>
      <c r="BE260" t="n">
        <v>1.3</v>
      </c>
      <c r="BF260" t="n">
        <v>100</v>
      </c>
      <c r="BG260" t="n">
        <v>4.1</v>
      </c>
      <c r="BH260" t="n">
        <v>3</v>
      </c>
      <c r="BI260" t="n">
        <v>0</v>
      </c>
      <c r="BJ260" t="n">
        <v>95.2</v>
      </c>
      <c r="BK260" t="n">
        <v>95.7</v>
      </c>
      <c r="BL260" t="n">
        <v>99.3</v>
      </c>
      <c r="BM260" t="n">
        <v>98.7</v>
      </c>
      <c r="BN260" t="n">
        <v>0.7</v>
      </c>
      <c r="BO260" t="n">
        <v>1.3</v>
      </c>
      <c r="BP260" t="n">
        <v>0</v>
      </c>
      <c r="BQ260" t="n">
        <v>0</v>
      </c>
      <c r="BR260" t="n">
        <v>0</v>
      </c>
      <c r="BS260" t="n">
        <v>0</v>
      </c>
      <c r="BT260" t="n">
        <v>0</v>
      </c>
      <c r="BU260" t="n">
        <v>0</v>
      </c>
      <c r="BV260" t="n">
        <v>0</v>
      </c>
      <c r="BW260" t="n">
        <v>0</v>
      </c>
      <c r="BX260" t="n">
        <v>0</v>
      </c>
      <c r="BY260" t="n">
        <v>0</v>
      </c>
      <c r="BZ260" t="n">
        <v>33</v>
      </c>
      <c r="CA260" t="n">
        <v>2</v>
      </c>
      <c r="CB260" t="n">
        <v>2</v>
      </c>
      <c r="CC260" t="n">
        <v>0</v>
      </c>
      <c r="CD260" t="n">
        <v>23</v>
      </c>
      <c r="CE260" t="n">
        <v>19</v>
      </c>
      <c r="CF260" t="n">
        <v>25</v>
      </c>
      <c r="CG260" t="n">
        <v>21</v>
      </c>
      <c r="CH260" t="n">
        <v>33</v>
      </c>
      <c r="CI260" t="n">
        <v>2</v>
      </c>
      <c r="CJ260" t="n">
        <v>2</v>
      </c>
      <c r="CK260" t="n">
        <v>0</v>
      </c>
      <c r="CL260" t="n">
        <v>23</v>
      </c>
      <c r="CM260" t="n">
        <v>19</v>
      </c>
      <c r="CN260" t="n">
        <v>25</v>
      </c>
      <c r="CO260" t="n">
        <v>21</v>
      </c>
      <c r="CP260" t="n">
        <v>0</v>
      </c>
      <c r="CQ260" t="n">
        <v>0</v>
      </c>
      <c r="CR260" t="n">
        <v>0</v>
      </c>
      <c r="CS260" t="n">
        <v>0</v>
      </c>
      <c r="CT260" t="n">
        <v>0</v>
      </c>
      <c r="CU260" t="n">
        <v>0</v>
      </c>
      <c r="CV260" t="n">
        <v>0</v>
      </c>
      <c r="CW260" t="n">
        <v>0</v>
      </c>
      <c r="CX260" t="n">
        <v>46.8</v>
      </c>
      <c r="CY260" t="n">
        <v>83.2</v>
      </c>
      <c r="CZ260" t="n">
        <v>69.40000000000001</v>
      </c>
      <c r="DA260" t="n">
        <v>90.7</v>
      </c>
      <c r="DB260" t="n">
        <v>44.6</v>
      </c>
      <c r="DC260" t="n">
        <v>82.40000000000001</v>
      </c>
      <c r="DD260" t="n">
        <v>64.40000000000001</v>
      </c>
      <c r="DE260" t="n">
        <v>87</v>
      </c>
      <c r="DF260" t="n">
        <v>46.8</v>
      </c>
      <c r="DG260" t="n">
        <v>83.2</v>
      </c>
      <c r="DH260" t="n">
        <v>69.40000000000001</v>
      </c>
      <c r="DI260" t="n">
        <v>90.7</v>
      </c>
      <c r="DJ260" t="n">
        <v>44.6</v>
      </c>
      <c r="DK260" t="n">
        <v>82.40000000000001</v>
      </c>
      <c r="DL260" t="n">
        <v>64.40000000000001</v>
      </c>
      <c r="DM260" t="n">
        <v>87</v>
      </c>
      <c r="DN260" t="n">
        <v>0</v>
      </c>
      <c r="DO260" t="n">
        <v>0</v>
      </c>
      <c r="DP260" t="n">
        <v>0</v>
      </c>
      <c r="DQ260" t="n">
        <v>0</v>
      </c>
      <c r="DR260" t="n">
        <v>0</v>
      </c>
      <c r="DS260" t="n">
        <v>0</v>
      </c>
      <c r="DT260" t="n">
        <v>0</v>
      </c>
      <c r="DU260" t="n">
        <v>0</v>
      </c>
      <c r="DV260" t="inlineStr">
        <is>
          <t>1 MW</t>
        </is>
      </c>
    </row>
    <row r="261">
      <c r="A261" t="inlineStr">
        <is>
          <t>PJM N. IL HUB DA OFF-PK - ICE FUTURES ENERGY DIV</t>
        </is>
      </c>
      <c r="B261" t="n">
        <v>230103</v>
      </c>
      <c r="C261" s="1" t="n">
        <v>44929</v>
      </c>
      <c r="D261" t="inlineStr">
        <is>
          <t>0643BC</t>
        </is>
      </c>
      <c r="E261" t="inlineStr">
        <is>
          <t>IFED</t>
        </is>
      </c>
      <c r="F261" t="inlineStr">
        <is>
          <t>01</t>
        </is>
      </c>
      <c r="G261" t="inlineStr">
        <is>
          <t xml:space="preserve">064 </t>
        </is>
      </c>
      <c r="H261" t="n">
        <v>44372</v>
      </c>
      <c r="I261" s="17" t="n">
        <v>1863</v>
      </c>
      <c r="J261" s="17" t="n">
        <v>1340</v>
      </c>
      <c r="K261" t="n">
        <v>0</v>
      </c>
      <c r="L261" t="n">
        <v>42214</v>
      </c>
      <c r="M261" t="n">
        <v>42502</v>
      </c>
      <c r="N261" t="n">
        <v>44077</v>
      </c>
      <c r="O261" t="n">
        <v>43842</v>
      </c>
      <c r="P261" t="n">
        <v>295</v>
      </c>
      <c r="Q261" t="n">
        <v>530</v>
      </c>
      <c r="R261" t="n">
        <v>44372</v>
      </c>
      <c r="S261" t="n">
        <v>1863</v>
      </c>
      <c r="T261" t="n">
        <v>1340</v>
      </c>
      <c r="U261" t="n">
        <v>0</v>
      </c>
      <c r="V261" t="n">
        <v>42214</v>
      </c>
      <c r="W261" t="n">
        <v>42502</v>
      </c>
      <c r="X261" t="n">
        <v>44077</v>
      </c>
      <c r="Y261" t="n">
        <v>43842</v>
      </c>
      <c r="Z261" t="n">
        <v>295</v>
      </c>
      <c r="AA261" t="n">
        <v>530</v>
      </c>
      <c r="AB261" t="n">
        <v>0</v>
      </c>
      <c r="AC261" t="n">
        <v>0</v>
      </c>
      <c r="AD261" t="n">
        <v>0</v>
      </c>
      <c r="AE261" t="n">
        <v>0</v>
      </c>
      <c r="AF261" t="n">
        <v>0</v>
      </c>
      <c r="AG261" t="n">
        <v>0</v>
      </c>
      <c r="AH261" t="n">
        <v>0</v>
      </c>
      <c r="AI261" t="n">
        <v>0</v>
      </c>
      <c r="AJ261" t="n">
        <v>0</v>
      </c>
      <c r="AK261" t="n">
        <v>0</v>
      </c>
      <c r="AL261" t="n">
        <v>55</v>
      </c>
      <c r="AM261" t="n">
        <v>60</v>
      </c>
      <c r="AN261" t="n">
        <v>40</v>
      </c>
      <c r="AO261" t="n">
        <v>0</v>
      </c>
      <c r="AP261" t="n">
        <v>-5</v>
      </c>
      <c r="AQ261" t="n">
        <v>15</v>
      </c>
      <c r="AR261" t="n">
        <v>55</v>
      </c>
      <c r="AS261" t="n">
        <v>55</v>
      </c>
      <c r="AT261" t="n">
        <v>0</v>
      </c>
      <c r="AU261" t="n">
        <v>0</v>
      </c>
      <c r="AV261" t="n">
        <v>100</v>
      </c>
      <c r="AW261" t="n">
        <v>4.2</v>
      </c>
      <c r="AX261" t="n">
        <v>3</v>
      </c>
      <c r="AY261" t="n">
        <v>0</v>
      </c>
      <c r="AZ261" t="n">
        <v>95.09999999999999</v>
      </c>
      <c r="BA261" t="n">
        <v>95.8</v>
      </c>
      <c r="BB261" t="n">
        <v>99.3</v>
      </c>
      <c r="BC261" t="n">
        <v>98.8</v>
      </c>
      <c r="BD261" t="n">
        <v>0.7</v>
      </c>
      <c r="BE261" t="n">
        <v>1.2</v>
      </c>
      <c r="BF261" t="n">
        <v>100</v>
      </c>
      <c r="BG261" t="n">
        <v>4.2</v>
      </c>
      <c r="BH261" t="n">
        <v>3</v>
      </c>
      <c r="BI261" t="n">
        <v>0</v>
      </c>
      <c r="BJ261" t="n">
        <v>95.09999999999999</v>
      </c>
      <c r="BK261" t="n">
        <v>95.8</v>
      </c>
      <c r="BL261" t="n">
        <v>99.3</v>
      </c>
      <c r="BM261" t="n">
        <v>98.8</v>
      </c>
      <c r="BN261" t="n">
        <v>0.7</v>
      </c>
      <c r="BO261" t="n">
        <v>1.2</v>
      </c>
      <c r="BP261" t="n">
        <v>0</v>
      </c>
      <c r="BQ261" t="n">
        <v>0</v>
      </c>
      <c r="BR261" t="n">
        <v>0</v>
      </c>
      <c r="BS261" t="n">
        <v>0</v>
      </c>
      <c r="BT261" t="n">
        <v>0</v>
      </c>
      <c r="BU261" t="n">
        <v>0</v>
      </c>
      <c r="BV261" t="n">
        <v>0</v>
      </c>
      <c r="BW261" t="n">
        <v>0</v>
      </c>
      <c r="BX261" t="n">
        <v>0</v>
      </c>
      <c r="BY261" t="n">
        <v>0</v>
      </c>
      <c r="BZ261" t="n">
        <v>37</v>
      </c>
      <c r="CA261" t="n">
        <v>3</v>
      </c>
      <c r="CB261" t="n">
        <v>3</v>
      </c>
      <c r="CC261" t="n">
        <v>0</v>
      </c>
      <c r="CD261" t="n">
        <v>25</v>
      </c>
      <c r="CE261" t="n">
        <v>21</v>
      </c>
      <c r="CF261" t="n">
        <v>28</v>
      </c>
      <c r="CG261" t="n">
        <v>24</v>
      </c>
      <c r="CH261" t="n">
        <v>37</v>
      </c>
      <c r="CI261" t="n">
        <v>3</v>
      </c>
      <c r="CJ261" t="n">
        <v>3</v>
      </c>
      <c r="CK261" t="n">
        <v>0</v>
      </c>
      <c r="CL261" t="n">
        <v>25</v>
      </c>
      <c r="CM261" t="n">
        <v>21</v>
      </c>
      <c r="CN261" t="n">
        <v>28</v>
      </c>
      <c r="CO261" t="n">
        <v>24</v>
      </c>
      <c r="CP261" t="n">
        <v>0</v>
      </c>
      <c r="CQ261" t="n">
        <v>0</v>
      </c>
      <c r="CR261" t="n">
        <v>0</v>
      </c>
      <c r="CS261" t="n">
        <v>0</v>
      </c>
      <c r="CT261" t="n">
        <v>0</v>
      </c>
      <c r="CU261" t="n">
        <v>0</v>
      </c>
      <c r="CV261" t="n">
        <v>0</v>
      </c>
      <c r="CW261" t="n">
        <v>0</v>
      </c>
      <c r="CX261" t="n">
        <v>45.4</v>
      </c>
      <c r="CY261" t="n">
        <v>81.3</v>
      </c>
      <c r="CZ261" t="n">
        <v>70.3</v>
      </c>
      <c r="DA261" t="n">
        <v>89.3</v>
      </c>
      <c r="DB261" t="n">
        <v>43.3</v>
      </c>
      <c r="DC261" t="n">
        <v>80.09999999999999</v>
      </c>
      <c r="DD261" t="n">
        <v>64.8</v>
      </c>
      <c r="DE261" t="n">
        <v>85.3</v>
      </c>
      <c r="DF261" t="n">
        <v>45.4</v>
      </c>
      <c r="DG261" t="n">
        <v>81.3</v>
      </c>
      <c r="DH261" t="n">
        <v>70.3</v>
      </c>
      <c r="DI261" t="n">
        <v>89.3</v>
      </c>
      <c r="DJ261" t="n">
        <v>43.3</v>
      </c>
      <c r="DK261" t="n">
        <v>80.09999999999999</v>
      </c>
      <c r="DL261" t="n">
        <v>64.8</v>
      </c>
      <c r="DM261" t="n">
        <v>85.3</v>
      </c>
      <c r="DN261" t="n">
        <v>0</v>
      </c>
      <c r="DO261" t="n">
        <v>0</v>
      </c>
      <c r="DP261" t="n">
        <v>0</v>
      </c>
      <c r="DQ261" t="n">
        <v>0</v>
      </c>
      <c r="DR261" t="n">
        <v>0</v>
      </c>
      <c r="DS261" t="n">
        <v>0</v>
      </c>
      <c r="DT261" t="n">
        <v>0</v>
      </c>
      <c r="DU261" t="n">
        <v>0</v>
      </c>
      <c r="DV261" t="inlineStr">
        <is>
          <t>1 MW</t>
        </is>
      </c>
    </row>
    <row r="262">
      <c r="A262" t="inlineStr">
        <is>
          <t>PJM N. IL HUB DA PEAK - ICE FUTURES ENERGY DIV</t>
        </is>
      </c>
      <c r="B262" t="n">
        <v>230110</v>
      </c>
      <c r="C262" s="1" t="n">
        <v>44936</v>
      </c>
      <c r="D262" t="inlineStr">
        <is>
          <t>0643BE</t>
        </is>
      </c>
      <c r="E262" t="inlineStr">
        <is>
          <t>IFED</t>
        </is>
      </c>
      <c r="F262" t="inlineStr">
        <is>
          <t>01</t>
        </is>
      </c>
      <c r="G262" t="inlineStr">
        <is>
          <t xml:space="preserve">064 </t>
        </is>
      </c>
      <c r="H262" t="n">
        <v>45018</v>
      </c>
      <c r="I262" s="17" t="n">
        <v>1770</v>
      </c>
      <c r="J262" s="17" t="n">
        <v>2918</v>
      </c>
      <c r="K262" t="n">
        <v>0</v>
      </c>
      <c r="L262" t="n">
        <v>42966</v>
      </c>
      <c r="M262" t="n">
        <v>41860</v>
      </c>
      <c r="N262" t="n">
        <v>44736</v>
      </c>
      <c r="O262" t="n">
        <v>44778</v>
      </c>
      <c r="P262" t="n">
        <v>282</v>
      </c>
      <c r="Q262" t="n">
        <v>240</v>
      </c>
      <c r="R262" t="n">
        <v>45018</v>
      </c>
      <c r="S262" t="n">
        <v>1770</v>
      </c>
      <c r="T262" t="n">
        <v>2918</v>
      </c>
      <c r="U262" t="n">
        <v>0</v>
      </c>
      <c r="V262" t="n">
        <v>42966</v>
      </c>
      <c r="W262" t="n">
        <v>41860</v>
      </c>
      <c r="X262" t="n">
        <v>44736</v>
      </c>
      <c r="Y262" t="n">
        <v>44778</v>
      </c>
      <c r="Z262" t="n">
        <v>282</v>
      </c>
      <c r="AA262" t="n">
        <v>240</v>
      </c>
      <c r="AB262" t="n">
        <v>0</v>
      </c>
      <c r="AC262" t="n">
        <v>0</v>
      </c>
      <c r="AD262" t="n">
        <v>0</v>
      </c>
      <c r="AE262" t="n">
        <v>0</v>
      </c>
      <c r="AF262" t="n">
        <v>0</v>
      </c>
      <c r="AG262" t="n">
        <v>0</v>
      </c>
      <c r="AH262" t="n">
        <v>0</v>
      </c>
      <c r="AI262" t="n">
        <v>0</v>
      </c>
      <c r="AJ262" t="n">
        <v>0</v>
      </c>
      <c r="AK262" t="n">
        <v>0</v>
      </c>
      <c r="AL262" t="n">
        <v>-3558</v>
      </c>
      <c r="AM262" t="n">
        <v>-136</v>
      </c>
      <c r="AN262" t="n">
        <v>-76</v>
      </c>
      <c r="AO262" t="n">
        <v>0</v>
      </c>
      <c r="AP262" t="n">
        <v>-3407</v>
      </c>
      <c r="AQ262" t="n">
        <v>-3477</v>
      </c>
      <c r="AR262" t="n">
        <v>-3543</v>
      </c>
      <c r="AS262" t="n">
        <v>-3553</v>
      </c>
      <c r="AT262" t="n">
        <v>-15</v>
      </c>
      <c r="AU262" t="n">
        <v>-5</v>
      </c>
      <c r="AV262" t="n">
        <v>100</v>
      </c>
      <c r="AW262" t="n">
        <v>3.9</v>
      </c>
      <c r="AX262" t="n">
        <v>6.5</v>
      </c>
      <c r="AY262" t="n">
        <v>0</v>
      </c>
      <c r="AZ262" t="n">
        <v>95.40000000000001</v>
      </c>
      <c r="BA262" t="n">
        <v>93</v>
      </c>
      <c r="BB262" t="n">
        <v>99.40000000000001</v>
      </c>
      <c r="BC262" t="n">
        <v>99.5</v>
      </c>
      <c r="BD262" t="n">
        <v>0.6</v>
      </c>
      <c r="BE262" t="n">
        <v>0.5</v>
      </c>
      <c r="BF262" t="n">
        <v>100</v>
      </c>
      <c r="BG262" t="n">
        <v>3.9</v>
      </c>
      <c r="BH262" t="n">
        <v>6.5</v>
      </c>
      <c r="BI262" t="n">
        <v>0</v>
      </c>
      <c r="BJ262" t="n">
        <v>95.40000000000001</v>
      </c>
      <c r="BK262" t="n">
        <v>93</v>
      </c>
      <c r="BL262" t="n">
        <v>99.40000000000001</v>
      </c>
      <c r="BM262" t="n">
        <v>99.5</v>
      </c>
      <c r="BN262" t="n">
        <v>0.6</v>
      </c>
      <c r="BO262" t="n">
        <v>0.5</v>
      </c>
      <c r="BP262" t="n">
        <v>0</v>
      </c>
      <c r="BQ262" t="n">
        <v>0</v>
      </c>
      <c r="BR262" t="n">
        <v>0</v>
      </c>
      <c r="BS262" t="n">
        <v>0</v>
      </c>
      <c r="BT262" t="n">
        <v>0</v>
      </c>
      <c r="BU262" t="n">
        <v>0</v>
      </c>
      <c r="BV262" t="n">
        <v>0</v>
      </c>
      <c r="BW262" t="n">
        <v>0</v>
      </c>
      <c r="BX262" t="n">
        <v>0</v>
      </c>
      <c r="BY262" t="n">
        <v>0</v>
      </c>
      <c r="BZ262" t="n">
        <v>34</v>
      </c>
      <c r="CA262" t="n">
        <v>2</v>
      </c>
      <c r="CB262" t="n">
        <v>3</v>
      </c>
      <c r="CC262" t="n">
        <v>0</v>
      </c>
      <c r="CD262" t="n">
        <v>24</v>
      </c>
      <c r="CE262" t="n">
        <v>23</v>
      </c>
      <c r="CF262" t="n">
        <v>26</v>
      </c>
      <c r="CG262" t="n">
        <v>26</v>
      </c>
      <c r="CH262" t="n">
        <v>34</v>
      </c>
      <c r="CI262" t="n">
        <v>2</v>
      </c>
      <c r="CJ262" t="n">
        <v>3</v>
      </c>
      <c r="CK262" t="n">
        <v>0</v>
      </c>
      <c r="CL262" t="n">
        <v>24</v>
      </c>
      <c r="CM262" t="n">
        <v>23</v>
      </c>
      <c r="CN262" t="n">
        <v>26</v>
      </c>
      <c r="CO262" t="n">
        <v>26</v>
      </c>
      <c r="CP262" t="n">
        <v>0</v>
      </c>
      <c r="CQ262" t="n">
        <v>0</v>
      </c>
      <c r="CR262" t="n">
        <v>0</v>
      </c>
      <c r="CS262" t="n">
        <v>0</v>
      </c>
      <c r="CT262" t="n">
        <v>0</v>
      </c>
      <c r="CU262" t="n">
        <v>0</v>
      </c>
      <c r="CV262" t="n">
        <v>0</v>
      </c>
      <c r="CW262" t="n">
        <v>0</v>
      </c>
      <c r="CX262" t="n">
        <v>47.5</v>
      </c>
      <c r="CY262" t="n">
        <v>81.3</v>
      </c>
      <c r="CZ262" t="n">
        <v>72.59999999999999</v>
      </c>
      <c r="DA262" t="n">
        <v>91.59999999999999</v>
      </c>
      <c r="DB262" t="n">
        <v>46.8</v>
      </c>
      <c r="DC262" t="n">
        <v>81.3</v>
      </c>
      <c r="DD262" t="n">
        <v>70</v>
      </c>
      <c r="DE262" t="n">
        <v>88.3</v>
      </c>
      <c r="DF262" t="n">
        <v>47.5</v>
      </c>
      <c r="DG262" t="n">
        <v>81.3</v>
      </c>
      <c r="DH262" t="n">
        <v>72.59999999999999</v>
      </c>
      <c r="DI262" t="n">
        <v>91.59999999999999</v>
      </c>
      <c r="DJ262" t="n">
        <v>46.8</v>
      </c>
      <c r="DK262" t="n">
        <v>81.3</v>
      </c>
      <c r="DL262" t="n">
        <v>70</v>
      </c>
      <c r="DM262" t="n">
        <v>88.3</v>
      </c>
      <c r="DN262" t="n">
        <v>0</v>
      </c>
      <c r="DO262" t="n">
        <v>0</v>
      </c>
      <c r="DP262" t="n">
        <v>0</v>
      </c>
      <c r="DQ262" t="n">
        <v>0</v>
      </c>
      <c r="DR262" t="n">
        <v>0</v>
      </c>
      <c r="DS262" t="n">
        <v>0</v>
      </c>
      <c r="DT262" t="n">
        <v>0</v>
      </c>
      <c r="DU262" t="n">
        <v>0</v>
      </c>
      <c r="DV262" t="inlineStr">
        <is>
          <t>1 MW</t>
        </is>
      </c>
    </row>
    <row r="263">
      <c r="A263" t="inlineStr">
        <is>
          <t>PJM N. IL HUB DA PEAK - ICE FUTURES ENERGY DIV</t>
        </is>
      </c>
      <c r="B263" t="n">
        <v>230103</v>
      </c>
      <c r="C263" s="1" t="n">
        <v>44929</v>
      </c>
      <c r="D263" t="inlineStr">
        <is>
          <t>0643BE</t>
        </is>
      </c>
      <c r="E263" t="inlineStr">
        <is>
          <t>IFED</t>
        </is>
      </c>
      <c r="F263" t="inlineStr">
        <is>
          <t>01</t>
        </is>
      </c>
      <c r="G263" t="inlineStr">
        <is>
          <t xml:space="preserve">064 </t>
        </is>
      </c>
      <c r="H263" t="n">
        <v>48576</v>
      </c>
      <c r="I263" s="17" t="n">
        <v>1906</v>
      </c>
      <c r="J263" s="17" t="n">
        <v>2994</v>
      </c>
      <c r="K263" t="n">
        <v>0</v>
      </c>
      <c r="L263" t="n">
        <v>46373</v>
      </c>
      <c r="M263" t="n">
        <v>45337</v>
      </c>
      <c r="N263" t="n">
        <v>48279</v>
      </c>
      <c r="O263" t="n">
        <v>48331</v>
      </c>
      <c r="P263" t="n">
        <v>297</v>
      </c>
      <c r="Q263" t="n">
        <v>245</v>
      </c>
      <c r="R263" t="n">
        <v>48576</v>
      </c>
      <c r="S263" t="n">
        <v>1906</v>
      </c>
      <c r="T263" t="n">
        <v>2994</v>
      </c>
      <c r="U263" t="n">
        <v>0</v>
      </c>
      <c r="V263" t="n">
        <v>46373</v>
      </c>
      <c r="W263" t="n">
        <v>45337</v>
      </c>
      <c r="X263" t="n">
        <v>48279</v>
      </c>
      <c r="Y263" t="n">
        <v>48331</v>
      </c>
      <c r="Z263" t="n">
        <v>297</v>
      </c>
      <c r="AA263" t="n">
        <v>245</v>
      </c>
      <c r="AB263" t="n">
        <v>0</v>
      </c>
      <c r="AC263" t="n">
        <v>0</v>
      </c>
      <c r="AD263" t="n">
        <v>0</v>
      </c>
      <c r="AE263" t="n">
        <v>0</v>
      </c>
      <c r="AF263" t="n">
        <v>0</v>
      </c>
      <c r="AG263" t="n">
        <v>0</v>
      </c>
      <c r="AH263" t="n">
        <v>0</v>
      </c>
      <c r="AI263" t="n">
        <v>0</v>
      </c>
      <c r="AJ263" t="n">
        <v>0</v>
      </c>
      <c r="AK263" t="n">
        <v>0</v>
      </c>
      <c r="AL263" t="n">
        <v>844</v>
      </c>
      <c r="AM263" t="n">
        <v>80</v>
      </c>
      <c r="AN263" t="n">
        <v>1390</v>
      </c>
      <c r="AO263" t="n">
        <v>0</v>
      </c>
      <c r="AP263" t="n">
        <v>764</v>
      </c>
      <c r="AQ263" t="n">
        <v>-546</v>
      </c>
      <c r="AR263" t="n">
        <v>844</v>
      </c>
      <c r="AS263" t="n">
        <v>844</v>
      </c>
      <c r="AT263" t="n">
        <v>0</v>
      </c>
      <c r="AU263" t="n">
        <v>0</v>
      </c>
      <c r="AV263" t="n">
        <v>100</v>
      </c>
      <c r="AW263" t="n">
        <v>3.9</v>
      </c>
      <c r="AX263" t="n">
        <v>6.2</v>
      </c>
      <c r="AY263" t="n">
        <v>0</v>
      </c>
      <c r="AZ263" t="n">
        <v>95.5</v>
      </c>
      <c r="BA263" t="n">
        <v>93.3</v>
      </c>
      <c r="BB263" t="n">
        <v>99.40000000000001</v>
      </c>
      <c r="BC263" t="n">
        <v>99.5</v>
      </c>
      <c r="BD263" t="n">
        <v>0.6</v>
      </c>
      <c r="BE263" t="n">
        <v>0.5</v>
      </c>
      <c r="BF263" t="n">
        <v>100</v>
      </c>
      <c r="BG263" t="n">
        <v>3.9</v>
      </c>
      <c r="BH263" t="n">
        <v>6.2</v>
      </c>
      <c r="BI263" t="n">
        <v>0</v>
      </c>
      <c r="BJ263" t="n">
        <v>95.5</v>
      </c>
      <c r="BK263" t="n">
        <v>93.3</v>
      </c>
      <c r="BL263" t="n">
        <v>99.40000000000001</v>
      </c>
      <c r="BM263" t="n">
        <v>99.5</v>
      </c>
      <c r="BN263" t="n">
        <v>0.6</v>
      </c>
      <c r="BO263" t="n">
        <v>0.5</v>
      </c>
      <c r="BP263" t="n">
        <v>0</v>
      </c>
      <c r="BQ263" t="n">
        <v>0</v>
      </c>
      <c r="BR263" t="n">
        <v>0</v>
      </c>
      <c r="BS263" t="n">
        <v>0</v>
      </c>
      <c r="BT263" t="n">
        <v>0</v>
      </c>
      <c r="BU263" t="n">
        <v>0</v>
      </c>
      <c r="BV263" t="n">
        <v>0</v>
      </c>
      <c r="BW263" t="n">
        <v>0</v>
      </c>
      <c r="BX263" t="n">
        <v>0</v>
      </c>
      <c r="BY263" t="n">
        <v>0</v>
      </c>
      <c r="BZ263" t="n">
        <v>38</v>
      </c>
      <c r="CA263" t="n">
        <v>2</v>
      </c>
      <c r="CB263" t="n">
        <v>3</v>
      </c>
      <c r="CC263" t="n">
        <v>0</v>
      </c>
      <c r="CD263" t="n">
        <v>26</v>
      </c>
      <c r="CE263" t="n">
        <v>27</v>
      </c>
      <c r="CF263" t="n">
        <v>28</v>
      </c>
      <c r="CG263" t="n">
        <v>30</v>
      </c>
      <c r="CH263" t="n">
        <v>38</v>
      </c>
      <c r="CI263" t="n">
        <v>2</v>
      </c>
      <c r="CJ263" t="n">
        <v>3</v>
      </c>
      <c r="CK263" t="n">
        <v>0</v>
      </c>
      <c r="CL263" t="n">
        <v>26</v>
      </c>
      <c r="CM263" t="n">
        <v>27</v>
      </c>
      <c r="CN263" t="n">
        <v>28</v>
      </c>
      <c r="CO263" t="n">
        <v>30</v>
      </c>
      <c r="CP263" t="n">
        <v>0</v>
      </c>
      <c r="CQ263" t="n">
        <v>0</v>
      </c>
      <c r="CR263" t="n">
        <v>0</v>
      </c>
      <c r="CS263" t="n">
        <v>0</v>
      </c>
      <c r="CT263" t="n">
        <v>0</v>
      </c>
      <c r="CU263" t="n">
        <v>0</v>
      </c>
      <c r="CV263" t="n">
        <v>0</v>
      </c>
      <c r="CW263" t="n">
        <v>0</v>
      </c>
      <c r="CX263" t="n">
        <v>46.1</v>
      </c>
      <c r="CY263" t="n">
        <v>78.3</v>
      </c>
      <c r="CZ263" t="n">
        <v>70.3</v>
      </c>
      <c r="DA263" t="n">
        <v>88.59999999999999</v>
      </c>
      <c r="DB263" t="n">
        <v>45.1</v>
      </c>
      <c r="DC263" t="n">
        <v>78.3</v>
      </c>
      <c r="DD263" t="n">
        <v>65.7</v>
      </c>
      <c r="DE263" t="n">
        <v>84.5</v>
      </c>
      <c r="DF263" t="n">
        <v>46.1</v>
      </c>
      <c r="DG263" t="n">
        <v>78.3</v>
      </c>
      <c r="DH263" t="n">
        <v>70.3</v>
      </c>
      <c r="DI263" t="n">
        <v>88.59999999999999</v>
      </c>
      <c r="DJ263" t="n">
        <v>45.1</v>
      </c>
      <c r="DK263" t="n">
        <v>78.3</v>
      </c>
      <c r="DL263" t="n">
        <v>65.7</v>
      </c>
      <c r="DM263" t="n">
        <v>84.5</v>
      </c>
      <c r="DN263" t="n">
        <v>0</v>
      </c>
      <c r="DO263" t="n">
        <v>0</v>
      </c>
      <c r="DP263" t="n">
        <v>0</v>
      </c>
      <c r="DQ263" t="n">
        <v>0</v>
      </c>
      <c r="DR263" t="n">
        <v>0</v>
      </c>
      <c r="DS263" t="n">
        <v>0</v>
      </c>
      <c r="DT263" t="n">
        <v>0</v>
      </c>
      <c r="DU263" t="n">
        <v>0</v>
      </c>
      <c r="DV263" t="inlineStr">
        <is>
          <t>1 MW</t>
        </is>
      </c>
    </row>
    <row r="264">
      <c r="A264" t="inlineStr">
        <is>
          <t>ISO NE MASS HUB DA OFF-PK FIXD - ICE FUTURES ENERGY DIV</t>
        </is>
      </c>
      <c r="B264" t="n">
        <v>230110</v>
      </c>
      <c r="C264" s="1" t="n">
        <v>44936</v>
      </c>
      <c r="D264" t="inlineStr">
        <is>
          <t>0643BF</t>
        </is>
      </c>
      <c r="E264" t="inlineStr">
        <is>
          <t>IFED</t>
        </is>
      </c>
      <c r="F264" t="inlineStr">
        <is>
          <t>01</t>
        </is>
      </c>
      <c r="G264" t="inlineStr">
        <is>
          <t xml:space="preserve">064 </t>
        </is>
      </c>
      <c r="H264" t="n">
        <v>66794</v>
      </c>
      <c r="I264" s="17" t="n">
        <v>488</v>
      </c>
      <c r="J264" s="17" t="n">
        <v>3660</v>
      </c>
      <c r="K264" t="n">
        <v>204</v>
      </c>
      <c r="L264" t="n">
        <v>65611</v>
      </c>
      <c r="M264" t="n">
        <v>62332</v>
      </c>
      <c r="N264" t="n">
        <v>66303</v>
      </c>
      <c r="O264" t="n">
        <v>66196</v>
      </c>
      <c r="P264" t="n">
        <v>491</v>
      </c>
      <c r="Q264" t="n">
        <v>598</v>
      </c>
      <c r="R264" t="n">
        <v>66794</v>
      </c>
      <c r="S264" t="n">
        <v>488</v>
      </c>
      <c r="T264" t="n">
        <v>3660</v>
      </c>
      <c r="U264" t="n">
        <v>204</v>
      </c>
      <c r="V264" t="n">
        <v>65611</v>
      </c>
      <c r="W264" t="n">
        <v>62332</v>
      </c>
      <c r="X264" t="n">
        <v>66303</v>
      </c>
      <c r="Y264" t="n">
        <v>66196</v>
      </c>
      <c r="Z264" t="n">
        <v>491</v>
      </c>
      <c r="AA264" t="n">
        <v>598</v>
      </c>
      <c r="AB264" t="n">
        <v>0</v>
      </c>
      <c r="AC264" t="n">
        <v>0</v>
      </c>
      <c r="AD264" t="n">
        <v>0</v>
      </c>
      <c r="AE264" t="n">
        <v>0</v>
      </c>
      <c r="AF264" t="n">
        <v>0</v>
      </c>
      <c r="AG264" t="n">
        <v>0</v>
      </c>
      <c r="AH264" t="n">
        <v>0</v>
      </c>
      <c r="AI264" t="n">
        <v>0</v>
      </c>
      <c r="AJ264" t="n">
        <v>0</v>
      </c>
      <c r="AK264" t="n">
        <v>0</v>
      </c>
      <c r="AL264" t="n">
        <v>-3754</v>
      </c>
      <c r="AM264" t="n">
        <v>-173</v>
      </c>
      <c r="AN264" t="n">
        <v>-43</v>
      </c>
      <c r="AO264" t="n">
        <v>18</v>
      </c>
      <c r="AP264" t="n">
        <v>-3575</v>
      </c>
      <c r="AQ264" t="n">
        <v>-3733</v>
      </c>
      <c r="AR264" t="n">
        <v>-3730</v>
      </c>
      <c r="AS264" t="n">
        <v>-3758</v>
      </c>
      <c r="AT264" t="n">
        <v>-24</v>
      </c>
      <c r="AU264" t="n">
        <v>4</v>
      </c>
      <c r="AV264" t="n">
        <v>100</v>
      </c>
      <c r="AW264" t="n">
        <v>0.7</v>
      </c>
      <c r="AX264" t="n">
        <v>5.5</v>
      </c>
      <c r="AY264" t="n">
        <v>0.3</v>
      </c>
      <c r="AZ264" t="n">
        <v>98.2</v>
      </c>
      <c r="BA264" t="n">
        <v>93.3</v>
      </c>
      <c r="BB264" t="n">
        <v>99.3</v>
      </c>
      <c r="BC264" t="n">
        <v>99.09999999999999</v>
      </c>
      <c r="BD264" t="n">
        <v>0.7</v>
      </c>
      <c r="BE264" t="n">
        <v>0.9</v>
      </c>
      <c r="BF264" t="n">
        <v>100</v>
      </c>
      <c r="BG264" t="n">
        <v>0.7</v>
      </c>
      <c r="BH264" t="n">
        <v>5.5</v>
      </c>
      <c r="BI264" t="n">
        <v>0.3</v>
      </c>
      <c r="BJ264" t="n">
        <v>98.2</v>
      </c>
      <c r="BK264" t="n">
        <v>93.3</v>
      </c>
      <c r="BL264" t="n">
        <v>99.3</v>
      </c>
      <c r="BM264" t="n">
        <v>99.09999999999999</v>
      </c>
      <c r="BN264" t="n">
        <v>0.7</v>
      </c>
      <c r="BO264" t="n">
        <v>0.9</v>
      </c>
      <c r="BP264" t="n">
        <v>0</v>
      </c>
      <c r="BQ264" t="n">
        <v>0</v>
      </c>
      <c r="BR264" t="n">
        <v>0</v>
      </c>
      <c r="BS264" t="n">
        <v>0</v>
      </c>
      <c r="BT264" t="n">
        <v>0</v>
      </c>
      <c r="BU264" t="n">
        <v>0</v>
      </c>
      <c r="BV264" t="n">
        <v>0</v>
      </c>
      <c r="BW264" t="n">
        <v>0</v>
      </c>
      <c r="BX264" t="n">
        <v>0</v>
      </c>
      <c r="BY264" t="n">
        <v>0</v>
      </c>
      <c r="BZ264" t="n">
        <v>38</v>
      </c>
      <c r="CA264" t="n">
        <v>3</v>
      </c>
      <c r="CB264" t="n">
        <v>4</v>
      </c>
      <c r="CC264" t="n">
        <v>1</v>
      </c>
      <c r="CD264" t="n">
        <v>23</v>
      </c>
      <c r="CE264" t="n">
        <v>26</v>
      </c>
      <c r="CF264" t="n">
        <v>26</v>
      </c>
      <c r="CG264" t="n">
        <v>31</v>
      </c>
      <c r="CH264" t="n">
        <v>38</v>
      </c>
      <c r="CI264" t="n">
        <v>3</v>
      </c>
      <c r="CJ264" t="n">
        <v>4</v>
      </c>
      <c r="CK264" t="n">
        <v>1</v>
      </c>
      <c r="CL264" t="n">
        <v>23</v>
      </c>
      <c r="CM264" t="n">
        <v>26</v>
      </c>
      <c r="CN264" t="n">
        <v>26</v>
      </c>
      <c r="CO264" t="n">
        <v>31</v>
      </c>
      <c r="CP264" t="n">
        <v>0</v>
      </c>
      <c r="CQ264" t="n">
        <v>0</v>
      </c>
      <c r="CR264" t="n">
        <v>0</v>
      </c>
      <c r="CS264" t="n">
        <v>0</v>
      </c>
      <c r="CT264" t="n">
        <v>0</v>
      </c>
      <c r="CU264" t="n">
        <v>0</v>
      </c>
      <c r="CV264" t="n">
        <v>0</v>
      </c>
      <c r="CW264" t="n">
        <v>0</v>
      </c>
      <c r="CX264" t="n">
        <v>71.5</v>
      </c>
      <c r="CY264" t="n">
        <v>59.6</v>
      </c>
      <c r="CZ264" t="n">
        <v>85.7</v>
      </c>
      <c r="DA264" t="n">
        <v>80.09999999999999</v>
      </c>
      <c r="DB264" t="n">
        <v>70.3</v>
      </c>
      <c r="DC264" t="n">
        <v>57.5</v>
      </c>
      <c r="DD264" t="n">
        <v>81.8</v>
      </c>
      <c r="DE264" t="n">
        <v>77.40000000000001</v>
      </c>
      <c r="DF264" t="n">
        <v>71.5</v>
      </c>
      <c r="DG264" t="n">
        <v>59.6</v>
      </c>
      <c r="DH264" t="n">
        <v>85.7</v>
      </c>
      <c r="DI264" t="n">
        <v>80.09999999999999</v>
      </c>
      <c r="DJ264" t="n">
        <v>70.3</v>
      </c>
      <c r="DK264" t="n">
        <v>57.5</v>
      </c>
      <c r="DL264" t="n">
        <v>81.8</v>
      </c>
      <c r="DM264" t="n">
        <v>77.40000000000001</v>
      </c>
      <c r="DN264" t="n">
        <v>0</v>
      </c>
      <c r="DO264" t="n">
        <v>0</v>
      </c>
      <c r="DP264" t="n">
        <v>0</v>
      </c>
      <c r="DQ264" t="n">
        <v>0</v>
      </c>
      <c r="DR264" t="n">
        <v>0</v>
      </c>
      <c r="DS264" t="n">
        <v>0</v>
      </c>
      <c r="DT264" t="n">
        <v>0</v>
      </c>
      <c r="DU264" t="n">
        <v>0</v>
      </c>
      <c r="DV264" t="inlineStr">
        <is>
          <t>(1 MW per Hour for about 368 Hours)</t>
        </is>
      </c>
    </row>
    <row r="265">
      <c r="A265" t="inlineStr">
        <is>
          <t>ISO NE MASS HUB DA OFF-PK FIXD - ICE FUTURES ENERGY DIV</t>
        </is>
      </c>
      <c r="B265" t="n">
        <v>230103</v>
      </c>
      <c r="C265" s="1" t="n">
        <v>44929</v>
      </c>
      <c r="D265" t="inlineStr">
        <is>
          <t>0643BF</t>
        </is>
      </c>
      <c r="E265" t="inlineStr">
        <is>
          <t>IFED</t>
        </is>
      </c>
      <c r="F265" t="inlineStr">
        <is>
          <t>01</t>
        </is>
      </c>
      <c r="G265" t="inlineStr">
        <is>
          <t xml:space="preserve">064 </t>
        </is>
      </c>
      <c r="H265" t="n">
        <v>70548</v>
      </c>
      <c r="I265" s="17" t="n">
        <v>661</v>
      </c>
      <c r="J265" s="17" t="n">
        <v>3703</v>
      </c>
      <c r="K265" t="n">
        <v>186</v>
      </c>
      <c r="L265" t="n">
        <v>69186</v>
      </c>
      <c r="M265" t="n">
        <v>66065</v>
      </c>
      <c r="N265" t="n">
        <v>70033</v>
      </c>
      <c r="O265" t="n">
        <v>69954</v>
      </c>
      <c r="P265" t="n">
        <v>515</v>
      </c>
      <c r="Q265" t="n">
        <v>594</v>
      </c>
      <c r="R265" t="n">
        <v>70548</v>
      </c>
      <c r="S265" t="n">
        <v>661</v>
      </c>
      <c r="T265" t="n">
        <v>3703</v>
      </c>
      <c r="U265" t="n">
        <v>186</v>
      </c>
      <c r="V265" t="n">
        <v>69186</v>
      </c>
      <c r="W265" t="n">
        <v>66065</v>
      </c>
      <c r="X265" t="n">
        <v>70033</v>
      </c>
      <c r="Y265" t="n">
        <v>69954</v>
      </c>
      <c r="Z265" t="n">
        <v>515</v>
      </c>
      <c r="AA265" t="n">
        <v>594</v>
      </c>
      <c r="AB265" t="n">
        <v>0</v>
      </c>
      <c r="AC265" t="n">
        <v>0</v>
      </c>
      <c r="AD265" t="n">
        <v>0</v>
      </c>
      <c r="AE265" t="n">
        <v>0</v>
      </c>
      <c r="AF265" t="n">
        <v>0</v>
      </c>
      <c r="AG265" t="n">
        <v>0</v>
      </c>
      <c r="AH265" t="n">
        <v>0</v>
      </c>
      <c r="AI265" t="n">
        <v>0</v>
      </c>
      <c r="AJ265" t="n">
        <v>0</v>
      </c>
      <c r="AK265" t="n">
        <v>0</v>
      </c>
      <c r="AL265" t="n">
        <v>474</v>
      </c>
      <c r="AM265" t="n">
        <v>-100</v>
      </c>
      <c r="AN265" t="n">
        <v>80</v>
      </c>
      <c r="AO265" t="n">
        <v>32</v>
      </c>
      <c r="AP265" t="n">
        <v>539</v>
      </c>
      <c r="AQ265" t="n">
        <v>351</v>
      </c>
      <c r="AR265" t="n">
        <v>471</v>
      </c>
      <c r="AS265" t="n">
        <v>463</v>
      </c>
      <c r="AT265" t="n">
        <v>3</v>
      </c>
      <c r="AU265" t="n">
        <v>11</v>
      </c>
      <c r="AV265" t="n">
        <v>100</v>
      </c>
      <c r="AW265" t="n">
        <v>0.9</v>
      </c>
      <c r="AX265" t="n">
        <v>5.2</v>
      </c>
      <c r="AY265" t="n">
        <v>0.3</v>
      </c>
      <c r="AZ265" t="n">
        <v>98.09999999999999</v>
      </c>
      <c r="BA265" t="n">
        <v>93.59999999999999</v>
      </c>
      <c r="BB265" t="n">
        <v>99.3</v>
      </c>
      <c r="BC265" t="n">
        <v>99.2</v>
      </c>
      <c r="BD265" t="n">
        <v>0.7</v>
      </c>
      <c r="BE265" t="n">
        <v>0.8</v>
      </c>
      <c r="BF265" t="n">
        <v>100</v>
      </c>
      <c r="BG265" t="n">
        <v>0.9</v>
      </c>
      <c r="BH265" t="n">
        <v>5.2</v>
      </c>
      <c r="BI265" t="n">
        <v>0.3</v>
      </c>
      <c r="BJ265" t="n">
        <v>98.09999999999999</v>
      </c>
      <c r="BK265" t="n">
        <v>93.59999999999999</v>
      </c>
      <c r="BL265" t="n">
        <v>99.3</v>
      </c>
      <c r="BM265" t="n">
        <v>99.2</v>
      </c>
      <c r="BN265" t="n">
        <v>0.7</v>
      </c>
      <c r="BO265" t="n">
        <v>0.8</v>
      </c>
      <c r="BP265" t="n">
        <v>0</v>
      </c>
      <c r="BQ265" t="n">
        <v>0</v>
      </c>
      <c r="BR265" t="n">
        <v>0</v>
      </c>
      <c r="BS265" t="n">
        <v>0</v>
      </c>
      <c r="BT265" t="n">
        <v>0</v>
      </c>
      <c r="BU265" t="n">
        <v>0</v>
      </c>
      <c r="BV265" t="n">
        <v>0</v>
      </c>
      <c r="BW265" t="n">
        <v>0</v>
      </c>
      <c r="BX265" t="n">
        <v>0</v>
      </c>
      <c r="BY265" t="n">
        <v>0</v>
      </c>
      <c r="BZ265" t="n">
        <v>42</v>
      </c>
      <c r="CA265" t="n">
        <v>3</v>
      </c>
      <c r="CB265" t="n">
        <v>4</v>
      </c>
      <c r="CC265" t="n">
        <v>1</v>
      </c>
      <c r="CD265" t="n">
        <v>25</v>
      </c>
      <c r="CE265" t="n">
        <v>28</v>
      </c>
      <c r="CF265" t="n">
        <v>28</v>
      </c>
      <c r="CG265" t="n">
        <v>33</v>
      </c>
      <c r="CH265" t="n">
        <v>42</v>
      </c>
      <c r="CI265" t="n">
        <v>3</v>
      </c>
      <c r="CJ265" t="n">
        <v>4</v>
      </c>
      <c r="CK265" t="n">
        <v>1</v>
      </c>
      <c r="CL265" t="n">
        <v>25</v>
      </c>
      <c r="CM265" t="n">
        <v>28</v>
      </c>
      <c r="CN265" t="n">
        <v>28</v>
      </c>
      <c r="CO265" t="n">
        <v>33</v>
      </c>
      <c r="CP265" t="n">
        <v>0</v>
      </c>
      <c r="CQ265" t="n">
        <v>0</v>
      </c>
      <c r="CR265" t="n">
        <v>0</v>
      </c>
      <c r="CS265" t="n">
        <v>0</v>
      </c>
      <c r="CT265" t="n">
        <v>0</v>
      </c>
      <c r="CU265" t="n">
        <v>0</v>
      </c>
      <c r="CV265" t="n">
        <v>0</v>
      </c>
      <c r="CW265" t="n">
        <v>0</v>
      </c>
      <c r="CX265" t="n">
        <v>69</v>
      </c>
      <c r="CY265" t="n">
        <v>60.3</v>
      </c>
      <c r="CZ265" t="n">
        <v>84.5</v>
      </c>
      <c r="DA265" t="n">
        <v>79.90000000000001</v>
      </c>
      <c r="DB265" t="n">
        <v>68</v>
      </c>
      <c r="DC265" t="n">
        <v>58.6</v>
      </c>
      <c r="DD265" t="n">
        <v>81.40000000000001</v>
      </c>
      <c r="DE265" t="n">
        <v>77.2</v>
      </c>
      <c r="DF265" t="n">
        <v>69</v>
      </c>
      <c r="DG265" t="n">
        <v>60.3</v>
      </c>
      <c r="DH265" t="n">
        <v>84.5</v>
      </c>
      <c r="DI265" t="n">
        <v>79.90000000000001</v>
      </c>
      <c r="DJ265" t="n">
        <v>68</v>
      </c>
      <c r="DK265" t="n">
        <v>58.6</v>
      </c>
      <c r="DL265" t="n">
        <v>81.40000000000001</v>
      </c>
      <c r="DM265" t="n">
        <v>77.2</v>
      </c>
      <c r="DN265" t="n">
        <v>0</v>
      </c>
      <c r="DO265" t="n">
        <v>0</v>
      </c>
      <c r="DP265" t="n">
        <v>0</v>
      </c>
      <c r="DQ265" t="n">
        <v>0</v>
      </c>
      <c r="DR265" t="n">
        <v>0</v>
      </c>
      <c r="DS265" t="n">
        <v>0</v>
      </c>
      <c r="DT265" t="n">
        <v>0</v>
      </c>
      <c r="DU265" t="n">
        <v>0</v>
      </c>
      <c r="DV265" t="inlineStr">
        <is>
          <t>(1 MW per Hour for about 368 Hours)</t>
        </is>
      </c>
    </row>
    <row r="266">
      <c r="A266" t="inlineStr">
        <is>
          <t>ISO NE MASS HUB DA PEAK - ICE FUTURES ENERGY DIV</t>
        </is>
      </c>
      <c r="B266" t="n">
        <v>230110</v>
      </c>
      <c r="C266" s="1" t="n">
        <v>44936</v>
      </c>
      <c r="D266" t="inlineStr">
        <is>
          <t>0643BG</t>
        </is>
      </c>
      <c r="E266" t="inlineStr">
        <is>
          <t>IFED</t>
        </is>
      </c>
      <c r="F266" t="inlineStr">
        <is>
          <t>01</t>
        </is>
      </c>
      <c r="G266" t="inlineStr">
        <is>
          <t xml:space="preserve">064 </t>
        </is>
      </c>
      <c r="H266" t="n">
        <v>81651</v>
      </c>
      <c r="I266" s="17" t="n">
        <v>1009</v>
      </c>
      <c r="J266" s="17" t="n">
        <v>5353</v>
      </c>
      <c r="K266" t="n">
        <v>700</v>
      </c>
      <c r="L266" t="n">
        <v>79390</v>
      </c>
      <c r="M266" t="n">
        <v>75051</v>
      </c>
      <c r="N266" t="n">
        <v>81099</v>
      </c>
      <c r="O266" t="n">
        <v>81104</v>
      </c>
      <c r="P266" t="n">
        <v>552</v>
      </c>
      <c r="Q266" t="n">
        <v>547</v>
      </c>
      <c r="R266" t="n">
        <v>81651</v>
      </c>
      <c r="S266" t="n">
        <v>1009</v>
      </c>
      <c r="T266" t="n">
        <v>5353</v>
      </c>
      <c r="U266" t="n">
        <v>700</v>
      </c>
      <c r="V266" t="n">
        <v>79390</v>
      </c>
      <c r="W266" t="n">
        <v>75051</v>
      </c>
      <c r="X266" t="n">
        <v>81099</v>
      </c>
      <c r="Y266" t="n">
        <v>81104</v>
      </c>
      <c r="Z266" t="n">
        <v>552</v>
      </c>
      <c r="AA266" t="n">
        <v>547</v>
      </c>
      <c r="AB266" t="n">
        <v>0</v>
      </c>
      <c r="AC266" t="n">
        <v>0</v>
      </c>
      <c r="AD266" t="n">
        <v>0</v>
      </c>
      <c r="AE266" t="n">
        <v>0</v>
      </c>
      <c r="AF266" t="n">
        <v>0</v>
      </c>
      <c r="AG266" t="n">
        <v>0</v>
      </c>
      <c r="AH266" t="n">
        <v>0</v>
      </c>
      <c r="AI266" t="n">
        <v>0</v>
      </c>
      <c r="AJ266" t="n">
        <v>0</v>
      </c>
      <c r="AK266" t="n">
        <v>0</v>
      </c>
      <c r="AL266" t="n">
        <v>-5322</v>
      </c>
      <c r="AM266" t="n">
        <v>-147</v>
      </c>
      <c r="AN266" t="n">
        <v>-291</v>
      </c>
      <c r="AO266" t="n">
        <v>82</v>
      </c>
      <c r="AP266" t="n">
        <v>-5144</v>
      </c>
      <c r="AQ266" t="n">
        <v>-5081</v>
      </c>
      <c r="AR266" t="n">
        <v>-5209</v>
      </c>
      <c r="AS266" t="n">
        <v>-5290</v>
      </c>
      <c r="AT266" t="n">
        <v>-113</v>
      </c>
      <c r="AU266" t="n">
        <v>-32</v>
      </c>
      <c r="AV266" t="n">
        <v>100</v>
      </c>
      <c r="AW266" t="n">
        <v>1.2</v>
      </c>
      <c r="AX266" t="n">
        <v>6.6</v>
      </c>
      <c r="AY266" t="n">
        <v>0.9</v>
      </c>
      <c r="AZ266" t="n">
        <v>97.2</v>
      </c>
      <c r="BA266" t="n">
        <v>91.90000000000001</v>
      </c>
      <c r="BB266" t="n">
        <v>99.3</v>
      </c>
      <c r="BC266" t="n">
        <v>99.3</v>
      </c>
      <c r="BD266" t="n">
        <v>0.7</v>
      </c>
      <c r="BE266" t="n">
        <v>0.7</v>
      </c>
      <c r="BF266" t="n">
        <v>100</v>
      </c>
      <c r="BG266" t="n">
        <v>1.2</v>
      </c>
      <c r="BH266" t="n">
        <v>6.6</v>
      </c>
      <c r="BI266" t="n">
        <v>0.9</v>
      </c>
      <c r="BJ266" t="n">
        <v>97.2</v>
      </c>
      <c r="BK266" t="n">
        <v>91.90000000000001</v>
      </c>
      <c r="BL266" t="n">
        <v>99.3</v>
      </c>
      <c r="BM266" t="n">
        <v>99.3</v>
      </c>
      <c r="BN266" t="n">
        <v>0.7</v>
      </c>
      <c r="BO266" t="n">
        <v>0.7</v>
      </c>
      <c r="BP266" t="n">
        <v>0</v>
      </c>
      <c r="BQ266" t="n">
        <v>0</v>
      </c>
      <c r="BR266" t="n">
        <v>0</v>
      </c>
      <c r="BS266" t="n">
        <v>0</v>
      </c>
      <c r="BT266" t="n">
        <v>0</v>
      </c>
      <c r="BU266" t="n">
        <v>0</v>
      </c>
      <c r="BV266" t="n">
        <v>0</v>
      </c>
      <c r="BW266" t="n">
        <v>0</v>
      </c>
      <c r="BX266" t="n">
        <v>0</v>
      </c>
      <c r="BY266" t="n">
        <v>0</v>
      </c>
      <c r="BZ266" t="n">
        <v>50</v>
      </c>
      <c r="CA266" t="n">
        <v>5</v>
      </c>
      <c r="CB266" t="n">
        <v>7</v>
      </c>
      <c r="CC266" t="n">
        <v>8</v>
      </c>
      <c r="CD266" t="n">
        <v>29</v>
      </c>
      <c r="CE266" t="n">
        <v>31</v>
      </c>
      <c r="CF266" t="n">
        <v>38</v>
      </c>
      <c r="CG266" t="n">
        <v>42</v>
      </c>
      <c r="CH266" t="n">
        <v>50</v>
      </c>
      <c r="CI266" t="n">
        <v>5</v>
      </c>
      <c r="CJ266" t="n">
        <v>7</v>
      </c>
      <c r="CK266" t="n">
        <v>8</v>
      </c>
      <c r="CL266" t="n">
        <v>29</v>
      </c>
      <c r="CM266" t="n">
        <v>31</v>
      </c>
      <c r="CN266" t="n">
        <v>38</v>
      </c>
      <c r="CO266" t="n">
        <v>42</v>
      </c>
      <c r="CP266" t="n">
        <v>0</v>
      </c>
      <c r="CQ266" t="n">
        <v>0</v>
      </c>
      <c r="CR266" t="n">
        <v>0</v>
      </c>
      <c r="CS266" t="n">
        <v>0</v>
      </c>
      <c r="CT266" t="n">
        <v>0</v>
      </c>
      <c r="CU266" t="n">
        <v>0</v>
      </c>
      <c r="CV266" t="n">
        <v>0</v>
      </c>
      <c r="CW266" t="n">
        <v>0</v>
      </c>
      <c r="CX266" t="n">
        <v>68.2</v>
      </c>
      <c r="CY266" t="n">
        <v>55.8</v>
      </c>
      <c r="CZ266" t="n">
        <v>83.3</v>
      </c>
      <c r="DA266" t="n">
        <v>74.90000000000001</v>
      </c>
      <c r="DB266" t="n">
        <v>66.7</v>
      </c>
      <c r="DC266" t="n">
        <v>54.7</v>
      </c>
      <c r="DD266" t="n">
        <v>79.09999999999999</v>
      </c>
      <c r="DE266" t="n">
        <v>70.59999999999999</v>
      </c>
      <c r="DF266" t="n">
        <v>68.2</v>
      </c>
      <c r="DG266" t="n">
        <v>55.8</v>
      </c>
      <c r="DH266" t="n">
        <v>83.3</v>
      </c>
      <c r="DI266" t="n">
        <v>74.90000000000001</v>
      </c>
      <c r="DJ266" t="n">
        <v>66.7</v>
      </c>
      <c r="DK266" t="n">
        <v>54.7</v>
      </c>
      <c r="DL266" t="n">
        <v>79.09999999999999</v>
      </c>
      <c r="DM266" t="n">
        <v>70.59999999999999</v>
      </c>
      <c r="DN266" t="n">
        <v>0</v>
      </c>
      <c r="DO266" t="n">
        <v>0</v>
      </c>
      <c r="DP266" t="n">
        <v>0</v>
      </c>
      <c r="DQ266" t="n">
        <v>0</v>
      </c>
      <c r="DR266" t="n">
        <v>0</v>
      </c>
      <c r="DS266" t="n">
        <v>0</v>
      </c>
      <c r="DT266" t="n">
        <v>0</v>
      </c>
      <c r="DU266" t="n">
        <v>0</v>
      </c>
      <c r="DV266" t="inlineStr">
        <is>
          <t>800MWh</t>
        </is>
      </c>
    </row>
    <row r="267">
      <c r="A267" t="inlineStr">
        <is>
          <t>ISO NE MASS HUB DA PEAK - ICE FUTURES ENERGY DIV</t>
        </is>
      </c>
      <c r="B267" t="n">
        <v>230103</v>
      </c>
      <c r="C267" s="1" t="n">
        <v>44929</v>
      </c>
      <c r="D267" t="inlineStr">
        <is>
          <t>0643BG</t>
        </is>
      </c>
      <c r="E267" t="inlineStr">
        <is>
          <t>IFED</t>
        </is>
      </c>
      <c r="F267" t="inlineStr">
        <is>
          <t>01</t>
        </is>
      </c>
      <c r="G267" t="inlineStr">
        <is>
          <t xml:space="preserve">064 </t>
        </is>
      </c>
      <c r="H267" t="n">
        <v>86973</v>
      </c>
      <c r="I267" s="17" t="n">
        <v>1156</v>
      </c>
      <c r="J267" s="17" t="n">
        <v>5644</v>
      </c>
      <c r="K267" t="n">
        <v>618</v>
      </c>
      <c r="L267" t="n">
        <v>84534</v>
      </c>
      <c r="M267" t="n">
        <v>80132</v>
      </c>
      <c r="N267" t="n">
        <v>86308</v>
      </c>
      <c r="O267" t="n">
        <v>86394</v>
      </c>
      <c r="P267" t="n">
        <v>665</v>
      </c>
      <c r="Q267" t="n">
        <v>579</v>
      </c>
      <c r="R267" t="n">
        <v>86973</v>
      </c>
      <c r="S267" t="n">
        <v>1156</v>
      </c>
      <c r="T267" t="n">
        <v>5644</v>
      </c>
      <c r="U267" t="n">
        <v>618</v>
      </c>
      <c r="V267" t="n">
        <v>84534</v>
      </c>
      <c r="W267" t="n">
        <v>80132</v>
      </c>
      <c r="X267" t="n">
        <v>86308</v>
      </c>
      <c r="Y267" t="n">
        <v>86394</v>
      </c>
      <c r="Z267" t="n">
        <v>665</v>
      </c>
      <c r="AA267" t="n">
        <v>579</v>
      </c>
      <c r="AB267" t="n">
        <v>0</v>
      </c>
      <c r="AC267" t="n">
        <v>0</v>
      </c>
      <c r="AD267" t="n">
        <v>0</v>
      </c>
      <c r="AE267" t="n">
        <v>0</v>
      </c>
      <c r="AF267" t="n">
        <v>0</v>
      </c>
      <c r="AG267" t="n">
        <v>0</v>
      </c>
      <c r="AH267" t="n">
        <v>0</v>
      </c>
      <c r="AI267" t="n">
        <v>0</v>
      </c>
      <c r="AJ267" t="n">
        <v>0</v>
      </c>
      <c r="AK267" t="n">
        <v>0</v>
      </c>
      <c r="AL267" t="n">
        <v>712</v>
      </c>
      <c r="AM267" t="n">
        <v>-197</v>
      </c>
      <c r="AN267" t="n">
        <v>872</v>
      </c>
      <c r="AO267" t="n">
        <v>185</v>
      </c>
      <c r="AP267" t="n">
        <v>706</v>
      </c>
      <c r="AQ267" t="n">
        <v>-379</v>
      </c>
      <c r="AR267" t="n">
        <v>694</v>
      </c>
      <c r="AS267" t="n">
        <v>678</v>
      </c>
      <c r="AT267" t="n">
        <v>18</v>
      </c>
      <c r="AU267" t="n">
        <v>34</v>
      </c>
      <c r="AV267" t="n">
        <v>100</v>
      </c>
      <c r="AW267" t="n">
        <v>1.3</v>
      </c>
      <c r="AX267" t="n">
        <v>6.5</v>
      </c>
      <c r="AY267" t="n">
        <v>0.7</v>
      </c>
      <c r="AZ267" t="n">
        <v>97.2</v>
      </c>
      <c r="BA267" t="n">
        <v>92.09999999999999</v>
      </c>
      <c r="BB267" t="n">
        <v>99.2</v>
      </c>
      <c r="BC267" t="n">
        <v>99.3</v>
      </c>
      <c r="BD267" t="n">
        <v>0.8</v>
      </c>
      <c r="BE267" t="n">
        <v>0.7</v>
      </c>
      <c r="BF267" t="n">
        <v>100</v>
      </c>
      <c r="BG267" t="n">
        <v>1.3</v>
      </c>
      <c r="BH267" t="n">
        <v>6.5</v>
      </c>
      <c r="BI267" t="n">
        <v>0.7</v>
      </c>
      <c r="BJ267" t="n">
        <v>97.2</v>
      </c>
      <c r="BK267" t="n">
        <v>92.09999999999999</v>
      </c>
      <c r="BL267" t="n">
        <v>99.2</v>
      </c>
      <c r="BM267" t="n">
        <v>99.3</v>
      </c>
      <c r="BN267" t="n">
        <v>0.8</v>
      </c>
      <c r="BO267" t="n">
        <v>0.7</v>
      </c>
      <c r="BP267" t="n">
        <v>0</v>
      </c>
      <c r="BQ267" t="n">
        <v>0</v>
      </c>
      <c r="BR267" t="n">
        <v>0</v>
      </c>
      <c r="BS267" t="n">
        <v>0</v>
      </c>
      <c r="BT267" t="n">
        <v>0</v>
      </c>
      <c r="BU267" t="n">
        <v>0</v>
      </c>
      <c r="BV267" t="n">
        <v>0</v>
      </c>
      <c r="BW267" t="n">
        <v>0</v>
      </c>
      <c r="BX267" t="n">
        <v>0</v>
      </c>
      <c r="BY267" t="n">
        <v>0</v>
      </c>
      <c r="BZ267" t="n">
        <v>53</v>
      </c>
      <c r="CA267" t="n">
        <v>5</v>
      </c>
      <c r="CB267" t="n">
        <v>7</v>
      </c>
      <c r="CC267" t="n">
        <v>8</v>
      </c>
      <c r="CD267" t="n">
        <v>29</v>
      </c>
      <c r="CE267" t="n">
        <v>33</v>
      </c>
      <c r="CF267" t="n">
        <v>38</v>
      </c>
      <c r="CG267" t="n">
        <v>44</v>
      </c>
      <c r="CH267" t="n">
        <v>53</v>
      </c>
      <c r="CI267" t="n">
        <v>5</v>
      </c>
      <c r="CJ267" t="n">
        <v>7</v>
      </c>
      <c r="CK267" t="n">
        <v>8</v>
      </c>
      <c r="CL267" t="n">
        <v>29</v>
      </c>
      <c r="CM267" t="n">
        <v>33</v>
      </c>
      <c r="CN267" t="n">
        <v>38</v>
      </c>
      <c r="CO267" t="n">
        <v>44</v>
      </c>
      <c r="CP267" t="n">
        <v>0</v>
      </c>
      <c r="CQ267" t="n">
        <v>0</v>
      </c>
      <c r="CR267" t="n">
        <v>0</v>
      </c>
      <c r="CS267" t="n">
        <v>0</v>
      </c>
      <c r="CT267" t="n">
        <v>0</v>
      </c>
      <c r="CU267" t="n">
        <v>0</v>
      </c>
      <c r="CV267" t="n">
        <v>0</v>
      </c>
      <c r="CW267" t="n">
        <v>0</v>
      </c>
      <c r="CX267" t="n">
        <v>66.40000000000001</v>
      </c>
      <c r="CY267" t="n">
        <v>55.7</v>
      </c>
      <c r="CZ267" t="n">
        <v>83.09999999999999</v>
      </c>
      <c r="DA267" t="n">
        <v>74.5</v>
      </c>
      <c r="DB267" t="n">
        <v>65</v>
      </c>
      <c r="DC267" t="n">
        <v>54.4</v>
      </c>
      <c r="DD267" t="n">
        <v>79.3</v>
      </c>
      <c r="DE267" t="n">
        <v>70.09999999999999</v>
      </c>
      <c r="DF267" t="n">
        <v>66.40000000000001</v>
      </c>
      <c r="DG267" t="n">
        <v>55.7</v>
      </c>
      <c r="DH267" t="n">
        <v>83.09999999999999</v>
      </c>
      <c r="DI267" t="n">
        <v>74.5</v>
      </c>
      <c r="DJ267" t="n">
        <v>65</v>
      </c>
      <c r="DK267" t="n">
        <v>54.4</v>
      </c>
      <c r="DL267" t="n">
        <v>79.3</v>
      </c>
      <c r="DM267" t="n">
        <v>70.09999999999999</v>
      </c>
      <c r="DN267" t="n">
        <v>0</v>
      </c>
      <c r="DO267" t="n">
        <v>0</v>
      </c>
      <c r="DP267" t="n">
        <v>0</v>
      </c>
      <c r="DQ267" t="n">
        <v>0</v>
      </c>
      <c r="DR267" t="n">
        <v>0</v>
      </c>
      <c r="DS267" t="n">
        <v>0</v>
      </c>
      <c r="DT267" t="n">
        <v>0</v>
      </c>
      <c r="DU267" t="n">
        <v>0</v>
      </c>
      <c r="DV267" t="inlineStr">
        <is>
          <t>800MWh</t>
        </is>
      </c>
    </row>
    <row r="268">
      <c r="A268" t="inlineStr">
        <is>
          <t>CAISO NP-15 PEAK - ICE FUTURES ENERGY DIV</t>
        </is>
      </c>
      <c r="B268" t="n">
        <v>230110</v>
      </c>
      <c r="C268" s="1" t="n">
        <v>44936</v>
      </c>
      <c r="D268" t="inlineStr">
        <is>
          <t>0643BM</t>
        </is>
      </c>
      <c r="E268" t="inlineStr">
        <is>
          <t>IFED</t>
        </is>
      </c>
      <c r="F268" t="inlineStr">
        <is>
          <t>01</t>
        </is>
      </c>
      <c r="G268" t="inlineStr">
        <is>
          <t xml:space="preserve">064 </t>
        </is>
      </c>
      <c r="H268" t="n">
        <v>35595</v>
      </c>
      <c r="I268" s="17" t="n">
        <v>60</v>
      </c>
      <c r="J268" s="17" t="n">
        <v>1822</v>
      </c>
      <c r="K268" t="n">
        <v>1143</v>
      </c>
      <c r="L268" t="n">
        <v>34197</v>
      </c>
      <c r="M268" t="n">
        <v>32620</v>
      </c>
      <c r="N268" t="n">
        <v>35400</v>
      </c>
      <c r="O268" t="n">
        <v>35585</v>
      </c>
      <c r="P268" t="n">
        <v>195</v>
      </c>
      <c r="Q268" t="n">
        <v>10</v>
      </c>
      <c r="R268" t="n">
        <v>35595</v>
      </c>
      <c r="S268" t="n">
        <v>60</v>
      </c>
      <c r="T268" t="n">
        <v>1822</v>
      </c>
      <c r="U268" t="n">
        <v>1143</v>
      </c>
      <c r="V268" t="n">
        <v>34197</v>
      </c>
      <c r="W268" t="n">
        <v>32620</v>
      </c>
      <c r="X268" t="n">
        <v>35400</v>
      </c>
      <c r="Y268" t="n">
        <v>35585</v>
      </c>
      <c r="Z268" t="n">
        <v>195</v>
      </c>
      <c r="AA268" t="n">
        <v>10</v>
      </c>
      <c r="AB268" t="n">
        <v>0</v>
      </c>
      <c r="AC268" t="n">
        <v>0</v>
      </c>
      <c r="AD268" t="n">
        <v>0</v>
      </c>
      <c r="AE268" t="n">
        <v>0</v>
      </c>
      <c r="AF268" t="n">
        <v>0</v>
      </c>
      <c r="AG268" t="n">
        <v>0</v>
      </c>
      <c r="AH268" t="n">
        <v>0</v>
      </c>
      <c r="AI268" t="n">
        <v>0</v>
      </c>
      <c r="AJ268" t="n">
        <v>0</v>
      </c>
      <c r="AK268" t="n">
        <v>0</v>
      </c>
      <c r="AL268" t="n">
        <v>-6004</v>
      </c>
      <c r="AM268" t="n">
        <v>47</v>
      </c>
      <c r="AN268" t="n">
        <v>-301</v>
      </c>
      <c r="AO268" t="n">
        <v>-217</v>
      </c>
      <c r="AP268" t="n">
        <v>-5819</v>
      </c>
      <c r="AQ268" t="n">
        <v>-5476</v>
      </c>
      <c r="AR268" t="n">
        <v>-5989</v>
      </c>
      <c r="AS268" t="n">
        <v>-5994</v>
      </c>
      <c r="AT268" t="n">
        <v>-15</v>
      </c>
      <c r="AU268" t="n">
        <v>-10</v>
      </c>
      <c r="AV268" t="n">
        <v>100</v>
      </c>
      <c r="AW268" t="n">
        <v>0.2</v>
      </c>
      <c r="AX268" t="n">
        <v>5.1</v>
      </c>
      <c r="AY268" t="n">
        <v>3.2</v>
      </c>
      <c r="AZ268" t="n">
        <v>96.09999999999999</v>
      </c>
      <c r="BA268" t="n">
        <v>91.59999999999999</v>
      </c>
      <c r="BB268" t="n">
        <v>99.5</v>
      </c>
      <c r="BC268" t="n">
        <v>100</v>
      </c>
      <c r="BD268" t="n">
        <v>0.5</v>
      </c>
      <c r="BE268" t="n">
        <v>0</v>
      </c>
      <c r="BF268" t="n">
        <v>100</v>
      </c>
      <c r="BG268" t="n">
        <v>0.2</v>
      </c>
      <c r="BH268" t="n">
        <v>5.1</v>
      </c>
      <c r="BI268" t="n">
        <v>3.2</v>
      </c>
      <c r="BJ268" t="n">
        <v>96.09999999999999</v>
      </c>
      <c r="BK268" t="n">
        <v>91.59999999999999</v>
      </c>
      <c r="BL268" t="n">
        <v>99.5</v>
      </c>
      <c r="BM268" t="n">
        <v>100</v>
      </c>
      <c r="BN268" t="n">
        <v>0.5</v>
      </c>
      <c r="BO268" t="n">
        <v>0</v>
      </c>
      <c r="BP268" t="n">
        <v>0</v>
      </c>
      <c r="BQ268" t="n">
        <v>0</v>
      </c>
      <c r="BR268" t="n">
        <v>0</v>
      </c>
      <c r="BS268" t="n">
        <v>0</v>
      </c>
      <c r="BT268" t="n">
        <v>0</v>
      </c>
      <c r="BU268" t="n">
        <v>0</v>
      </c>
      <c r="BV268" t="n">
        <v>0</v>
      </c>
      <c r="BW268" t="n">
        <v>0</v>
      </c>
      <c r="BX268" t="n">
        <v>0</v>
      </c>
      <c r="BY268" t="n">
        <v>0</v>
      </c>
      <c r="BZ268" t="n">
        <v>29</v>
      </c>
      <c r="CA268" t="n">
        <v>1</v>
      </c>
      <c r="CB268" t="n">
        <v>5</v>
      </c>
      <c r="CC268" t="n">
        <v>2</v>
      </c>
      <c r="CD268" t="n">
        <v>17</v>
      </c>
      <c r="CE268" t="n">
        <v>15</v>
      </c>
      <c r="CF268" t="n">
        <v>20</v>
      </c>
      <c r="CG268" t="n">
        <v>21</v>
      </c>
      <c r="CH268" t="n">
        <v>29</v>
      </c>
      <c r="CI268" t="n">
        <v>1</v>
      </c>
      <c r="CJ268" t="n">
        <v>5</v>
      </c>
      <c r="CK268" t="n">
        <v>2</v>
      </c>
      <c r="CL268" t="n">
        <v>17</v>
      </c>
      <c r="CM268" t="n">
        <v>15</v>
      </c>
      <c r="CN268" t="n">
        <v>20</v>
      </c>
      <c r="CO268" t="n">
        <v>21</v>
      </c>
      <c r="CP268" t="n">
        <v>0</v>
      </c>
      <c r="CQ268" t="n">
        <v>0</v>
      </c>
      <c r="CR268" t="n">
        <v>0</v>
      </c>
      <c r="CS268" t="n">
        <v>0</v>
      </c>
      <c r="CT268" t="n">
        <v>0</v>
      </c>
      <c r="CU268" t="n">
        <v>0</v>
      </c>
      <c r="CV268" t="n">
        <v>0</v>
      </c>
      <c r="CW268" t="n">
        <v>0</v>
      </c>
      <c r="CX268" t="n">
        <v>76.40000000000001</v>
      </c>
      <c r="CY268" t="n">
        <v>81.09999999999999</v>
      </c>
      <c r="CZ268" t="n">
        <v>90</v>
      </c>
      <c r="DA268" t="n">
        <v>93.7</v>
      </c>
      <c r="DB268" t="n">
        <v>75.5</v>
      </c>
      <c r="DC268" t="n">
        <v>78</v>
      </c>
      <c r="DD268" t="n">
        <v>85.59999999999999</v>
      </c>
      <c r="DE268" t="n">
        <v>86.40000000000001</v>
      </c>
      <c r="DF268" t="n">
        <v>76.40000000000001</v>
      </c>
      <c r="DG268" t="n">
        <v>81.09999999999999</v>
      </c>
      <c r="DH268" t="n">
        <v>90</v>
      </c>
      <c r="DI268" t="n">
        <v>93.7</v>
      </c>
      <c r="DJ268" t="n">
        <v>75.5</v>
      </c>
      <c r="DK268" t="n">
        <v>78</v>
      </c>
      <c r="DL268" t="n">
        <v>85.59999999999999</v>
      </c>
      <c r="DM268" t="n">
        <v>86.40000000000001</v>
      </c>
      <c r="DN268" t="n">
        <v>0</v>
      </c>
      <c r="DO268" t="n">
        <v>0</v>
      </c>
      <c r="DP268" t="n">
        <v>0</v>
      </c>
      <c r="DQ268" t="n">
        <v>0</v>
      </c>
      <c r="DR268" t="n">
        <v>0</v>
      </c>
      <c r="DS268" t="n">
        <v>0</v>
      </c>
      <c r="DT268" t="n">
        <v>0</v>
      </c>
      <c r="DU268" t="n">
        <v>0</v>
      </c>
      <c r="DV268" t="inlineStr">
        <is>
          <t>400MWh</t>
        </is>
      </c>
    </row>
    <row r="269">
      <c r="A269" t="inlineStr">
        <is>
          <t>CAISO NP-15 PEAK - ICE FUTURES ENERGY DIV</t>
        </is>
      </c>
      <c r="B269" t="n">
        <v>230103</v>
      </c>
      <c r="C269" s="1" t="n">
        <v>44929</v>
      </c>
      <c r="D269" t="inlineStr">
        <is>
          <t>0643BM</t>
        </is>
      </c>
      <c r="E269" t="inlineStr">
        <is>
          <t>IFED</t>
        </is>
      </c>
      <c r="F269" t="inlineStr">
        <is>
          <t>01</t>
        </is>
      </c>
      <c r="G269" t="inlineStr">
        <is>
          <t xml:space="preserve">064 </t>
        </is>
      </c>
      <c r="H269" t="n">
        <v>41599</v>
      </c>
      <c r="I269" s="17" t="n">
        <v>13</v>
      </c>
      <c r="J269" s="17" t="n">
        <v>2123</v>
      </c>
      <c r="K269" t="n">
        <v>1360</v>
      </c>
      <c r="L269" t="n">
        <v>40016</v>
      </c>
      <c r="M269" t="n">
        <v>38096</v>
      </c>
      <c r="N269" t="n">
        <v>41389</v>
      </c>
      <c r="O269" t="n">
        <v>41579</v>
      </c>
      <c r="P269" t="n">
        <v>210</v>
      </c>
      <c r="Q269" t="n">
        <v>20</v>
      </c>
      <c r="R269" t="n">
        <v>41599</v>
      </c>
      <c r="S269" t="n">
        <v>13</v>
      </c>
      <c r="T269" t="n">
        <v>2123</v>
      </c>
      <c r="U269" t="n">
        <v>1360</v>
      </c>
      <c r="V269" t="n">
        <v>40016</v>
      </c>
      <c r="W269" t="n">
        <v>38096</v>
      </c>
      <c r="X269" t="n">
        <v>41389</v>
      </c>
      <c r="Y269" t="n">
        <v>41579</v>
      </c>
      <c r="Z269" t="n">
        <v>210</v>
      </c>
      <c r="AA269" t="n">
        <v>20</v>
      </c>
      <c r="AB269" t="n">
        <v>0</v>
      </c>
      <c r="AC269" t="n">
        <v>0</v>
      </c>
      <c r="AD269" t="n">
        <v>0</v>
      </c>
      <c r="AE269" t="n">
        <v>0</v>
      </c>
      <c r="AF269" t="n">
        <v>0</v>
      </c>
      <c r="AG269" t="n">
        <v>0</v>
      </c>
      <c r="AH269" t="n">
        <v>0</v>
      </c>
      <c r="AI269" t="n">
        <v>0</v>
      </c>
      <c r="AJ269" t="n">
        <v>0</v>
      </c>
      <c r="AK269" t="n">
        <v>0</v>
      </c>
      <c r="AL269" t="n">
        <v>70</v>
      </c>
      <c r="AM269" t="n">
        <v>13</v>
      </c>
      <c r="AN269" t="n">
        <v>-2</v>
      </c>
      <c r="AO269" t="n">
        <v>17</v>
      </c>
      <c r="AP269" t="n">
        <v>40</v>
      </c>
      <c r="AQ269" t="n">
        <v>45</v>
      </c>
      <c r="AR269" t="n">
        <v>70</v>
      </c>
      <c r="AS269" t="n">
        <v>60</v>
      </c>
      <c r="AT269" t="n">
        <v>0</v>
      </c>
      <c r="AU269" t="n">
        <v>10</v>
      </c>
      <c r="AV269" t="n">
        <v>100</v>
      </c>
      <c r="AW269" t="n">
        <v>0</v>
      </c>
      <c r="AX269" t="n">
        <v>5.1</v>
      </c>
      <c r="AY269" t="n">
        <v>3.3</v>
      </c>
      <c r="AZ269" t="n">
        <v>96.2</v>
      </c>
      <c r="BA269" t="n">
        <v>91.59999999999999</v>
      </c>
      <c r="BB269" t="n">
        <v>99.5</v>
      </c>
      <c r="BC269" t="n">
        <v>100</v>
      </c>
      <c r="BD269" t="n">
        <v>0.5</v>
      </c>
      <c r="BE269" t="n">
        <v>0</v>
      </c>
      <c r="BF269" t="n">
        <v>100</v>
      </c>
      <c r="BG269" t="n">
        <v>0</v>
      </c>
      <c r="BH269" t="n">
        <v>5.1</v>
      </c>
      <c r="BI269" t="n">
        <v>3.3</v>
      </c>
      <c r="BJ269" t="n">
        <v>96.2</v>
      </c>
      <c r="BK269" t="n">
        <v>91.59999999999999</v>
      </c>
      <c r="BL269" t="n">
        <v>99.5</v>
      </c>
      <c r="BM269" t="n">
        <v>100</v>
      </c>
      <c r="BN269" t="n">
        <v>0.5</v>
      </c>
      <c r="BO269" t="n">
        <v>0</v>
      </c>
      <c r="BP269" t="n">
        <v>0</v>
      </c>
      <c r="BQ269" t="n">
        <v>0</v>
      </c>
      <c r="BR269" t="n">
        <v>0</v>
      </c>
      <c r="BS269" t="n">
        <v>0</v>
      </c>
      <c r="BT269" t="n">
        <v>0</v>
      </c>
      <c r="BU269" t="n">
        <v>0</v>
      </c>
      <c r="BV269" t="n">
        <v>0</v>
      </c>
      <c r="BW269" t="n">
        <v>0</v>
      </c>
      <c r="BX269" t="n">
        <v>0</v>
      </c>
      <c r="BY269" t="n">
        <v>0</v>
      </c>
      <c r="BZ269" t="n">
        <v>32</v>
      </c>
      <c r="CA269" t="n">
        <v>1</v>
      </c>
      <c r="CB269" t="n">
        <v>5</v>
      </c>
      <c r="CC269" t="n">
        <v>4</v>
      </c>
      <c r="CD269" t="n">
        <v>20</v>
      </c>
      <c r="CE269" t="n">
        <v>18</v>
      </c>
      <c r="CF269" t="n">
        <v>24</v>
      </c>
      <c r="CG269" t="n">
        <v>25</v>
      </c>
      <c r="CH269" t="n">
        <v>32</v>
      </c>
      <c r="CI269" t="n">
        <v>1</v>
      </c>
      <c r="CJ269" t="n">
        <v>5</v>
      </c>
      <c r="CK269" t="n">
        <v>4</v>
      </c>
      <c r="CL269" t="n">
        <v>20</v>
      </c>
      <c r="CM269" t="n">
        <v>18</v>
      </c>
      <c r="CN269" t="n">
        <v>24</v>
      </c>
      <c r="CO269" t="n">
        <v>25</v>
      </c>
      <c r="CP269" t="n">
        <v>0</v>
      </c>
      <c r="CQ269" t="n">
        <v>0</v>
      </c>
      <c r="CR269" t="n">
        <v>0</v>
      </c>
      <c r="CS269" t="n">
        <v>0</v>
      </c>
      <c r="CT269" t="n">
        <v>0</v>
      </c>
      <c r="CU269" t="n">
        <v>0</v>
      </c>
      <c r="CV269" t="n">
        <v>0</v>
      </c>
      <c r="CW269" t="n">
        <v>0</v>
      </c>
      <c r="CX269" t="n">
        <v>75.59999999999999</v>
      </c>
      <c r="CY269" t="n">
        <v>84.40000000000001</v>
      </c>
      <c r="CZ269" t="n">
        <v>90.09999999999999</v>
      </c>
      <c r="DA269" t="n">
        <v>93.09999999999999</v>
      </c>
      <c r="DB269" t="n">
        <v>73.2</v>
      </c>
      <c r="DC269" t="n">
        <v>81.2</v>
      </c>
      <c r="DD269" t="n">
        <v>85</v>
      </c>
      <c r="DE269" t="n">
        <v>86</v>
      </c>
      <c r="DF269" t="n">
        <v>75.59999999999999</v>
      </c>
      <c r="DG269" t="n">
        <v>84.40000000000001</v>
      </c>
      <c r="DH269" t="n">
        <v>90.09999999999999</v>
      </c>
      <c r="DI269" t="n">
        <v>93.09999999999999</v>
      </c>
      <c r="DJ269" t="n">
        <v>73.2</v>
      </c>
      <c r="DK269" t="n">
        <v>81.2</v>
      </c>
      <c r="DL269" t="n">
        <v>85</v>
      </c>
      <c r="DM269" t="n">
        <v>86</v>
      </c>
      <c r="DN269" t="n">
        <v>0</v>
      </c>
      <c r="DO269" t="n">
        <v>0</v>
      </c>
      <c r="DP269" t="n">
        <v>0</v>
      </c>
      <c r="DQ269" t="n">
        <v>0</v>
      </c>
      <c r="DR269" t="n">
        <v>0</v>
      </c>
      <c r="DS269" t="n">
        <v>0</v>
      </c>
      <c r="DT269" t="n">
        <v>0</v>
      </c>
      <c r="DU269" t="n">
        <v>0</v>
      </c>
      <c r="DV269" t="inlineStr">
        <is>
          <t>400MWh</t>
        </is>
      </c>
    </row>
    <row r="270">
      <c r="A270" t="inlineStr">
        <is>
          <t>CAISO NP-15 DA OFF-PK FIXED - ICE FUTURES ENERGY DIV</t>
        </is>
      </c>
      <c r="B270" t="n">
        <v>230110</v>
      </c>
      <c r="C270" s="1" t="n">
        <v>44936</v>
      </c>
      <c r="D270" t="inlineStr">
        <is>
          <t>0643BR</t>
        </is>
      </c>
      <c r="E270" t="inlineStr">
        <is>
          <t>IFED</t>
        </is>
      </c>
      <c r="F270" t="inlineStr">
        <is>
          <t>01</t>
        </is>
      </c>
      <c r="G270" t="inlineStr">
        <is>
          <t xml:space="preserve">064 </t>
        </is>
      </c>
      <c r="H270" t="n">
        <v>38834</v>
      </c>
      <c r="I270" s="17" t="n">
        <v>0</v>
      </c>
      <c r="J270" s="17" t="n">
        <v>2190</v>
      </c>
      <c r="K270" t="n">
        <v>325</v>
      </c>
      <c r="L270" t="n">
        <v>38314</v>
      </c>
      <c r="M270" t="n">
        <v>36319</v>
      </c>
      <c r="N270" t="n">
        <v>38639</v>
      </c>
      <c r="O270" t="n">
        <v>38834</v>
      </c>
      <c r="P270" t="n">
        <v>195</v>
      </c>
      <c r="Q270" t="n">
        <v>0</v>
      </c>
      <c r="R270" t="n">
        <v>38834</v>
      </c>
      <c r="S270" t="n">
        <v>0</v>
      </c>
      <c r="T270" t="n">
        <v>2190</v>
      </c>
      <c r="U270" t="n">
        <v>325</v>
      </c>
      <c r="V270" t="n">
        <v>38314</v>
      </c>
      <c r="W270" t="n">
        <v>36319</v>
      </c>
      <c r="X270" t="n">
        <v>38639</v>
      </c>
      <c r="Y270" t="n">
        <v>38834</v>
      </c>
      <c r="Z270" t="n">
        <v>195</v>
      </c>
      <c r="AA270" t="n">
        <v>0</v>
      </c>
      <c r="AB270" t="n">
        <v>0</v>
      </c>
      <c r="AC270" t="n">
        <v>0</v>
      </c>
      <c r="AD270" t="n">
        <v>0</v>
      </c>
      <c r="AE270" t="n">
        <v>0</v>
      </c>
      <c r="AF270" t="n">
        <v>0</v>
      </c>
      <c r="AG270" t="n">
        <v>0</v>
      </c>
      <c r="AH270" t="n">
        <v>0</v>
      </c>
      <c r="AI270" t="n">
        <v>0</v>
      </c>
      <c r="AJ270" t="n">
        <v>0</v>
      </c>
      <c r="AK270" t="n">
        <v>0</v>
      </c>
      <c r="AL270" t="n">
        <v>-2585</v>
      </c>
      <c r="AM270" t="n">
        <v>0</v>
      </c>
      <c r="AN270" t="n">
        <v>-215</v>
      </c>
      <c r="AO270" t="n">
        <v>0</v>
      </c>
      <c r="AP270" t="n">
        <v>-2580</v>
      </c>
      <c r="AQ270" t="n">
        <v>-2370</v>
      </c>
      <c r="AR270" t="n">
        <v>-2580</v>
      </c>
      <c r="AS270" t="n">
        <v>-2585</v>
      </c>
      <c r="AT270" t="n">
        <v>-5</v>
      </c>
      <c r="AU270" t="n">
        <v>0</v>
      </c>
      <c r="AV270" t="n">
        <v>100</v>
      </c>
      <c r="AW270" t="n">
        <v>0</v>
      </c>
      <c r="AX270" t="n">
        <v>5.6</v>
      </c>
      <c r="AY270" t="n">
        <v>0.8</v>
      </c>
      <c r="AZ270" t="n">
        <v>98.7</v>
      </c>
      <c r="BA270" t="n">
        <v>93.5</v>
      </c>
      <c r="BB270" t="n">
        <v>99.5</v>
      </c>
      <c r="BC270" t="n">
        <v>100</v>
      </c>
      <c r="BD270" t="n">
        <v>0.5</v>
      </c>
      <c r="BE270" t="n">
        <v>0</v>
      </c>
      <c r="BF270" t="n">
        <v>100</v>
      </c>
      <c r="BG270" t="n">
        <v>0</v>
      </c>
      <c r="BH270" t="n">
        <v>5.6</v>
      </c>
      <c r="BI270" t="n">
        <v>0.8</v>
      </c>
      <c r="BJ270" t="n">
        <v>98.7</v>
      </c>
      <c r="BK270" t="n">
        <v>93.5</v>
      </c>
      <c r="BL270" t="n">
        <v>99.5</v>
      </c>
      <c r="BM270" t="n">
        <v>100</v>
      </c>
      <c r="BN270" t="n">
        <v>0.5</v>
      </c>
      <c r="BO270" t="n">
        <v>0</v>
      </c>
      <c r="BP270" t="n">
        <v>0</v>
      </c>
      <c r="BQ270" t="n">
        <v>0</v>
      </c>
      <c r="BR270" t="n">
        <v>0</v>
      </c>
      <c r="BS270" t="n">
        <v>0</v>
      </c>
      <c r="BT270" t="n">
        <v>0</v>
      </c>
      <c r="BU270" t="n">
        <v>0</v>
      </c>
      <c r="BV270" t="n">
        <v>0</v>
      </c>
      <c r="BW270" t="n">
        <v>0</v>
      </c>
      <c r="BX270" t="n">
        <v>0</v>
      </c>
      <c r="BY270" t="n">
        <v>0</v>
      </c>
      <c r="BZ270" t="n">
        <v>21</v>
      </c>
      <c r="CA270" t="n">
        <v>0</v>
      </c>
      <c r="CB270" t="n">
        <v>3</v>
      </c>
      <c r="CC270" t="n">
        <v>1</v>
      </c>
      <c r="CD270" t="n">
        <v>14</v>
      </c>
      <c r="CE270" t="n">
        <v>11</v>
      </c>
      <c r="CF270" t="n">
        <v>15</v>
      </c>
      <c r="CG270" t="n">
        <v>14</v>
      </c>
      <c r="CH270" t="n">
        <v>21</v>
      </c>
      <c r="CI270" t="n">
        <v>0</v>
      </c>
      <c r="CJ270" t="n">
        <v>3</v>
      </c>
      <c r="CK270" t="n">
        <v>1</v>
      </c>
      <c r="CL270" t="n">
        <v>14</v>
      </c>
      <c r="CM270" t="n">
        <v>11</v>
      </c>
      <c r="CN270" t="n">
        <v>15</v>
      </c>
      <c r="CO270" t="n">
        <v>14</v>
      </c>
      <c r="CP270" t="n">
        <v>0</v>
      </c>
      <c r="CQ270" t="n">
        <v>0</v>
      </c>
      <c r="CR270" t="n">
        <v>0</v>
      </c>
      <c r="CS270" t="n">
        <v>0</v>
      </c>
      <c r="CT270" t="n">
        <v>0</v>
      </c>
      <c r="CU270" t="n">
        <v>0</v>
      </c>
      <c r="CV270" t="n">
        <v>0</v>
      </c>
      <c r="CW270" t="n">
        <v>0</v>
      </c>
      <c r="CX270" t="n">
        <v>86.5</v>
      </c>
      <c r="CY270" t="n">
        <v>89.59999999999999</v>
      </c>
      <c r="CZ270" t="n">
        <v>96</v>
      </c>
      <c r="DA270" t="n">
        <v>97.5</v>
      </c>
      <c r="DB270" t="n">
        <v>78.5</v>
      </c>
      <c r="DC270" t="n">
        <v>79.8</v>
      </c>
      <c r="DD270" t="n">
        <v>85.59999999999999</v>
      </c>
      <c r="DE270" t="n">
        <v>86.5</v>
      </c>
      <c r="DF270" t="n">
        <v>86.5</v>
      </c>
      <c r="DG270" t="n">
        <v>89.59999999999999</v>
      </c>
      <c r="DH270" t="n">
        <v>96</v>
      </c>
      <c r="DI270" t="n">
        <v>97.5</v>
      </c>
      <c r="DJ270" t="n">
        <v>78.5</v>
      </c>
      <c r="DK270" t="n">
        <v>79.8</v>
      </c>
      <c r="DL270" t="n">
        <v>85.59999999999999</v>
      </c>
      <c r="DM270" t="n">
        <v>86.5</v>
      </c>
      <c r="DN270" t="n">
        <v>0</v>
      </c>
      <c r="DO270" t="n">
        <v>0</v>
      </c>
      <c r="DP270" t="n">
        <v>0</v>
      </c>
      <c r="DQ270" t="n">
        <v>0</v>
      </c>
      <c r="DR270" t="n">
        <v>0</v>
      </c>
      <c r="DS270" t="n">
        <v>0</v>
      </c>
      <c r="DT270" t="n">
        <v>0</v>
      </c>
      <c r="DU270" t="n">
        <v>0</v>
      </c>
      <c r="DV270" t="inlineStr">
        <is>
          <t>(1 MW per Hour for about 386 Hours)</t>
        </is>
      </c>
    </row>
    <row r="271">
      <c r="A271" t="inlineStr">
        <is>
          <t>CAISO NP-15 DA OFF-PK FIXED - ICE FUTURES ENERGY DIV</t>
        </is>
      </c>
      <c r="B271" t="n">
        <v>230103</v>
      </c>
      <c r="C271" s="1" t="n">
        <v>44929</v>
      </c>
      <c r="D271" t="inlineStr">
        <is>
          <t>0643BR</t>
        </is>
      </c>
      <c r="E271" t="inlineStr">
        <is>
          <t>IFED</t>
        </is>
      </c>
      <c r="F271" t="inlineStr">
        <is>
          <t>01</t>
        </is>
      </c>
      <c r="G271" t="inlineStr">
        <is>
          <t xml:space="preserve">064 </t>
        </is>
      </c>
      <c r="H271" t="n">
        <v>41419</v>
      </c>
      <c r="I271" s="17" t="n">
        <v>0</v>
      </c>
      <c r="J271" s="17" t="n">
        <v>2405</v>
      </c>
      <c r="K271" t="n">
        <v>325</v>
      </c>
      <c r="L271" t="n">
        <v>40894</v>
      </c>
      <c r="M271" t="n">
        <v>38689</v>
      </c>
      <c r="N271" t="n">
        <v>41219</v>
      </c>
      <c r="O271" t="n">
        <v>41419</v>
      </c>
      <c r="P271" t="n">
        <v>200</v>
      </c>
      <c r="Q271" t="n">
        <v>0</v>
      </c>
      <c r="R271" t="n">
        <v>41419</v>
      </c>
      <c r="S271" t="n">
        <v>0</v>
      </c>
      <c r="T271" t="n">
        <v>2405</v>
      </c>
      <c r="U271" t="n">
        <v>325</v>
      </c>
      <c r="V271" t="n">
        <v>40894</v>
      </c>
      <c r="W271" t="n">
        <v>38689</v>
      </c>
      <c r="X271" t="n">
        <v>41219</v>
      </c>
      <c r="Y271" t="n">
        <v>41419</v>
      </c>
      <c r="Z271" t="n">
        <v>200</v>
      </c>
      <c r="AA271" t="n">
        <v>0</v>
      </c>
      <c r="AB271" t="n">
        <v>0</v>
      </c>
      <c r="AC271" t="n">
        <v>0</v>
      </c>
      <c r="AD271" t="n">
        <v>0</v>
      </c>
      <c r="AE271" t="n">
        <v>0</v>
      </c>
      <c r="AF271" t="n">
        <v>0</v>
      </c>
      <c r="AG271" t="n">
        <v>0</v>
      </c>
      <c r="AH271" t="n">
        <v>0</v>
      </c>
      <c r="AI271" t="n">
        <v>0</v>
      </c>
      <c r="AJ271" t="n">
        <v>0</v>
      </c>
      <c r="AK271" t="n">
        <v>0</v>
      </c>
      <c r="AL271" t="n">
        <v>360</v>
      </c>
      <c r="AM271" t="n">
        <v>0</v>
      </c>
      <c r="AN271" t="n">
        <v>70</v>
      </c>
      <c r="AO271" t="n">
        <v>-25</v>
      </c>
      <c r="AP271" t="n">
        <v>385</v>
      </c>
      <c r="AQ271" t="n">
        <v>315</v>
      </c>
      <c r="AR271" t="n">
        <v>360</v>
      </c>
      <c r="AS271" t="n">
        <v>360</v>
      </c>
      <c r="AT271" t="n">
        <v>0</v>
      </c>
      <c r="AU271" t="n">
        <v>0</v>
      </c>
      <c r="AV271" t="n">
        <v>100</v>
      </c>
      <c r="AW271" t="n">
        <v>0</v>
      </c>
      <c r="AX271" t="n">
        <v>5.8</v>
      </c>
      <c r="AY271" t="n">
        <v>0.8</v>
      </c>
      <c r="AZ271" t="n">
        <v>98.7</v>
      </c>
      <c r="BA271" t="n">
        <v>93.40000000000001</v>
      </c>
      <c r="BB271" t="n">
        <v>99.5</v>
      </c>
      <c r="BC271" t="n">
        <v>100</v>
      </c>
      <c r="BD271" t="n">
        <v>0.5</v>
      </c>
      <c r="BE271" t="n">
        <v>0</v>
      </c>
      <c r="BF271" t="n">
        <v>100</v>
      </c>
      <c r="BG271" t="n">
        <v>0</v>
      </c>
      <c r="BH271" t="n">
        <v>5.8</v>
      </c>
      <c r="BI271" t="n">
        <v>0.8</v>
      </c>
      <c r="BJ271" t="n">
        <v>98.7</v>
      </c>
      <c r="BK271" t="n">
        <v>93.40000000000001</v>
      </c>
      <c r="BL271" t="n">
        <v>99.5</v>
      </c>
      <c r="BM271" t="n">
        <v>100</v>
      </c>
      <c r="BN271" t="n">
        <v>0.5</v>
      </c>
      <c r="BO271" t="n">
        <v>0</v>
      </c>
      <c r="BP271" t="n">
        <v>0</v>
      </c>
      <c r="BQ271" t="n">
        <v>0</v>
      </c>
      <c r="BR271" t="n">
        <v>0</v>
      </c>
      <c r="BS271" t="n">
        <v>0</v>
      </c>
      <c r="BT271" t="n">
        <v>0</v>
      </c>
      <c r="BU271" t="n">
        <v>0</v>
      </c>
      <c r="BV271" t="n">
        <v>0</v>
      </c>
      <c r="BW271" t="n">
        <v>0</v>
      </c>
      <c r="BX271" t="n">
        <v>0</v>
      </c>
      <c r="BY271" t="n">
        <v>0</v>
      </c>
      <c r="BZ271" t="n">
        <v>24</v>
      </c>
      <c r="CA271" t="n">
        <v>0</v>
      </c>
      <c r="CB271" t="n">
        <v>3</v>
      </c>
      <c r="CC271" t="n">
        <v>1</v>
      </c>
      <c r="CD271" t="n">
        <v>15</v>
      </c>
      <c r="CE271" t="n">
        <v>13</v>
      </c>
      <c r="CF271" t="n">
        <v>16</v>
      </c>
      <c r="CG271" t="n">
        <v>16</v>
      </c>
      <c r="CH271" t="n">
        <v>24</v>
      </c>
      <c r="CI271" t="n">
        <v>0</v>
      </c>
      <c r="CJ271" t="n">
        <v>3</v>
      </c>
      <c r="CK271" t="n">
        <v>1</v>
      </c>
      <c r="CL271" t="n">
        <v>15</v>
      </c>
      <c r="CM271" t="n">
        <v>13</v>
      </c>
      <c r="CN271" t="n">
        <v>16</v>
      </c>
      <c r="CO271" t="n">
        <v>16</v>
      </c>
      <c r="CP271" t="n">
        <v>0</v>
      </c>
      <c r="CQ271" t="n">
        <v>0</v>
      </c>
      <c r="CR271" t="n">
        <v>0</v>
      </c>
      <c r="CS271" t="n">
        <v>0</v>
      </c>
      <c r="CT271" t="n">
        <v>0</v>
      </c>
      <c r="CU271" t="n">
        <v>0</v>
      </c>
      <c r="CV271" t="n">
        <v>0</v>
      </c>
      <c r="CW271" t="n">
        <v>0</v>
      </c>
      <c r="CX271" t="n">
        <v>86.3</v>
      </c>
      <c r="CY271" t="n">
        <v>89.2</v>
      </c>
      <c r="CZ271" t="n">
        <v>96.09999999999999</v>
      </c>
      <c r="DA271" t="n">
        <v>97.2</v>
      </c>
      <c r="DB271" t="n">
        <v>78.5</v>
      </c>
      <c r="DC271" t="n">
        <v>79.3</v>
      </c>
      <c r="DD271" t="n">
        <v>85.8</v>
      </c>
      <c r="DE271" t="n">
        <v>86.3</v>
      </c>
      <c r="DF271" t="n">
        <v>86.3</v>
      </c>
      <c r="DG271" t="n">
        <v>89.2</v>
      </c>
      <c r="DH271" t="n">
        <v>96.09999999999999</v>
      </c>
      <c r="DI271" t="n">
        <v>97.2</v>
      </c>
      <c r="DJ271" t="n">
        <v>78.5</v>
      </c>
      <c r="DK271" t="n">
        <v>79.3</v>
      </c>
      <c r="DL271" t="n">
        <v>85.8</v>
      </c>
      <c r="DM271" t="n">
        <v>86.3</v>
      </c>
      <c r="DN271" t="n">
        <v>0</v>
      </c>
      <c r="DO271" t="n">
        <v>0</v>
      </c>
      <c r="DP271" t="n">
        <v>0</v>
      </c>
      <c r="DQ271" t="n">
        <v>0</v>
      </c>
      <c r="DR271" t="n">
        <v>0</v>
      </c>
      <c r="DS271" t="n">
        <v>0</v>
      </c>
      <c r="DT271" t="n">
        <v>0</v>
      </c>
      <c r="DU271" t="n">
        <v>0</v>
      </c>
      <c r="DV271" t="inlineStr">
        <is>
          <t>(1 MW per Hour for about 386 Hours)</t>
        </is>
      </c>
    </row>
    <row r="272">
      <c r="A272" t="inlineStr">
        <is>
          <t>PJM NI HUB RT OFF-PK FIXED - ICE FUTURES ENERGY DIV</t>
        </is>
      </c>
      <c r="B272" t="n">
        <v>230110</v>
      </c>
      <c r="C272" s="1" t="n">
        <v>44936</v>
      </c>
      <c r="D272" t="inlineStr">
        <is>
          <t>0643BS</t>
        </is>
      </c>
      <c r="E272" t="inlineStr">
        <is>
          <t>IFED</t>
        </is>
      </c>
      <c r="F272" t="inlineStr">
        <is>
          <t>01</t>
        </is>
      </c>
      <c r="G272" t="inlineStr">
        <is>
          <t xml:space="preserve">064 </t>
        </is>
      </c>
      <c r="H272" t="n">
        <v>47743</v>
      </c>
      <c r="I272" s="17" t="n">
        <v>3431</v>
      </c>
      <c r="J272" s="17" t="n">
        <v>1749</v>
      </c>
      <c r="K272" t="n">
        <v>974</v>
      </c>
      <c r="L272" t="n">
        <v>42499</v>
      </c>
      <c r="M272" t="n">
        <v>44182</v>
      </c>
      <c r="N272" t="n">
        <v>46904</v>
      </c>
      <c r="O272" t="n">
        <v>46905</v>
      </c>
      <c r="P272" t="n">
        <v>839</v>
      </c>
      <c r="Q272" t="n">
        <v>838</v>
      </c>
      <c r="R272" t="n">
        <v>47743</v>
      </c>
      <c r="S272" t="n">
        <v>3431</v>
      </c>
      <c r="T272" t="n">
        <v>1749</v>
      </c>
      <c r="U272" t="n">
        <v>974</v>
      </c>
      <c r="V272" t="n">
        <v>42499</v>
      </c>
      <c r="W272" t="n">
        <v>44182</v>
      </c>
      <c r="X272" t="n">
        <v>46904</v>
      </c>
      <c r="Y272" t="n">
        <v>46905</v>
      </c>
      <c r="Z272" t="n">
        <v>839</v>
      </c>
      <c r="AA272" t="n">
        <v>838</v>
      </c>
      <c r="AB272" t="n">
        <v>0</v>
      </c>
      <c r="AC272" t="n">
        <v>0</v>
      </c>
      <c r="AD272" t="n">
        <v>0</v>
      </c>
      <c r="AE272" t="n">
        <v>0</v>
      </c>
      <c r="AF272" t="n">
        <v>0</v>
      </c>
      <c r="AG272" t="n">
        <v>0</v>
      </c>
      <c r="AH272" t="n">
        <v>0</v>
      </c>
      <c r="AI272" t="n">
        <v>0</v>
      </c>
      <c r="AJ272" t="n">
        <v>0</v>
      </c>
      <c r="AK272" t="n">
        <v>0</v>
      </c>
      <c r="AL272" t="n">
        <v>-2212</v>
      </c>
      <c r="AM272" t="n">
        <v>66</v>
      </c>
      <c r="AN272" t="n">
        <v>3</v>
      </c>
      <c r="AO272" t="n">
        <v>-266</v>
      </c>
      <c r="AP272" t="n">
        <v>-2080</v>
      </c>
      <c r="AQ272" t="n">
        <v>-2176</v>
      </c>
      <c r="AR272" t="n">
        <v>-2280</v>
      </c>
      <c r="AS272" t="n">
        <v>-2439</v>
      </c>
      <c r="AT272" t="n">
        <v>68</v>
      </c>
      <c r="AU272" t="n">
        <v>227</v>
      </c>
      <c r="AV272" t="n">
        <v>100</v>
      </c>
      <c r="AW272" t="n">
        <v>7.2</v>
      </c>
      <c r="AX272" t="n">
        <v>3.7</v>
      </c>
      <c r="AY272" t="n">
        <v>2</v>
      </c>
      <c r="AZ272" t="n">
        <v>89</v>
      </c>
      <c r="BA272" t="n">
        <v>92.5</v>
      </c>
      <c r="BB272" t="n">
        <v>98.2</v>
      </c>
      <c r="BC272" t="n">
        <v>98.2</v>
      </c>
      <c r="BD272" t="n">
        <v>1.8</v>
      </c>
      <c r="BE272" t="n">
        <v>1.8</v>
      </c>
      <c r="BF272" t="n">
        <v>100</v>
      </c>
      <c r="BG272" t="n">
        <v>7.2</v>
      </c>
      <c r="BH272" t="n">
        <v>3.7</v>
      </c>
      <c r="BI272" t="n">
        <v>2</v>
      </c>
      <c r="BJ272" t="n">
        <v>89</v>
      </c>
      <c r="BK272" t="n">
        <v>92.5</v>
      </c>
      <c r="BL272" t="n">
        <v>98.2</v>
      </c>
      <c r="BM272" t="n">
        <v>98.2</v>
      </c>
      <c r="BN272" t="n">
        <v>1.8</v>
      </c>
      <c r="BO272" t="n">
        <v>1.8</v>
      </c>
      <c r="BP272" t="n">
        <v>0</v>
      </c>
      <c r="BQ272" t="n">
        <v>0</v>
      </c>
      <c r="BR272" t="n">
        <v>0</v>
      </c>
      <c r="BS272" t="n">
        <v>0</v>
      </c>
      <c r="BT272" t="n">
        <v>0</v>
      </c>
      <c r="BU272" t="n">
        <v>0</v>
      </c>
      <c r="BV272" t="n">
        <v>0</v>
      </c>
      <c r="BW272" t="n">
        <v>0</v>
      </c>
      <c r="BX272" t="n">
        <v>0</v>
      </c>
      <c r="BY272" t="n">
        <v>0</v>
      </c>
      <c r="BZ272" t="n">
        <v>29</v>
      </c>
      <c r="CA272" t="n">
        <v>2</v>
      </c>
      <c r="CB272" t="n">
        <v>2</v>
      </c>
      <c r="CC272" t="n">
        <v>1</v>
      </c>
      <c r="CD272" t="n">
        <v>23</v>
      </c>
      <c r="CE272" t="n">
        <v>23</v>
      </c>
      <c r="CF272" t="n">
        <v>25</v>
      </c>
      <c r="CG272" t="n">
        <v>26</v>
      </c>
      <c r="CH272" t="n">
        <v>29</v>
      </c>
      <c r="CI272" t="n">
        <v>2</v>
      </c>
      <c r="CJ272" t="n">
        <v>2</v>
      </c>
      <c r="CK272" t="n">
        <v>1</v>
      </c>
      <c r="CL272" t="n">
        <v>23</v>
      </c>
      <c r="CM272" t="n">
        <v>23</v>
      </c>
      <c r="CN272" t="n">
        <v>25</v>
      </c>
      <c r="CO272" t="n">
        <v>26</v>
      </c>
      <c r="CP272" t="n">
        <v>0</v>
      </c>
      <c r="CQ272" t="n">
        <v>0</v>
      </c>
      <c r="CR272" t="n">
        <v>0</v>
      </c>
      <c r="CS272" t="n">
        <v>0</v>
      </c>
      <c r="CT272" t="n">
        <v>0</v>
      </c>
      <c r="CU272" t="n">
        <v>0</v>
      </c>
      <c r="CV272" t="n">
        <v>0</v>
      </c>
      <c r="CW272" t="n">
        <v>0</v>
      </c>
      <c r="CX272" t="n">
        <v>65.59999999999999</v>
      </c>
      <c r="CY272" t="n">
        <v>69.59999999999999</v>
      </c>
      <c r="CZ272" t="n">
        <v>83.5</v>
      </c>
      <c r="DA272" t="n">
        <v>84.09999999999999</v>
      </c>
      <c r="DB272" t="n">
        <v>30.5</v>
      </c>
      <c r="DC272" t="n">
        <v>40</v>
      </c>
      <c r="DD272" t="n">
        <v>44.1</v>
      </c>
      <c r="DE272" t="n">
        <v>48.9</v>
      </c>
      <c r="DF272" t="n">
        <v>65.59999999999999</v>
      </c>
      <c r="DG272" t="n">
        <v>69.59999999999999</v>
      </c>
      <c r="DH272" t="n">
        <v>83.5</v>
      </c>
      <c r="DI272" t="n">
        <v>84.09999999999999</v>
      </c>
      <c r="DJ272" t="n">
        <v>30.5</v>
      </c>
      <c r="DK272" t="n">
        <v>40</v>
      </c>
      <c r="DL272" t="n">
        <v>44.1</v>
      </c>
      <c r="DM272" t="n">
        <v>48.9</v>
      </c>
      <c r="DN272" t="n">
        <v>0</v>
      </c>
      <c r="DO272" t="n">
        <v>0</v>
      </c>
      <c r="DP272" t="n">
        <v>0</v>
      </c>
      <c r="DQ272" t="n">
        <v>0</v>
      </c>
      <c r="DR272" t="n">
        <v>0</v>
      </c>
      <c r="DS272" t="n">
        <v>0</v>
      </c>
      <c r="DT272" t="n">
        <v>0</v>
      </c>
      <c r="DU272" t="n">
        <v>0</v>
      </c>
      <c r="DV272" t="inlineStr">
        <is>
          <t>(1 MW per Hour for about 386 Hours)</t>
        </is>
      </c>
    </row>
    <row r="273">
      <c r="A273" t="inlineStr">
        <is>
          <t>PJM NI HUB RT OFF-PK FIXED - ICE FUTURES ENERGY DIV</t>
        </is>
      </c>
      <c r="B273" t="n">
        <v>230103</v>
      </c>
      <c r="C273" s="1" t="n">
        <v>44929</v>
      </c>
      <c r="D273" t="inlineStr">
        <is>
          <t>0643BS</t>
        </is>
      </c>
      <c r="E273" t="inlineStr">
        <is>
          <t>IFED</t>
        </is>
      </c>
      <c r="F273" t="inlineStr">
        <is>
          <t>01</t>
        </is>
      </c>
      <c r="G273" t="inlineStr">
        <is>
          <t xml:space="preserve">064 </t>
        </is>
      </c>
      <c r="H273" t="n">
        <v>49955</v>
      </c>
      <c r="I273" s="17" t="n">
        <v>3365</v>
      </c>
      <c r="J273" s="17" t="n">
        <v>1746</v>
      </c>
      <c r="K273" t="n">
        <v>1240</v>
      </c>
      <c r="L273" t="n">
        <v>44579</v>
      </c>
      <c r="M273" t="n">
        <v>46358</v>
      </c>
      <c r="N273" t="n">
        <v>49184</v>
      </c>
      <c r="O273" t="n">
        <v>49344</v>
      </c>
      <c r="P273" t="n">
        <v>771</v>
      </c>
      <c r="Q273" t="n">
        <v>611</v>
      </c>
      <c r="R273" t="n">
        <v>49955</v>
      </c>
      <c r="S273" t="n">
        <v>3365</v>
      </c>
      <c r="T273" t="n">
        <v>1746</v>
      </c>
      <c r="U273" t="n">
        <v>1240</v>
      </c>
      <c r="V273" t="n">
        <v>44579</v>
      </c>
      <c r="W273" t="n">
        <v>46358</v>
      </c>
      <c r="X273" t="n">
        <v>49184</v>
      </c>
      <c r="Y273" t="n">
        <v>49344</v>
      </c>
      <c r="Z273" t="n">
        <v>771</v>
      </c>
      <c r="AA273" t="n">
        <v>611</v>
      </c>
      <c r="AB273" t="n">
        <v>0</v>
      </c>
      <c r="AC273" t="n">
        <v>0</v>
      </c>
      <c r="AD273" t="n">
        <v>0</v>
      </c>
      <c r="AE273" t="n">
        <v>0</v>
      </c>
      <c r="AF273" t="n">
        <v>0</v>
      </c>
      <c r="AG273" t="n">
        <v>0</v>
      </c>
      <c r="AH273" t="n">
        <v>0</v>
      </c>
      <c r="AI273" t="n">
        <v>0</v>
      </c>
      <c r="AJ273" t="n">
        <v>0</v>
      </c>
      <c r="AK273" t="n">
        <v>0</v>
      </c>
      <c r="AL273" t="n">
        <v>-48</v>
      </c>
      <c r="AM273" t="n">
        <v>0</v>
      </c>
      <c r="AN273" t="n">
        <v>66</v>
      </c>
      <c r="AO273" t="n">
        <v>0</v>
      </c>
      <c r="AP273" t="n">
        <v>-48</v>
      </c>
      <c r="AQ273" t="n">
        <v>-114</v>
      </c>
      <c r="AR273" t="n">
        <v>-48</v>
      </c>
      <c r="AS273" t="n">
        <v>-48</v>
      </c>
      <c r="AT273" t="n">
        <v>0</v>
      </c>
      <c r="AU273" t="n">
        <v>0</v>
      </c>
      <c r="AV273" t="n">
        <v>100</v>
      </c>
      <c r="AW273" t="n">
        <v>6.7</v>
      </c>
      <c r="AX273" t="n">
        <v>3.5</v>
      </c>
      <c r="AY273" t="n">
        <v>2.5</v>
      </c>
      <c r="AZ273" t="n">
        <v>89.2</v>
      </c>
      <c r="BA273" t="n">
        <v>92.8</v>
      </c>
      <c r="BB273" t="n">
        <v>98.5</v>
      </c>
      <c r="BC273" t="n">
        <v>98.8</v>
      </c>
      <c r="BD273" t="n">
        <v>1.5</v>
      </c>
      <c r="BE273" t="n">
        <v>1.2</v>
      </c>
      <c r="BF273" t="n">
        <v>100</v>
      </c>
      <c r="BG273" t="n">
        <v>6.7</v>
      </c>
      <c r="BH273" t="n">
        <v>3.5</v>
      </c>
      <c r="BI273" t="n">
        <v>2.5</v>
      </c>
      <c r="BJ273" t="n">
        <v>89.2</v>
      </c>
      <c r="BK273" t="n">
        <v>92.8</v>
      </c>
      <c r="BL273" t="n">
        <v>98.5</v>
      </c>
      <c r="BM273" t="n">
        <v>98.8</v>
      </c>
      <c r="BN273" t="n">
        <v>1.5</v>
      </c>
      <c r="BO273" t="n">
        <v>1.2</v>
      </c>
      <c r="BP273" t="n">
        <v>0</v>
      </c>
      <c r="BQ273" t="n">
        <v>0</v>
      </c>
      <c r="BR273" t="n">
        <v>0</v>
      </c>
      <c r="BS273" t="n">
        <v>0</v>
      </c>
      <c r="BT273" t="n">
        <v>0</v>
      </c>
      <c r="BU273" t="n">
        <v>0</v>
      </c>
      <c r="BV273" t="n">
        <v>0</v>
      </c>
      <c r="BW273" t="n">
        <v>0</v>
      </c>
      <c r="BX273" t="n">
        <v>0</v>
      </c>
      <c r="BY273" t="n">
        <v>0</v>
      </c>
      <c r="BZ273" t="n">
        <v>34</v>
      </c>
      <c r="CA273" t="n">
        <v>4</v>
      </c>
      <c r="CB273" t="n">
        <v>2</v>
      </c>
      <c r="CC273" t="n">
        <v>2</v>
      </c>
      <c r="CD273" t="n">
        <v>26</v>
      </c>
      <c r="CE273" t="n">
        <v>26</v>
      </c>
      <c r="CF273" t="n">
        <v>30</v>
      </c>
      <c r="CG273" t="n">
        <v>30</v>
      </c>
      <c r="CH273" t="n">
        <v>34</v>
      </c>
      <c r="CI273" t="n">
        <v>4</v>
      </c>
      <c r="CJ273" t="n">
        <v>2</v>
      </c>
      <c r="CK273" t="n">
        <v>2</v>
      </c>
      <c r="CL273" t="n">
        <v>26</v>
      </c>
      <c r="CM273" t="n">
        <v>26</v>
      </c>
      <c r="CN273" t="n">
        <v>30</v>
      </c>
      <c r="CO273" t="n">
        <v>30</v>
      </c>
      <c r="CP273" t="n">
        <v>0</v>
      </c>
      <c r="CQ273" t="n">
        <v>0</v>
      </c>
      <c r="CR273" t="n">
        <v>0</v>
      </c>
      <c r="CS273" t="n">
        <v>0</v>
      </c>
      <c r="CT273" t="n">
        <v>0</v>
      </c>
      <c r="CU273" t="n">
        <v>0</v>
      </c>
      <c r="CV273" t="n">
        <v>0</v>
      </c>
      <c r="CW273" t="n">
        <v>0</v>
      </c>
      <c r="CX273" t="n">
        <v>60.4</v>
      </c>
      <c r="CY273" t="n">
        <v>66.2</v>
      </c>
      <c r="CZ273" t="n">
        <v>77.8</v>
      </c>
      <c r="DA273" t="n">
        <v>80.90000000000001</v>
      </c>
      <c r="DB273" t="n">
        <v>25.7</v>
      </c>
      <c r="DC273" t="n">
        <v>37.3</v>
      </c>
      <c r="DD273" t="n">
        <v>38.7</v>
      </c>
      <c r="DE273" t="n">
        <v>46.3</v>
      </c>
      <c r="DF273" t="n">
        <v>60.4</v>
      </c>
      <c r="DG273" t="n">
        <v>66.2</v>
      </c>
      <c r="DH273" t="n">
        <v>77.8</v>
      </c>
      <c r="DI273" t="n">
        <v>80.90000000000001</v>
      </c>
      <c r="DJ273" t="n">
        <v>25.7</v>
      </c>
      <c r="DK273" t="n">
        <v>37.3</v>
      </c>
      <c r="DL273" t="n">
        <v>38.7</v>
      </c>
      <c r="DM273" t="n">
        <v>46.3</v>
      </c>
      <c r="DN273" t="n">
        <v>0</v>
      </c>
      <c r="DO273" t="n">
        <v>0</v>
      </c>
      <c r="DP273" t="n">
        <v>0</v>
      </c>
      <c r="DQ273" t="n">
        <v>0</v>
      </c>
      <c r="DR273" t="n">
        <v>0</v>
      </c>
      <c r="DS273" t="n">
        <v>0</v>
      </c>
      <c r="DT273" t="n">
        <v>0</v>
      </c>
      <c r="DU273" t="n">
        <v>0</v>
      </c>
      <c r="DV273" t="inlineStr">
        <is>
          <t>(1 MW per Hour for about 386 Hours)</t>
        </is>
      </c>
    </row>
    <row r="274">
      <c r="A274" t="inlineStr">
        <is>
          <t>PJM N. IL HUB RT PEAK - ICE FUTURES ENERGY DIV</t>
        </is>
      </c>
      <c r="B274" t="n">
        <v>230110</v>
      </c>
      <c r="C274" s="1" t="n">
        <v>44936</v>
      </c>
      <c r="D274" t="inlineStr">
        <is>
          <t>0643BT</t>
        </is>
      </c>
      <c r="E274" t="inlineStr">
        <is>
          <t>IFED</t>
        </is>
      </c>
      <c r="F274" t="inlineStr">
        <is>
          <t>01</t>
        </is>
      </c>
      <c r="G274" t="inlineStr">
        <is>
          <t xml:space="preserve">064 </t>
        </is>
      </c>
      <c r="H274" t="n">
        <v>42682</v>
      </c>
      <c r="I274" s="17" t="n">
        <v>816</v>
      </c>
      <c r="J274" s="17" t="n">
        <v>2665</v>
      </c>
      <c r="K274" t="n">
        <v>2136</v>
      </c>
      <c r="L274" t="n">
        <v>39140</v>
      </c>
      <c r="M274" t="n">
        <v>37384</v>
      </c>
      <c r="N274" t="n">
        <v>42092</v>
      </c>
      <c r="O274" t="n">
        <v>42185</v>
      </c>
      <c r="P274" t="n">
        <v>590</v>
      </c>
      <c r="Q274" t="n">
        <v>497</v>
      </c>
      <c r="R274" t="n">
        <v>42682</v>
      </c>
      <c r="S274" t="n">
        <v>816</v>
      </c>
      <c r="T274" t="n">
        <v>2665</v>
      </c>
      <c r="U274" t="n">
        <v>2136</v>
      </c>
      <c r="V274" t="n">
        <v>39140</v>
      </c>
      <c r="W274" t="n">
        <v>37384</v>
      </c>
      <c r="X274" t="n">
        <v>42092</v>
      </c>
      <c r="Y274" t="n">
        <v>42185</v>
      </c>
      <c r="Z274" t="n">
        <v>590</v>
      </c>
      <c r="AA274" t="n">
        <v>497</v>
      </c>
      <c r="AB274" t="n">
        <v>0</v>
      </c>
      <c r="AC274" t="n">
        <v>0</v>
      </c>
      <c r="AD274" t="n">
        <v>0</v>
      </c>
      <c r="AE274" t="n">
        <v>0</v>
      </c>
      <c r="AF274" t="n">
        <v>0</v>
      </c>
      <c r="AG274" t="n">
        <v>0</v>
      </c>
      <c r="AH274" t="n">
        <v>0</v>
      </c>
      <c r="AI274" t="n">
        <v>0</v>
      </c>
      <c r="AJ274" t="n">
        <v>0</v>
      </c>
      <c r="AK274" t="n">
        <v>0</v>
      </c>
      <c r="AL274" t="n">
        <v>-2757</v>
      </c>
      <c r="AM274" t="n">
        <v>-109</v>
      </c>
      <c r="AN274" t="n">
        <v>-17</v>
      </c>
      <c r="AO274" t="n">
        <v>-1095</v>
      </c>
      <c r="AP274" t="n">
        <v>-1598</v>
      </c>
      <c r="AQ274" t="n">
        <v>-1682</v>
      </c>
      <c r="AR274" t="n">
        <v>-2802</v>
      </c>
      <c r="AS274" t="n">
        <v>-2794</v>
      </c>
      <c r="AT274" t="n">
        <v>45</v>
      </c>
      <c r="AU274" t="n">
        <v>37</v>
      </c>
      <c r="AV274" t="n">
        <v>100</v>
      </c>
      <c r="AW274" t="n">
        <v>1.9</v>
      </c>
      <c r="AX274" t="n">
        <v>6.2</v>
      </c>
      <c r="AY274" t="n">
        <v>5</v>
      </c>
      <c r="AZ274" t="n">
        <v>91.7</v>
      </c>
      <c r="BA274" t="n">
        <v>87.59999999999999</v>
      </c>
      <c r="BB274" t="n">
        <v>98.59999999999999</v>
      </c>
      <c r="BC274" t="n">
        <v>98.8</v>
      </c>
      <c r="BD274" t="n">
        <v>1.4</v>
      </c>
      <c r="BE274" t="n">
        <v>1.2</v>
      </c>
      <c r="BF274" t="n">
        <v>100</v>
      </c>
      <c r="BG274" t="n">
        <v>1.9</v>
      </c>
      <c r="BH274" t="n">
        <v>6.2</v>
      </c>
      <c r="BI274" t="n">
        <v>5</v>
      </c>
      <c r="BJ274" t="n">
        <v>91.7</v>
      </c>
      <c r="BK274" t="n">
        <v>87.59999999999999</v>
      </c>
      <c r="BL274" t="n">
        <v>98.59999999999999</v>
      </c>
      <c r="BM274" t="n">
        <v>98.8</v>
      </c>
      <c r="BN274" t="n">
        <v>1.4</v>
      </c>
      <c r="BO274" t="n">
        <v>1.2</v>
      </c>
      <c r="BP274" t="n">
        <v>0</v>
      </c>
      <c r="BQ274" t="n">
        <v>0</v>
      </c>
      <c r="BR274" t="n">
        <v>0</v>
      </c>
      <c r="BS274" t="n">
        <v>0</v>
      </c>
      <c r="BT274" t="n">
        <v>0</v>
      </c>
      <c r="BU274" t="n">
        <v>0</v>
      </c>
      <c r="BV274" t="n">
        <v>0</v>
      </c>
      <c r="BW274" t="n">
        <v>0</v>
      </c>
      <c r="BX274" t="n">
        <v>0</v>
      </c>
      <c r="BY274" t="n">
        <v>0</v>
      </c>
      <c r="BZ274" t="n">
        <v>38</v>
      </c>
      <c r="CA274" t="n">
        <v>4</v>
      </c>
      <c r="CB274" t="n">
        <v>5</v>
      </c>
      <c r="CC274" t="n">
        <v>2</v>
      </c>
      <c r="CD274" t="n">
        <v>26</v>
      </c>
      <c r="CE274" t="n">
        <v>28</v>
      </c>
      <c r="CF274" t="n">
        <v>31</v>
      </c>
      <c r="CG274" t="n">
        <v>34</v>
      </c>
      <c r="CH274" t="n">
        <v>38</v>
      </c>
      <c r="CI274" t="n">
        <v>4</v>
      </c>
      <c r="CJ274" t="n">
        <v>5</v>
      </c>
      <c r="CK274" t="n">
        <v>2</v>
      </c>
      <c r="CL274" t="n">
        <v>26</v>
      </c>
      <c r="CM274" t="n">
        <v>28</v>
      </c>
      <c r="CN274" t="n">
        <v>31</v>
      </c>
      <c r="CO274" t="n">
        <v>34</v>
      </c>
      <c r="CP274" t="n">
        <v>0</v>
      </c>
      <c r="CQ274" t="n">
        <v>0</v>
      </c>
      <c r="CR274" t="n">
        <v>0</v>
      </c>
      <c r="CS274" t="n">
        <v>0</v>
      </c>
      <c r="CT274" t="n">
        <v>0</v>
      </c>
      <c r="CU274" t="n">
        <v>0</v>
      </c>
      <c r="CV274" t="n">
        <v>0</v>
      </c>
      <c r="CW274" t="n">
        <v>0</v>
      </c>
      <c r="CX274" t="n">
        <v>61.2</v>
      </c>
      <c r="CY274" t="n">
        <v>52.6</v>
      </c>
      <c r="CZ274" t="n">
        <v>78.3</v>
      </c>
      <c r="DA274" t="n">
        <v>74.5</v>
      </c>
      <c r="DB274" t="n">
        <v>38.3</v>
      </c>
      <c r="DC274" t="n">
        <v>38.5</v>
      </c>
      <c r="DD274" t="n">
        <v>49.9</v>
      </c>
      <c r="DE274" t="n">
        <v>47.8</v>
      </c>
      <c r="DF274" t="n">
        <v>61.2</v>
      </c>
      <c r="DG274" t="n">
        <v>52.6</v>
      </c>
      <c r="DH274" t="n">
        <v>78.3</v>
      </c>
      <c r="DI274" t="n">
        <v>74.5</v>
      </c>
      <c r="DJ274" t="n">
        <v>38.3</v>
      </c>
      <c r="DK274" t="n">
        <v>38.5</v>
      </c>
      <c r="DL274" t="n">
        <v>49.9</v>
      </c>
      <c r="DM274" t="n">
        <v>47.8</v>
      </c>
      <c r="DN274" t="n">
        <v>0</v>
      </c>
      <c r="DO274" t="n">
        <v>0</v>
      </c>
      <c r="DP274" t="n">
        <v>0</v>
      </c>
      <c r="DQ274" t="n">
        <v>0</v>
      </c>
      <c r="DR274" t="n">
        <v>0</v>
      </c>
      <c r="DS274" t="n">
        <v>0</v>
      </c>
      <c r="DT274" t="n">
        <v>0</v>
      </c>
      <c r="DU274" t="n">
        <v>0</v>
      </c>
      <c r="DV274" t="inlineStr">
        <is>
          <t>800 MWh</t>
        </is>
      </c>
    </row>
    <row r="275">
      <c r="A275" t="inlineStr">
        <is>
          <t>PJM N. IL HUB RT PEAK - ICE FUTURES ENERGY DIV</t>
        </is>
      </c>
      <c r="B275" t="n">
        <v>230103</v>
      </c>
      <c r="C275" s="1" t="n">
        <v>44929</v>
      </c>
      <c r="D275" t="inlineStr">
        <is>
          <t>0643BT</t>
        </is>
      </c>
      <c r="E275" t="inlineStr">
        <is>
          <t>IFED</t>
        </is>
      </c>
      <c r="F275" t="inlineStr">
        <is>
          <t>01</t>
        </is>
      </c>
      <c r="G275" t="inlineStr">
        <is>
          <t xml:space="preserve">064 </t>
        </is>
      </c>
      <c r="H275" t="n">
        <v>45439</v>
      </c>
      <c r="I275" s="17" t="n">
        <v>925</v>
      </c>
      <c r="J275" s="17" t="n">
        <v>2682</v>
      </c>
      <c r="K275" t="n">
        <v>3231</v>
      </c>
      <c r="L275" t="n">
        <v>40738</v>
      </c>
      <c r="M275" t="n">
        <v>39066</v>
      </c>
      <c r="N275" t="n">
        <v>44894</v>
      </c>
      <c r="O275" t="n">
        <v>44979</v>
      </c>
      <c r="P275" t="n">
        <v>545</v>
      </c>
      <c r="Q275" t="n">
        <v>460</v>
      </c>
      <c r="R275" t="n">
        <v>45439</v>
      </c>
      <c r="S275" t="n">
        <v>925</v>
      </c>
      <c r="T275" t="n">
        <v>2682</v>
      </c>
      <c r="U275" t="n">
        <v>3231</v>
      </c>
      <c r="V275" t="n">
        <v>40738</v>
      </c>
      <c r="W275" t="n">
        <v>39066</v>
      </c>
      <c r="X275" t="n">
        <v>44894</v>
      </c>
      <c r="Y275" t="n">
        <v>44979</v>
      </c>
      <c r="Z275" t="n">
        <v>545</v>
      </c>
      <c r="AA275" t="n">
        <v>460</v>
      </c>
      <c r="AB275" t="n">
        <v>0</v>
      </c>
      <c r="AC275" t="n">
        <v>0</v>
      </c>
      <c r="AD275" t="n">
        <v>0</v>
      </c>
      <c r="AE275" t="n">
        <v>0</v>
      </c>
      <c r="AF275" t="n">
        <v>0</v>
      </c>
      <c r="AG275" t="n">
        <v>0</v>
      </c>
      <c r="AH275" t="n">
        <v>0</v>
      </c>
      <c r="AI275" t="n">
        <v>0</v>
      </c>
      <c r="AJ275" t="n">
        <v>0</v>
      </c>
      <c r="AK275" t="n">
        <v>0</v>
      </c>
      <c r="AL275" t="n">
        <v>133</v>
      </c>
      <c r="AM275" t="n">
        <v>75</v>
      </c>
      <c r="AN275" t="n">
        <v>-1253</v>
      </c>
      <c r="AO275" t="n">
        <v>756</v>
      </c>
      <c r="AP275" t="n">
        <v>-701</v>
      </c>
      <c r="AQ275" t="n">
        <v>630</v>
      </c>
      <c r="AR275" t="n">
        <v>130</v>
      </c>
      <c r="AS275" t="n">
        <v>133</v>
      </c>
      <c r="AT275" t="n">
        <v>3</v>
      </c>
      <c r="AU275" t="n">
        <v>0</v>
      </c>
      <c r="AV275" t="n">
        <v>100</v>
      </c>
      <c r="AW275" t="n">
        <v>2</v>
      </c>
      <c r="AX275" t="n">
        <v>5.9</v>
      </c>
      <c r="AY275" t="n">
        <v>7.1</v>
      </c>
      <c r="AZ275" t="n">
        <v>89.7</v>
      </c>
      <c r="BA275" t="n">
        <v>86</v>
      </c>
      <c r="BB275" t="n">
        <v>98.8</v>
      </c>
      <c r="BC275" t="n">
        <v>99</v>
      </c>
      <c r="BD275" t="n">
        <v>1.2</v>
      </c>
      <c r="BE275" t="n">
        <v>1</v>
      </c>
      <c r="BF275" t="n">
        <v>100</v>
      </c>
      <c r="BG275" t="n">
        <v>2</v>
      </c>
      <c r="BH275" t="n">
        <v>5.9</v>
      </c>
      <c r="BI275" t="n">
        <v>7.1</v>
      </c>
      <c r="BJ275" t="n">
        <v>89.7</v>
      </c>
      <c r="BK275" t="n">
        <v>86</v>
      </c>
      <c r="BL275" t="n">
        <v>98.8</v>
      </c>
      <c r="BM275" t="n">
        <v>99</v>
      </c>
      <c r="BN275" t="n">
        <v>1.2</v>
      </c>
      <c r="BO275" t="n">
        <v>1</v>
      </c>
      <c r="BP275" t="n">
        <v>0</v>
      </c>
      <c r="BQ275" t="n">
        <v>0</v>
      </c>
      <c r="BR275" t="n">
        <v>0</v>
      </c>
      <c r="BS275" t="n">
        <v>0</v>
      </c>
      <c r="BT275" t="n">
        <v>0</v>
      </c>
      <c r="BU275" t="n">
        <v>0</v>
      </c>
      <c r="BV275" t="n">
        <v>0</v>
      </c>
      <c r="BW275" t="n">
        <v>0</v>
      </c>
      <c r="BX275" t="n">
        <v>0</v>
      </c>
      <c r="BY275" t="n">
        <v>0</v>
      </c>
      <c r="BZ275" t="n">
        <v>41</v>
      </c>
      <c r="CA275" t="n">
        <v>4</v>
      </c>
      <c r="CB275" t="n">
        <v>5</v>
      </c>
      <c r="CC275" t="n">
        <v>5</v>
      </c>
      <c r="CD275" t="n">
        <v>28</v>
      </c>
      <c r="CE275" t="n">
        <v>29</v>
      </c>
      <c r="CF275" t="n">
        <v>36</v>
      </c>
      <c r="CG275" t="n">
        <v>36</v>
      </c>
      <c r="CH275" t="n">
        <v>41</v>
      </c>
      <c r="CI275" t="n">
        <v>4</v>
      </c>
      <c r="CJ275" t="n">
        <v>5</v>
      </c>
      <c r="CK275" t="n">
        <v>5</v>
      </c>
      <c r="CL275" t="n">
        <v>28</v>
      </c>
      <c r="CM275" t="n">
        <v>29</v>
      </c>
      <c r="CN275" t="n">
        <v>36</v>
      </c>
      <c r="CO275" t="n">
        <v>36</v>
      </c>
      <c r="CP275" t="n">
        <v>0</v>
      </c>
      <c r="CQ275" t="n">
        <v>0</v>
      </c>
      <c r="CR275" t="n">
        <v>0</v>
      </c>
      <c r="CS275" t="n">
        <v>0</v>
      </c>
      <c r="CT275" t="n">
        <v>0</v>
      </c>
      <c r="CU275" t="n">
        <v>0</v>
      </c>
      <c r="CV275" t="n">
        <v>0</v>
      </c>
      <c r="CW275" t="n">
        <v>0</v>
      </c>
      <c r="CX275" t="n">
        <v>58.3</v>
      </c>
      <c r="CY275" t="n">
        <v>50.1</v>
      </c>
      <c r="CZ275" t="n">
        <v>74.59999999999999</v>
      </c>
      <c r="DA275" t="n">
        <v>72.5</v>
      </c>
      <c r="DB275" t="n">
        <v>35.7</v>
      </c>
      <c r="DC275" t="n">
        <v>35.8</v>
      </c>
      <c r="DD275" t="n">
        <v>46.7</v>
      </c>
      <c r="DE275" t="n">
        <v>45.4</v>
      </c>
      <c r="DF275" t="n">
        <v>58.3</v>
      </c>
      <c r="DG275" t="n">
        <v>50.1</v>
      </c>
      <c r="DH275" t="n">
        <v>74.59999999999999</v>
      </c>
      <c r="DI275" t="n">
        <v>72.5</v>
      </c>
      <c r="DJ275" t="n">
        <v>35.7</v>
      </c>
      <c r="DK275" t="n">
        <v>35.8</v>
      </c>
      <c r="DL275" t="n">
        <v>46.7</v>
      </c>
      <c r="DM275" t="n">
        <v>45.4</v>
      </c>
      <c r="DN275" t="n">
        <v>0</v>
      </c>
      <c r="DO275" t="n">
        <v>0</v>
      </c>
      <c r="DP275" t="n">
        <v>0</v>
      </c>
      <c r="DQ275" t="n">
        <v>0</v>
      </c>
      <c r="DR275" t="n">
        <v>0</v>
      </c>
      <c r="DS275" t="n">
        <v>0</v>
      </c>
      <c r="DT275" t="n">
        <v>0</v>
      </c>
      <c r="DU275" t="n">
        <v>0</v>
      </c>
      <c r="DV275" t="inlineStr">
        <is>
          <t>800 MWh</t>
        </is>
      </c>
    </row>
    <row r="276">
      <c r="A276" t="inlineStr">
        <is>
          <t>NYISO ZONE J DA PEAK - ICE FUTURES ENERGY DIV</t>
        </is>
      </c>
      <c r="B276" t="n">
        <v>230103</v>
      </c>
      <c r="C276" s="1" t="n">
        <v>44929</v>
      </c>
      <c r="D276" t="inlineStr">
        <is>
          <t>0643BW</t>
        </is>
      </c>
      <c r="E276" t="inlineStr">
        <is>
          <t>IFED</t>
        </is>
      </c>
      <c r="F276" t="inlineStr">
        <is>
          <t>01</t>
        </is>
      </c>
      <c r="G276" t="inlineStr">
        <is>
          <t xml:space="preserve">064 </t>
        </is>
      </c>
      <c r="H276" t="n">
        <v>13917</v>
      </c>
      <c r="I276" s="17" t="n">
        <v>348</v>
      </c>
      <c r="J276" s="17" t="n">
        <v>42</v>
      </c>
      <c r="K276" t="n">
        <v>0</v>
      </c>
      <c r="L276" t="n">
        <v>13117</v>
      </c>
      <c r="M276" t="n">
        <v>13450</v>
      </c>
      <c r="N276" t="n">
        <v>13465</v>
      </c>
      <c r="O276" t="n">
        <v>13492</v>
      </c>
      <c r="P276" t="n">
        <v>452</v>
      </c>
      <c r="Q276" t="n">
        <v>425</v>
      </c>
      <c r="R276" t="n">
        <v>13917</v>
      </c>
      <c r="S276" t="n">
        <v>348</v>
      </c>
      <c r="T276" t="n">
        <v>42</v>
      </c>
      <c r="U276" t="n">
        <v>0</v>
      </c>
      <c r="V276" t="n">
        <v>13117</v>
      </c>
      <c r="W276" t="n">
        <v>13450</v>
      </c>
      <c r="X276" t="n">
        <v>13465</v>
      </c>
      <c r="Y276" t="n">
        <v>13492</v>
      </c>
      <c r="Z276" t="n">
        <v>452</v>
      </c>
      <c r="AA276" t="n">
        <v>425</v>
      </c>
      <c r="AB276" t="n">
        <v>0</v>
      </c>
      <c r="AC276" t="n">
        <v>0</v>
      </c>
      <c r="AD276" t="n">
        <v>0</v>
      </c>
      <c r="AE276" t="n">
        <v>0</v>
      </c>
      <c r="AF276" t="n">
        <v>0</v>
      </c>
      <c r="AG276" t="n">
        <v>0</v>
      </c>
      <c r="AH276" t="n">
        <v>0</v>
      </c>
      <c r="AI276" t="n">
        <v>0</v>
      </c>
      <c r="AJ276" t="n">
        <v>0</v>
      </c>
      <c r="AK276" t="n">
        <v>0</v>
      </c>
      <c r="AL276" t="n">
        <v>-12</v>
      </c>
      <c r="AM276" t="n">
        <v>0</v>
      </c>
      <c r="AN276" t="n">
        <v>0</v>
      </c>
      <c r="AO276" t="n">
        <v>0</v>
      </c>
      <c r="AP276" t="n">
        <v>-14</v>
      </c>
      <c r="AQ276" t="n">
        <v>0</v>
      </c>
      <c r="AR276" t="n">
        <v>-14</v>
      </c>
      <c r="AS276" t="n">
        <v>0</v>
      </c>
      <c r="AT276" t="n">
        <v>2</v>
      </c>
      <c r="AU276" t="n">
        <v>-12</v>
      </c>
      <c r="AV276" t="n">
        <v>100</v>
      </c>
      <c r="AW276" t="n">
        <v>2.5</v>
      </c>
      <c r="AX276" t="n">
        <v>0.3</v>
      </c>
      <c r="AY276" t="n">
        <v>0</v>
      </c>
      <c r="AZ276" t="n">
        <v>94.3</v>
      </c>
      <c r="BA276" t="n">
        <v>96.59999999999999</v>
      </c>
      <c r="BB276" t="n">
        <v>96.8</v>
      </c>
      <c r="BC276" t="n">
        <v>96.90000000000001</v>
      </c>
      <c r="BD276" t="n">
        <v>3.2</v>
      </c>
      <c r="BE276" t="n">
        <v>3.1</v>
      </c>
      <c r="BF276" t="n">
        <v>100</v>
      </c>
      <c r="BG276" t="n">
        <v>2.5</v>
      </c>
      <c r="BH276" t="n">
        <v>0.3</v>
      </c>
      <c r="BI276" t="n">
        <v>0</v>
      </c>
      <c r="BJ276" t="n">
        <v>94.3</v>
      </c>
      <c r="BK276" t="n">
        <v>96.59999999999999</v>
      </c>
      <c r="BL276" t="n">
        <v>96.8</v>
      </c>
      <c r="BM276" t="n">
        <v>96.90000000000001</v>
      </c>
      <c r="BN276" t="n">
        <v>3.2</v>
      </c>
      <c r="BO276" t="n">
        <v>3.1</v>
      </c>
      <c r="BP276" t="n">
        <v>0</v>
      </c>
      <c r="BQ276" t="n">
        <v>0</v>
      </c>
      <c r="BR276" t="n">
        <v>0</v>
      </c>
      <c r="BS276" t="n">
        <v>0</v>
      </c>
      <c r="BT276" t="n">
        <v>0</v>
      </c>
      <c r="BU276" t="n">
        <v>0</v>
      </c>
      <c r="BV276" t="n">
        <v>0</v>
      </c>
      <c r="BW276" t="n">
        <v>0</v>
      </c>
      <c r="BX276" t="n">
        <v>0</v>
      </c>
      <c r="BY276" t="n">
        <v>0</v>
      </c>
      <c r="BZ276" t="n">
        <v>21</v>
      </c>
      <c r="CA276" t="n">
        <v>1</v>
      </c>
      <c r="CB276" t="n">
        <v>1</v>
      </c>
      <c r="CC276" t="n">
        <v>0</v>
      </c>
      <c r="CD276" t="n">
        <v>16</v>
      </c>
      <c r="CE276" t="n">
        <v>13</v>
      </c>
      <c r="CF276" t="n">
        <v>17</v>
      </c>
      <c r="CG276" t="n">
        <v>14</v>
      </c>
      <c r="CH276" t="n">
        <v>21</v>
      </c>
      <c r="CI276" t="n">
        <v>1</v>
      </c>
      <c r="CJ276" t="n">
        <v>1</v>
      </c>
      <c r="CK276" t="n">
        <v>0</v>
      </c>
      <c r="CL276" t="n">
        <v>16</v>
      </c>
      <c r="CM276" t="n">
        <v>13</v>
      </c>
      <c r="CN276" t="n">
        <v>17</v>
      </c>
      <c r="CO276" t="n">
        <v>14</v>
      </c>
      <c r="CP276" t="n">
        <v>0</v>
      </c>
      <c r="CQ276" t="n">
        <v>0</v>
      </c>
      <c r="CR276" t="n">
        <v>0</v>
      </c>
      <c r="CS276" t="n">
        <v>0</v>
      </c>
      <c r="CT276" t="n">
        <v>0</v>
      </c>
      <c r="CU276" t="n">
        <v>0</v>
      </c>
      <c r="CV276" t="n">
        <v>0</v>
      </c>
      <c r="CW276" t="n">
        <v>0</v>
      </c>
      <c r="CX276" t="n">
        <v>62.5</v>
      </c>
      <c r="CY276" t="n">
        <v>72.09999999999999</v>
      </c>
      <c r="CZ276" t="n">
        <v>86.40000000000001</v>
      </c>
      <c r="DA276" t="n">
        <v>95.2</v>
      </c>
      <c r="DB276" t="n">
        <v>46.5</v>
      </c>
      <c r="DC276" t="n">
        <v>71.90000000000001</v>
      </c>
      <c r="DD276" t="n">
        <v>69</v>
      </c>
      <c r="DE276" t="n">
        <v>78.40000000000001</v>
      </c>
      <c r="DF276" t="n">
        <v>62.5</v>
      </c>
      <c r="DG276" t="n">
        <v>72.09999999999999</v>
      </c>
      <c r="DH276" t="n">
        <v>86.40000000000001</v>
      </c>
      <c r="DI276" t="n">
        <v>95.2</v>
      </c>
      <c r="DJ276" t="n">
        <v>46.5</v>
      </c>
      <c r="DK276" t="n">
        <v>71.90000000000001</v>
      </c>
      <c r="DL276" t="n">
        <v>69</v>
      </c>
      <c r="DM276" t="n">
        <v>78.40000000000001</v>
      </c>
      <c r="DN276" t="n">
        <v>0</v>
      </c>
      <c r="DO276" t="n">
        <v>0</v>
      </c>
      <c r="DP276" t="n">
        <v>0</v>
      </c>
      <c r="DQ276" t="n">
        <v>0</v>
      </c>
      <c r="DR276" t="n">
        <v>0</v>
      </c>
      <c r="DS276" t="n">
        <v>0</v>
      </c>
      <c r="DT276" t="n">
        <v>0</v>
      </c>
      <c r="DU276" t="n">
        <v>0</v>
      </c>
      <c r="DV276" t="inlineStr">
        <is>
          <t>800MWh</t>
        </is>
      </c>
    </row>
    <row r="277">
      <c r="A277" t="inlineStr">
        <is>
          <t>NYISO ZONE A DA PEAK - ICE FUTURES ENERGY DIV</t>
        </is>
      </c>
      <c r="B277" t="n">
        <v>230110</v>
      </c>
      <c r="C277" s="1" t="n">
        <v>44936</v>
      </c>
      <c r="D277" t="inlineStr">
        <is>
          <t>0643BY</t>
        </is>
      </c>
      <c r="E277" t="inlineStr">
        <is>
          <t>IFED</t>
        </is>
      </c>
      <c r="F277" t="inlineStr">
        <is>
          <t>01</t>
        </is>
      </c>
      <c r="G277" t="inlineStr">
        <is>
          <t xml:space="preserve">064 </t>
        </is>
      </c>
      <c r="H277" t="n">
        <v>31524</v>
      </c>
      <c r="I277" s="17" t="n">
        <v>697</v>
      </c>
      <c r="J277" s="17" t="n">
        <v>50</v>
      </c>
      <c r="K277" t="n">
        <v>166</v>
      </c>
      <c r="L277" t="n">
        <v>29720</v>
      </c>
      <c r="M277" t="n">
        <v>31044</v>
      </c>
      <c r="N277" t="n">
        <v>30583</v>
      </c>
      <c r="O277" t="n">
        <v>31260</v>
      </c>
      <c r="P277" t="n">
        <v>941</v>
      </c>
      <c r="Q277" t="n">
        <v>264</v>
      </c>
      <c r="R277" t="n">
        <v>31524</v>
      </c>
      <c r="S277" t="n">
        <v>697</v>
      </c>
      <c r="T277" t="n">
        <v>50</v>
      </c>
      <c r="U277" t="n">
        <v>166</v>
      </c>
      <c r="V277" t="n">
        <v>29720</v>
      </c>
      <c r="W277" t="n">
        <v>31044</v>
      </c>
      <c r="X277" t="n">
        <v>30583</v>
      </c>
      <c r="Y277" t="n">
        <v>31260</v>
      </c>
      <c r="Z277" t="n">
        <v>941</v>
      </c>
      <c r="AA277" t="n">
        <v>264</v>
      </c>
      <c r="AB277" t="n">
        <v>0</v>
      </c>
      <c r="AC277" t="n">
        <v>0</v>
      </c>
      <c r="AD277" t="n">
        <v>0</v>
      </c>
      <c r="AE277" t="n">
        <v>0</v>
      </c>
      <c r="AF277" t="n">
        <v>0</v>
      </c>
      <c r="AG277" t="n">
        <v>0</v>
      </c>
      <c r="AH277" t="n">
        <v>0</v>
      </c>
      <c r="AI277" t="n">
        <v>0</v>
      </c>
      <c r="AJ277" t="n">
        <v>0</v>
      </c>
      <c r="AK277" t="n">
        <v>0</v>
      </c>
      <c r="AL277" t="n">
        <v>-2225</v>
      </c>
      <c r="AM277" t="n">
        <v>-138</v>
      </c>
      <c r="AN277" t="n">
        <v>-113</v>
      </c>
      <c r="AO277" t="n">
        <v>31</v>
      </c>
      <c r="AP277" t="n">
        <v>-2296</v>
      </c>
      <c r="AQ277" t="n">
        <v>-2151</v>
      </c>
      <c r="AR277" t="n">
        <v>-2403</v>
      </c>
      <c r="AS277" t="n">
        <v>-2233</v>
      </c>
      <c r="AT277" t="n">
        <v>178</v>
      </c>
      <c r="AU277" t="n">
        <v>8</v>
      </c>
      <c r="AV277" t="n">
        <v>100</v>
      </c>
      <c r="AW277" t="n">
        <v>2.2</v>
      </c>
      <c r="AX277" t="n">
        <v>0.2</v>
      </c>
      <c r="AY277" t="n">
        <v>0.5</v>
      </c>
      <c r="AZ277" t="n">
        <v>94.3</v>
      </c>
      <c r="BA277" t="n">
        <v>98.5</v>
      </c>
      <c r="BB277" t="n">
        <v>97</v>
      </c>
      <c r="BC277" t="n">
        <v>99.2</v>
      </c>
      <c r="BD277" t="n">
        <v>3</v>
      </c>
      <c r="BE277" t="n">
        <v>0.8</v>
      </c>
      <c r="BF277" t="n">
        <v>100</v>
      </c>
      <c r="BG277" t="n">
        <v>2.2</v>
      </c>
      <c r="BH277" t="n">
        <v>0.2</v>
      </c>
      <c r="BI277" t="n">
        <v>0.5</v>
      </c>
      <c r="BJ277" t="n">
        <v>94.3</v>
      </c>
      <c r="BK277" t="n">
        <v>98.5</v>
      </c>
      <c r="BL277" t="n">
        <v>97</v>
      </c>
      <c r="BM277" t="n">
        <v>99.2</v>
      </c>
      <c r="BN277" t="n">
        <v>3</v>
      </c>
      <c r="BO277" t="n">
        <v>0.8</v>
      </c>
      <c r="BP277" t="n">
        <v>0</v>
      </c>
      <c r="BQ277" t="n">
        <v>0</v>
      </c>
      <c r="BR277" t="n">
        <v>0</v>
      </c>
      <c r="BS277" t="n">
        <v>0</v>
      </c>
      <c r="BT277" t="n">
        <v>0</v>
      </c>
      <c r="BU277" t="n">
        <v>0</v>
      </c>
      <c r="BV277" t="n">
        <v>0</v>
      </c>
      <c r="BW277" t="n">
        <v>0</v>
      </c>
      <c r="BX277" t="n">
        <v>0</v>
      </c>
      <c r="BY277" t="n">
        <v>0</v>
      </c>
      <c r="BZ277" t="n">
        <v>27</v>
      </c>
      <c r="CA277" t="n">
        <v>3</v>
      </c>
      <c r="CB277" t="n">
        <v>1</v>
      </c>
      <c r="CC277" t="n">
        <v>2</v>
      </c>
      <c r="CD277" t="n">
        <v>20</v>
      </c>
      <c r="CE277" t="n">
        <v>17</v>
      </c>
      <c r="CF277" t="n">
        <v>24</v>
      </c>
      <c r="CG277" t="n">
        <v>19</v>
      </c>
      <c r="CH277" t="n">
        <v>27</v>
      </c>
      <c r="CI277" t="n">
        <v>3</v>
      </c>
      <c r="CJ277" t="n">
        <v>1</v>
      </c>
      <c r="CK277" t="n">
        <v>2</v>
      </c>
      <c r="CL277" t="n">
        <v>20</v>
      </c>
      <c r="CM277" t="n">
        <v>17</v>
      </c>
      <c r="CN277" t="n">
        <v>24</v>
      </c>
      <c r="CO277" t="n">
        <v>19</v>
      </c>
      <c r="CP277" t="n">
        <v>0</v>
      </c>
      <c r="CQ277" t="n">
        <v>0</v>
      </c>
      <c r="CR277" t="n">
        <v>0</v>
      </c>
      <c r="CS277" t="n">
        <v>0</v>
      </c>
      <c r="CT277" t="n">
        <v>0</v>
      </c>
      <c r="CU277" t="n">
        <v>0</v>
      </c>
      <c r="CV277" t="n">
        <v>0</v>
      </c>
      <c r="CW277" t="n">
        <v>0</v>
      </c>
      <c r="CX277" t="n">
        <v>74.09999999999999</v>
      </c>
      <c r="CY277" t="n">
        <v>85.2</v>
      </c>
      <c r="CZ277" t="n">
        <v>87.09999999999999</v>
      </c>
      <c r="DA277" t="n">
        <v>93.8</v>
      </c>
      <c r="DB277" t="n">
        <v>71</v>
      </c>
      <c r="DC277" t="n">
        <v>78.2</v>
      </c>
      <c r="DD277" t="n">
        <v>79.8</v>
      </c>
      <c r="DE277" t="n">
        <v>84.09999999999999</v>
      </c>
      <c r="DF277" t="n">
        <v>74.09999999999999</v>
      </c>
      <c r="DG277" t="n">
        <v>85.2</v>
      </c>
      <c r="DH277" t="n">
        <v>87.09999999999999</v>
      </c>
      <c r="DI277" t="n">
        <v>93.8</v>
      </c>
      <c r="DJ277" t="n">
        <v>71</v>
      </c>
      <c r="DK277" t="n">
        <v>78.2</v>
      </c>
      <c r="DL277" t="n">
        <v>79.8</v>
      </c>
      <c r="DM277" t="n">
        <v>84.09999999999999</v>
      </c>
      <c r="DN277" t="n">
        <v>0</v>
      </c>
      <c r="DO277" t="n">
        <v>0</v>
      </c>
      <c r="DP277" t="n">
        <v>0</v>
      </c>
      <c r="DQ277" t="n">
        <v>0</v>
      </c>
      <c r="DR277" t="n">
        <v>0</v>
      </c>
      <c r="DS277" t="n">
        <v>0</v>
      </c>
      <c r="DT277" t="n">
        <v>0</v>
      </c>
      <c r="DU277" t="n">
        <v>0</v>
      </c>
      <c r="DV277" t="inlineStr">
        <is>
          <t>800MWh</t>
        </is>
      </c>
    </row>
    <row r="278">
      <c r="A278" t="inlineStr">
        <is>
          <t>NYISO ZONE A DA PEAK - ICE FUTURES ENERGY DIV</t>
        </is>
      </c>
      <c r="B278" t="n">
        <v>230103</v>
      </c>
      <c r="C278" s="1" t="n">
        <v>44929</v>
      </c>
      <c r="D278" t="inlineStr">
        <is>
          <t>0643BY</t>
        </is>
      </c>
      <c r="E278" t="inlineStr">
        <is>
          <t>IFED</t>
        </is>
      </c>
      <c r="F278" t="inlineStr">
        <is>
          <t>01</t>
        </is>
      </c>
      <c r="G278" t="inlineStr">
        <is>
          <t xml:space="preserve">064 </t>
        </is>
      </c>
      <c r="H278" t="n">
        <v>33749</v>
      </c>
      <c r="I278" s="17" t="n">
        <v>835</v>
      </c>
      <c r="J278" s="17" t="n">
        <v>163</v>
      </c>
      <c r="K278" t="n">
        <v>135</v>
      </c>
      <c r="L278" t="n">
        <v>32016</v>
      </c>
      <c r="M278" t="n">
        <v>33195</v>
      </c>
      <c r="N278" t="n">
        <v>32986</v>
      </c>
      <c r="O278" t="n">
        <v>33493</v>
      </c>
      <c r="P278" t="n">
        <v>763</v>
      </c>
      <c r="Q278" t="n">
        <v>256</v>
      </c>
      <c r="R278" t="n">
        <v>33749</v>
      </c>
      <c r="S278" t="n">
        <v>835</v>
      </c>
      <c r="T278" t="n">
        <v>163</v>
      </c>
      <c r="U278" t="n">
        <v>135</v>
      </c>
      <c r="V278" t="n">
        <v>32016</v>
      </c>
      <c r="W278" t="n">
        <v>33195</v>
      </c>
      <c r="X278" t="n">
        <v>32986</v>
      </c>
      <c r="Y278" t="n">
        <v>33493</v>
      </c>
      <c r="Z278" t="n">
        <v>763</v>
      </c>
      <c r="AA278" t="n">
        <v>256</v>
      </c>
      <c r="AB278" t="n">
        <v>0</v>
      </c>
      <c r="AC278" t="n">
        <v>0</v>
      </c>
      <c r="AD278" t="n">
        <v>0</v>
      </c>
      <c r="AE278" t="n">
        <v>0</v>
      </c>
      <c r="AF278" t="n">
        <v>0</v>
      </c>
      <c r="AG278" t="n">
        <v>0</v>
      </c>
      <c r="AH278" t="n">
        <v>0</v>
      </c>
      <c r="AI278" t="n">
        <v>0</v>
      </c>
      <c r="AJ278" t="n">
        <v>0</v>
      </c>
      <c r="AK278" t="n">
        <v>0</v>
      </c>
      <c r="AL278" t="n">
        <v>-2124</v>
      </c>
      <c r="AM278" t="n">
        <v>25</v>
      </c>
      <c r="AN278" t="n">
        <v>-244</v>
      </c>
      <c r="AO278" t="n">
        <v>-5</v>
      </c>
      <c r="AP278" t="n">
        <v>-2175</v>
      </c>
      <c r="AQ278" t="n">
        <v>-1860</v>
      </c>
      <c r="AR278" t="n">
        <v>-2155</v>
      </c>
      <c r="AS278" t="n">
        <v>-2109</v>
      </c>
      <c r="AT278" t="n">
        <v>31</v>
      </c>
      <c r="AU278" t="n">
        <v>-15</v>
      </c>
      <c r="AV278" t="n">
        <v>100</v>
      </c>
      <c r="AW278" t="n">
        <v>2.5</v>
      </c>
      <c r="AX278" t="n">
        <v>0.5</v>
      </c>
      <c r="AY278" t="n">
        <v>0.4</v>
      </c>
      <c r="AZ278" t="n">
        <v>94.90000000000001</v>
      </c>
      <c r="BA278" t="n">
        <v>98.40000000000001</v>
      </c>
      <c r="BB278" t="n">
        <v>97.7</v>
      </c>
      <c r="BC278" t="n">
        <v>99.2</v>
      </c>
      <c r="BD278" t="n">
        <v>2.3</v>
      </c>
      <c r="BE278" t="n">
        <v>0.8</v>
      </c>
      <c r="BF278" t="n">
        <v>100</v>
      </c>
      <c r="BG278" t="n">
        <v>2.5</v>
      </c>
      <c r="BH278" t="n">
        <v>0.5</v>
      </c>
      <c r="BI278" t="n">
        <v>0.4</v>
      </c>
      <c r="BJ278" t="n">
        <v>94.90000000000001</v>
      </c>
      <c r="BK278" t="n">
        <v>98.40000000000001</v>
      </c>
      <c r="BL278" t="n">
        <v>97.7</v>
      </c>
      <c r="BM278" t="n">
        <v>99.2</v>
      </c>
      <c r="BN278" t="n">
        <v>2.3</v>
      </c>
      <c r="BO278" t="n">
        <v>0.8</v>
      </c>
      <c r="BP278" t="n">
        <v>0</v>
      </c>
      <c r="BQ278" t="n">
        <v>0</v>
      </c>
      <c r="BR278" t="n">
        <v>0</v>
      </c>
      <c r="BS278" t="n">
        <v>0</v>
      </c>
      <c r="BT278" t="n">
        <v>0</v>
      </c>
      <c r="BU278" t="n">
        <v>0</v>
      </c>
      <c r="BV278" t="n">
        <v>0</v>
      </c>
      <c r="BW278" t="n">
        <v>0</v>
      </c>
      <c r="BX278" t="n">
        <v>0</v>
      </c>
      <c r="BY278" t="n">
        <v>0</v>
      </c>
      <c r="BZ278" t="n">
        <v>32</v>
      </c>
      <c r="CA278" t="n">
        <v>2</v>
      </c>
      <c r="CB278" t="n">
        <v>3</v>
      </c>
      <c r="CC278" t="n">
        <v>2</v>
      </c>
      <c r="CD278" t="n">
        <v>23</v>
      </c>
      <c r="CE278" t="n">
        <v>21</v>
      </c>
      <c r="CF278" t="n">
        <v>27</v>
      </c>
      <c r="CG278" t="n">
        <v>24</v>
      </c>
      <c r="CH278" t="n">
        <v>32</v>
      </c>
      <c r="CI278" t="n">
        <v>2</v>
      </c>
      <c r="CJ278" t="n">
        <v>3</v>
      </c>
      <c r="CK278" t="n">
        <v>2</v>
      </c>
      <c r="CL278" t="n">
        <v>23</v>
      </c>
      <c r="CM278" t="n">
        <v>21</v>
      </c>
      <c r="CN278" t="n">
        <v>27</v>
      </c>
      <c r="CO278" t="n">
        <v>24</v>
      </c>
      <c r="CP278" t="n">
        <v>0</v>
      </c>
      <c r="CQ278" t="n">
        <v>0</v>
      </c>
      <c r="CR278" t="n">
        <v>0</v>
      </c>
      <c r="CS278" t="n">
        <v>0</v>
      </c>
      <c r="CT278" t="n">
        <v>0</v>
      </c>
      <c r="CU278" t="n">
        <v>0</v>
      </c>
      <c r="CV278" t="n">
        <v>0</v>
      </c>
      <c r="CW278" t="n">
        <v>0</v>
      </c>
      <c r="CX278" t="n">
        <v>71.59999999999999</v>
      </c>
      <c r="CY278" t="n">
        <v>85.5</v>
      </c>
      <c r="CZ278" t="n">
        <v>84.09999999999999</v>
      </c>
      <c r="DA278" t="n">
        <v>93.40000000000001</v>
      </c>
      <c r="DB278" t="n">
        <v>70.09999999999999</v>
      </c>
      <c r="DC278" t="n">
        <v>78.40000000000001</v>
      </c>
      <c r="DD278" t="n">
        <v>79</v>
      </c>
      <c r="DE278" t="n">
        <v>85.2</v>
      </c>
      <c r="DF278" t="n">
        <v>71.59999999999999</v>
      </c>
      <c r="DG278" t="n">
        <v>85.5</v>
      </c>
      <c r="DH278" t="n">
        <v>84.09999999999999</v>
      </c>
      <c r="DI278" t="n">
        <v>93.40000000000001</v>
      </c>
      <c r="DJ278" t="n">
        <v>70.09999999999999</v>
      </c>
      <c r="DK278" t="n">
        <v>78.40000000000001</v>
      </c>
      <c r="DL278" t="n">
        <v>79</v>
      </c>
      <c r="DM278" t="n">
        <v>85.2</v>
      </c>
      <c r="DN278" t="n">
        <v>0</v>
      </c>
      <c r="DO278" t="n">
        <v>0</v>
      </c>
      <c r="DP278" t="n">
        <v>0</v>
      </c>
      <c r="DQ278" t="n">
        <v>0</v>
      </c>
      <c r="DR278" t="n">
        <v>0</v>
      </c>
      <c r="DS278" t="n">
        <v>0</v>
      </c>
      <c r="DT278" t="n">
        <v>0</v>
      </c>
      <c r="DU278" t="n">
        <v>0</v>
      </c>
      <c r="DV278" t="inlineStr">
        <is>
          <t>800MWh</t>
        </is>
      </c>
    </row>
    <row r="279">
      <c r="A279" t="inlineStr">
        <is>
          <t>NYISO ZONE A DA OFF-PK FIX PR - ICE FUTURES ENERGY DIV</t>
        </is>
      </c>
      <c r="B279" t="n">
        <v>230110</v>
      </c>
      <c r="C279" s="1" t="n">
        <v>44936</v>
      </c>
      <c r="D279" t="inlineStr">
        <is>
          <t>0643BZ</t>
        </is>
      </c>
      <c r="E279" t="inlineStr">
        <is>
          <t>IFED</t>
        </is>
      </c>
      <c r="F279" t="inlineStr">
        <is>
          <t>01</t>
        </is>
      </c>
      <c r="G279" t="inlineStr">
        <is>
          <t xml:space="preserve">064 </t>
        </is>
      </c>
      <c r="H279" t="n">
        <v>25823</v>
      </c>
      <c r="I279" s="17" t="n">
        <v>172</v>
      </c>
      <c r="J279" s="17" t="n">
        <v>77</v>
      </c>
      <c r="K279" t="n">
        <v>0</v>
      </c>
      <c r="L279" t="n">
        <v>25059</v>
      </c>
      <c r="M279" t="n">
        <v>25546</v>
      </c>
      <c r="N279" t="n">
        <v>25231</v>
      </c>
      <c r="O279" t="n">
        <v>25623</v>
      </c>
      <c r="P279" t="n">
        <v>592</v>
      </c>
      <c r="Q279" t="n">
        <v>200</v>
      </c>
      <c r="R279" t="n">
        <v>25823</v>
      </c>
      <c r="S279" t="n">
        <v>172</v>
      </c>
      <c r="T279" t="n">
        <v>77</v>
      </c>
      <c r="U279" t="n">
        <v>0</v>
      </c>
      <c r="V279" t="n">
        <v>25059</v>
      </c>
      <c r="W279" t="n">
        <v>25546</v>
      </c>
      <c r="X279" t="n">
        <v>25231</v>
      </c>
      <c r="Y279" t="n">
        <v>25623</v>
      </c>
      <c r="Z279" t="n">
        <v>592</v>
      </c>
      <c r="AA279" t="n">
        <v>200</v>
      </c>
      <c r="AB279" t="n">
        <v>0</v>
      </c>
      <c r="AC279" t="n">
        <v>0</v>
      </c>
      <c r="AD279" t="n">
        <v>0</v>
      </c>
      <c r="AE279" t="n">
        <v>0</v>
      </c>
      <c r="AF279" t="n">
        <v>0</v>
      </c>
      <c r="AG279" t="n">
        <v>0</v>
      </c>
      <c r="AH279" t="n">
        <v>0</v>
      </c>
      <c r="AI279" t="n">
        <v>0</v>
      </c>
      <c r="AJ279" t="n">
        <v>0</v>
      </c>
      <c r="AK279" t="n">
        <v>0</v>
      </c>
      <c r="AL279" t="n">
        <v>-1692</v>
      </c>
      <c r="AM279" t="n">
        <v>15</v>
      </c>
      <c r="AN279" t="n">
        <v>-45</v>
      </c>
      <c r="AO279" t="n">
        <v>0</v>
      </c>
      <c r="AP279" t="n">
        <v>-1979</v>
      </c>
      <c r="AQ279" t="n">
        <v>-1626</v>
      </c>
      <c r="AR279" t="n">
        <v>-1964</v>
      </c>
      <c r="AS279" t="n">
        <v>-1671</v>
      </c>
      <c r="AT279" t="n">
        <v>272</v>
      </c>
      <c r="AU279" t="n">
        <v>-21</v>
      </c>
      <c r="AV279" t="n">
        <v>100</v>
      </c>
      <c r="AW279" t="n">
        <v>0.7</v>
      </c>
      <c r="AX279" t="n">
        <v>0.3</v>
      </c>
      <c r="AY279" t="n">
        <v>0</v>
      </c>
      <c r="AZ279" t="n">
        <v>97</v>
      </c>
      <c r="BA279" t="n">
        <v>98.90000000000001</v>
      </c>
      <c r="BB279" t="n">
        <v>97.7</v>
      </c>
      <c r="BC279" t="n">
        <v>99.2</v>
      </c>
      <c r="BD279" t="n">
        <v>2.3</v>
      </c>
      <c r="BE279" t="n">
        <v>0.8</v>
      </c>
      <c r="BF279" t="n">
        <v>100</v>
      </c>
      <c r="BG279" t="n">
        <v>0.7</v>
      </c>
      <c r="BH279" t="n">
        <v>0.3</v>
      </c>
      <c r="BI279" t="n">
        <v>0</v>
      </c>
      <c r="BJ279" t="n">
        <v>97</v>
      </c>
      <c r="BK279" t="n">
        <v>98.90000000000001</v>
      </c>
      <c r="BL279" t="n">
        <v>97.7</v>
      </c>
      <c r="BM279" t="n">
        <v>99.2</v>
      </c>
      <c r="BN279" t="n">
        <v>2.3</v>
      </c>
      <c r="BO279" t="n">
        <v>0.8</v>
      </c>
      <c r="BP279" t="n">
        <v>0</v>
      </c>
      <c r="BQ279" t="n">
        <v>0</v>
      </c>
      <c r="BR279" t="n">
        <v>0</v>
      </c>
      <c r="BS279" t="n">
        <v>0</v>
      </c>
      <c r="BT279" t="n">
        <v>0</v>
      </c>
      <c r="BU279" t="n">
        <v>0</v>
      </c>
      <c r="BV279" t="n">
        <v>0</v>
      </c>
      <c r="BW279" t="n">
        <v>0</v>
      </c>
      <c r="BX279" t="n">
        <v>0</v>
      </c>
      <c r="BY279" t="n">
        <v>0</v>
      </c>
      <c r="BZ279" t="n">
        <v>27</v>
      </c>
      <c r="CA279" t="n">
        <v>2</v>
      </c>
      <c r="CB279" t="n">
        <v>1</v>
      </c>
      <c r="CC279" t="n">
        <v>0</v>
      </c>
      <c r="CD279" t="n">
        <v>19</v>
      </c>
      <c r="CE279" t="n">
        <v>17</v>
      </c>
      <c r="CF279" t="n">
        <v>21</v>
      </c>
      <c r="CG279" t="n">
        <v>18</v>
      </c>
      <c r="CH279" t="n">
        <v>27</v>
      </c>
      <c r="CI279" t="n">
        <v>2</v>
      </c>
      <c r="CJ279" t="n">
        <v>1</v>
      </c>
      <c r="CK279" t="n">
        <v>0</v>
      </c>
      <c r="CL279" t="n">
        <v>19</v>
      </c>
      <c r="CM279" t="n">
        <v>17</v>
      </c>
      <c r="CN279" t="n">
        <v>21</v>
      </c>
      <c r="CO279" t="n">
        <v>18</v>
      </c>
      <c r="CP279" t="n">
        <v>0</v>
      </c>
      <c r="CQ279" t="n">
        <v>0</v>
      </c>
      <c r="CR279" t="n">
        <v>0</v>
      </c>
      <c r="CS279" t="n">
        <v>0</v>
      </c>
      <c r="CT279" t="n">
        <v>0</v>
      </c>
      <c r="CU279" t="n">
        <v>0</v>
      </c>
      <c r="CV279" t="n">
        <v>0</v>
      </c>
      <c r="CW279" t="n">
        <v>0</v>
      </c>
      <c r="CX279" t="n">
        <v>75.3</v>
      </c>
      <c r="CY279" t="n">
        <v>85.3</v>
      </c>
      <c r="CZ279" t="n">
        <v>89.59999999999999</v>
      </c>
      <c r="DA279" t="n">
        <v>93.90000000000001</v>
      </c>
      <c r="DB279" t="n">
        <v>74.8</v>
      </c>
      <c r="DC279" t="n">
        <v>78.40000000000001</v>
      </c>
      <c r="DD279" t="n">
        <v>80.09999999999999</v>
      </c>
      <c r="DE279" t="n">
        <v>83.59999999999999</v>
      </c>
      <c r="DF279" t="n">
        <v>75.3</v>
      </c>
      <c r="DG279" t="n">
        <v>85.3</v>
      </c>
      <c r="DH279" t="n">
        <v>89.59999999999999</v>
      </c>
      <c r="DI279" t="n">
        <v>93.90000000000001</v>
      </c>
      <c r="DJ279" t="n">
        <v>74.8</v>
      </c>
      <c r="DK279" t="n">
        <v>78.40000000000001</v>
      </c>
      <c r="DL279" t="n">
        <v>80.09999999999999</v>
      </c>
      <c r="DM279" t="n">
        <v>83.59999999999999</v>
      </c>
      <c r="DN279" t="n">
        <v>0</v>
      </c>
      <c r="DO279" t="n">
        <v>0</v>
      </c>
      <c r="DP279" t="n">
        <v>0</v>
      </c>
      <c r="DQ279" t="n">
        <v>0</v>
      </c>
      <c r="DR279" t="n">
        <v>0</v>
      </c>
      <c r="DS279" t="n">
        <v>0</v>
      </c>
      <c r="DT279" t="n">
        <v>0</v>
      </c>
      <c r="DU279" t="n">
        <v>0</v>
      </c>
      <c r="DV279" t="inlineStr">
        <is>
          <t>(1MW for about 368 Hours)</t>
        </is>
      </c>
    </row>
    <row r="280">
      <c r="A280" t="inlineStr">
        <is>
          <t>NYISO ZONE A DA OFF-PK FIX PR - ICE FUTURES ENERGY DIV</t>
        </is>
      </c>
      <c r="B280" t="n">
        <v>230103</v>
      </c>
      <c r="C280" s="1" t="n">
        <v>44929</v>
      </c>
      <c r="D280" t="inlineStr">
        <is>
          <t>0643BZ</t>
        </is>
      </c>
      <c r="E280" t="inlineStr">
        <is>
          <t>IFED</t>
        </is>
      </c>
      <c r="F280" t="inlineStr">
        <is>
          <t>01</t>
        </is>
      </c>
      <c r="G280" t="inlineStr">
        <is>
          <t xml:space="preserve">064 </t>
        </is>
      </c>
      <c r="H280" t="n">
        <v>27515</v>
      </c>
      <c r="I280" s="17" t="n">
        <v>157</v>
      </c>
      <c r="J280" s="17" t="n">
        <v>122</v>
      </c>
      <c r="K280" t="n">
        <v>0</v>
      </c>
      <c r="L280" t="n">
        <v>27038</v>
      </c>
      <c r="M280" t="n">
        <v>27172</v>
      </c>
      <c r="N280" t="n">
        <v>27195</v>
      </c>
      <c r="O280" t="n">
        <v>27294</v>
      </c>
      <c r="P280" t="n">
        <v>320</v>
      </c>
      <c r="Q280" t="n">
        <v>221</v>
      </c>
      <c r="R280" t="n">
        <v>27515</v>
      </c>
      <c r="S280" t="n">
        <v>157</v>
      </c>
      <c r="T280" t="n">
        <v>122</v>
      </c>
      <c r="U280" t="n">
        <v>0</v>
      </c>
      <c r="V280" t="n">
        <v>27038</v>
      </c>
      <c r="W280" t="n">
        <v>27172</v>
      </c>
      <c r="X280" t="n">
        <v>27195</v>
      </c>
      <c r="Y280" t="n">
        <v>27294</v>
      </c>
      <c r="Z280" t="n">
        <v>320</v>
      </c>
      <c r="AA280" t="n">
        <v>221</v>
      </c>
      <c r="AB280" t="n">
        <v>0</v>
      </c>
      <c r="AC280" t="n">
        <v>0</v>
      </c>
      <c r="AD280" t="n">
        <v>0</v>
      </c>
      <c r="AE280" t="n">
        <v>0</v>
      </c>
      <c r="AF280" t="n">
        <v>0</v>
      </c>
      <c r="AG280" t="n">
        <v>0</v>
      </c>
      <c r="AH280" t="n">
        <v>0</v>
      </c>
      <c r="AI280" t="n">
        <v>0</v>
      </c>
      <c r="AJ280" t="n">
        <v>0</v>
      </c>
      <c r="AK280" t="n">
        <v>0</v>
      </c>
      <c r="AL280" t="n">
        <v>-547</v>
      </c>
      <c r="AM280" t="n">
        <v>50</v>
      </c>
      <c r="AN280" t="n">
        <v>-250</v>
      </c>
      <c r="AO280" t="n">
        <v>-50</v>
      </c>
      <c r="AP280" t="n">
        <v>-547</v>
      </c>
      <c r="AQ280" t="n">
        <v>-247</v>
      </c>
      <c r="AR280" t="n">
        <v>-547</v>
      </c>
      <c r="AS280" t="n">
        <v>-547</v>
      </c>
      <c r="AT280" t="n">
        <v>0</v>
      </c>
      <c r="AU280" t="n">
        <v>0</v>
      </c>
      <c r="AV280" t="n">
        <v>100</v>
      </c>
      <c r="AW280" t="n">
        <v>0.6</v>
      </c>
      <c r="AX280" t="n">
        <v>0.4</v>
      </c>
      <c r="AY280" t="n">
        <v>0</v>
      </c>
      <c r="AZ280" t="n">
        <v>98.3</v>
      </c>
      <c r="BA280" t="n">
        <v>98.8</v>
      </c>
      <c r="BB280" t="n">
        <v>98.8</v>
      </c>
      <c r="BC280" t="n">
        <v>99.2</v>
      </c>
      <c r="BD280" t="n">
        <v>1.2</v>
      </c>
      <c r="BE280" t="n">
        <v>0.8</v>
      </c>
      <c r="BF280" t="n">
        <v>100</v>
      </c>
      <c r="BG280" t="n">
        <v>0.6</v>
      </c>
      <c r="BH280" t="n">
        <v>0.4</v>
      </c>
      <c r="BI280" t="n">
        <v>0</v>
      </c>
      <c r="BJ280" t="n">
        <v>98.3</v>
      </c>
      <c r="BK280" t="n">
        <v>98.8</v>
      </c>
      <c r="BL280" t="n">
        <v>98.8</v>
      </c>
      <c r="BM280" t="n">
        <v>99.2</v>
      </c>
      <c r="BN280" t="n">
        <v>1.2</v>
      </c>
      <c r="BO280" t="n">
        <v>0.8</v>
      </c>
      <c r="BP280" t="n">
        <v>0</v>
      </c>
      <c r="BQ280" t="n">
        <v>0</v>
      </c>
      <c r="BR280" t="n">
        <v>0</v>
      </c>
      <c r="BS280" t="n">
        <v>0</v>
      </c>
      <c r="BT280" t="n">
        <v>0</v>
      </c>
      <c r="BU280" t="n">
        <v>0</v>
      </c>
      <c r="BV280" t="n">
        <v>0</v>
      </c>
      <c r="BW280" t="n">
        <v>0</v>
      </c>
      <c r="BX280" t="n">
        <v>0</v>
      </c>
      <c r="BY280" t="n">
        <v>0</v>
      </c>
      <c r="BZ280" t="n">
        <v>29</v>
      </c>
      <c r="CA280" t="n">
        <v>3</v>
      </c>
      <c r="CB280" t="n">
        <v>1</v>
      </c>
      <c r="CC280" t="n">
        <v>0</v>
      </c>
      <c r="CD280" t="n">
        <v>21</v>
      </c>
      <c r="CE280" t="n">
        <v>18</v>
      </c>
      <c r="CF280" t="n">
        <v>24</v>
      </c>
      <c r="CG280" t="n">
        <v>19</v>
      </c>
      <c r="CH280" t="n">
        <v>29</v>
      </c>
      <c r="CI280" t="n">
        <v>3</v>
      </c>
      <c r="CJ280" t="n">
        <v>1</v>
      </c>
      <c r="CK280" t="n">
        <v>0</v>
      </c>
      <c r="CL280" t="n">
        <v>21</v>
      </c>
      <c r="CM280" t="n">
        <v>18</v>
      </c>
      <c r="CN280" t="n">
        <v>24</v>
      </c>
      <c r="CO280" t="n">
        <v>19</v>
      </c>
      <c r="CP280" t="n">
        <v>0</v>
      </c>
      <c r="CQ280" t="n">
        <v>0</v>
      </c>
      <c r="CR280" t="n">
        <v>0</v>
      </c>
      <c r="CS280" t="n">
        <v>0</v>
      </c>
      <c r="CT280" t="n">
        <v>0</v>
      </c>
      <c r="CU280" t="n">
        <v>0</v>
      </c>
      <c r="CV280" t="n">
        <v>0</v>
      </c>
      <c r="CW280" t="n">
        <v>0</v>
      </c>
      <c r="CX280" t="n">
        <v>75.2</v>
      </c>
      <c r="CY280" t="n">
        <v>85.40000000000001</v>
      </c>
      <c r="CZ280" t="n">
        <v>89.7</v>
      </c>
      <c r="DA280" t="n">
        <v>94.7</v>
      </c>
      <c r="DB280" t="n">
        <v>75.2</v>
      </c>
      <c r="DC280" t="n">
        <v>79</v>
      </c>
      <c r="DD280" t="n">
        <v>81.3</v>
      </c>
      <c r="DE280" t="n">
        <v>84.3</v>
      </c>
      <c r="DF280" t="n">
        <v>75.2</v>
      </c>
      <c r="DG280" t="n">
        <v>85.40000000000001</v>
      </c>
      <c r="DH280" t="n">
        <v>89.7</v>
      </c>
      <c r="DI280" t="n">
        <v>94.7</v>
      </c>
      <c r="DJ280" t="n">
        <v>75.2</v>
      </c>
      <c r="DK280" t="n">
        <v>79</v>
      </c>
      <c r="DL280" t="n">
        <v>81.3</v>
      </c>
      <c r="DM280" t="n">
        <v>84.3</v>
      </c>
      <c r="DN280" t="n">
        <v>0</v>
      </c>
      <c r="DO280" t="n">
        <v>0</v>
      </c>
      <c r="DP280" t="n">
        <v>0</v>
      </c>
      <c r="DQ280" t="n">
        <v>0</v>
      </c>
      <c r="DR280" t="n">
        <v>0</v>
      </c>
      <c r="DS280" t="n">
        <v>0</v>
      </c>
      <c r="DT280" t="n">
        <v>0</v>
      </c>
      <c r="DU280" t="n">
        <v>0</v>
      </c>
      <c r="DV280" t="inlineStr">
        <is>
          <t>(1MW for about 368 Hours)</t>
        </is>
      </c>
    </row>
    <row r="281">
      <c r="A281" t="inlineStr">
        <is>
          <t>NYISO ZONE G DA PEAK - ICE FUTURES ENERGY DIV</t>
        </is>
      </c>
      <c r="B281" t="n">
        <v>230110</v>
      </c>
      <c r="C281" s="1" t="n">
        <v>44936</v>
      </c>
      <c r="D281" t="inlineStr">
        <is>
          <t>0643C3</t>
        </is>
      </c>
      <c r="E281" t="inlineStr">
        <is>
          <t>IFED</t>
        </is>
      </c>
      <c r="F281" t="inlineStr">
        <is>
          <t>01</t>
        </is>
      </c>
      <c r="G281" t="inlineStr">
        <is>
          <t xml:space="preserve">064 </t>
        </is>
      </c>
      <c r="H281" t="n">
        <v>27226</v>
      </c>
      <c r="I281" s="17" t="n">
        <v>0</v>
      </c>
      <c r="J281" s="17" t="n">
        <v>2711</v>
      </c>
      <c r="K281" t="n">
        <v>137</v>
      </c>
      <c r="L281" t="n">
        <v>26199</v>
      </c>
      <c r="M281" t="n">
        <v>24032</v>
      </c>
      <c r="N281" t="n">
        <v>26336</v>
      </c>
      <c r="O281" t="n">
        <v>26880</v>
      </c>
      <c r="P281" t="n">
        <v>890</v>
      </c>
      <c r="Q281" t="n">
        <v>346</v>
      </c>
      <c r="R281" t="n">
        <v>27226</v>
      </c>
      <c r="S281" t="n">
        <v>0</v>
      </c>
      <c r="T281" t="n">
        <v>2711</v>
      </c>
      <c r="U281" t="n">
        <v>137</v>
      </c>
      <c r="V281" t="n">
        <v>26199</v>
      </c>
      <c r="W281" t="n">
        <v>24032</v>
      </c>
      <c r="X281" t="n">
        <v>26336</v>
      </c>
      <c r="Y281" t="n">
        <v>26880</v>
      </c>
      <c r="Z281" t="n">
        <v>890</v>
      </c>
      <c r="AA281" t="n">
        <v>346</v>
      </c>
      <c r="AB281" t="n">
        <v>0</v>
      </c>
      <c r="AC281" t="n">
        <v>0</v>
      </c>
      <c r="AD281" t="n">
        <v>0</v>
      </c>
      <c r="AE281" t="n">
        <v>0</v>
      </c>
      <c r="AF281" t="n">
        <v>0</v>
      </c>
      <c r="AG281" t="n">
        <v>0</v>
      </c>
      <c r="AH281" t="n">
        <v>0</v>
      </c>
      <c r="AI281" t="n">
        <v>0</v>
      </c>
      <c r="AJ281" t="n">
        <v>0</v>
      </c>
      <c r="AK281" t="n">
        <v>0</v>
      </c>
      <c r="AL281" t="n">
        <v>-2844</v>
      </c>
      <c r="AM281" t="n">
        <v>-200</v>
      </c>
      <c r="AN281" t="n">
        <v>-15</v>
      </c>
      <c r="AO281" t="n">
        <v>40</v>
      </c>
      <c r="AP281" t="n">
        <v>-2987</v>
      </c>
      <c r="AQ281" t="n">
        <v>-3001</v>
      </c>
      <c r="AR281" t="n">
        <v>-3147</v>
      </c>
      <c r="AS281" t="n">
        <v>-2976</v>
      </c>
      <c r="AT281" t="n">
        <v>303</v>
      </c>
      <c r="AU281" t="n">
        <v>132</v>
      </c>
      <c r="AV281" t="n">
        <v>100</v>
      </c>
      <c r="AW281" t="n">
        <v>0</v>
      </c>
      <c r="AX281" t="n">
        <v>10</v>
      </c>
      <c r="AY281" t="n">
        <v>0.5</v>
      </c>
      <c r="AZ281" t="n">
        <v>96.2</v>
      </c>
      <c r="BA281" t="n">
        <v>88.3</v>
      </c>
      <c r="BB281" t="n">
        <v>96.7</v>
      </c>
      <c r="BC281" t="n">
        <v>98.7</v>
      </c>
      <c r="BD281" t="n">
        <v>3.3</v>
      </c>
      <c r="BE281" t="n">
        <v>1.3</v>
      </c>
      <c r="BF281" t="n">
        <v>100</v>
      </c>
      <c r="BG281" t="n">
        <v>0</v>
      </c>
      <c r="BH281" t="n">
        <v>10</v>
      </c>
      <c r="BI281" t="n">
        <v>0.5</v>
      </c>
      <c r="BJ281" t="n">
        <v>96.2</v>
      </c>
      <c r="BK281" t="n">
        <v>88.3</v>
      </c>
      <c r="BL281" t="n">
        <v>96.7</v>
      </c>
      <c r="BM281" t="n">
        <v>98.7</v>
      </c>
      <c r="BN281" t="n">
        <v>3.3</v>
      </c>
      <c r="BO281" t="n">
        <v>1.3</v>
      </c>
      <c r="BP281" t="n">
        <v>0</v>
      </c>
      <c r="BQ281" t="n">
        <v>0</v>
      </c>
      <c r="BR281" t="n">
        <v>0</v>
      </c>
      <c r="BS281" t="n">
        <v>0</v>
      </c>
      <c r="BT281" t="n">
        <v>0</v>
      </c>
      <c r="BU281" t="n">
        <v>0</v>
      </c>
      <c r="BV281" t="n">
        <v>0</v>
      </c>
      <c r="BW281" t="n">
        <v>0</v>
      </c>
      <c r="BX281" t="n">
        <v>0</v>
      </c>
      <c r="BY281" t="n">
        <v>0</v>
      </c>
      <c r="BZ281" t="n">
        <v>35</v>
      </c>
      <c r="CA281" t="n">
        <v>0</v>
      </c>
      <c r="CB281" t="n">
        <v>7</v>
      </c>
      <c r="CC281" t="n">
        <v>2</v>
      </c>
      <c r="CD281" t="n">
        <v>25</v>
      </c>
      <c r="CE281" t="n">
        <v>22</v>
      </c>
      <c r="CF281" t="n">
        <v>27</v>
      </c>
      <c r="CG281" t="n">
        <v>29</v>
      </c>
      <c r="CH281" t="n">
        <v>35</v>
      </c>
      <c r="CI281" t="n">
        <v>0</v>
      </c>
      <c r="CJ281" t="n">
        <v>7</v>
      </c>
      <c r="CK281" t="n">
        <v>2</v>
      </c>
      <c r="CL281" t="n">
        <v>25</v>
      </c>
      <c r="CM281" t="n">
        <v>22</v>
      </c>
      <c r="CN281" t="n">
        <v>27</v>
      </c>
      <c r="CO281" t="n">
        <v>29</v>
      </c>
      <c r="CP281" t="n">
        <v>0</v>
      </c>
      <c r="CQ281" t="n">
        <v>0</v>
      </c>
      <c r="CR281" t="n">
        <v>0</v>
      </c>
      <c r="CS281" t="n">
        <v>0</v>
      </c>
      <c r="CT281" t="n">
        <v>0</v>
      </c>
      <c r="CU281" t="n">
        <v>0</v>
      </c>
      <c r="CV281" t="n">
        <v>0</v>
      </c>
      <c r="CW281" t="n">
        <v>0</v>
      </c>
      <c r="CX281" t="n">
        <v>52.1</v>
      </c>
      <c r="CY281" t="n">
        <v>68.59999999999999</v>
      </c>
      <c r="CZ281" t="n">
        <v>70</v>
      </c>
      <c r="DA281" t="n">
        <v>81.3</v>
      </c>
      <c r="DB281" t="n">
        <v>38.5</v>
      </c>
      <c r="DC281" t="n">
        <v>58.6</v>
      </c>
      <c r="DD281" t="n">
        <v>54.5</v>
      </c>
      <c r="DE281" t="n">
        <v>68.40000000000001</v>
      </c>
      <c r="DF281" t="n">
        <v>52.1</v>
      </c>
      <c r="DG281" t="n">
        <v>68.59999999999999</v>
      </c>
      <c r="DH281" t="n">
        <v>70</v>
      </c>
      <c r="DI281" t="n">
        <v>81.3</v>
      </c>
      <c r="DJ281" t="n">
        <v>38.5</v>
      </c>
      <c r="DK281" t="n">
        <v>58.6</v>
      </c>
      <c r="DL281" t="n">
        <v>54.5</v>
      </c>
      <c r="DM281" t="n">
        <v>68.40000000000001</v>
      </c>
      <c r="DN281" t="n">
        <v>0</v>
      </c>
      <c r="DO281" t="n">
        <v>0</v>
      </c>
      <c r="DP281" t="n">
        <v>0</v>
      </c>
      <c r="DQ281" t="n">
        <v>0</v>
      </c>
      <c r="DR281" t="n">
        <v>0</v>
      </c>
      <c r="DS281" t="n">
        <v>0</v>
      </c>
      <c r="DT281" t="n">
        <v>0</v>
      </c>
      <c r="DU281" t="n">
        <v>0</v>
      </c>
      <c r="DV281" t="inlineStr">
        <is>
          <t>800MWh</t>
        </is>
      </c>
    </row>
    <row r="282">
      <c r="A282" t="inlineStr">
        <is>
          <t>NYISO ZONE G DA PEAK - ICE FUTURES ENERGY DIV</t>
        </is>
      </c>
      <c r="B282" t="n">
        <v>230103</v>
      </c>
      <c r="C282" s="1" t="n">
        <v>44929</v>
      </c>
      <c r="D282" t="inlineStr">
        <is>
          <t>0643C3</t>
        </is>
      </c>
      <c r="E282" t="inlineStr">
        <is>
          <t>IFED</t>
        </is>
      </c>
      <c r="F282" t="inlineStr">
        <is>
          <t>01</t>
        </is>
      </c>
      <c r="G282" t="inlineStr">
        <is>
          <t xml:space="preserve">064 </t>
        </is>
      </c>
      <c r="H282" t="n">
        <v>30070</v>
      </c>
      <c r="I282" s="17" t="n">
        <v>200</v>
      </c>
      <c r="J282" s="17" t="n">
        <v>2726</v>
      </c>
      <c r="K282" t="n">
        <v>97</v>
      </c>
      <c r="L282" t="n">
        <v>29186</v>
      </c>
      <c r="M282" t="n">
        <v>27033</v>
      </c>
      <c r="N282" t="n">
        <v>29483</v>
      </c>
      <c r="O282" t="n">
        <v>29856</v>
      </c>
      <c r="P282" t="n">
        <v>587</v>
      </c>
      <c r="Q282" t="n">
        <v>214</v>
      </c>
      <c r="R282" t="n">
        <v>30070</v>
      </c>
      <c r="S282" t="n">
        <v>200</v>
      </c>
      <c r="T282" t="n">
        <v>2726</v>
      </c>
      <c r="U282" t="n">
        <v>97</v>
      </c>
      <c r="V282" t="n">
        <v>29186</v>
      </c>
      <c r="W282" t="n">
        <v>27033</v>
      </c>
      <c r="X282" t="n">
        <v>29483</v>
      </c>
      <c r="Y282" t="n">
        <v>29856</v>
      </c>
      <c r="Z282" t="n">
        <v>587</v>
      </c>
      <c r="AA282" t="n">
        <v>214</v>
      </c>
      <c r="AB282" t="n">
        <v>0</v>
      </c>
      <c r="AC282" t="n">
        <v>0</v>
      </c>
      <c r="AD282" t="n">
        <v>0</v>
      </c>
      <c r="AE282" t="n">
        <v>0</v>
      </c>
      <c r="AF282" t="n">
        <v>0</v>
      </c>
      <c r="AG282" t="n">
        <v>0</v>
      </c>
      <c r="AH282" t="n">
        <v>0</v>
      </c>
      <c r="AI282" t="n">
        <v>0</v>
      </c>
      <c r="AJ282" t="n">
        <v>0</v>
      </c>
      <c r="AK282" t="n">
        <v>0</v>
      </c>
      <c r="AL282" t="n">
        <v>-199</v>
      </c>
      <c r="AM282" t="n">
        <v>0</v>
      </c>
      <c r="AN282" t="n">
        <v>103</v>
      </c>
      <c r="AO282" t="n">
        <v>-8</v>
      </c>
      <c r="AP282" t="n">
        <v>-168</v>
      </c>
      <c r="AQ282" t="n">
        <v>-320</v>
      </c>
      <c r="AR282" t="n">
        <v>-176</v>
      </c>
      <c r="AS282" t="n">
        <v>-225</v>
      </c>
      <c r="AT282" t="n">
        <v>-23</v>
      </c>
      <c r="AU282" t="n">
        <v>26</v>
      </c>
      <c r="AV282" t="n">
        <v>100</v>
      </c>
      <c r="AW282" t="n">
        <v>0.7</v>
      </c>
      <c r="AX282" t="n">
        <v>9.1</v>
      </c>
      <c r="AY282" t="n">
        <v>0.3</v>
      </c>
      <c r="AZ282" t="n">
        <v>97.09999999999999</v>
      </c>
      <c r="BA282" t="n">
        <v>89.90000000000001</v>
      </c>
      <c r="BB282" t="n">
        <v>98</v>
      </c>
      <c r="BC282" t="n">
        <v>99.3</v>
      </c>
      <c r="BD282" t="n">
        <v>2</v>
      </c>
      <c r="BE282" t="n">
        <v>0.7</v>
      </c>
      <c r="BF282" t="n">
        <v>100</v>
      </c>
      <c r="BG282" t="n">
        <v>0.7</v>
      </c>
      <c r="BH282" t="n">
        <v>9.1</v>
      </c>
      <c r="BI282" t="n">
        <v>0.3</v>
      </c>
      <c r="BJ282" t="n">
        <v>97.09999999999999</v>
      </c>
      <c r="BK282" t="n">
        <v>89.90000000000001</v>
      </c>
      <c r="BL282" t="n">
        <v>98</v>
      </c>
      <c r="BM282" t="n">
        <v>99.3</v>
      </c>
      <c r="BN282" t="n">
        <v>2</v>
      </c>
      <c r="BO282" t="n">
        <v>0.7</v>
      </c>
      <c r="BP282" t="n">
        <v>0</v>
      </c>
      <c r="BQ282" t="n">
        <v>0</v>
      </c>
      <c r="BR282" t="n">
        <v>0</v>
      </c>
      <c r="BS282" t="n">
        <v>0</v>
      </c>
      <c r="BT282" t="n">
        <v>0</v>
      </c>
      <c r="BU282" t="n">
        <v>0</v>
      </c>
      <c r="BV282" t="n">
        <v>0</v>
      </c>
      <c r="BW282" t="n">
        <v>0</v>
      </c>
      <c r="BX282" t="n">
        <v>0</v>
      </c>
      <c r="BY282" t="n">
        <v>0</v>
      </c>
      <c r="BZ282" t="n">
        <v>39</v>
      </c>
      <c r="CA282" t="n">
        <v>2</v>
      </c>
      <c r="CB282" t="n">
        <v>6</v>
      </c>
      <c r="CC282" t="n">
        <v>3</v>
      </c>
      <c r="CD282" t="n">
        <v>28</v>
      </c>
      <c r="CE282" t="n">
        <v>23</v>
      </c>
      <c r="CF282" t="n">
        <v>33</v>
      </c>
      <c r="CG282" t="n">
        <v>29</v>
      </c>
      <c r="CH282" t="n">
        <v>39</v>
      </c>
      <c r="CI282" t="n">
        <v>2</v>
      </c>
      <c r="CJ282" t="n">
        <v>6</v>
      </c>
      <c r="CK282" t="n">
        <v>3</v>
      </c>
      <c r="CL282" t="n">
        <v>28</v>
      </c>
      <c r="CM282" t="n">
        <v>23</v>
      </c>
      <c r="CN282" t="n">
        <v>33</v>
      </c>
      <c r="CO282" t="n">
        <v>29</v>
      </c>
      <c r="CP282" t="n">
        <v>0</v>
      </c>
      <c r="CQ282" t="n">
        <v>0</v>
      </c>
      <c r="CR282" t="n">
        <v>0</v>
      </c>
      <c r="CS282" t="n">
        <v>0</v>
      </c>
      <c r="CT282" t="n">
        <v>0</v>
      </c>
      <c r="CU282" t="n">
        <v>0</v>
      </c>
      <c r="CV282" t="n">
        <v>0</v>
      </c>
      <c r="CW282" t="n">
        <v>0</v>
      </c>
      <c r="CX282" t="n">
        <v>51.2</v>
      </c>
      <c r="CY282" t="n">
        <v>66.7</v>
      </c>
      <c r="CZ282" t="n">
        <v>68.7</v>
      </c>
      <c r="DA282" t="n">
        <v>80.59999999999999</v>
      </c>
      <c r="DB282" t="n">
        <v>35.4</v>
      </c>
      <c r="DC282" t="n">
        <v>53.8</v>
      </c>
      <c r="DD282" t="n">
        <v>50.8</v>
      </c>
      <c r="DE282" t="n">
        <v>63.2</v>
      </c>
      <c r="DF282" t="n">
        <v>51.2</v>
      </c>
      <c r="DG282" t="n">
        <v>66.7</v>
      </c>
      <c r="DH282" t="n">
        <v>68.7</v>
      </c>
      <c r="DI282" t="n">
        <v>80.59999999999999</v>
      </c>
      <c r="DJ282" t="n">
        <v>35.4</v>
      </c>
      <c r="DK282" t="n">
        <v>53.8</v>
      </c>
      <c r="DL282" t="n">
        <v>50.8</v>
      </c>
      <c r="DM282" t="n">
        <v>63.2</v>
      </c>
      <c r="DN282" t="n">
        <v>0</v>
      </c>
      <c r="DO282" t="n">
        <v>0</v>
      </c>
      <c r="DP282" t="n">
        <v>0</v>
      </c>
      <c r="DQ282" t="n">
        <v>0</v>
      </c>
      <c r="DR282" t="n">
        <v>0</v>
      </c>
      <c r="DS282" t="n">
        <v>0</v>
      </c>
      <c r="DT282" t="n">
        <v>0</v>
      </c>
      <c r="DU282" t="n">
        <v>0</v>
      </c>
      <c r="DV282" t="inlineStr">
        <is>
          <t>800MWh</t>
        </is>
      </c>
    </row>
    <row r="283">
      <c r="A283" t="inlineStr">
        <is>
          <t>NYISO ZONE G DA OFF-PK - ICE FUTURES ENERGY DIV</t>
        </is>
      </c>
      <c r="B283" t="n">
        <v>230110</v>
      </c>
      <c r="C283" s="1" t="n">
        <v>44936</v>
      </c>
      <c r="D283" t="inlineStr">
        <is>
          <t>0643C4</t>
        </is>
      </c>
      <c r="E283" t="inlineStr">
        <is>
          <t>IFED</t>
        </is>
      </c>
      <c r="F283" t="inlineStr">
        <is>
          <t>01</t>
        </is>
      </c>
      <c r="G283" t="inlineStr">
        <is>
          <t xml:space="preserve">064 </t>
        </is>
      </c>
      <c r="H283" t="n">
        <v>18611</v>
      </c>
      <c r="I283" s="17" t="n">
        <v>969</v>
      </c>
      <c r="J283" s="17" t="n">
        <v>268</v>
      </c>
      <c r="K283" t="n">
        <v>252</v>
      </c>
      <c r="L283" t="n">
        <v>16707</v>
      </c>
      <c r="M283" t="n">
        <v>17374</v>
      </c>
      <c r="N283" t="n">
        <v>17928</v>
      </c>
      <c r="O283" t="n">
        <v>17894</v>
      </c>
      <c r="P283" t="n">
        <v>683</v>
      </c>
      <c r="Q283" t="n">
        <v>717</v>
      </c>
      <c r="R283" t="n">
        <v>18611</v>
      </c>
      <c r="S283" t="n">
        <v>969</v>
      </c>
      <c r="T283" t="n">
        <v>268</v>
      </c>
      <c r="U283" t="n">
        <v>252</v>
      </c>
      <c r="V283" t="n">
        <v>16707</v>
      </c>
      <c r="W283" t="n">
        <v>17374</v>
      </c>
      <c r="X283" t="n">
        <v>17928</v>
      </c>
      <c r="Y283" t="n">
        <v>17894</v>
      </c>
      <c r="Z283" t="n">
        <v>683</v>
      </c>
      <c r="AA283" t="n">
        <v>717</v>
      </c>
      <c r="AB283" t="n">
        <v>0</v>
      </c>
      <c r="AC283" t="n">
        <v>0</v>
      </c>
      <c r="AD283" t="n">
        <v>0</v>
      </c>
      <c r="AE283" t="n">
        <v>0</v>
      </c>
      <c r="AF283" t="n">
        <v>0</v>
      </c>
      <c r="AG283" t="n">
        <v>0</v>
      </c>
      <c r="AH283" t="n">
        <v>0</v>
      </c>
      <c r="AI283" t="n">
        <v>0</v>
      </c>
      <c r="AJ283" t="n">
        <v>0</v>
      </c>
      <c r="AK283" t="n">
        <v>0</v>
      </c>
      <c r="AL283" t="n">
        <v>-2101</v>
      </c>
      <c r="AM283" t="n">
        <v>13</v>
      </c>
      <c r="AN283" t="n">
        <v>-315</v>
      </c>
      <c r="AO283" t="n">
        <v>-56</v>
      </c>
      <c r="AP283" t="n">
        <v>-2279</v>
      </c>
      <c r="AQ283" t="n">
        <v>-2056</v>
      </c>
      <c r="AR283" t="n">
        <v>-2322</v>
      </c>
      <c r="AS283" t="n">
        <v>-2427</v>
      </c>
      <c r="AT283" t="n">
        <v>221</v>
      </c>
      <c r="AU283" t="n">
        <v>326</v>
      </c>
      <c r="AV283" t="n">
        <v>100</v>
      </c>
      <c r="AW283" t="n">
        <v>5.2</v>
      </c>
      <c r="AX283" t="n">
        <v>1.4</v>
      </c>
      <c r="AY283" t="n">
        <v>1.4</v>
      </c>
      <c r="AZ283" t="n">
        <v>89.8</v>
      </c>
      <c r="BA283" t="n">
        <v>93.40000000000001</v>
      </c>
      <c r="BB283" t="n">
        <v>96.3</v>
      </c>
      <c r="BC283" t="n">
        <v>96.09999999999999</v>
      </c>
      <c r="BD283" t="n">
        <v>3.7</v>
      </c>
      <c r="BE283" t="n">
        <v>3.9</v>
      </c>
      <c r="BF283" t="n">
        <v>100</v>
      </c>
      <c r="BG283" t="n">
        <v>5.2</v>
      </c>
      <c r="BH283" t="n">
        <v>1.4</v>
      </c>
      <c r="BI283" t="n">
        <v>1.4</v>
      </c>
      <c r="BJ283" t="n">
        <v>89.8</v>
      </c>
      <c r="BK283" t="n">
        <v>93.40000000000001</v>
      </c>
      <c r="BL283" t="n">
        <v>96.3</v>
      </c>
      <c r="BM283" t="n">
        <v>96.09999999999999</v>
      </c>
      <c r="BN283" t="n">
        <v>3.7</v>
      </c>
      <c r="BO283" t="n">
        <v>3.9</v>
      </c>
      <c r="BP283" t="n">
        <v>0</v>
      </c>
      <c r="BQ283" t="n">
        <v>0</v>
      </c>
      <c r="BR283" t="n">
        <v>0</v>
      </c>
      <c r="BS283" t="n">
        <v>0</v>
      </c>
      <c r="BT283" t="n">
        <v>0</v>
      </c>
      <c r="BU283" t="n">
        <v>0</v>
      </c>
      <c r="BV283" t="n">
        <v>0</v>
      </c>
      <c r="BW283" t="n">
        <v>0</v>
      </c>
      <c r="BX283" t="n">
        <v>0</v>
      </c>
      <c r="BY283" t="n">
        <v>0</v>
      </c>
      <c r="BZ283" t="n">
        <v>27</v>
      </c>
      <c r="CA283" t="n">
        <v>3</v>
      </c>
      <c r="CB283" t="n">
        <v>2</v>
      </c>
      <c r="CC283" t="n">
        <v>2</v>
      </c>
      <c r="CD283" t="n">
        <v>20</v>
      </c>
      <c r="CE283" t="n">
        <v>16</v>
      </c>
      <c r="CF283" t="n">
        <v>23</v>
      </c>
      <c r="CG283" t="n">
        <v>20</v>
      </c>
      <c r="CH283" t="n">
        <v>27</v>
      </c>
      <c r="CI283" t="n">
        <v>3</v>
      </c>
      <c r="CJ283" t="n">
        <v>2</v>
      </c>
      <c r="CK283" t="n">
        <v>2</v>
      </c>
      <c r="CL283" t="n">
        <v>20</v>
      </c>
      <c r="CM283" t="n">
        <v>16</v>
      </c>
      <c r="CN283" t="n">
        <v>23</v>
      </c>
      <c r="CO283" t="n">
        <v>20</v>
      </c>
      <c r="CP283" t="n">
        <v>0</v>
      </c>
      <c r="CQ283" t="n">
        <v>0</v>
      </c>
      <c r="CR283" t="n">
        <v>0</v>
      </c>
      <c r="CS283" t="n">
        <v>0</v>
      </c>
      <c r="CT283" t="n">
        <v>0</v>
      </c>
      <c r="CU283" t="n">
        <v>0</v>
      </c>
      <c r="CV283" t="n">
        <v>0</v>
      </c>
      <c r="CW283" t="n">
        <v>0</v>
      </c>
      <c r="CX283" t="n">
        <v>53.9</v>
      </c>
      <c r="CY283" t="n">
        <v>75.59999999999999</v>
      </c>
      <c r="CZ283" t="n">
        <v>72</v>
      </c>
      <c r="DA283" t="n">
        <v>86</v>
      </c>
      <c r="DB283" t="n">
        <v>32.4</v>
      </c>
      <c r="DC283" t="n">
        <v>57.1</v>
      </c>
      <c r="DD283" t="n">
        <v>47.9</v>
      </c>
      <c r="DE283" t="n">
        <v>61.6</v>
      </c>
      <c r="DF283" t="n">
        <v>53.9</v>
      </c>
      <c r="DG283" t="n">
        <v>75.59999999999999</v>
      </c>
      <c r="DH283" t="n">
        <v>72</v>
      </c>
      <c r="DI283" t="n">
        <v>86</v>
      </c>
      <c r="DJ283" t="n">
        <v>32.4</v>
      </c>
      <c r="DK283" t="n">
        <v>57.1</v>
      </c>
      <c r="DL283" t="n">
        <v>47.9</v>
      </c>
      <c r="DM283" t="n">
        <v>61.6</v>
      </c>
      <c r="DN283" t="n">
        <v>0</v>
      </c>
      <c r="DO283" t="n">
        <v>0</v>
      </c>
      <c r="DP283" t="n">
        <v>0</v>
      </c>
      <c r="DQ283" t="n">
        <v>0</v>
      </c>
      <c r="DR283" t="n">
        <v>0</v>
      </c>
      <c r="DS283" t="n">
        <v>0</v>
      </c>
      <c r="DT283" t="n">
        <v>0</v>
      </c>
      <c r="DU283" t="n">
        <v>0</v>
      </c>
      <c r="DV283" t="inlineStr">
        <is>
          <t>(1MW for about 368 Hours)</t>
        </is>
      </c>
    </row>
    <row r="284">
      <c r="A284" t="inlineStr">
        <is>
          <t>NYISO ZONE G DA OFF-PK - ICE FUTURES ENERGY DIV</t>
        </is>
      </c>
      <c r="B284" t="n">
        <v>230103</v>
      </c>
      <c r="C284" s="1" t="n">
        <v>44929</v>
      </c>
      <c r="D284" t="inlineStr">
        <is>
          <t>0643C4</t>
        </is>
      </c>
      <c r="E284" t="inlineStr">
        <is>
          <t>IFED</t>
        </is>
      </c>
      <c r="F284" t="inlineStr">
        <is>
          <t>01</t>
        </is>
      </c>
      <c r="G284" t="inlineStr">
        <is>
          <t xml:space="preserve">064 </t>
        </is>
      </c>
      <c r="H284" t="n">
        <v>20712</v>
      </c>
      <c r="I284" s="17" t="n">
        <v>956</v>
      </c>
      <c r="J284" s="17" t="n">
        <v>583</v>
      </c>
      <c r="K284" t="n">
        <v>308</v>
      </c>
      <c r="L284" t="n">
        <v>18986</v>
      </c>
      <c r="M284" t="n">
        <v>19430</v>
      </c>
      <c r="N284" t="n">
        <v>20250</v>
      </c>
      <c r="O284" t="n">
        <v>20321</v>
      </c>
      <c r="P284" t="n">
        <v>462</v>
      </c>
      <c r="Q284" t="n">
        <v>391</v>
      </c>
      <c r="R284" t="n">
        <v>20712</v>
      </c>
      <c r="S284" t="n">
        <v>956</v>
      </c>
      <c r="T284" t="n">
        <v>583</v>
      </c>
      <c r="U284" t="n">
        <v>308</v>
      </c>
      <c r="V284" t="n">
        <v>18986</v>
      </c>
      <c r="W284" t="n">
        <v>19430</v>
      </c>
      <c r="X284" t="n">
        <v>20250</v>
      </c>
      <c r="Y284" t="n">
        <v>20321</v>
      </c>
      <c r="Z284" t="n">
        <v>462</v>
      </c>
      <c r="AA284" t="n">
        <v>391</v>
      </c>
      <c r="AB284" t="n">
        <v>0</v>
      </c>
      <c r="AC284" t="n">
        <v>0</v>
      </c>
      <c r="AD284" t="n">
        <v>0</v>
      </c>
      <c r="AE284" t="n">
        <v>0</v>
      </c>
      <c r="AF284" t="n">
        <v>0</v>
      </c>
      <c r="AG284" t="n">
        <v>0</v>
      </c>
      <c r="AH284" t="n">
        <v>0</v>
      </c>
      <c r="AI284" t="n">
        <v>0</v>
      </c>
      <c r="AJ284" t="n">
        <v>0</v>
      </c>
      <c r="AK284" t="n">
        <v>0</v>
      </c>
      <c r="AL284" t="n">
        <v>136</v>
      </c>
      <c r="AM284" t="n">
        <v>0</v>
      </c>
      <c r="AN284" t="n">
        <v>125</v>
      </c>
      <c r="AO284" t="n">
        <v>5</v>
      </c>
      <c r="AP284" t="n">
        <v>136</v>
      </c>
      <c r="AQ284" t="n">
        <v>41</v>
      </c>
      <c r="AR284" t="n">
        <v>141</v>
      </c>
      <c r="AS284" t="n">
        <v>171</v>
      </c>
      <c r="AT284" t="n">
        <v>-5</v>
      </c>
      <c r="AU284" t="n">
        <v>-35</v>
      </c>
      <c r="AV284" t="n">
        <v>100</v>
      </c>
      <c r="AW284" t="n">
        <v>4.6</v>
      </c>
      <c r="AX284" t="n">
        <v>2.8</v>
      </c>
      <c r="AY284" t="n">
        <v>1.5</v>
      </c>
      <c r="AZ284" t="n">
        <v>91.7</v>
      </c>
      <c r="BA284" t="n">
        <v>93.8</v>
      </c>
      <c r="BB284" t="n">
        <v>97.8</v>
      </c>
      <c r="BC284" t="n">
        <v>98.09999999999999</v>
      </c>
      <c r="BD284" t="n">
        <v>2.2</v>
      </c>
      <c r="BE284" t="n">
        <v>1.9</v>
      </c>
      <c r="BF284" t="n">
        <v>100</v>
      </c>
      <c r="BG284" t="n">
        <v>4.6</v>
      </c>
      <c r="BH284" t="n">
        <v>2.8</v>
      </c>
      <c r="BI284" t="n">
        <v>1.5</v>
      </c>
      <c r="BJ284" t="n">
        <v>91.7</v>
      </c>
      <c r="BK284" t="n">
        <v>93.8</v>
      </c>
      <c r="BL284" t="n">
        <v>97.8</v>
      </c>
      <c r="BM284" t="n">
        <v>98.09999999999999</v>
      </c>
      <c r="BN284" t="n">
        <v>2.2</v>
      </c>
      <c r="BO284" t="n">
        <v>1.9</v>
      </c>
      <c r="BP284" t="n">
        <v>0</v>
      </c>
      <c r="BQ284" t="n">
        <v>0</v>
      </c>
      <c r="BR284" t="n">
        <v>0</v>
      </c>
      <c r="BS284" t="n">
        <v>0</v>
      </c>
      <c r="BT284" t="n">
        <v>0</v>
      </c>
      <c r="BU284" t="n">
        <v>0</v>
      </c>
      <c r="BV284" t="n">
        <v>0</v>
      </c>
      <c r="BW284" t="n">
        <v>0</v>
      </c>
      <c r="BX284" t="n">
        <v>0</v>
      </c>
      <c r="BY284" t="n">
        <v>0</v>
      </c>
      <c r="BZ284" t="n">
        <v>34</v>
      </c>
      <c r="CA284" t="n">
        <v>3</v>
      </c>
      <c r="CB284" t="n">
        <v>4</v>
      </c>
      <c r="CC284" t="n">
        <v>4</v>
      </c>
      <c r="CD284" t="n">
        <v>25</v>
      </c>
      <c r="CE284" t="n">
        <v>19</v>
      </c>
      <c r="CF284" t="n">
        <v>30</v>
      </c>
      <c r="CG284" t="n">
        <v>25</v>
      </c>
      <c r="CH284" t="n">
        <v>34</v>
      </c>
      <c r="CI284" t="n">
        <v>3</v>
      </c>
      <c r="CJ284" t="n">
        <v>4</v>
      </c>
      <c r="CK284" t="n">
        <v>4</v>
      </c>
      <c r="CL284" t="n">
        <v>25</v>
      </c>
      <c r="CM284" t="n">
        <v>19</v>
      </c>
      <c r="CN284" t="n">
        <v>30</v>
      </c>
      <c r="CO284" t="n">
        <v>25</v>
      </c>
      <c r="CP284" t="n">
        <v>0</v>
      </c>
      <c r="CQ284" t="n">
        <v>0</v>
      </c>
      <c r="CR284" t="n">
        <v>0</v>
      </c>
      <c r="CS284" t="n">
        <v>0</v>
      </c>
      <c r="CT284" t="n">
        <v>0</v>
      </c>
      <c r="CU284" t="n">
        <v>0</v>
      </c>
      <c r="CV284" t="n">
        <v>0</v>
      </c>
      <c r="CW284" t="n">
        <v>0</v>
      </c>
      <c r="CX284" t="n">
        <v>52.7</v>
      </c>
      <c r="CY284" t="n">
        <v>73.09999999999999</v>
      </c>
      <c r="CZ284" t="n">
        <v>71</v>
      </c>
      <c r="DA284" t="n">
        <v>87.2</v>
      </c>
      <c r="DB284" t="n">
        <v>31.4</v>
      </c>
      <c r="DC284" t="n">
        <v>54.9</v>
      </c>
      <c r="DD284" t="n">
        <v>46.1</v>
      </c>
      <c r="DE284" t="n">
        <v>60</v>
      </c>
      <c r="DF284" t="n">
        <v>52.7</v>
      </c>
      <c r="DG284" t="n">
        <v>73.09999999999999</v>
      </c>
      <c r="DH284" t="n">
        <v>71</v>
      </c>
      <c r="DI284" t="n">
        <v>87.2</v>
      </c>
      <c r="DJ284" t="n">
        <v>31.4</v>
      </c>
      <c r="DK284" t="n">
        <v>54.9</v>
      </c>
      <c r="DL284" t="n">
        <v>46.1</v>
      </c>
      <c r="DM284" t="n">
        <v>60</v>
      </c>
      <c r="DN284" t="n">
        <v>0</v>
      </c>
      <c r="DO284" t="n">
        <v>0</v>
      </c>
      <c r="DP284" t="n">
        <v>0</v>
      </c>
      <c r="DQ284" t="n">
        <v>0</v>
      </c>
      <c r="DR284" t="n">
        <v>0</v>
      </c>
      <c r="DS284" t="n">
        <v>0</v>
      </c>
      <c r="DT284" t="n">
        <v>0</v>
      </c>
      <c r="DU284" t="n">
        <v>0</v>
      </c>
      <c r="DV284" t="inlineStr">
        <is>
          <t>(1MW for about 368 Hours)</t>
        </is>
      </c>
    </row>
    <row r="285">
      <c r="A285" t="inlineStr">
        <is>
          <t>PALO VERDE DA PEAK - ICE FUTURES ENERGY DIV</t>
        </is>
      </c>
      <c r="B285" t="n">
        <v>230110</v>
      </c>
      <c r="C285" s="1" t="n">
        <v>44936</v>
      </c>
      <c r="D285" t="inlineStr">
        <is>
          <t>0643CB</t>
        </is>
      </c>
      <c r="E285" t="inlineStr">
        <is>
          <t>IFED</t>
        </is>
      </c>
      <c r="F285" t="inlineStr">
        <is>
          <t>01</t>
        </is>
      </c>
      <c r="G285" t="inlineStr">
        <is>
          <t xml:space="preserve">064 </t>
        </is>
      </c>
      <c r="H285" t="n">
        <v>12587</v>
      </c>
      <c r="I285" s="17" t="n">
        <v>290</v>
      </c>
      <c r="J285" s="17" t="n">
        <v>0</v>
      </c>
      <c r="K285" t="n">
        <v>430</v>
      </c>
      <c r="L285" t="n">
        <v>11747</v>
      </c>
      <c r="M285" t="n">
        <v>12145</v>
      </c>
      <c r="N285" t="n">
        <v>12467</v>
      </c>
      <c r="O285" t="n">
        <v>12575</v>
      </c>
      <c r="P285" t="n">
        <v>120</v>
      </c>
      <c r="Q285" t="n">
        <v>12</v>
      </c>
      <c r="R285" t="n">
        <v>12587</v>
      </c>
      <c r="S285" t="n">
        <v>290</v>
      </c>
      <c r="T285" t="n">
        <v>0</v>
      </c>
      <c r="U285" t="n">
        <v>430</v>
      </c>
      <c r="V285" t="n">
        <v>11747</v>
      </c>
      <c r="W285" t="n">
        <v>12145</v>
      </c>
      <c r="X285" t="n">
        <v>12467</v>
      </c>
      <c r="Y285" t="n">
        <v>12575</v>
      </c>
      <c r="Z285" t="n">
        <v>120</v>
      </c>
      <c r="AA285" t="n">
        <v>12</v>
      </c>
      <c r="AB285" t="n">
        <v>0</v>
      </c>
      <c r="AC285" t="n">
        <v>0</v>
      </c>
      <c r="AD285" t="n">
        <v>0</v>
      </c>
      <c r="AE285" t="n">
        <v>0</v>
      </c>
      <c r="AF285" t="n">
        <v>0</v>
      </c>
      <c r="AG285" t="n">
        <v>0</v>
      </c>
      <c r="AH285" t="n">
        <v>0</v>
      </c>
      <c r="AI285" t="n">
        <v>0</v>
      </c>
      <c r="AJ285" t="n">
        <v>0</v>
      </c>
      <c r="AK285" t="n">
        <v>0</v>
      </c>
      <c r="AL285" t="n">
        <v>-16</v>
      </c>
      <c r="AM285" t="n">
        <v>-125</v>
      </c>
      <c r="AN285" t="n">
        <v>0</v>
      </c>
      <c r="AO285" t="n">
        <v>50</v>
      </c>
      <c r="AP285" t="n">
        <v>59</v>
      </c>
      <c r="AQ285" t="n">
        <v>-66</v>
      </c>
      <c r="AR285" t="n">
        <v>-16</v>
      </c>
      <c r="AS285" t="n">
        <v>-16</v>
      </c>
      <c r="AT285" t="n">
        <v>0</v>
      </c>
      <c r="AU285" t="n">
        <v>0</v>
      </c>
      <c r="AV285" t="n">
        <v>100</v>
      </c>
      <c r="AW285" t="n">
        <v>2.3</v>
      </c>
      <c r="AX285" t="n">
        <v>0</v>
      </c>
      <c r="AY285" t="n">
        <v>3.4</v>
      </c>
      <c r="AZ285" t="n">
        <v>93.3</v>
      </c>
      <c r="BA285" t="n">
        <v>96.5</v>
      </c>
      <c r="BB285" t="n">
        <v>99</v>
      </c>
      <c r="BC285" t="n">
        <v>99.90000000000001</v>
      </c>
      <c r="BD285" t="n">
        <v>1</v>
      </c>
      <c r="BE285" t="n">
        <v>0.1</v>
      </c>
      <c r="BF285" t="n">
        <v>100</v>
      </c>
      <c r="BG285" t="n">
        <v>2.3</v>
      </c>
      <c r="BH285" t="n">
        <v>0</v>
      </c>
      <c r="BI285" t="n">
        <v>3.4</v>
      </c>
      <c r="BJ285" t="n">
        <v>93.3</v>
      </c>
      <c r="BK285" t="n">
        <v>96.5</v>
      </c>
      <c r="BL285" t="n">
        <v>99</v>
      </c>
      <c r="BM285" t="n">
        <v>99.90000000000001</v>
      </c>
      <c r="BN285" t="n">
        <v>1</v>
      </c>
      <c r="BO285" t="n">
        <v>0.1</v>
      </c>
      <c r="BP285" t="n">
        <v>0</v>
      </c>
      <c r="BQ285" t="n">
        <v>0</v>
      </c>
      <c r="BR285" t="n">
        <v>0</v>
      </c>
      <c r="BS285" t="n">
        <v>0</v>
      </c>
      <c r="BT285" t="n">
        <v>0</v>
      </c>
      <c r="BU285" t="n">
        <v>0</v>
      </c>
      <c r="BV285" t="n">
        <v>0</v>
      </c>
      <c r="BW285" t="n">
        <v>0</v>
      </c>
      <c r="BX285" t="n">
        <v>0</v>
      </c>
      <c r="BY285" t="n">
        <v>0</v>
      </c>
      <c r="BZ285" t="n">
        <v>26</v>
      </c>
      <c r="CA285" t="n">
        <v>3</v>
      </c>
      <c r="CB285" t="n">
        <v>0</v>
      </c>
      <c r="CC285" t="n">
        <v>1</v>
      </c>
      <c r="CD285" t="n">
        <v>16</v>
      </c>
      <c r="CE285" t="n">
        <v>17</v>
      </c>
      <c r="CF285" t="n">
        <v>19</v>
      </c>
      <c r="CG285" t="n">
        <v>18</v>
      </c>
      <c r="CH285" t="n">
        <v>26</v>
      </c>
      <c r="CI285" t="n">
        <v>3</v>
      </c>
      <c r="CJ285" t="n">
        <v>0</v>
      </c>
      <c r="CK285" t="n">
        <v>1</v>
      </c>
      <c r="CL285" t="n">
        <v>16</v>
      </c>
      <c r="CM285" t="n">
        <v>17</v>
      </c>
      <c r="CN285" t="n">
        <v>19</v>
      </c>
      <c r="CO285" t="n">
        <v>18</v>
      </c>
      <c r="CP285" t="n">
        <v>0</v>
      </c>
      <c r="CQ285" t="n">
        <v>0</v>
      </c>
      <c r="CR285" t="n">
        <v>0</v>
      </c>
      <c r="CS285" t="n">
        <v>0</v>
      </c>
      <c r="CT285" t="n">
        <v>0</v>
      </c>
      <c r="CU285" t="n">
        <v>0</v>
      </c>
      <c r="CV285" t="n">
        <v>0</v>
      </c>
      <c r="CW285" t="n">
        <v>0</v>
      </c>
      <c r="CX285" t="n">
        <v>67.59999999999999</v>
      </c>
      <c r="CY285" t="n">
        <v>75.40000000000001</v>
      </c>
      <c r="CZ285" t="n">
        <v>85.5</v>
      </c>
      <c r="DA285" t="n">
        <v>88.59999999999999</v>
      </c>
      <c r="DB285" t="n">
        <v>63.1</v>
      </c>
      <c r="DC285" t="n">
        <v>68.5</v>
      </c>
      <c r="DD285" t="n">
        <v>70.8</v>
      </c>
      <c r="DE285" t="n">
        <v>75.3</v>
      </c>
      <c r="DF285" t="n">
        <v>67.59999999999999</v>
      </c>
      <c r="DG285" t="n">
        <v>75.40000000000001</v>
      </c>
      <c r="DH285" t="n">
        <v>85.5</v>
      </c>
      <c r="DI285" t="n">
        <v>88.59999999999999</v>
      </c>
      <c r="DJ285" t="n">
        <v>63.1</v>
      </c>
      <c r="DK285" t="n">
        <v>68.5</v>
      </c>
      <c r="DL285" t="n">
        <v>70.8</v>
      </c>
      <c r="DM285" t="n">
        <v>75.3</v>
      </c>
      <c r="DN285" t="n">
        <v>0</v>
      </c>
      <c r="DO285" t="n">
        <v>0</v>
      </c>
      <c r="DP285" t="n">
        <v>0</v>
      </c>
      <c r="DQ285" t="n">
        <v>0</v>
      </c>
      <c r="DR285" t="n">
        <v>0</v>
      </c>
      <c r="DS285" t="n">
        <v>0</v>
      </c>
      <c r="DT285" t="n">
        <v>0</v>
      </c>
      <c r="DU285" t="n">
        <v>0</v>
      </c>
      <c r="DV285" t="inlineStr">
        <is>
          <t>400MWh</t>
        </is>
      </c>
    </row>
    <row r="286">
      <c r="A286" t="inlineStr">
        <is>
          <t>PALO VERDE DA PEAK - ICE FUTURES ENERGY DIV</t>
        </is>
      </c>
      <c r="B286" t="n">
        <v>230103</v>
      </c>
      <c r="C286" s="1" t="n">
        <v>44929</v>
      </c>
      <c r="D286" t="inlineStr">
        <is>
          <t>0643CB</t>
        </is>
      </c>
      <c r="E286" t="inlineStr">
        <is>
          <t>IFED</t>
        </is>
      </c>
      <c r="F286" t="inlineStr">
        <is>
          <t>01</t>
        </is>
      </c>
      <c r="G286" t="inlineStr">
        <is>
          <t xml:space="preserve">064 </t>
        </is>
      </c>
      <c r="H286" t="n">
        <v>12603</v>
      </c>
      <c r="I286" s="17" t="n">
        <v>415</v>
      </c>
      <c r="J286" s="17" t="n">
        <v>0</v>
      </c>
      <c r="K286" t="n">
        <v>380</v>
      </c>
      <c r="L286" t="n">
        <v>11688</v>
      </c>
      <c r="M286" t="n">
        <v>12211</v>
      </c>
      <c r="N286" t="n">
        <v>12483</v>
      </c>
      <c r="O286" t="n">
        <v>12591</v>
      </c>
      <c r="P286" t="n">
        <v>120</v>
      </c>
      <c r="Q286" t="n">
        <v>12</v>
      </c>
      <c r="R286" t="n">
        <v>12603</v>
      </c>
      <c r="S286" t="n">
        <v>415</v>
      </c>
      <c r="T286" t="n">
        <v>0</v>
      </c>
      <c r="U286" t="n">
        <v>380</v>
      </c>
      <c r="V286" t="n">
        <v>11688</v>
      </c>
      <c r="W286" t="n">
        <v>12211</v>
      </c>
      <c r="X286" t="n">
        <v>12483</v>
      </c>
      <c r="Y286" t="n">
        <v>12591</v>
      </c>
      <c r="Z286" t="n">
        <v>120</v>
      </c>
      <c r="AA286" t="n">
        <v>12</v>
      </c>
      <c r="AB286" t="n">
        <v>0</v>
      </c>
      <c r="AC286" t="n">
        <v>0</v>
      </c>
      <c r="AD286" t="n">
        <v>0</v>
      </c>
      <c r="AE286" t="n">
        <v>0</v>
      </c>
      <c r="AF286" t="n">
        <v>0</v>
      </c>
      <c r="AG286" t="n">
        <v>0</v>
      </c>
      <c r="AH286" t="n">
        <v>0</v>
      </c>
      <c r="AI286" t="n">
        <v>0</v>
      </c>
      <c r="AJ286" t="n">
        <v>0</v>
      </c>
      <c r="AK286" t="n">
        <v>0</v>
      </c>
      <c r="AL286" t="n">
        <v>-725</v>
      </c>
      <c r="AM286" t="n">
        <v>-98</v>
      </c>
      <c r="AN286" t="n">
        <v>0</v>
      </c>
      <c r="AO286" t="n">
        <v>0</v>
      </c>
      <c r="AP286" t="n">
        <v>-620</v>
      </c>
      <c r="AQ286" t="n">
        <v>-725</v>
      </c>
      <c r="AR286" t="n">
        <v>-718</v>
      </c>
      <c r="AS286" t="n">
        <v>-725</v>
      </c>
      <c r="AT286" t="n">
        <v>-7</v>
      </c>
      <c r="AU286" t="n">
        <v>0</v>
      </c>
      <c r="AV286" t="n">
        <v>100</v>
      </c>
      <c r="AW286" t="n">
        <v>3.3</v>
      </c>
      <c r="AX286" t="n">
        <v>0</v>
      </c>
      <c r="AY286" t="n">
        <v>3</v>
      </c>
      <c r="AZ286" t="n">
        <v>92.7</v>
      </c>
      <c r="BA286" t="n">
        <v>96.90000000000001</v>
      </c>
      <c r="BB286" t="n">
        <v>99</v>
      </c>
      <c r="BC286" t="n">
        <v>99.90000000000001</v>
      </c>
      <c r="BD286" t="n">
        <v>1</v>
      </c>
      <c r="BE286" t="n">
        <v>0.1</v>
      </c>
      <c r="BF286" t="n">
        <v>100</v>
      </c>
      <c r="BG286" t="n">
        <v>3.3</v>
      </c>
      <c r="BH286" t="n">
        <v>0</v>
      </c>
      <c r="BI286" t="n">
        <v>3</v>
      </c>
      <c r="BJ286" t="n">
        <v>92.7</v>
      </c>
      <c r="BK286" t="n">
        <v>96.90000000000001</v>
      </c>
      <c r="BL286" t="n">
        <v>99</v>
      </c>
      <c r="BM286" t="n">
        <v>99.90000000000001</v>
      </c>
      <c r="BN286" t="n">
        <v>1</v>
      </c>
      <c r="BO286" t="n">
        <v>0.1</v>
      </c>
      <c r="BP286" t="n">
        <v>0</v>
      </c>
      <c r="BQ286" t="n">
        <v>0</v>
      </c>
      <c r="BR286" t="n">
        <v>0</v>
      </c>
      <c r="BS286" t="n">
        <v>0</v>
      </c>
      <c r="BT286" t="n">
        <v>0</v>
      </c>
      <c r="BU286" t="n">
        <v>0</v>
      </c>
      <c r="BV286" t="n">
        <v>0</v>
      </c>
      <c r="BW286" t="n">
        <v>0</v>
      </c>
      <c r="BX286" t="n">
        <v>0</v>
      </c>
      <c r="BY286" t="n">
        <v>0</v>
      </c>
      <c r="BZ286" t="n">
        <v>26</v>
      </c>
      <c r="CA286" t="n">
        <v>3</v>
      </c>
      <c r="CB286" t="n">
        <v>0</v>
      </c>
      <c r="CC286" t="n">
        <v>1</v>
      </c>
      <c r="CD286" t="n">
        <v>16</v>
      </c>
      <c r="CE286" t="n">
        <v>16</v>
      </c>
      <c r="CF286" t="n">
        <v>19</v>
      </c>
      <c r="CG286" t="n">
        <v>17</v>
      </c>
      <c r="CH286" t="n">
        <v>26</v>
      </c>
      <c r="CI286" t="n">
        <v>3</v>
      </c>
      <c r="CJ286" t="n">
        <v>0</v>
      </c>
      <c r="CK286" t="n">
        <v>1</v>
      </c>
      <c r="CL286" t="n">
        <v>16</v>
      </c>
      <c r="CM286" t="n">
        <v>16</v>
      </c>
      <c r="CN286" t="n">
        <v>19</v>
      </c>
      <c r="CO286" t="n">
        <v>17</v>
      </c>
      <c r="CP286" t="n">
        <v>0</v>
      </c>
      <c r="CQ286" t="n">
        <v>0</v>
      </c>
      <c r="CR286" t="n">
        <v>0</v>
      </c>
      <c r="CS286" t="n">
        <v>0</v>
      </c>
      <c r="CT286" t="n">
        <v>0</v>
      </c>
      <c r="CU286" t="n">
        <v>0</v>
      </c>
      <c r="CV286" t="n">
        <v>0</v>
      </c>
      <c r="CW286" t="n">
        <v>0</v>
      </c>
      <c r="CX286" t="n">
        <v>67.5</v>
      </c>
      <c r="CY286" t="n">
        <v>75.90000000000001</v>
      </c>
      <c r="CZ286" t="n">
        <v>84.59999999999999</v>
      </c>
      <c r="DA286" t="n">
        <v>88.59999999999999</v>
      </c>
      <c r="DB286" t="n">
        <v>63</v>
      </c>
      <c r="DC286" t="n">
        <v>69</v>
      </c>
      <c r="DD286" t="n">
        <v>71.90000000000001</v>
      </c>
      <c r="DE286" t="n">
        <v>75.8</v>
      </c>
      <c r="DF286" t="n">
        <v>67.5</v>
      </c>
      <c r="DG286" t="n">
        <v>75.90000000000001</v>
      </c>
      <c r="DH286" t="n">
        <v>84.59999999999999</v>
      </c>
      <c r="DI286" t="n">
        <v>88.59999999999999</v>
      </c>
      <c r="DJ286" t="n">
        <v>63</v>
      </c>
      <c r="DK286" t="n">
        <v>69</v>
      </c>
      <c r="DL286" t="n">
        <v>71.90000000000001</v>
      </c>
      <c r="DM286" t="n">
        <v>75.8</v>
      </c>
      <c r="DN286" t="n">
        <v>0</v>
      </c>
      <c r="DO286" t="n">
        <v>0</v>
      </c>
      <c r="DP286" t="n">
        <v>0</v>
      </c>
      <c r="DQ286" t="n">
        <v>0</v>
      </c>
      <c r="DR286" t="n">
        <v>0</v>
      </c>
      <c r="DS286" t="n">
        <v>0</v>
      </c>
      <c r="DT286" t="n">
        <v>0</v>
      </c>
      <c r="DU286" t="n">
        <v>0</v>
      </c>
      <c r="DV286" t="inlineStr">
        <is>
          <t>400MWh</t>
        </is>
      </c>
    </row>
    <row r="287">
      <c r="A287" t="inlineStr">
        <is>
          <t>PALO VERDE DA OFF-PK FiXED PR - ICE FUTURES ENERGY DIV</t>
        </is>
      </c>
      <c r="B287" t="n">
        <v>230110</v>
      </c>
      <c r="C287" s="1" t="n">
        <v>44936</v>
      </c>
      <c r="D287" t="inlineStr">
        <is>
          <t>0643CC</t>
        </is>
      </c>
      <c r="E287" t="inlineStr">
        <is>
          <t>IFED</t>
        </is>
      </c>
      <c r="F287" t="inlineStr">
        <is>
          <t>01</t>
        </is>
      </c>
      <c r="G287" t="inlineStr">
        <is>
          <t xml:space="preserve">064 </t>
        </is>
      </c>
      <c r="H287" t="n">
        <v>11410</v>
      </c>
      <c r="I287" s="17" t="n">
        <v>505</v>
      </c>
      <c r="J287" s="17" t="n">
        <v>380</v>
      </c>
      <c r="K287" t="n">
        <v>0</v>
      </c>
      <c r="L287" t="n">
        <v>10900</v>
      </c>
      <c r="M287" t="n">
        <v>11030</v>
      </c>
      <c r="N287" t="n">
        <v>11405</v>
      </c>
      <c r="O287" t="n">
        <v>11410</v>
      </c>
      <c r="P287" t="n">
        <v>5</v>
      </c>
      <c r="Q287" t="n">
        <v>0</v>
      </c>
      <c r="R287" t="n">
        <v>11410</v>
      </c>
      <c r="S287" t="n">
        <v>505</v>
      </c>
      <c r="T287" t="n">
        <v>380</v>
      </c>
      <c r="U287" t="n">
        <v>0</v>
      </c>
      <c r="V287" t="n">
        <v>10900</v>
      </c>
      <c r="W287" t="n">
        <v>11030</v>
      </c>
      <c r="X287" t="n">
        <v>11405</v>
      </c>
      <c r="Y287" t="n">
        <v>11410</v>
      </c>
      <c r="Z287" t="n">
        <v>5</v>
      </c>
      <c r="AA287" t="n">
        <v>0</v>
      </c>
      <c r="AB287" t="n">
        <v>0</v>
      </c>
      <c r="AC287" t="n">
        <v>0</v>
      </c>
      <c r="AD287" t="n">
        <v>0</v>
      </c>
      <c r="AE287" t="n">
        <v>0</v>
      </c>
      <c r="AF287" t="n">
        <v>0</v>
      </c>
      <c r="AG287" t="n">
        <v>0</v>
      </c>
      <c r="AH287" t="n">
        <v>0</v>
      </c>
      <c r="AI287" t="n">
        <v>0</v>
      </c>
      <c r="AJ287" t="n">
        <v>0</v>
      </c>
      <c r="AK287" t="n">
        <v>0</v>
      </c>
      <c r="AL287" t="n">
        <v>0</v>
      </c>
      <c r="AM287" t="n">
        <v>0</v>
      </c>
      <c r="AN287" t="n">
        <v>0</v>
      </c>
      <c r="AO287" t="n">
        <v>0</v>
      </c>
      <c r="AP287" t="n">
        <v>0</v>
      </c>
      <c r="AQ287" t="n">
        <v>0</v>
      </c>
      <c r="AR287" t="n">
        <v>0</v>
      </c>
      <c r="AS287" t="n">
        <v>0</v>
      </c>
      <c r="AT287" t="n">
        <v>0</v>
      </c>
      <c r="AU287" t="n">
        <v>0</v>
      </c>
      <c r="AV287" t="n">
        <v>100</v>
      </c>
      <c r="AW287" t="n">
        <v>4.4</v>
      </c>
      <c r="AX287" t="n">
        <v>3.3</v>
      </c>
      <c r="AY287" t="n">
        <v>0</v>
      </c>
      <c r="AZ287" t="n">
        <v>95.5</v>
      </c>
      <c r="BA287" t="n">
        <v>96.7</v>
      </c>
      <c r="BB287" t="n">
        <v>100</v>
      </c>
      <c r="BC287" t="n">
        <v>100</v>
      </c>
      <c r="BD287" t="n">
        <v>0</v>
      </c>
      <c r="BE287" t="n">
        <v>0</v>
      </c>
      <c r="BF287" t="n">
        <v>100</v>
      </c>
      <c r="BG287" t="n">
        <v>4.4</v>
      </c>
      <c r="BH287" t="n">
        <v>3.3</v>
      </c>
      <c r="BI287" t="n">
        <v>0</v>
      </c>
      <c r="BJ287" t="n">
        <v>95.5</v>
      </c>
      <c r="BK287" t="n">
        <v>96.7</v>
      </c>
      <c r="BL287" t="n">
        <v>100</v>
      </c>
      <c r="BM287" t="n">
        <v>100</v>
      </c>
      <c r="BN287" t="n">
        <v>0</v>
      </c>
      <c r="BO287" t="n">
        <v>0</v>
      </c>
      <c r="BP287" t="n">
        <v>0</v>
      </c>
      <c r="BQ287" t="n">
        <v>0</v>
      </c>
      <c r="BR287" t="n">
        <v>0</v>
      </c>
      <c r="BS287" t="n">
        <v>0</v>
      </c>
      <c r="BT287" t="n">
        <v>0</v>
      </c>
      <c r="BU287" t="n">
        <v>0</v>
      </c>
      <c r="BV287" t="n">
        <v>0</v>
      </c>
      <c r="BW287" t="n">
        <v>0</v>
      </c>
      <c r="BX287" t="n">
        <v>0</v>
      </c>
      <c r="BY287" t="n">
        <v>0</v>
      </c>
      <c r="BZ287" t="n">
        <v>20</v>
      </c>
      <c r="CA287" t="n">
        <v>2</v>
      </c>
      <c r="CB287" t="n">
        <v>1</v>
      </c>
      <c r="CC287" t="n">
        <v>0</v>
      </c>
      <c r="CD287" t="n">
        <v>11</v>
      </c>
      <c r="CE287" t="n">
        <v>9</v>
      </c>
      <c r="CF287" t="n">
        <v>13</v>
      </c>
      <c r="CG287" t="n">
        <v>10</v>
      </c>
      <c r="CH287" t="n">
        <v>20</v>
      </c>
      <c r="CI287" t="n">
        <v>2</v>
      </c>
      <c r="CJ287" t="n">
        <v>1</v>
      </c>
      <c r="CK287" t="n">
        <v>0</v>
      </c>
      <c r="CL287" t="n">
        <v>11</v>
      </c>
      <c r="CM287" t="n">
        <v>9</v>
      </c>
      <c r="CN287" t="n">
        <v>13</v>
      </c>
      <c r="CO287" t="n">
        <v>10</v>
      </c>
      <c r="CP287" t="n">
        <v>0</v>
      </c>
      <c r="CQ287" t="n">
        <v>0</v>
      </c>
      <c r="CR287" t="n">
        <v>0</v>
      </c>
      <c r="CS287" t="n">
        <v>0</v>
      </c>
      <c r="CT287" t="n">
        <v>0</v>
      </c>
      <c r="CU287" t="n">
        <v>0</v>
      </c>
      <c r="CV287" t="n">
        <v>0</v>
      </c>
      <c r="CW287" t="n">
        <v>0</v>
      </c>
      <c r="CX287" t="n">
        <v>70.40000000000001</v>
      </c>
      <c r="CY287" t="n">
        <v>87.09999999999999</v>
      </c>
      <c r="CZ287" t="n">
        <v>91.8</v>
      </c>
      <c r="DA287" t="n">
        <v>98.90000000000001</v>
      </c>
      <c r="DB287" t="n">
        <v>70.40000000000001</v>
      </c>
      <c r="DC287" t="n">
        <v>85.40000000000001</v>
      </c>
      <c r="DD287" t="n">
        <v>88.8</v>
      </c>
      <c r="DE287" t="n">
        <v>94.59999999999999</v>
      </c>
      <c r="DF287" t="n">
        <v>70.40000000000001</v>
      </c>
      <c r="DG287" t="n">
        <v>87.09999999999999</v>
      </c>
      <c r="DH287" t="n">
        <v>91.8</v>
      </c>
      <c r="DI287" t="n">
        <v>98.90000000000001</v>
      </c>
      <c r="DJ287" t="n">
        <v>70.40000000000001</v>
      </c>
      <c r="DK287" t="n">
        <v>85.40000000000001</v>
      </c>
      <c r="DL287" t="n">
        <v>88.8</v>
      </c>
      <c r="DM287" t="n">
        <v>94.59999999999999</v>
      </c>
      <c r="DN287" t="n">
        <v>0</v>
      </c>
      <c r="DO287" t="n">
        <v>0</v>
      </c>
      <c r="DP287" t="n">
        <v>0</v>
      </c>
      <c r="DQ287" t="n">
        <v>0</v>
      </c>
      <c r="DR287" t="n">
        <v>0</v>
      </c>
      <c r="DS287" t="n">
        <v>0</v>
      </c>
      <c r="DT287" t="n">
        <v>0</v>
      </c>
      <c r="DU287" t="n">
        <v>0</v>
      </c>
      <c r="DV287" t="inlineStr">
        <is>
          <t>(1 MW for about 368 Hours)</t>
        </is>
      </c>
    </row>
    <row r="288">
      <c r="A288" t="inlineStr">
        <is>
          <t>PALO VERDE DA OFF-PK FiXED PR - ICE FUTURES ENERGY DIV</t>
        </is>
      </c>
      <c r="B288" t="n">
        <v>230103</v>
      </c>
      <c r="C288" s="1" t="n">
        <v>44929</v>
      </c>
      <c r="D288" t="inlineStr">
        <is>
          <t>0643CC</t>
        </is>
      </c>
      <c r="E288" t="inlineStr">
        <is>
          <t>IFED</t>
        </is>
      </c>
      <c r="F288" t="inlineStr">
        <is>
          <t>01</t>
        </is>
      </c>
      <c r="G288" t="inlineStr">
        <is>
          <t xml:space="preserve">064 </t>
        </is>
      </c>
      <c r="H288" t="n">
        <v>11410</v>
      </c>
      <c r="I288" s="17" t="n">
        <v>505</v>
      </c>
      <c r="J288" s="17" t="n">
        <v>380</v>
      </c>
      <c r="K288" t="n">
        <v>0</v>
      </c>
      <c r="L288" t="n">
        <v>10900</v>
      </c>
      <c r="M288" t="n">
        <v>11030</v>
      </c>
      <c r="N288" t="n">
        <v>11405</v>
      </c>
      <c r="O288" t="n">
        <v>11410</v>
      </c>
      <c r="P288" t="n">
        <v>5</v>
      </c>
      <c r="Q288" t="n">
        <v>0</v>
      </c>
      <c r="R288" t="n">
        <v>11410</v>
      </c>
      <c r="S288" t="n">
        <v>505</v>
      </c>
      <c r="T288" t="n">
        <v>380</v>
      </c>
      <c r="U288" t="n">
        <v>0</v>
      </c>
      <c r="V288" t="n">
        <v>10900</v>
      </c>
      <c r="W288" t="n">
        <v>11030</v>
      </c>
      <c r="X288" t="n">
        <v>11405</v>
      </c>
      <c r="Y288" t="n">
        <v>11410</v>
      </c>
      <c r="Z288" t="n">
        <v>5</v>
      </c>
      <c r="AA288" t="n">
        <v>0</v>
      </c>
      <c r="AB288" t="n">
        <v>0</v>
      </c>
      <c r="AC288" t="n">
        <v>0</v>
      </c>
      <c r="AD288" t="n">
        <v>0</v>
      </c>
      <c r="AE288" t="n">
        <v>0</v>
      </c>
      <c r="AF288" t="n">
        <v>0</v>
      </c>
      <c r="AG288" t="n">
        <v>0</v>
      </c>
      <c r="AH288" t="n">
        <v>0</v>
      </c>
      <c r="AI288" t="n">
        <v>0</v>
      </c>
      <c r="AJ288" t="n">
        <v>0</v>
      </c>
      <c r="AK288" t="n">
        <v>0</v>
      </c>
      <c r="AL288" t="n">
        <v>-795</v>
      </c>
      <c r="AM288" t="n">
        <v>-133</v>
      </c>
      <c r="AN288" t="n">
        <v>-210</v>
      </c>
      <c r="AO288" t="n">
        <v>-25</v>
      </c>
      <c r="AP288" t="n">
        <v>-635</v>
      </c>
      <c r="AQ288" t="n">
        <v>-560</v>
      </c>
      <c r="AR288" t="n">
        <v>-793</v>
      </c>
      <c r="AS288" t="n">
        <v>-795</v>
      </c>
      <c r="AT288" t="n">
        <v>-2</v>
      </c>
      <c r="AU288" t="n">
        <v>0</v>
      </c>
      <c r="AV288" t="n">
        <v>100</v>
      </c>
      <c r="AW288" t="n">
        <v>4.4</v>
      </c>
      <c r="AX288" t="n">
        <v>3.3</v>
      </c>
      <c r="AY288" t="n">
        <v>0</v>
      </c>
      <c r="AZ288" t="n">
        <v>95.5</v>
      </c>
      <c r="BA288" t="n">
        <v>96.7</v>
      </c>
      <c r="BB288" t="n">
        <v>100</v>
      </c>
      <c r="BC288" t="n">
        <v>100</v>
      </c>
      <c r="BD288" t="n">
        <v>0</v>
      </c>
      <c r="BE288" t="n">
        <v>0</v>
      </c>
      <c r="BF288" t="n">
        <v>100</v>
      </c>
      <c r="BG288" t="n">
        <v>4.4</v>
      </c>
      <c r="BH288" t="n">
        <v>3.3</v>
      </c>
      <c r="BI288" t="n">
        <v>0</v>
      </c>
      <c r="BJ288" t="n">
        <v>95.5</v>
      </c>
      <c r="BK288" t="n">
        <v>96.7</v>
      </c>
      <c r="BL288" t="n">
        <v>100</v>
      </c>
      <c r="BM288" t="n">
        <v>100</v>
      </c>
      <c r="BN288" t="n">
        <v>0</v>
      </c>
      <c r="BO288" t="n">
        <v>0</v>
      </c>
      <c r="BP288" t="n">
        <v>0</v>
      </c>
      <c r="BQ288" t="n">
        <v>0</v>
      </c>
      <c r="BR288" t="n">
        <v>0</v>
      </c>
      <c r="BS288" t="n">
        <v>0</v>
      </c>
      <c r="BT288" t="n">
        <v>0</v>
      </c>
      <c r="BU288" t="n">
        <v>0</v>
      </c>
      <c r="BV288" t="n">
        <v>0</v>
      </c>
      <c r="BW288" t="n">
        <v>0</v>
      </c>
      <c r="BX288" t="n">
        <v>0</v>
      </c>
      <c r="BY288" t="n">
        <v>0</v>
      </c>
      <c r="BZ288" t="n">
        <v>20</v>
      </c>
      <c r="CA288" t="n">
        <v>2</v>
      </c>
      <c r="CB288" t="n">
        <v>1</v>
      </c>
      <c r="CC288" t="n">
        <v>0</v>
      </c>
      <c r="CD288" t="n">
        <v>11</v>
      </c>
      <c r="CE288" t="n">
        <v>9</v>
      </c>
      <c r="CF288" t="n">
        <v>13</v>
      </c>
      <c r="CG288" t="n">
        <v>10</v>
      </c>
      <c r="CH288" t="n">
        <v>20</v>
      </c>
      <c r="CI288" t="n">
        <v>2</v>
      </c>
      <c r="CJ288" t="n">
        <v>1</v>
      </c>
      <c r="CK288" t="n">
        <v>0</v>
      </c>
      <c r="CL288" t="n">
        <v>11</v>
      </c>
      <c r="CM288" t="n">
        <v>9</v>
      </c>
      <c r="CN288" t="n">
        <v>13</v>
      </c>
      <c r="CO288" t="n">
        <v>10</v>
      </c>
      <c r="CP288" t="n">
        <v>0</v>
      </c>
      <c r="CQ288" t="n">
        <v>0</v>
      </c>
      <c r="CR288" t="n">
        <v>0</v>
      </c>
      <c r="CS288" t="n">
        <v>0</v>
      </c>
      <c r="CT288" t="n">
        <v>0</v>
      </c>
      <c r="CU288" t="n">
        <v>0</v>
      </c>
      <c r="CV288" t="n">
        <v>0</v>
      </c>
      <c r="CW288" t="n">
        <v>0</v>
      </c>
      <c r="CX288" t="n">
        <v>70.40000000000001</v>
      </c>
      <c r="CY288" t="n">
        <v>87.09999999999999</v>
      </c>
      <c r="CZ288" t="n">
        <v>91.8</v>
      </c>
      <c r="DA288" t="n">
        <v>98.90000000000001</v>
      </c>
      <c r="DB288" t="n">
        <v>70.40000000000001</v>
      </c>
      <c r="DC288" t="n">
        <v>85.40000000000001</v>
      </c>
      <c r="DD288" t="n">
        <v>88.8</v>
      </c>
      <c r="DE288" t="n">
        <v>94.59999999999999</v>
      </c>
      <c r="DF288" t="n">
        <v>70.40000000000001</v>
      </c>
      <c r="DG288" t="n">
        <v>87.09999999999999</v>
      </c>
      <c r="DH288" t="n">
        <v>91.8</v>
      </c>
      <c r="DI288" t="n">
        <v>98.90000000000001</v>
      </c>
      <c r="DJ288" t="n">
        <v>70.40000000000001</v>
      </c>
      <c r="DK288" t="n">
        <v>85.40000000000001</v>
      </c>
      <c r="DL288" t="n">
        <v>88.8</v>
      </c>
      <c r="DM288" t="n">
        <v>94.59999999999999</v>
      </c>
      <c r="DN288" t="n">
        <v>0</v>
      </c>
      <c r="DO288" t="n">
        <v>0</v>
      </c>
      <c r="DP288" t="n">
        <v>0</v>
      </c>
      <c r="DQ288" t="n">
        <v>0</v>
      </c>
      <c r="DR288" t="n">
        <v>0</v>
      </c>
      <c r="DS288" t="n">
        <v>0</v>
      </c>
      <c r="DT288" t="n">
        <v>0</v>
      </c>
      <c r="DU288" t="n">
        <v>0</v>
      </c>
      <c r="DV288" t="inlineStr">
        <is>
          <t>(1 MW for about 368 Hours)</t>
        </is>
      </c>
    </row>
    <row r="289">
      <c r="A289" t="inlineStr">
        <is>
          <t>PJM PPL ZONE DA OFF-PEAK FIXED - ICE FUTURES ENERGY DIV</t>
        </is>
      </c>
      <c r="B289" t="n">
        <v>230110</v>
      </c>
      <c r="C289" s="1" t="n">
        <v>44936</v>
      </c>
      <c r="D289" t="inlineStr">
        <is>
          <t>0643D7</t>
        </is>
      </c>
      <c r="E289" t="inlineStr">
        <is>
          <t>IFED</t>
        </is>
      </c>
      <c r="F289" t="inlineStr">
        <is>
          <t>01</t>
        </is>
      </c>
      <c r="G289" t="inlineStr">
        <is>
          <t xml:space="preserve">064 </t>
        </is>
      </c>
      <c r="H289" t="n">
        <v>44112</v>
      </c>
      <c r="I289" s="17" t="n">
        <v>1660</v>
      </c>
      <c r="J289" s="17" t="n">
        <v>75</v>
      </c>
      <c r="K289" t="n">
        <v>0</v>
      </c>
      <c r="L289" t="n">
        <v>41414</v>
      </c>
      <c r="M289" t="n">
        <v>43849</v>
      </c>
      <c r="N289" t="n">
        <v>43074</v>
      </c>
      <c r="O289" t="n">
        <v>43924</v>
      </c>
      <c r="P289" t="n">
        <v>1038</v>
      </c>
      <c r="Q289" t="n">
        <v>188</v>
      </c>
      <c r="R289" t="n">
        <v>44112</v>
      </c>
      <c r="S289" t="n">
        <v>1660</v>
      </c>
      <c r="T289" t="n">
        <v>75</v>
      </c>
      <c r="U289" t="n">
        <v>0</v>
      </c>
      <c r="V289" t="n">
        <v>41414</v>
      </c>
      <c r="W289" t="n">
        <v>43849</v>
      </c>
      <c r="X289" t="n">
        <v>43074</v>
      </c>
      <c r="Y289" t="n">
        <v>43924</v>
      </c>
      <c r="Z289" t="n">
        <v>1038</v>
      </c>
      <c r="AA289" t="n">
        <v>188</v>
      </c>
      <c r="AB289" t="n">
        <v>0</v>
      </c>
      <c r="AC289" t="n">
        <v>0</v>
      </c>
      <c r="AD289" t="n">
        <v>0</v>
      </c>
      <c r="AE289" t="n">
        <v>0</v>
      </c>
      <c r="AF289" t="n">
        <v>0</v>
      </c>
      <c r="AG289" t="n">
        <v>0</v>
      </c>
      <c r="AH289" t="n">
        <v>0</v>
      </c>
      <c r="AI289" t="n">
        <v>0</v>
      </c>
      <c r="AJ289" t="n">
        <v>0</v>
      </c>
      <c r="AK289" t="n">
        <v>0</v>
      </c>
      <c r="AL289" t="n">
        <v>-1576</v>
      </c>
      <c r="AM289" t="n">
        <v>-175</v>
      </c>
      <c r="AN289" t="n">
        <v>-10</v>
      </c>
      <c r="AO289" t="n">
        <v>0</v>
      </c>
      <c r="AP289" t="n">
        <v>-1744</v>
      </c>
      <c r="AQ289" t="n">
        <v>-1556</v>
      </c>
      <c r="AR289" t="n">
        <v>-1919</v>
      </c>
      <c r="AS289" t="n">
        <v>-1566</v>
      </c>
      <c r="AT289" t="n">
        <v>343</v>
      </c>
      <c r="AU289" t="n">
        <v>-10</v>
      </c>
      <c r="AV289" t="n">
        <v>100</v>
      </c>
      <c r="AW289" t="n">
        <v>3.8</v>
      </c>
      <c r="AX289" t="n">
        <v>0.2</v>
      </c>
      <c r="AY289" t="n">
        <v>0</v>
      </c>
      <c r="AZ289" t="n">
        <v>93.90000000000001</v>
      </c>
      <c r="BA289" t="n">
        <v>99.40000000000001</v>
      </c>
      <c r="BB289" t="n">
        <v>97.59999999999999</v>
      </c>
      <c r="BC289" t="n">
        <v>99.59999999999999</v>
      </c>
      <c r="BD289" t="n">
        <v>2.4</v>
      </c>
      <c r="BE289" t="n">
        <v>0.4</v>
      </c>
      <c r="BF289" t="n">
        <v>100</v>
      </c>
      <c r="BG289" t="n">
        <v>3.8</v>
      </c>
      <c r="BH289" t="n">
        <v>0.2</v>
      </c>
      <c r="BI289" t="n">
        <v>0</v>
      </c>
      <c r="BJ289" t="n">
        <v>93.90000000000001</v>
      </c>
      <c r="BK289" t="n">
        <v>99.40000000000001</v>
      </c>
      <c r="BL289" t="n">
        <v>97.59999999999999</v>
      </c>
      <c r="BM289" t="n">
        <v>99.59999999999999</v>
      </c>
      <c r="BN289" t="n">
        <v>2.4</v>
      </c>
      <c r="BO289" t="n">
        <v>0.4</v>
      </c>
      <c r="BP289" t="n">
        <v>0</v>
      </c>
      <c r="BQ289" t="n">
        <v>0</v>
      </c>
      <c r="BR289" t="n">
        <v>0</v>
      </c>
      <c r="BS289" t="n">
        <v>0</v>
      </c>
      <c r="BT289" t="n">
        <v>0</v>
      </c>
      <c r="BU289" t="n">
        <v>0</v>
      </c>
      <c r="BV289" t="n">
        <v>0</v>
      </c>
      <c r="BW289" t="n">
        <v>0</v>
      </c>
      <c r="BX289" t="n">
        <v>0</v>
      </c>
      <c r="BY289" t="n">
        <v>0</v>
      </c>
      <c r="BZ289" t="n">
        <v>21</v>
      </c>
      <c r="CA289" t="n">
        <v>3</v>
      </c>
      <c r="CB289" t="n">
        <v>1</v>
      </c>
      <c r="CC289" t="n">
        <v>0</v>
      </c>
      <c r="CD289" t="n">
        <v>13</v>
      </c>
      <c r="CE289" t="n">
        <v>12</v>
      </c>
      <c r="CF289" t="n">
        <v>16</v>
      </c>
      <c r="CG289" t="n">
        <v>13</v>
      </c>
      <c r="CH289" t="n">
        <v>21</v>
      </c>
      <c r="CI289" t="n">
        <v>3</v>
      </c>
      <c r="CJ289" t="n">
        <v>1</v>
      </c>
      <c r="CK289" t="n">
        <v>0</v>
      </c>
      <c r="CL289" t="n">
        <v>13</v>
      </c>
      <c r="CM289" t="n">
        <v>12</v>
      </c>
      <c r="CN289" t="n">
        <v>16</v>
      </c>
      <c r="CO289" t="n">
        <v>13</v>
      </c>
      <c r="CP289" t="n">
        <v>0</v>
      </c>
      <c r="CQ289" t="n">
        <v>0</v>
      </c>
      <c r="CR289" t="n">
        <v>0</v>
      </c>
      <c r="CS289" t="n">
        <v>0</v>
      </c>
      <c r="CT289" t="n">
        <v>0</v>
      </c>
      <c r="CU289" t="n">
        <v>0</v>
      </c>
      <c r="CV289" t="n">
        <v>0</v>
      </c>
      <c r="CW289" t="n">
        <v>0</v>
      </c>
      <c r="CX289" t="n">
        <v>75.7</v>
      </c>
      <c r="CY289" t="n">
        <v>93</v>
      </c>
      <c r="CZ289" t="n">
        <v>89.2</v>
      </c>
      <c r="DA289" t="n">
        <v>98.5</v>
      </c>
      <c r="DB289" t="n">
        <v>72.09999999999999</v>
      </c>
      <c r="DC289" t="n">
        <v>91</v>
      </c>
      <c r="DD289" t="n">
        <v>83.8</v>
      </c>
      <c r="DE289" t="n">
        <v>91.09999999999999</v>
      </c>
      <c r="DF289" t="n">
        <v>75.7</v>
      </c>
      <c r="DG289" t="n">
        <v>93</v>
      </c>
      <c r="DH289" t="n">
        <v>89.2</v>
      </c>
      <c r="DI289" t="n">
        <v>98.5</v>
      </c>
      <c r="DJ289" t="n">
        <v>72.09999999999999</v>
      </c>
      <c r="DK289" t="n">
        <v>91</v>
      </c>
      <c r="DL289" t="n">
        <v>83.8</v>
      </c>
      <c r="DM289" t="n">
        <v>91.09999999999999</v>
      </c>
      <c r="DN289" t="n">
        <v>0</v>
      </c>
      <c r="DO289" t="n">
        <v>0</v>
      </c>
      <c r="DP289" t="n">
        <v>0</v>
      </c>
      <c r="DQ289" t="n">
        <v>0</v>
      </c>
      <c r="DR289" t="n">
        <v>0</v>
      </c>
      <c r="DS289" t="n">
        <v>0</v>
      </c>
      <c r="DT289" t="n">
        <v>0</v>
      </c>
      <c r="DU289" t="n">
        <v>0</v>
      </c>
      <c r="DV289" t="inlineStr">
        <is>
          <t>1 MW</t>
        </is>
      </c>
    </row>
    <row r="290">
      <c r="A290" t="inlineStr">
        <is>
          <t>PJM PPL ZONE DA OFF-PEAK FIXED - ICE FUTURES ENERGY DIV</t>
        </is>
      </c>
      <c r="B290" t="n">
        <v>230103</v>
      </c>
      <c r="C290" s="1" t="n">
        <v>44929</v>
      </c>
      <c r="D290" t="inlineStr">
        <is>
          <t>0643D7</t>
        </is>
      </c>
      <c r="E290" t="inlineStr">
        <is>
          <t>IFED</t>
        </is>
      </c>
      <c r="F290" t="inlineStr">
        <is>
          <t>01</t>
        </is>
      </c>
      <c r="G290" t="inlineStr">
        <is>
          <t xml:space="preserve">064 </t>
        </is>
      </c>
      <c r="H290" t="n">
        <v>45688</v>
      </c>
      <c r="I290" s="17" t="n">
        <v>1835</v>
      </c>
      <c r="J290" s="17" t="n">
        <v>85</v>
      </c>
      <c r="K290" t="n">
        <v>0</v>
      </c>
      <c r="L290" t="n">
        <v>43158</v>
      </c>
      <c r="M290" t="n">
        <v>45405</v>
      </c>
      <c r="N290" t="n">
        <v>44993</v>
      </c>
      <c r="O290" t="n">
        <v>45490</v>
      </c>
      <c r="P290" t="n">
        <v>695</v>
      </c>
      <c r="Q290" t="n">
        <v>198</v>
      </c>
      <c r="R290" t="n">
        <v>45688</v>
      </c>
      <c r="S290" t="n">
        <v>1835</v>
      </c>
      <c r="T290" t="n">
        <v>85</v>
      </c>
      <c r="U290" t="n">
        <v>0</v>
      </c>
      <c r="V290" t="n">
        <v>43158</v>
      </c>
      <c r="W290" t="n">
        <v>45405</v>
      </c>
      <c r="X290" t="n">
        <v>44993</v>
      </c>
      <c r="Y290" t="n">
        <v>45490</v>
      </c>
      <c r="Z290" t="n">
        <v>695</v>
      </c>
      <c r="AA290" t="n">
        <v>198</v>
      </c>
      <c r="AB290" t="n">
        <v>0</v>
      </c>
      <c r="AC290" t="n">
        <v>0</v>
      </c>
      <c r="AD290" t="n">
        <v>0</v>
      </c>
      <c r="AE290" t="n">
        <v>0</v>
      </c>
      <c r="AF290" t="n">
        <v>0</v>
      </c>
      <c r="AG290" t="n">
        <v>0</v>
      </c>
      <c r="AH290" t="n">
        <v>0</v>
      </c>
      <c r="AI290" t="n">
        <v>0</v>
      </c>
      <c r="AJ290" t="n">
        <v>0</v>
      </c>
      <c r="AK290" t="n">
        <v>0</v>
      </c>
      <c r="AL290" t="n">
        <v>0</v>
      </c>
      <c r="AM290" t="n">
        <v>0</v>
      </c>
      <c r="AN290" t="n">
        <v>0</v>
      </c>
      <c r="AO290" t="n">
        <v>0</v>
      </c>
      <c r="AP290" t="n">
        <v>0</v>
      </c>
      <c r="AQ290" t="n">
        <v>0</v>
      </c>
      <c r="AR290" t="n">
        <v>0</v>
      </c>
      <c r="AS290" t="n">
        <v>0</v>
      </c>
      <c r="AT290" t="n">
        <v>0</v>
      </c>
      <c r="AU290" t="n">
        <v>0</v>
      </c>
      <c r="AV290" t="n">
        <v>100</v>
      </c>
      <c r="AW290" t="n">
        <v>4</v>
      </c>
      <c r="AX290" t="n">
        <v>0.2</v>
      </c>
      <c r="AY290" t="n">
        <v>0</v>
      </c>
      <c r="AZ290" t="n">
        <v>94.5</v>
      </c>
      <c r="BA290" t="n">
        <v>99.40000000000001</v>
      </c>
      <c r="BB290" t="n">
        <v>98.5</v>
      </c>
      <c r="BC290" t="n">
        <v>99.59999999999999</v>
      </c>
      <c r="BD290" t="n">
        <v>1.5</v>
      </c>
      <c r="BE290" t="n">
        <v>0.4</v>
      </c>
      <c r="BF290" t="n">
        <v>100</v>
      </c>
      <c r="BG290" t="n">
        <v>4</v>
      </c>
      <c r="BH290" t="n">
        <v>0.2</v>
      </c>
      <c r="BI290" t="n">
        <v>0</v>
      </c>
      <c r="BJ290" t="n">
        <v>94.5</v>
      </c>
      <c r="BK290" t="n">
        <v>99.40000000000001</v>
      </c>
      <c r="BL290" t="n">
        <v>98.5</v>
      </c>
      <c r="BM290" t="n">
        <v>99.59999999999999</v>
      </c>
      <c r="BN290" t="n">
        <v>1.5</v>
      </c>
      <c r="BO290" t="n">
        <v>0.4</v>
      </c>
      <c r="BP290" t="n">
        <v>0</v>
      </c>
      <c r="BQ290" t="n">
        <v>0</v>
      </c>
      <c r="BR290" t="n">
        <v>0</v>
      </c>
      <c r="BS290" t="n">
        <v>0</v>
      </c>
      <c r="BT290" t="n">
        <v>0</v>
      </c>
      <c r="BU290" t="n">
        <v>0</v>
      </c>
      <c r="BV290" t="n">
        <v>0</v>
      </c>
      <c r="BW290" t="n">
        <v>0</v>
      </c>
      <c r="BX290" t="n">
        <v>0</v>
      </c>
      <c r="BY290" t="n">
        <v>0</v>
      </c>
      <c r="BZ290" t="n">
        <v>28</v>
      </c>
      <c r="CA290" t="n">
        <v>4</v>
      </c>
      <c r="CB290" t="n">
        <v>1</v>
      </c>
      <c r="CC290" t="n">
        <v>0</v>
      </c>
      <c r="CD290" t="n">
        <v>18</v>
      </c>
      <c r="CE290" t="n">
        <v>14</v>
      </c>
      <c r="CF290" t="n">
        <v>22</v>
      </c>
      <c r="CG290" t="n">
        <v>15</v>
      </c>
      <c r="CH290" t="n">
        <v>28</v>
      </c>
      <c r="CI290" t="n">
        <v>4</v>
      </c>
      <c r="CJ290" t="n">
        <v>1</v>
      </c>
      <c r="CK290" t="n">
        <v>0</v>
      </c>
      <c r="CL290" t="n">
        <v>18</v>
      </c>
      <c r="CM290" t="n">
        <v>14</v>
      </c>
      <c r="CN290" t="n">
        <v>22</v>
      </c>
      <c r="CO290" t="n">
        <v>15</v>
      </c>
      <c r="CP290" t="n">
        <v>0</v>
      </c>
      <c r="CQ290" t="n">
        <v>0</v>
      </c>
      <c r="CR290" t="n">
        <v>0</v>
      </c>
      <c r="CS290" t="n">
        <v>0</v>
      </c>
      <c r="CT290" t="n">
        <v>0</v>
      </c>
      <c r="CU290" t="n">
        <v>0</v>
      </c>
      <c r="CV290" t="n">
        <v>0</v>
      </c>
      <c r="CW290" t="n">
        <v>0</v>
      </c>
      <c r="CX290" t="n">
        <v>74.5</v>
      </c>
      <c r="CY290" t="n">
        <v>93</v>
      </c>
      <c r="CZ290" t="n">
        <v>88.5</v>
      </c>
      <c r="DA290" t="n">
        <v>98.40000000000001</v>
      </c>
      <c r="DB290" t="n">
        <v>70.2</v>
      </c>
      <c r="DC290" t="n">
        <v>90.5</v>
      </c>
      <c r="DD290" t="n">
        <v>82.90000000000001</v>
      </c>
      <c r="DE290" t="n">
        <v>90.7</v>
      </c>
      <c r="DF290" t="n">
        <v>74.5</v>
      </c>
      <c r="DG290" t="n">
        <v>93</v>
      </c>
      <c r="DH290" t="n">
        <v>88.5</v>
      </c>
      <c r="DI290" t="n">
        <v>98.40000000000001</v>
      </c>
      <c r="DJ290" t="n">
        <v>70.2</v>
      </c>
      <c r="DK290" t="n">
        <v>90.5</v>
      </c>
      <c r="DL290" t="n">
        <v>82.90000000000001</v>
      </c>
      <c r="DM290" t="n">
        <v>90.7</v>
      </c>
      <c r="DN290" t="n">
        <v>0</v>
      </c>
      <c r="DO290" t="n">
        <v>0</v>
      </c>
      <c r="DP290" t="n">
        <v>0</v>
      </c>
      <c r="DQ290" t="n">
        <v>0</v>
      </c>
      <c r="DR290" t="n">
        <v>0</v>
      </c>
      <c r="DS290" t="n">
        <v>0</v>
      </c>
      <c r="DT290" t="n">
        <v>0</v>
      </c>
      <c r="DU290" t="n">
        <v>0</v>
      </c>
      <c r="DV290" t="inlineStr">
        <is>
          <t>1 MW</t>
        </is>
      </c>
    </row>
    <row r="291">
      <c r="A291" t="inlineStr">
        <is>
          <t>PJM PPL ZONE DA PEAK - ICE FUTURES ENERGY DIV</t>
        </is>
      </c>
      <c r="B291" t="n">
        <v>230110</v>
      </c>
      <c r="C291" s="1" t="n">
        <v>44936</v>
      </c>
      <c r="D291" t="inlineStr">
        <is>
          <t>0643D8</t>
        </is>
      </c>
      <c r="E291" t="inlineStr">
        <is>
          <t>IFED</t>
        </is>
      </c>
      <c r="F291" t="inlineStr">
        <is>
          <t>01</t>
        </is>
      </c>
      <c r="G291" t="inlineStr">
        <is>
          <t xml:space="preserve">064 </t>
        </is>
      </c>
      <c r="H291" t="n">
        <v>46256</v>
      </c>
      <c r="I291" s="17" t="n">
        <v>1600</v>
      </c>
      <c r="J291" s="17" t="n">
        <v>75</v>
      </c>
      <c r="K291" t="n">
        <v>0</v>
      </c>
      <c r="L291" t="n">
        <v>44076</v>
      </c>
      <c r="M291" t="n">
        <v>46163</v>
      </c>
      <c r="N291" t="n">
        <v>45676</v>
      </c>
      <c r="O291" t="n">
        <v>46238</v>
      </c>
      <c r="P291" t="n">
        <v>580</v>
      </c>
      <c r="Q291" t="n">
        <v>18</v>
      </c>
      <c r="R291" t="n">
        <v>46256</v>
      </c>
      <c r="S291" t="n">
        <v>1600</v>
      </c>
      <c r="T291" t="n">
        <v>75</v>
      </c>
      <c r="U291" t="n">
        <v>0</v>
      </c>
      <c r="V291" t="n">
        <v>44076</v>
      </c>
      <c r="W291" t="n">
        <v>46163</v>
      </c>
      <c r="X291" t="n">
        <v>45676</v>
      </c>
      <c r="Y291" t="n">
        <v>46238</v>
      </c>
      <c r="Z291" t="n">
        <v>580</v>
      </c>
      <c r="AA291" t="n">
        <v>18</v>
      </c>
      <c r="AB291" t="n">
        <v>0</v>
      </c>
      <c r="AC291" t="n">
        <v>0</v>
      </c>
      <c r="AD291" t="n">
        <v>0</v>
      </c>
      <c r="AE291" t="n">
        <v>0</v>
      </c>
      <c r="AF291" t="n">
        <v>0</v>
      </c>
      <c r="AG291" t="n">
        <v>0</v>
      </c>
      <c r="AH291" t="n">
        <v>0</v>
      </c>
      <c r="AI291" t="n">
        <v>0</v>
      </c>
      <c r="AJ291" t="n">
        <v>0</v>
      </c>
      <c r="AK291" t="n">
        <v>0</v>
      </c>
      <c r="AL291" t="n">
        <v>-1786</v>
      </c>
      <c r="AM291" t="n">
        <v>-170</v>
      </c>
      <c r="AN291" t="n">
        <v>-10</v>
      </c>
      <c r="AO291" t="n">
        <v>0</v>
      </c>
      <c r="AP291" t="n">
        <v>-1974</v>
      </c>
      <c r="AQ291" t="n">
        <v>-1776</v>
      </c>
      <c r="AR291" t="n">
        <v>-2144</v>
      </c>
      <c r="AS291" t="n">
        <v>-1786</v>
      </c>
      <c r="AT291" t="n">
        <v>358</v>
      </c>
      <c r="AU291" t="n">
        <v>0</v>
      </c>
      <c r="AV291" t="n">
        <v>100</v>
      </c>
      <c r="AW291" t="n">
        <v>3.5</v>
      </c>
      <c r="AX291" t="n">
        <v>0.2</v>
      </c>
      <c r="AY291" t="n">
        <v>0</v>
      </c>
      <c r="AZ291" t="n">
        <v>95.3</v>
      </c>
      <c r="BA291" t="n">
        <v>99.8</v>
      </c>
      <c r="BB291" t="n">
        <v>98.7</v>
      </c>
      <c r="BC291" t="n">
        <v>100</v>
      </c>
      <c r="BD291" t="n">
        <v>1.3</v>
      </c>
      <c r="BE291" t="n">
        <v>0</v>
      </c>
      <c r="BF291" t="n">
        <v>100</v>
      </c>
      <c r="BG291" t="n">
        <v>3.5</v>
      </c>
      <c r="BH291" t="n">
        <v>0.2</v>
      </c>
      <c r="BI291" t="n">
        <v>0</v>
      </c>
      <c r="BJ291" t="n">
        <v>95.3</v>
      </c>
      <c r="BK291" t="n">
        <v>99.8</v>
      </c>
      <c r="BL291" t="n">
        <v>98.7</v>
      </c>
      <c r="BM291" t="n">
        <v>100</v>
      </c>
      <c r="BN291" t="n">
        <v>1.3</v>
      </c>
      <c r="BO291" t="n">
        <v>0</v>
      </c>
      <c r="BP291" t="n">
        <v>0</v>
      </c>
      <c r="BQ291" t="n">
        <v>0</v>
      </c>
      <c r="BR291" t="n">
        <v>0</v>
      </c>
      <c r="BS291" t="n">
        <v>0</v>
      </c>
      <c r="BT291" t="n">
        <v>0</v>
      </c>
      <c r="BU291" t="n">
        <v>0</v>
      </c>
      <c r="BV291" t="n">
        <v>0</v>
      </c>
      <c r="BW291" t="n">
        <v>0</v>
      </c>
      <c r="BX291" t="n">
        <v>0</v>
      </c>
      <c r="BY291" t="n">
        <v>0</v>
      </c>
      <c r="BZ291" t="n">
        <v>23</v>
      </c>
      <c r="CA291" t="n">
        <v>3</v>
      </c>
      <c r="CB291" t="n">
        <v>1</v>
      </c>
      <c r="CC291" t="n">
        <v>0</v>
      </c>
      <c r="CD291" t="n">
        <v>15</v>
      </c>
      <c r="CE291" t="n">
        <v>12</v>
      </c>
      <c r="CF291" t="n">
        <v>18</v>
      </c>
      <c r="CG291" t="n">
        <v>13</v>
      </c>
      <c r="CH291" t="n">
        <v>23</v>
      </c>
      <c r="CI291" t="n">
        <v>3</v>
      </c>
      <c r="CJ291" t="n">
        <v>1</v>
      </c>
      <c r="CK291" t="n">
        <v>0</v>
      </c>
      <c r="CL291" t="n">
        <v>15</v>
      </c>
      <c r="CM291" t="n">
        <v>12</v>
      </c>
      <c r="CN291" t="n">
        <v>18</v>
      </c>
      <c r="CO291" t="n">
        <v>13</v>
      </c>
      <c r="CP291" t="n">
        <v>0</v>
      </c>
      <c r="CQ291" t="n">
        <v>0</v>
      </c>
      <c r="CR291" t="n">
        <v>0</v>
      </c>
      <c r="CS291" t="n">
        <v>0</v>
      </c>
      <c r="CT291" t="n">
        <v>0</v>
      </c>
      <c r="CU291" t="n">
        <v>0</v>
      </c>
      <c r="CV291" t="n">
        <v>0</v>
      </c>
      <c r="CW291" t="n">
        <v>0</v>
      </c>
      <c r="CX291" t="n">
        <v>77.2</v>
      </c>
      <c r="CY291" t="n">
        <v>94</v>
      </c>
      <c r="CZ291" t="n">
        <v>90.2</v>
      </c>
      <c r="DA291" t="n">
        <v>98.90000000000001</v>
      </c>
      <c r="DB291" t="n">
        <v>73.7</v>
      </c>
      <c r="DC291" t="n">
        <v>92.40000000000001</v>
      </c>
      <c r="DD291" t="n">
        <v>84.3</v>
      </c>
      <c r="DE291" t="n">
        <v>92.59999999999999</v>
      </c>
      <c r="DF291" t="n">
        <v>77.2</v>
      </c>
      <c r="DG291" t="n">
        <v>94</v>
      </c>
      <c r="DH291" t="n">
        <v>90.2</v>
      </c>
      <c r="DI291" t="n">
        <v>98.90000000000001</v>
      </c>
      <c r="DJ291" t="n">
        <v>73.7</v>
      </c>
      <c r="DK291" t="n">
        <v>92.40000000000001</v>
      </c>
      <c r="DL291" t="n">
        <v>84.3</v>
      </c>
      <c r="DM291" t="n">
        <v>92.59999999999999</v>
      </c>
      <c r="DN291" t="n">
        <v>0</v>
      </c>
      <c r="DO291" t="n">
        <v>0</v>
      </c>
      <c r="DP291" t="n">
        <v>0</v>
      </c>
      <c r="DQ291" t="n">
        <v>0</v>
      </c>
      <c r="DR291" t="n">
        <v>0</v>
      </c>
      <c r="DS291" t="n">
        <v>0</v>
      </c>
      <c r="DT291" t="n">
        <v>0</v>
      </c>
      <c r="DU291" t="n">
        <v>0</v>
      </c>
      <c r="DV291" t="inlineStr">
        <is>
          <t>1 MW</t>
        </is>
      </c>
    </row>
    <row r="292">
      <c r="A292" t="inlineStr">
        <is>
          <t>PJM PPL ZONE DA PEAK - ICE FUTURES ENERGY DIV</t>
        </is>
      </c>
      <c r="B292" t="n">
        <v>230103</v>
      </c>
      <c r="C292" s="1" t="n">
        <v>44929</v>
      </c>
      <c r="D292" t="inlineStr">
        <is>
          <t>0643D8</t>
        </is>
      </c>
      <c r="E292" t="inlineStr">
        <is>
          <t>IFED</t>
        </is>
      </c>
      <c r="F292" t="inlineStr">
        <is>
          <t>01</t>
        </is>
      </c>
      <c r="G292" t="inlineStr">
        <is>
          <t xml:space="preserve">064 </t>
        </is>
      </c>
      <c r="H292" t="n">
        <v>48042</v>
      </c>
      <c r="I292" s="17" t="n">
        <v>1770</v>
      </c>
      <c r="J292" s="17" t="n">
        <v>85</v>
      </c>
      <c r="K292" t="n">
        <v>0</v>
      </c>
      <c r="L292" t="n">
        <v>46050</v>
      </c>
      <c r="M292" t="n">
        <v>47939</v>
      </c>
      <c r="N292" t="n">
        <v>47820</v>
      </c>
      <c r="O292" t="n">
        <v>48024</v>
      </c>
      <c r="P292" t="n">
        <v>222</v>
      </c>
      <c r="Q292" t="n">
        <v>18</v>
      </c>
      <c r="R292" t="n">
        <v>48042</v>
      </c>
      <c r="S292" t="n">
        <v>1770</v>
      </c>
      <c r="T292" t="n">
        <v>85</v>
      </c>
      <c r="U292" t="n">
        <v>0</v>
      </c>
      <c r="V292" t="n">
        <v>46050</v>
      </c>
      <c r="W292" t="n">
        <v>47939</v>
      </c>
      <c r="X292" t="n">
        <v>47820</v>
      </c>
      <c r="Y292" t="n">
        <v>48024</v>
      </c>
      <c r="Z292" t="n">
        <v>222</v>
      </c>
      <c r="AA292" t="n">
        <v>18</v>
      </c>
      <c r="AB292" t="n">
        <v>0</v>
      </c>
      <c r="AC292" t="n">
        <v>0</v>
      </c>
      <c r="AD292" t="n">
        <v>0</v>
      </c>
      <c r="AE292" t="n">
        <v>0</v>
      </c>
      <c r="AF292" t="n">
        <v>0</v>
      </c>
      <c r="AG292" t="n">
        <v>0</v>
      </c>
      <c r="AH292" t="n">
        <v>0</v>
      </c>
      <c r="AI292" t="n">
        <v>0</v>
      </c>
      <c r="AJ292" t="n">
        <v>0</v>
      </c>
      <c r="AK292" t="n">
        <v>0</v>
      </c>
      <c r="AL292" t="n">
        <v>0</v>
      </c>
      <c r="AM292" t="n">
        <v>0</v>
      </c>
      <c r="AN292" t="n">
        <v>0</v>
      </c>
      <c r="AO292" t="n">
        <v>0</v>
      </c>
      <c r="AP292" t="n">
        <v>0</v>
      </c>
      <c r="AQ292" t="n">
        <v>0</v>
      </c>
      <c r="AR292" t="n">
        <v>0</v>
      </c>
      <c r="AS292" t="n">
        <v>0</v>
      </c>
      <c r="AT292" t="n">
        <v>0</v>
      </c>
      <c r="AU292" t="n">
        <v>0</v>
      </c>
      <c r="AV292" t="n">
        <v>100</v>
      </c>
      <c r="AW292" t="n">
        <v>3.7</v>
      </c>
      <c r="AX292" t="n">
        <v>0.2</v>
      </c>
      <c r="AY292" t="n">
        <v>0</v>
      </c>
      <c r="AZ292" t="n">
        <v>95.90000000000001</v>
      </c>
      <c r="BA292" t="n">
        <v>99.8</v>
      </c>
      <c r="BB292" t="n">
        <v>99.5</v>
      </c>
      <c r="BC292" t="n">
        <v>100</v>
      </c>
      <c r="BD292" t="n">
        <v>0.5</v>
      </c>
      <c r="BE292" t="n">
        <v>0</v>
      </c>
      <c r="BF292" t="n">
        <v>100</v>
      </c>
      <c r="BG292" t="n">
        <v>3.7</v>
      </c>
      <c r="BH292" t="n">
        <v>0.2</v>
      </c>
      <c r="BI292" t="n">
        <v>0</v>
      </c>
      <c r="BJ292" t="n">
        <v>95.90000000000001</v>
      </c>
      <c r="BK292" t="n">
        <v>99.8</v>
      </c>
      <c r="BL292" t="n">
        <v>99.5</v>
      </c>
      <c r="BM292" t="n">
        <v>100</v>
      </c>
      <c r="BN292" t="n">
        <v>0.5</v>
      </c>
      <c r="BO292" t="n">
        <v>0</v>
      </c>
      <c r="BP292" t="n">
        <v>0</v>
      </c>
      <c r="BQ292" t="n">
        <v>0</v>
      </c>
      <c r="BR292" t="n">
        <v>0</v>
      </c>
      <c r="BS292" t="n">
        <v>0</v>
      </c>
      <c r="BT292" t="n">
        <v>0</v>
      </c>
      <c r="BU292" t="n">
        <v>0</v>
      </c>
      <c r="BV292" t="n">
        <v>0</v>
      </c>
      <c r="BW292" t="n">
        <v>0</v>
      </c>
      <c r="BX292" t="n">
        <v>0</v>
      </c>
      <c r="BY292" t="n">
        <v>0</v>
      </c>
      <c r="BZ292" t="n">
        <v>30</v>
      </c>
      <c r="CA292" t="n">
        <v>4</v>
      </c>
      <c r="CB292" t="n">
        <v>1</v>
      </c>
      <c r="CC292" t="n">
        <v>0</v>
      </c>
      <c r="CD292" t="n">
        <v>20</v>
      </c>
      <c r="CE292" t="n">
        <v>14</v>
      </c>
      <c r="CF292" t="n">
        <v>24</v>
      </c>
      <c r="CG292" t="n">
        <v>15</v>
      </c>
      <c r="CH292" t="n">
        <v>30</v>
      </c>
      <c r="CI292" t="n">
        <v>4</v>
      </c>
      <c r="CJ292" t="n">
        <v>1</v>
      </c>
      <c r="CK292" t="n">
        <v>0</v>
      </c>
      <c r="CL292" t="n">
        <v>20</v>
      </c>
      <c r="CM292" t="n">
        <v>14</v>
      </c>
      <c r="CN292" t="n">
        <v>24</v>
      </c>
      <c r="CO292" t="n">
        <v>15</v>
      </c>
      <c r="CP292" t="n">
        <v>0</v>
      </c>
      <c r="CQ292" t="n">
        <v>0</v>
      </c>
      <c r="CR292" t="n">
        <v>0</v>
      </c>
      <c r="CS292" t="n">
        <v>0</v>
      </c>
      <c r="CT292" t="n">
        <v>0</v>
      </c>
      <c r="CU292" t="n">
        <v>0</v>
      </c>
      <c r="CV292" t="n">
        <v>0</v>
      </c>
      <c r="CW292" t="n">
        <v>0</v>
      </c>
      <c r="CX292" t="n">
        <v>75.90000000000001</v>
      </c>
      <c r="CY292" t="n">
        <v>94</v>
      </c>
      <c r="CZ292" t="n">
        <v>89.5</v>
      </c>
      <c r="DA292" t="n">
        <v>98.8</v>
      </c>
      <c r="DB292" t="n">
        <v>72.2</v>
      </c>
      <c r="DC292" t="n">
        <v>92</v>
      </c>
      <c r="DD292" t="n">
        <v>83.40000000000001</v>
      </c>
      <c r="DE292" t="n">
        <v>92.3</v>
      </c>
      <c r="DF292" t="n">
        <v>75.90000000000001</v>
      </c>
      <c r="DG292" t="n">
        <v>94</v>
      </c>
      <c r="DH292" t="n">
        <v>89.5</v>
      </c>
      <c r="DI292" t="n">
        <v>98.8</v>
      </c>
      <c r="DJ292" t="n">
        <v>72.2</v>
      </c>
      <c r="DK292" t="n">
        <v>92</v>
      </c>
      <c r="DL292" t="n">
        <v>83.40000000000001</v>
      </c>
      <c r="DM292" t="n">
        <v>92.3</v>
      </c>
      <c r="DN292" t="n">
        <v>0</v>
      </c>
      <c r="DO292" t="n">
        <v>0</v>
      </c>
      <c r="DP292" t="n">
        <v>0</v>
      </c>
      <c r="DQ292" t="n">
        <v>0</v>
      </c>
      <c r="DR292" t="n">
        <v>0</v>
      </c>
      <c r="DS292" t="n">
        <v>0</v>
      </c>
      <c r="DT292" t="n">
        <v>0</v>
      </c>
      <c r="DU292" t="n">
        <v>0</v>
      </c>
      <c r="DV292" t="inlineStr">
        <is>
          <t>1 MW</t>
        </is>
      </c>
    </row>
    <row r="293">
      <c r="A293" t="inlineStr">
        <is>
          <t>PJM WESTERN HUB DA OFF-PK - ICE FUTURES ENERGY DIV</t>
        </is>
      </c>
      <c r="B293" t="n">
        <v>230110</v>
      </c>
      <c r="C293" s="1" t="n">
        <v>44936</v>
      </c>
      <c r="D293" t="inlineStr">
        <is>
          <t>0643DB</t>
        </is>
      </c>
      <c r="E293" t="inlineStr">
        <is>
          <t>IFED</t>
        </is>
      </c>
      <c r="F293" t="inlineStr">
        <is>
          <t>01</t>
        </is>
      </c>
      <c r="G293" t="inlineStr">
        <is>
          <t xml:space="preserve">064 </t>
        </is>
      </c>
      <c r="H293" t="n">
        <v>83912</v>
      </c>
      <c r="I293" s="17" t="n">
        <v>8714</v>
      </c>
      <c r="J293" s="17" t="n">
        <v>3707</v>
      </c>
      <c r="K293" t="n">
        <v>218</v>
      </c>
      <c r="L293" t="n">
        <v>74591</v>
      </c>
      <c r="M293" t="n">
        <v>79684</v>
      </c>
      <c r="N293" t="n">
        <v>83523</v>
      </c>
      <c r="O293" t="n">
        <v>83609</v>
      </c>
      <c r="P293" t="n">
        <v>389</v>
      </c>
      <c r="Q293" t="n">
        <v>303</v>
      </c>
      <c r="R293" t="n">
        <v>83912</v>
      </c>
      <c r="S293" t="n">
        <v>8714</v>
      </c>
      <c r="T293" t="n">
        <v>3707</v>
      </c>
      <c r="U293" t="n">
        <v>218</v>
      </c>
      <c r="V293" t="n">
        <v>74591</v>
      </c>
      <c r="W293" t="n">
        <v>79684</v>
      </c>
      <c r="X293" t="n">
        <v>83523</v>
      </c>
      <c r="Y293" t="n">
        <v>83609</v>
      </c>
      <c r="Z293" t="n">
        <v>389</v>
      </c>
      <c r="AA293" t="n">
        <v>303</v>
      </c>
      <c r="AB293" t="n">
        <v>0</v>
      </c>
      <c r="AC293" t="n">
        <v>0</v>
      </c>
      <c r="AD293" t="n">
        <v>0</v>
      </c>
      <c r="AE293" t="n">
        <v>0</v>
      </c>
      <c r="AF293" t="n">
        <v>0</v>
      </c>
      <c r="AG293" t="n">
        <v>0</v>
      </c>
      <c r="AH293" t="n">
        <v>0</v>
      </c>
      <c r="AI293" t="n">
        <v>0</v>
      </c>
      <c r="AJ293" t="n">
        <v>0</v>
      </c>
      <c r="AK293" t="n">
        <v>0</v>
      </c>
      <c r="AL293" t="n">
        <v>-3114</v>
      </c>
      <c r="AM293" t="n">
        <v>337</v>
      </c>
      <c r="AN293" t="n">
        <v>-98</v>
      </c>
      <c r="AO293" t="n">
        <v>-62</v>
      </c>
      <c r="AP293" t="n">
        <v>-3352</v>
      </c>
      <c r="AQ293" t="n">
        <v>-2913</v>
      </c>
      <c r="AR293" t="n">
        <v>-3077</v>
      </c>
      <c r="AS293" t="n">
        <v>-3073</v>
      </c>
      <c r="AT293" t="n">
        <v>-37</v>
      </c>
      <c r="AU293" t="n">
        <v>-41</v>
      </c>
      <c r="AV293" t="n">
        <v>100</v>
      </c>
      <c r="AW293" t="n">
        <v>10.4</v>
      </c>
      <c r="AX293" t="n">
        <v>4.4</v>
      </c>
      <c r="AY293" t="n">
        <v>0.3</v>
      </c>
      <c r="AZ293" t="n">
        <v>88.90000000000001</v>
      </c>
      <c r="BA293" t="n">
        <v>95</v>
      </c>
      <c r="BB293" t="n">
        <v>99.5</v>
      </c>
      <c r="BC293" t="n">
        <v>99.59999999999999</v>
      </c>
      <c r="BD293" t="n">
        <v>0.5</v>
      </c>
      <c r="BE293" t="n">
        <v>0.4</v>
      </c>
      <c r="BF293" t="n">
        <v>100</v>
      </c>
      <c r="BG293" t="n">
        <v>10.4</v>
      </c>
      <c r="BH293" t="n">
        <v>4.4</v>
      </c>
      <c r="BI293" t="n">
        <v>0.3</v>
      </c>
      <c r="BJ293" t="n">
        <v>88.90000000000001</v>
      </c>
      <c r="BK293" t="n">
        <v>95</v>
      </c>
      <c r="BL293" t="n">
        <v>99.5</v>
      </c>
      <c r="BM293" t="n">
        <v>99.59999999999999</v>
      </c>
      <c r="BN293" t="n">
        <v>0.5</v>
      </c>
      <c r="BO293" t="n">
        <v>0.4</v>
      </c>
      <c r="BP293" t="n">
        <v>0</v>
      </c>
      <c r="BQ293" t="n">
        <v>0</v>
      </c>
      <c r="BR293" t="n">
        <v>0</v>
      </c>
      <c r="BS293" t="n">
        <v>0</v>
      </c>
      <c r="BT293" t="n">
        <v>0</v>
      </c>
      <c r="BU293" t="n">
        <v>0</v>
      </c>
      <c r="BV293" t="n">
        <v>0</v>
      </c>
      <c r="BW293" t="n">
        <v>0</v>
      </c>
      <c r="BX293" t="n">
        <v>0</v>
      </c>
      <c r="BY293" t="n">
        <v>0</v>
      </c>
      <c r="BZ293" t="n">
        <v>57</v>
      </c>
      <c r="CA293" t="n">
        <v>3</v>
      </c>
      <c r="CB293" t="n">
        <v>8</v>
      </c>
      <c r="CC293" t="n">
        <v>3</v>
      </c>
      <c r="CD293" t="n">
        <v>36</v>
      </c>
      <c r="CE293" t="n">
        <v>38</v>
      </c>
      <c r="CF293" t="n">
        <v>42</v>
      </c>
      <c r="CG293" t="n">
        <v>46</v>
      </c>
      <c r="CH293" t="n">
        <v>57</v>
      </c>
      <c r="CI293" t="n">
        <v>3</v>
      </c>
      <c r="CJ293" t="n">
        <v>8</v>
      </c>
      <c r="CK293" t="n">
        <v>3</v>
      </c>
      <c r="CL293" t="n">
        <v>36</v>
      </c>
      <c r="CM293" t="n">
        <v>38</v>
      </c>
      <c r="CN293" t="n">
        <v>42</v>
      </c>
      <c r="CO293" t="n">
        <v>46</v>
      </c>
      <c r="CP293" t="n">
        <v>0</v>
      </c>
      <c r="CQ293" t="n">
        <v>0</v>
      </c>
      <c r="CR293" t="n">
        <v>0</v>
      </c>
      <c r="CS293" t="n">
        <v>0</v>
      </c>
      <c r="CT293" t="n">
        <v>0</v>
      </c>
      <c r="CU293" t="n">
        <v>0</v>
      </c>
      <c r="CV293" t="n">
        <v>0</v>
      </c>
      <c r="CW293" t="n">
        <v>0</v>
      </c>
      <c r="CX293" t="n">
        <v>47.8</v>
      </c>
      <c r="CY293" t="n">
        <v>46.9</v>
      </c>
      <c r="CZ293" t="n">
        <v>67.90000000000001</v>
      </c>
      <c r="DA293" t="n">
        <v>65.90000000000001</v>
      </c>
      <c r="DB293" t="n">
        <v>36.3</v>
      </c>
      <c r="DC293" t="n">
        <v>31.9</v>
      </c>
      <c r="DD293" t="n">
        <v>48.9</v>
      </c>
      <c r="DE293" t="n">
        <v>43.1</v>
      </c>
      <c r="DF293" t="n">
        <v>47.8</v>
      </c>
      <c r="DG293" t="n">
        <v>46.9</v>
      </c>
      <c r="DH293" t="n">
        <v>67.90000000000001</v>
      </c>
      <c r="DI293" t="n">
        <v>65.90000000000001</v>
      </c>
      <c r="DJ293" t="n">
        <v>36.3</v>
      </c>
      <c r="DK293" t="n">
        <v>31.9</v>
      </c>
      <c r="DL293" t="n">
        <v>48.9</v>
      </c>
      <c r="DM293" t="n">
        <v>43.1</v>
      </c>
      <c r="DN293" t="n">
        <v>0</v>
      </c>
      <c r="DO293" t="n">
        <v>0</v>
      </c>
      <c r="DP293" t="n">
        <v>0</v>
      </c>
      <c r="DQ293" t="n">
        <v>0</v>
      </c>
      <c r="DR293" t="n">
        <v>0</v>
      </c>
      <c r="DS293" t="n">
        <v>0</v>
      </c>
      <c r="DT293" t="n">
        <v>0</v>
      </c>
      <c r="DU293" t="n">
        <v>0</v>
      </c>
      <c r="DV293" t="inlineStr">
        <is>
          <t>1 MW</t>
        </is>
      </c>
    </row>
    <row r="294">
      <c r="A294" t="inlineStr">
        <is>
          <t>PJM WESTERN HUB DA OFF-PK - ICE FUTURES ENERGY DIV</t>
        </is>
      </c>
      <c r="B294" t="n">
        <v>230103</v>
      </c>
      <c r="C294" s="1" t="n">
        <v>44929</v>
      </c>
      <c r="D294" t="inlineStr">
        <is>
          <t>0643DB</t>
        </is>
      </c>
      <c r="E294" t="inlineStr">
        <is>
          <t>IFED</t>
        </is>
      </c>
      <c r="F294" t="inlineStr">
        <is>
          <t>01</t>
        </is>
      </c>
      <c r="G294" t="inlineStr">
        <is>
          <t xml:space="preserve">064 </t>
        </is>
      </c>
      <c r="H294" t="n">
        <v>87026</v>
      </c>
      <c r="I294" s="17" t="n">
        <v>8377</v>
      </c>
      <c r="J294" s="17" t="n">
        <v>3805</v>
      </c>
      <c r="K294" t="n">
        <v>280</v>
      </c>
      <c r="L294" t="n">
        <v>77943</v>
      </c>
      <c r="M294" t="n">
        <v>82597</v>
      </c>
      <c r="N294" t="n">
        <v>86600</v>
      </c>
      <c r="O294" t="n">
        <v>86682</v>
      </c>
      <c r="P294" t="n">
        <v>426</v>
      </c>
      <c r="Q294" t="n">
        <v>344</v>
      </c>
      <c r="R294" t="n">
        <v>87026</v>
      </c>
      <c r="S294" t="n">
        <v>8377</v>
      </c>
      <c r="T294" t="n">
        <v>3805</v>
      </c>
      <c r="U294" t="n">
        <v>280</v>
      </c>
      <c r="V294" t="n">
        <v>77943</v>
      </c>
      <c r="W294" t="n">
        <v>82597</v>
      </c>
      <c r="X294" t="n">
        <v>86600</v>
      </c>
      <c r="Y294" t="n">
        <v>86682</v>
      </c>
      <c r="Z294" t="n">
        <v>426</v>
      </c>
      <c r="AA294" t="n">
        <v>344</v>
      </c>
      <c r="AB294" t="n">
        <v>0</v>
      </c>
      <c r="AC294" t="n">
        <v>0</v>
      </c>
      <c r="AD294" t="n">
        <v>0</v>
      </c>
      <c r="AE294" t="n">
        <v>0</v>
      </c>
      <c r="AF294" t="n">
        <v>0</v>
      </c>
      <c r="AG294" t="n">
        <v>0</v>
      </c>
      <c r="AH294" t="n">
        <v>0</v>
      </c>
      <c r="AI294" t="n">
        <v>0</v>
      </c>
      <c r="AJ294" t="n">
        <v>0</v>
      </c>
      <c r="AK294" t="n">
        <v>0</v>
      </c>
      <c r="AL294" t="n">
        <v>1151</v>
      </c>
      <c r="AM294" t="n">
        <v>8</v>
      </c>
      <c r="AN294" t="n">
        <v>744</v>
      </c>
      <c r="AO294" t="n">
        <v>0</v>
      </c>
      <c r="AP294" t="n">
        <v>1103</v>
      </c>
      <c r="AQ294" t="n">
        <v>401</v>
      </c>
      <c r="AR294" t="n">
        <v>1111</v>
      </c>
      <c r="AS294" t="n">
        <v>1145</v>
      </c>
      <c r="AT294" t="n">
        <v>40</v>
      </c>
      <c r="AU294" t="n">
        <v>6</v>
      </c>
      <c r="AV294" t="n">
        <v>100</v>
      </c>
      <c r="AW294" t="n">
        <v>9.6</v>
      </c>
      <c r="AX294" t="n">
        <v>4.4</v>
      </c>
      <c r="AY294" t="n">
        <v>0.3</v>
      </c>
      <c r="AZ294" t="n">
        <v>89.59999999999999</v>
      </c>
      <c r="BA294" t="n">
        <v>94.90000000000001</v>
      </c>
      <c r="BB294" t="n">
        <v>99.5</v>
      </c>
      <c r="BC294" t="n">
        <v>99.59999999999999</v>
      </c>
      <c r="BD294" t="n">
        <v>0.5</v>
      </c>
      <c r="BE294" t="n">
        <v>0.4</v>
      </c>
      <c r="BF294" t="n">
        <v>100</v>
      </c>
      <c r="BG294" t="n">
        <v>9.6</v>
      </c>
      <c r="BH294" t="n">
        <v>4.4</v>
      </c>
      <c r="BI294" t="n">
        <v>0.3</v>
      </c>
      <c r="BJ294" t="n">
        <v>89.59999999999999</v>
      </c>
      <c r="BK294" t="n">
        <v>94.90000000000001</v>
      </c>
      <c r="BL294" t="n">
        <v>99.5</v>
      </c>
      <c r="BM294" t="n">
        <v>99.59999999999999</v>
      </c>
      <c r="BN294" t="n">
        <v>0.5</v>
      </c>
      <c r="BO294" t="n">
        <v>0.4</v>
      </c>
      <c r="BP294" t="n">
        <v>0</v>
      </c>
      <c r="BQ294" t="n">
        <v>0</v>
      </c>
      <c r="BR294" t="n">
        <v>0</v>
      </c>
      <c r="BS294" t="n">
        <v>0</v>
      </c>
      <c r="BT294" t="n">
        <v>0</v>
      </c>
      <c r="BU294" t="n">
        <v>0</v>
      </c>
      <c r="BV294" t="n">
        <v>0</v>
      </c>
      <c r="BW294" t="n">
        <v>0</v>
      </c>
      <c r="BX294" t="n">
        <v>0</v>
      </c>
      <c r="BY294" t="n">
        <v>0</v>
      </c>
      <c r="BZ294" t="n">
        <v>60</v>
      </c>
      <c r="CA294" t="n">
        <v>5</v>
      </c>
      <c r="CB294" t="n">
        <v>8</v>
      </c>
      <c r="CC294" t="n">
        <v>5</v>
      </c>
      <c r="CD294" t="n">
        <v>39</v>
      </c>
      <c r="CE294" t="n">
        <v>40</v>
      </c>
      <c r="CF294" t="n">
        <v>47</v>
      </c>
      <c r="CG294" t="n">
        <v>50</v>
      </c>
      <c r="CH294" t="n">
        <v>60</v>
      </c>
      <c r="CI294" t="n">
        <v>5</v>
      </c>
      <c r="CJ294" t="n">
        <v>8</v>
      </c>
      <c r="CK294" t="n">
        <v>5</v>
      </c>
      <c r="CL294" t="n">
        <v>39</v>
      </c>
      <c r="CM294" t="n">
        <v>40</v>
      </c>
      <c r="CN294" t="n">
        <v>47</v>
      </c>
      <c r="CO294" t="n">
        <v>50</v>
      </c>
      <c r="CP294" t="n">
        <v>0</v>
      </c>
      <c r="CQ294" t="n">
        <v>0</v>
      </c>
      <c r="CR294" t="n">
        <v>0</v>
      </c>
      <c r="CS294" t="n">
        <v>0</v>
      </c>
      <c r="CT294" t="n">
        <v>0</v>
      </c>
      <c r="CU294" t="n">
        <v>0</v>
      </c>
      <c r="CV294" t="n">
        <v>0</v>
      </c>
      <c r="CW294" t="n">
        <v>0</v>
      </c>
      <c r="CX294" t="n">
        <v>45.9</v>
      </c>
      <c r="CY294" t="n">
        <v>45.8</v>
      </c>
      <c r="CZ294" t="n">
        <v>67.09999999999999</v>
      </c>
      <c r="DA294" t="n">
        <v>65.3</v>
      </c>
      <c r="DB294" t="n">
        <v>33.5</v>
      </c>
      <c r="DC294" t="n">
        <v>33</v>
      </c>
      <c r="DD294" t="n">
        <v>48.6</v>
      </c>
      <c r="DE294" t="n">
        <v>43.4</v>
      </c>
      <c r="DF294" t="n">
        <v>45.9</v>
      </c>
      <c r="DG294" t="n">
        <v>45.8</v>
      </c>
      <c r="DH294" t="n">
        <v>67.09999999999999</v>
      </c>
      <c r="DI294" t="n">
        <v>65.3</v>
      </c>
      <c r="DJ294" t="n">
        <v>33.5</v>
      </c>
      <c r="DK294" t="n">
        <v>33</v>
      </c>
      <c r="DL294" t="n">
        <v>48.6</v>
      </c>
      <c r="DM294" t="n">
        <v>43.4</v>
      </c>
      <c r="DN294" t="n">
        <v>0</v>
      </c>
      <c r="DO294" t="n">
        <v>0</v>
      </c>
      <c r="DP294" t="n">
        <v>0</v>
      </c>
      <c r="DQ294" t="n">
        <v>0</v>
      </c>
      <c r="DR294" t="n">
        <v>0</v>
      </c>
      <c r="DS294" t="n">
        <v>0</v>
      </c>
      <c r="DT294" t="n">
        <v>0</v>
      </c>
      <c r="DU294" t="n">
        <v>0</v>
      </c>
      <c r="DV294" t="inlineStr">
        <is>
          <t>1 MW</t>
        </is>
      </c>
    </row>
    <row r="295">
      <c r="A295" t="inlineStr">
        <is>
          <t>PJM WESTERN HUB DA PEAK - ICE FUTURES ENERGY DIV</t>
        </is>
      </c>
      <c r="B295" t="n">
        <v>230110</v>
      </c>
      <c r="C295" s="1" t="n">
        <v>44936</v>
      </c>
      <c r="D295" t="inlineStr">
        <is>
          <t>0643DC</t>
        </is>
      </c>
      <c r="E295" t="inlineStr">
        <is>
          <t>IFED</t>
        </is>
      </c>
      <c r="F295" t="inlineStr">
        <is>
          <t>01</t>
        </is>
      </c>
      <c r="G295" t="inlineStr">
        <is>
          <t xml:space="preserve">064 </t>
        </is>
      </c>
      <c r="H295" t="n">
        <v>90631</v>
      </c>
      <c r="I295" s="17" t="n">
        <v>11626</v>
      </c>
      <c r="J295" s="17" t="n">
        <v>13082</v>
      </c>
      <c r="K295" t="n">
        <v>272</v>
      </c>
      <c r="L295" t="n">
        <v>78368</v>
      </c>
      <c r="M295" t="n">
        <v>77102</v>
      </c>
      <c r="N295" t="n">
        <v>90266</v>
      </c>
      <c r="O295" t="n">
        <v>90456</v>
      </c>
      <c r="P295" t="n">
        <v>365</v>
      </c>
      <c r="Q295" t="n">
        <v>175</v>
      </c>
      <c r="R295" t="n">
        <v>90631</v>
      </c>
      <c r="S295" t="n">
        <v>11626</v>
      </c>
      <c r="T295" t="n">
        <v>13082</v>
      </c>
      <c r="U295" t="n">
        <v>272</v>
      </c>
      <c r="V295" t="n">
        <v>78368</v>
      </c>
      <c r="W295" t="n">
        <v>77102</v>
      </c>
      <c r="X295" t="n">
        <v>90266</v>
      </c>
      <c r="Y295" t="n">
        <v>90456</v>
      </c>
      <c r="Z295" t="n">
        <v>365</v>
      </c>
      <c r="AA295" t="n">
        <v>175</v>
      </c>
      <c r="AB295" t="n">
        <v>0</v>
      </c>
      <c r="AC295" t="n">
        <v>0</v>
      </c>
      <c r="AD295" t="n">
        <v>0</v>
      </c>
      <c r="AE295" t="n">
        <v>0</v>
      </c>
      <c r="AF295" t="n">
        <v>0</v>
      </c>
      <c r="AG295" t="n">
        <v>0</v>
      </c>
      <c r="AH295" t="n">
        <v>0</v>
      </c>
      <c r="AI295" t="n">
        <v>0</v>
      </c>
      <c r="AJ295" t="n">
        <v>0</v>
      </c>
      <c r="AK295" t="n">
        <v>0</v>
      </c>
      <c r="AL295" t="n">
        <v>-5305</v>
      </c>
      <c r="AM295" t="n">
        <v>353</v>
      </c>
      <c r="AN295" t="n">
        <v>-452</v>
      </c>
      <c r="AO295" t="n">
        <v>-247</v>
      </c>
      <c r="AP295" t="n">
        <v>-5358</v>
      </c>
      <c r="AQ295" t="n">
        <v>-4581</v>
      </c>
      <c r="AR295" t="n">
        <v>-5252</v>
      </c>
      <c r="AS295" t="n">
        <v>-5280</v>
      </c>
      <c r="AT295" t="n">
        <v>-53</v>
      </c>
      <c r="AU295" t="n">
        <v>-25</v>
      </c>
      <c r="AV295" t="n">
        <v>100</v>
      </c>
      <c r="AW295" t="n">
        <v>12.8</v>
      </c>
      <c r="AX295" t="n">
        <v>14.4</v>
      </c>
      <c r="AY295" t="n">
        <v>0.3</v>
      </c>
      <c r="AZ295" t="n">
        <v>86.5</v>
      </c>
      <c r="BA295" t="n">
        <v>85.09999999999999</v>
      </c>
      <c r="BB295" t="n">
        <v>99.59999999999999</v>
      </c>
      <c r="BC295" t="n">
        <v>99.8</v>
      </c>
      <c r="BD295" t="n">
        <v>0.4</v>
      </c>
      <c r="BE295" t="n">
        <v>0.2</v>
      </c>
      <c r="BF295" t="n">
        <v>100</v>
      </c>
      <c r="BG295" t="n">
        <v>12.8</v>
      </c>
      <c r="BH295" t="n">
        <v>14.4</v>
      </c>
      <c r="BI295" t="n">
        <v>0.3</v>
      </c>
      <c r="BJ295" t="n">
        <v>86.5</v>
      </c>
      <c r="BK295" t="n">
        <v>85.09999999999999</v>
      </c>
      <c r="BL295" t="n">
        <v>99.59999999999999</v>
      </c>
      <c r="BM295" t="n">
        <v>99.8</v>
      </c>
      <c r="BN295" t="n">
        <v>0.4</v>
      </c>
      <c r="BO295" t="n">
        <v>0.2</v>
      </c>
      <c r="BP295" t="n">
        <v>0</v>
      </c>
      <c r="BQ295" t="n">
        <v>0</v>
      </c>
      <c r="BR295" t="n">
        <v>0</v>
      </c>
      <c r="BS295" t="n">
        <v>0</v>
      </c>
      <c r="BT295" t="n">
        <v>0</v>
      </c>
      <c r="BU295" t="n">
        <v>0</v>
      </c>
      <c r="BV295" t="n">
        <v>0</v>
      </c>
      <c r="BW295" t="n">
        <v>0</v>
      </c>
      <c r="BX295" t="n">
        <v>0</v>
      </c>
      <c r="BY295" t="n">
        <v>0</v>
      </c>
      <c r="BZ295" t="n">
        <v>66</v>
      </c>
      <c r="CA295" t="n">
        <v>8</v>
      </c>
      <c r="CB295" t="n">
        <v>7</v>
      </c>
      <c r="CC295" t="n">
        <v>5</v>
      </c>
      <c r="CD295" t="n">
        <v>42</v>
      </c>
      <c r="CE295" t="n">
        <v>41</v>
      </c>
      <c r="CF295" t="n">
        <v>52</v>
      </c>
      <c r="CG295" t="n">
        <v>51</v>
      </c>
      <c r="CH295" t="n">
        <v>66</v>
      </c>
      <c r="CI295" t="n">
        <v>8</v>
      </c>
      <c r="CJ295" t="n">
        <v>7</v>
      </c>
      <c r="CK295" t="n">
        <v>5</v>
      </c>
      <c r="CL295" t="n">
        <v>42</v>
      </c>
      <c r="CM295" t="n">
        <v>41</v>
      </c>
      <c r="CN295" t="n">
        <v>52</v>
      </c>
      <c r="CO295" t="n">
        <v>51</v>
      </c>
      <c r="CP295" t="n">
        <v>0</v>
      </c>
      <c r="CQ295" t="n">
        <v>0</v>
      </c>
      <c r="CR295" t="n">
        <v>0</v>
      </c>
      <c r="CS295" t="n">
        <v>0</v>
      </c>
      <c r="CT295" t="n">
        <v>0</v>
      </c>
      <c r="CU295" t="n">
        <v>0</v>
      </c>
      <c r="CV295" t="n">
        <v>0</v>
      </c>
      <c r="CW295" t="n">
        <v>0</v>
      </c>
      <c r="CX295" t="n">
        <v>44.6</v>
      </c>
      <c r="CY295" t="n">
        <v>47.1</v>
      </c>
      <c r="CZ295" t="n">
        <v>63.1</v>
      </c>
      <c r="DA295" t="n">
        <v>67.5</v>
      </c>
      <c r="DB295" t="n">
        <v>36.1</v>
      </c>
      <c r="DC295" t="n">
        <v>38</v>
      </c>
      <c r="DD295" t="n">
        <v>48</v>
      </c>
      <c r="DE295" t="n">
        <v>47.2</v>
      </c>
      <c r="DF295" t="n">
        <v>44.6</v>
      </c>
      <c r="DG295" t="n">
        <v>47.1</v>
      </c>
      <c r="DH295" t="n">
        <v>63.1</v>
      </c>
      <c r="DI295" t="n">
        <v>67.5</v>
      </c>
      <c r="DJ295" t="n">
        <v>36.1</v>
      </c>
      <c r="DK295" t="n">
        <v>38</v>
      </c>
      <c r="DL295" t="n">
        <v>48</v>
      </c>
      <c r="DM295" t="n">
        <v>47.2</v>
      </c>
      <c r="DN295" t="n">
        <v>0</v>
      </c>
      <c r="DO295" t="n">
        <v>0</v>
      </c>
      <c r="DP295" t="n">
        <v>0</v>
      </c>
      <c r="DQ295" t="n">
        <v>0</v>
      </c>
      <c r="DR295" t="n">
        <v>0</v>
      </c>
      <c r="DS295" t="n">
        <v>0</v>
      </c>
      <c r="DT295" t="n">
        <v>0</v>
      </c>
      <c r="DU295" t="n">
        <v>0</v>
      </c>
      <c r="DV295" t="inlineStr">
        <is>
          <t>352 MWh</t>
        </is>
      </c>
    </row>
    <row r="296">
      <c r="A296" t="inlineStr">
        <is>
          <t>PJM WESTERN HUB DA PEAK - ICE FUTURES ENERGY DIV</t>
        </is>
      </c>
      <c r="B296" t="n">
        <v>230103</v>
      </c>
      <c r="C296" s="1" t="n">
        <v>44929</v>
      </c>
      <c r="D296" t="inlineStr">
        <is>
          <t>0643DC</t>
        </is>
      </c>
      <c r="E296" t="inlineStr">
        <is>
          <t>IFED</t>
        </is>
      </c>
      <c r="F296" t="inlineStr">
        <is>
          <t>01</t>
        </is>
      </c>
      <c r="G296" t="inlineStr">
        <is>
          <t xml:space="preserve">064 </t>
        </is>
      </c>
      <c r="H296" t="n">
        <v>95936</v>
      </c>
      <c r="I296" s="17" t="n">
        <v>11273</v>
      </c>
      <c r="J296" s="17" t="n">
        <v>13534</v>
      </c>
      <c r="K296" t="n">
        <v>519</v>
      </c>
      <c r="L296" t="n">
        <v>83726</v>
      </c>
      <c r="M296" t="n">
        <v>81683</v>
      </c>
      <c r="N296" t="n">
        <v>95518</v>
      </c>
      <c r="O296" t="n">
        <v>95736</v>
      </c>
      <c r="P296" t="n">
        <v>418</v>
      </c>
      <c r="Q296" t="n">
        <v>200</v>
      </c>
      <c r="R296" t="n">
        <v>95936</v>
      </c>
      <c r="S296" t="n">
        <v>11273</v>
      </c>
      <c r="T296" t="n">
        <v>13534</v>
      </c>
      <c r="U296" t="n">
        <v>519</v>
      </c>
      <c r="V296" t="n">
        <v>83726</v>
      </c>
      <c r="W296" t="n">
        <v>81683</v>
      </c>
      <c r="X296" t="n">
        <v>95518</v>
      </c>
      <c r="Y296" t="n">
        <v>95736</v>
      </c>
      <c r="Z296" t="n">
        <v>418</v>
      </c>
      <c r="AA296" t="n">
        <v>200</v>
      </c>
      <c r="AB296" t="n">
        <v>0</v>
      </c>
      <c r="AC296" t="n">
        <v>0</v>
      </c>
      <c r="AD296" t="n">
        <v>0</v>
      </c>
      <c r="AE296" t="n">
        <v>0</v>
      </c>
      <c r="AF296" t="n">
        <v>0</v>
      </c>
      <c r="AG296" t="n">
        <v>0</v>
      </c>
      <c r="AH296" t="n">
        <v>0</v>
      </c>
      <c r="AI296" t="n">
        <v>0</v>
      </c>
      <c r="AJ296" t="n">
        <v>0</v>
      </c>
      <c r="AK296" t="n">
        <v>0</v>
      </c>
      <c r="AL296" t="n">
        <v>1391</v>
      </c>
      <c r="AM296" t="n">
        <v>255</v>
      </c>
      <c r="AN296" t="n">
        <v>798</v>
      </c>
      <c r="AO296" t="n">
        <v>29</v>
      </c>
      <c r="AP296" t="n">
        <v>1112</v>
      </c>
      <c r="AQ296" t="n">
        <v>569</v>
      </c>
      <c r="AR296" t="n">
        <v>1396</v>
      </c>
      <c r="AS296" t="n">
        <v>1396</v>
      </c>
      <c r="AT296" t="n">
        <v>-5</v>
      </c>
      <c r="AU296" t="n">
        <v>-5</v>
      </c>
      <c r="AV296" t="n">
        <v>100</v>
      </c>
      <c r="AW296" t="n">
        <v>11.8</v>
      </c>
      <c r="AX296" t="n">
        <v>14.1</v>
      </c>
      <c r="AY296" t="n">
        <v>0.5</v>
      </c>
      <c r="AZ296" t="n">
        <v>87.3</v>
      </c>
      <c r="BA296" t="n">
        <v>85.09999999999999</v>
      </c>
      <c r="BB296" t="n">
        <v>99.59999999999999</v>
      </c>
      <c r="BC296" t="n">
        <v>99.8</v>
      </c>
      <c r="BD296" t="n">
        <v>0.4</v>
      </c>
      <c r="BE296" t="n">
        <v>0.2</v>
      </c>
      <c r="BF296" t="n">
        <v>100</v>
      </c>
      <c r="BG296" t="n">
        <v>11.8</v>
      </c>
      <c r="BH296" t="n">
        <v>14.1</v>
      </c>
      <c r="BI296" t="n">
        <v>0.5</v>
      </c>
      <c r="BJ296" t="n">
        <v>87.3</v>
      </c>
      <c r="BK296" t="n">
        <v>85.09999999999999</v>
      </c>
      <c r="BL296" t="n">
        <v>99.59999999999999</v>
      </c>
      <c r="BM296" t="n">
        <v>99.8</v>
      </c>
      <c r="BN296" t="n">
        <v>0.4</v>
      </c>
      <c r="BO296" t="n">
        <v>0.2</v>
      </c>
      <c r="BP296" t="n">
        <v>0</v>
      </c>
      <c r="BQ296" t="n">
        <v>0</v>
      </c>
      <c r="BR296" t="n">
        <v>0</v>
      </c>
      <c r="BS296" t="n">
        <v>0</v>
      </c>
      <c r="BT296" t="n">
        <v>0</v>
      </c>
      <c r="BU296" t="n">
        <v>0</v>
      </c>
      <c r="BV296" t="n">
        <v>0</v>
      </c>
      <c r="BW296" t="n">
        <v>0</v>
      </c>
      <c r="BX296" t="n">
        <v>0</v>
      </c>
      <c r="BY296" t="n">
        <v>0</v>
      </c>
      <c r="BZ296" t="n">
        <v>70</v>
      </c>
      <c r="CA296" t="n">
        <v>9</v>
      </c>
      <c r="CB296" t="n">
        <v>10</v>
      </c>
      <c r="CC296" t="n">
        <v>7</v>
      </c>
      <c r="CD296" t="n">
        <v>44</v>
      </c>
      <c r="CE296" t="n">
        <v>41</v>
      </c>
      <c r="CF296" t="n">
        <v>56</v>
      </c>
      <c r="CG296" t="n">
        <v>55</v>
      </c>
      <c r="CH296" t="n">
        <v>70</v>
      </c>
      <c r="CI296" t="n">
        <v>9</v>
      </c>
      <c r="CJ296" t="n">
        <v>10</v>
      </c>
      <c r="CK296" t="n">
        <v>7</v>
      </c>
      <c r="CL296" t="n">
        <v>44</v>
      </c>
      <c r="CM296" t="n">
        <v>41</v>
      </c>
      <c r="CN296" t="n">
        <v>56</v>
      </c>
      <c r="CO296" t="n">
        <v>55</v>
      </c>
      <c r="CP296" t="n">
        <v>0</v>
      </c>
      <c r="CQ296" t="n">
        <v>0</v>
      </c>
      <c r="CR296" t="n">
        <v>0</v>
      </c>
      <c r="CS296" t="n">
        <v>0</v>
      </c>
      <c r="CT296" t="n">
        <v>0</v>
      </c>
      <c r="CU296" t="n">
        <v>0</v>
      </c>
      <c r="CV296" t="n">
        <v>0</v>
      </c>
      <c r="CW296" t="n">
        <v>0</v>
      </c>
      <c r="CX296" t="n">
        <v>42.9</v>
      </c>
      <c r="CY296" t="n">
        <v>44.2</v>
      </c>
      <c r="CZ296" t="n">
        <v>61.5</v>
      </c>
      <c r="DA296" t="n">
        <v>65.5</v>
      </c>
      <c r="DB296" t="n">
        <v>33.2</v>
      </c>
      <c r="DC296" t="n">
        <v>36.8</v>
      </c>
      <c r="DD296" t="n">
        <v>45.8</v>
      </c>
      <c r="DE296" t="n">
        <v>47</v>
      </c>
      <c r="DF296" t="n">
        <v>42.9</v>
      </c>
      <c r="DG296" t="n">
        <v>44.2</v>
      </c>
      <c r="DH296" t="n">
        <v>61.5</v>
      </c>
      <c r="DI296" t="n">
        <v>65.5</v>
      </c>
      <c r="DJ296" t="n">
        <v>33.2</v>
      </c>
      <c r="DK296" t="n">
        <v>36.8</v>
      </c>
      <c r="DL296" t="n">
        <v>45.8</v>
      </c>
      <c r="DM296" t="n">
        <v>47</v>
      </c>
      <c r="DN296" t="n">
        <v>0</v>
      </c>
      <c r="DO296" t="n">
        <v>0</v>
      </c>
      <c r="DP296" t="n">
        <v>0</v>
      </c>
      <c r="DQ296" t="n">
        <v>0</v>
      </c>
      <c r="DR296" t="n">
        <v>0</v>
      </c>
      <c r="DS296" t="n">
        <v>0</v>
      </c>
      <c r="DT296" t="n">
        <v>0</v>
      </c>
      <c r="DU296" t="n">
        <v>0</v>
      </c>
      <c r="DV296" t="inlineStr">
        <is>
          <t>352 MWh</t>
        </is>
      </c>
    </row>
    <row r="297">
      <c r="A297" t="inlineStr">
        <is>
          <t>PJM WESTERN HUB RT PEAK MINI - ICE FUTURES ENERGY DIV</t>
        </is>
      </c>
      <c r="B297" t="n">
        <v>230110</v>
      </c>
      <c r="C297" s="1" t="n">
        <v>44936</v>
      </c>
      <c r="D297" t="inlineStr">
        <is>
          <t>0643DF</t>
        </is>
      </c>
      <c r="E297" t="inlineStr">
        <is>
          <t>IFED</t>
        </is>
      </c>
      <c r="F297" t="inlineStr">
        <is>
          <t>01</t>
        </is>
      </c>
      <c r="G297" t="inlineStr">
        <is>
          <t xml:space="preserve">064 </t>
        </is>
      </c>
      <c r="H297" t="n">
        <v>294051</v>
      </c>
      <c r="I297" s="17" t="n">
        <v>36420</v>
      </c>
      <c r="J297" s="17" t="n">
        <v>38327</v>
      </c>
      <c r="K297" t="n">
        <v>41431</v>
      </c>
      <c r="L297" t="n">
        <v>214686</v>
      </c>
      <c r="M297" t="n">
        <v>213457</v>
      </c>
      <c r="N297" t="n">
        <v>292537</v>
      </c>
      <c r="O297" t="n">
        <v>293215</v>
      </c>
      <c r="P297" t="n">
        <v>1514</v>
      </c>
      <c r="Q297" t="n">
        <v>836</v>
      </c>
      <c r="R297" t="n">
        <v>294051</v>
      </c>
      <c r="S297" t="n">
        <v>36420</v>
      </c>
      <c r="T297" t="n">
        <v>38327</v>
      </c>
      <c r="U297" t="n">
        <v>41431</v>
      </c>
      <c r="V297" t="n">
        <v>214686</v>
      </c>
      <c r="W297" t="n">
        <v>213457</v>
      </c>
      <c r="X297" t="n">
        <v>292537</v>
      </c>
      <c r="Y297" t="n">
        <v>293215</v>
      </c>
      <c r="Z297" t="n">
        <v>1514</v>
      </c>
      <c r="AA297" t="n">
        <v>836</v>
      </c>
      <c r="AB297" t="n">
        <v>0</v>
      </c>
      <c r="AC297" t="n">
        <v>0</v>
      </c>
      <c r="AD297" t="n">
        <v>0</v>
      </c>
      <c r="AE297" t="n">
        <v>0</v>
      </c>
      <c r="AF297" t="n">
        <v>0</v>
      </c>
      <c r="AG297" t="n">
        <v>0</v>
      </c>
      <c r="AH297" t="n">
        <v>0</v>
      </c>
      <c r="AI297" t="n">
        <v>0</v>
      </c>
      <c r="AJ297" t="n">
        <v>0</v>
      </c>
      <c r="AK297" t="n">
        <v>0</v>
      </c>
      <c r="AL297" t="n">
        <v>1425</v>
      </c>
      <c r="AM297" t="n">
        <v>967</v>
      </c>
      <c r="AN297" t="n">
        <v>1312</v>
      </c>
      <c r="AO297" t="n">
        <v>3463</v>
      </c>
      <c r="AP297" t="n">
        <v>-3888</v>
      </c>
      <c r="AQ297" t="n">
        <v>-3644</v>
      </c>
      <c r="AR297" t="n">
        <v>542</v>
      </c>
      <c r="AS297" t="n">
        <v>1131</v>
      </c>
      <c r="AT297" t="n">
        <v>883</v>
      </c>
      <c r="AU297" t="n">
        <v>294</v>
      </c>
      <c r="AV297" t="n">
        <v>100</v>
      </c>
      <c r="AW297" t="n">
        <v>12.4</v>
      </c>
      <c r="AX297" t="n">
        <v>13</v>
      </c>
      <c r="AY297" t="n">
        <v>14.1</v>
      </c>
      <c r="AZ297" t="n">
        <v>73</v>
      </c>
      <c r="BA297" t="n">
        <v>72.59999999999999</v>
      </c>
      <c r="BB297" t="n">
        <v>99.5</v>
      </c>
      <c r="BC297" t="n">
        <v>99.7</v>
      </c>
      <c r="BD297" t="n">
        <v>0.5</v>
      </c>
      <c r="BE297" t="n">
        <v>0.3</v>
      </c>
      <c r="BF297" t="n">
        <v>100</v>
      </c>
      <c r="BG297" t="n">
        <v>12.4</v>
      </c>
      <c r="BH297" t="n">
        <v>13</v>
      </c>
      <c r="BI297" t="n">
        <v>14.1</v>
      </c>
      <c r="BJ297" t="n">
        <v>73</v>
      </c>
      <c r="BK297" t="n">
        <v>72.59999999999999</v>
      </c>
      <c r="BL297" t="n">
        <v>99.5</v>
      </c>
      <c r="BM297" t="n">
        <v>99.7</v>
      </c>
      <c r="BN297" t="n">
        <v>0.5</v>
      </c>
      <c r="BO297" t="n">
        <v>0.3</v>
      </c>
      <c r="BP297" t="n">
        <v>0</v>
      </c>
      <c r="BQ297" t="n">
        <v>0</v>
      </c>
      <c r="BR297" t="n">
        <v>0</v>
      </c>
      <c r="BS297" t="n">
        <v>0</v>
      </c>
      <c r="BT297" t="n">
        <v>0</v>
      </c>
      <c r="BU297" t="n">
        <v>0</v>
      </c>
      <c r="BV297" t="n">
        <v>0</v>
      </c>
      <c r="BW297" t="n">
        <v>0</v>
      </c>
      <c r="BX297" t="n">
        <v>0</v>
      </c>
      <c r="BY297" t="n">
        <v>0</v>
      </c>
      <c r="BZ297" t="n">
        <v>101</v>
      </c>
      <c r="CA297" t="n">
        <v>26</v>
      </c>
      <c r="CB297" t="n">
        <v>24</v>
      </c>
      <c r="CC297" t="n">
        <v>30</v>
      </c>
      <c r="CD297" t="n">
        <v>46</v>
      </c>
      <c r="CE297" t="n">
        <v>43</v>
      </c>
      <c r="CF297" t="n">
        <v>82</v>
      </c>
      <c r="CG297" t="n">
        <v>87</v>
      </c>
      <c r="CH297" t="n">
        <v>101</v>
      </c>
      <c r="CI297" t="n">
        <v>26</v>
      </c>
      <c r="CJ297" t="n">
        <v>24</v>
      </c>
      <c r="CK297" t="n">
        <v>30</v>
      </c>
      <c r="CL297" t="n">
        <v>46</v>
      </c>
      <c r="CM297" t="n">
        <v>43</v>
      </c>
      <c r="CN297" t="n">
        <v>82</v>
      </c>
      <c r="CO297" t="n">
        <v>87</v>
      </c>
      <c r="CP297" t="n">
        <v>0</v>
      </c>
      <c r="CQ297" t="n">
        <v>0</v>
      </c>
      <c r="CR297" t="n">
        <v>0</v>
      </c>
      <c r="CS297" t="n">
        <v>0</v>
      </c>
      <c r="CT297" t="n">
        <v>0</v>
      </c>
      <c r="CU297" t="n">
        <v>0</v>
      </c>
      <c r="CV297" t="n">
        <v>0</v>
      </c>
      <c r="CW297" t="n">
        <v>0</v>
      </c>
      <c r="CX297" t="n">
        <v>35.1</v>
      </c>
      <c r="CY297" t="n">
        <v>52</v>
      </c>
      <c r="CZ297" t="n">
        <v>56</v>
      </c>
      <c r="DA297" t="n">
        <v>66</v>
      </c>
      <c r="DB297" t="n">
        <v>31.2</v>
      </c>
      <c r="DC297" t="n">
        <v>34.9</v>
      </c>
      <c r="DD297" t="n">
        <v>39.7</v>
      </c>
      <c r="DE297" t="n">
        <v>42.4</v>
      </c>
      <c r="DF297" t="n">
        <v>35.1</v>
      </c>
      <c r="DG297" t="n">
        <v>52</v>
      </c>
      <c r="DH297" t="n">
        <v>56</v>
      </c>
      <c r="DI297" t="n">
        <v>66</v>
      </c>
      <c r="DJ297" t="n">
        <v>31.2</v>
      </c>
      <c r="DK297" t="n">
        <v>34.9</v>
      </c>
      <c r="DL297" t="n">
        <v>39.7</v>
      </c>
      <c r="DM297" t="n">
        <v>42.4</v>
      </c>
      <c r="DN297" t="n">
        <v>0</v>
      </c>
      <c r="DO297" t="n">
        <v>0</v>
      </c>
      <c r="DP297" t="n">
        <v>0</v>
      </c>
      <c r="DQ297" t="n">
        <v>0</v>
      </c>
      <c r="DR297" t="n">
        <v>0</v>
      </c>
      <c r="DS297" t="n">
        <v>0</v>
      </c>
      <c r="DT297" t="n">
        <v>0</v>
      </c>
      <c r="DU297" t="n">
        <v>0</v>
      </c>
      <c r="DV297" t="inlineStr">
        <is>
          <t>1 MW</t>
        </is>
      </c>
    </row>
    <row r="298">
      <c r="A298" t="inlineStr">
        <is>
          <t>PJM WESTERN HUB RT PEAK MINI - ICE FUTURES ENERGY DIV</t>
        </is>
      </c>
      <c r="B298" t="n">
        <v>230103</v>
      </c>
      <c r="C298" s="1" t="n">
        <v>44929</v>
      </c>
      <c r="D298" t="inlineStr">
        <is>
          <t>0643DF</t>
        </is>
      </c>
      <c r="E298" t="inlineStr">
        <is>
          <t>IFED</t>
        </is>
      </c>
      <c r="F298" t="inlineStr">
        <is>
          <t>01</t>
        </is>
      </c>
      <c r="G298" t="inlineStr">
        <is>
          <t xml:space="preserve">064 </t>
        </is>
      </c>
      <c r="H298" t="n">
        <v>292626</v>
      </c>
      <c r="I298" s="17" t="n">
        <v>35453</v>
      </c>
      <c r="J298" s="17" t="n">
        <v>37015</v>
      </c>
      <c r="K298" t="n">
        <v>37968</v>
      </c>
      <c r="L298" t="n">
        <v>218574</v>
      </c>
      <c r="M298" t="n">
        <v>217101</v>
      </c>
      <c r="N298" t="n">
        <v>291995</v>
      </c>
      <c r="O298" t="n">
        <v>292084</v>
      </c>
      <c r="P298" t="n">
        <v>631</v>
      </c>
      <c r="Q298" t="n">
        <v>542</v>
      </c>
      <c r="R298" t="n">
        <v>292626</v>
      </c>
      <c r="S298" t="n">
        <v>35453</v>
      </c>
      <c r="T298" t="n">
        <v>37015</v>
      </c>
      <c r="U298" t="n">
        <v>37968</v>
      </c>
      <c r="V298" t="n">
        <v>218574</v>
      </c>
      <c r="W298" t="n">
        <v>217101</v>
      </c>
      <c r="X298" t="n">
        <v>291995</v>
      </c>
      <c r="Y298" t="n">
        <v>292084</v>
      </c>
      <c r="Z298" t="n">
        <v>631</v>
      </c>
      <c r="AA298" t="n">
        <v>542</v>
      </c>
      <c r="AB298" t="n">
        <v>0</v>
      </c>
      <c r="AC298" t="n">
        <v>0</v>
      </c>
      <c r="AD298" t="n">
        <v>0</v>
      </c>
      <c r="AE298" t="n">
        <v>0</v>
      </c>
      <c r="AF298" t="n">
        <v>0</v>
      </c>
      <c r="AG298" t="n">
        <v>0</v>
      </c>
      <c r="AH298" t="n">
        <v>0</v>
      </c>
      <c r="AI298" t="n">
        <v>0</v>
      </c>
      <c r="AJ298" t="n">
        <v>0</v>
      </c>
      <c r="AK298" t="n">
        <v>0</v>
      </c>
      <c r="AL298" t="n">
        <v>4148</v>
      </c>
      <c r="AM298" t="n">
        <v>886</v>
      </c>
      <c r="AN298" t="n">
        <v>4258</v>
      </c>
      <c r="AO298" t="n">
        <v>507</v>
      </c>
      <c r="AP298" t="n">
        <v>3121</v>
      </c>
      <c r="AQ298" t="n">
        <v>-611</v>
      </c>
      <c r="AR298" t="n">
        <v>4514</v>
      </c>
      <c r="AS298" t="n">
        <v>4154</v>
      </c>
      <c r="AT298" t="n">
        <v>-366</v>
      </c>
      <c r="AU298" t="n">
        <v>-6</v>
      </c>
      <c r="AV298" t="n">
        <v>100</v>
      </c>
      <c r="AW298" t="n">
        <v>12.1</v>
      </c>
      <c r="AX298" t="n">
        <v>12.6</v>
      </c>
      <c r="AY298" t="n">
        <v>13</v>
      </c>
      <c r="AZ298" t="n">
        <v>74.7</v>
      </c>
      <c r="BA298" t="n">
        <v>74.2</v>
      </c>
      <c r="BB298" t="n">
        <v>99.8</v>
      </c>
      <c r="BC298" t="n">
        <v>99.8</v>
      </c>
      <c r="BD298" t="n">
        <v>0.2</v>
      </c>
      <c r="BE298" t="n">
        <v>0.2</v>
      </c>
      <c r="BF298" t="n">
        <v>100</v>
      </c>
      <c r="BG298" t="n">
        <v>12.1</v>
      </c>
      <c r="BH298" t="n">
        <v>12.6</v>
      </c>
      <c r="BI298" t="n">
        <v>13</v>
      </c>
      <c r="BJ298" t="n">
        <v>74.7</v>
      </c>
      <c r="BK298" t="n">
        <v>74.2</v>
      </c>
      <c r="BL298" t="n">
        <v>99.8</v>
      </c>
      <c r="BM298" t="n">
        <v>99.8</v>
      </c>
      <c r="BN298" t="n">
        <v>0.2</v>
      </c>
      <c r="BO298" t="n">
        <v>0.2</v>
      </c>
      <c r="BP298" t="n">
        <v>0</v>
      </c>
      <c r="BQ298" t="n">
        <v>0</v>
      </c>
      <c r="BR298" t="n">
        <v>0</v>
      </c>
      <c r="BS298" t="n">
        <v>0</v>
      </c>
      <c r="BT298" t="n">
        <v>0</v>
      </c>
      <c r="BU298" t="n">
        <v>0</v>
      </c>
      <c r="BV298" t="n">
        <v>0</v>
      </c>
      <c r="BW298" t="n">
        <v>0</v>
      </c>
      <c r="BX298" t="n">
        <v>0</v>
      </c>
      <c r="BY298" t="n">
        <v>0</v>
      </c>
      <c r="BZ298" t="n">
        <v>104</v>
      </c>
      <c r="CA298" t="n">
        <v>25</v>
      </c>
      <c r="CB298" t="n">
        <v>28</v>
      </c>
      <c r="CC298" t="n">
        <v>28</v>
      </c>
      <c r="CD298" t="n">
        <v>45</v>
      </c>
      <c r="CE298" t="n">
        <v>45</v>
      </c>
      <c r="CF298" t="n">
        <v>81</v>
      </c>
      <c r="CG298" t="n">
        <v>90</v>
      </c>
      <c r="CH298" t="n">
        <v>104</v>
      </c>
      <c r="CI298" t="n">
        <v>25</v>
      </c>
      <c r="CJ298" t="n">
        <v>28</v>
      </c>
      <c r="CK298" t="n">
        <v>28</v>
      </c>
      <c r="CL298" t="n">
        <v>45</v>
      </c>
      <c r="CM298" t="n">
        <v>45</v>
      </c>
      <c r="CN298" t="n">
        <v>81</v>
      </c>
      <c r="CO298" t="n">
        <v>90</v>
      </c>
      <c r="CP298" t="n">
        <v>0</v>
      </c>
      <c r="CQ298" t="n">
        <v>0</v>
      </c>
      <c r="CR298" t="n">
        <v>0</v>
      </c>
      <c r="CS298" t="n">
        <v>0</v>
      </c>
      <c r="CT298" t="n">
        <v>0</v>
      </c>
      <c r="CU298" t="n">
        <v>0</v>
      </c>
      <c r="CV298" t="n">
        <v>0</v>
      </c>
      <c r="CW298" t="n">
        <v>0</v>
      </c>
      <c r="CX298" t="n">
        <v>36.1</v>
      </c>
      <c r="CY298" t="n">
        <v>50.5</v>
      </c>
      <c r="CZ298" t="n">
        <v>56.6</v>
      </c>
      <c r="DA298" t="n">
        <v>63.9</v>
      </c>
      <c r="DB298" t="n">
        <v>30.6</v>
      </c>
      <c r="DC298" t="n">
        <v>34.1</v>
      </c>
      <c r="DD298" t="n">
        <v>39.2</v>
      </c>
      <c r="DE298" t="n">
        <v>41.3</v>
      </c>
      <c r="DF298" t="n">
        <v>36.1</v>
      </c>
      <c r="DG298" t="n">
        <v>50.5</v>
      </c>
      <c r="DH298" t="n">
        <v>56.6</v>
      </c>
      <c r="DI298" t="n">
        <v>63.9</v>
      </c>
      <c r="DJ298" t="n">
        <v>30.6</v>
      </c>
      <c r="DK298" t="n">
        <v>34.1</v>
      </c>
      <c r="DL298" t="n">
        <v>39.2</v>
      </c>
      <c r="DM298" t="n">
        <v>41.3</v>
      </c>
      <c r="DN298" t="n">
        <v>0</v>
      </c>
      <c r="DO298" t="n">
        <v>0</v>
      </c>
      <c r="DP298" t="n">
        <v>0</v>
      </c>
      <c r="DQ298" t="n">
        <v>0</v>
      </c>
      <c r="DR298" t="n">
        <v>0</v>
      </c>
      <c r="DS298" t="n">
        <v>0</v>
      </c>
      <c r="DT298" t="n">
        <v>0</v>
      </c>
      <c r="DU298" t="n">
        <v>0</v>
      </c>
      <c r="DV298" t="inlineStr">
        <is>
          <t>1 MW</t>
        </is>
      </c>
    </row>
    <row r="299">
      <c r="A299" t="inlineStr">
        <is>
          <t>PJM PSEG DAY-AHEAD PEAK - ICE FUTURES ENERGY DIV</t>
        </is>
      </c>
      <c r="B299" t="n">
        <v>230110</v>
      </c>
      <c r="C299" s="1" t="n">
        <v>44936</v>
      </c>
      <c r="D299" t="inlineStr">
        <is>
          <t>0643DL</t>
        </is>
      </c>
      <c r="E299" t="inlineStr">
        <is>
          <t>IFED</t>
        </is>
      </c>
      <c r="F299" t="inlineStr">
        <is>
          <t>01</t>
        </is>
      </c>
      <c r="G299" t="inlineStr">
        <is>
          <t xml:space="preserve">064 </t>
        </is>
      </c>
      <c r="H299" t="n">
        <v>21203</v>
      </c>
      <c r="I299" s="17" t="n">
        <v>2264</v>
      </c>
      <c r="J299" s="17" t="n">
        <v>0</v>
      </c>
      <c r="K299" t="n">
        <v>40</v>
      </c>
      <c r="L299" t="n">
        <v>18410</v>
      </c>
      <c r="M299" t="n">
        <v>21163</v>
      </c>
      <c r="N299" t="n">
        <v>20714</v>
      </c>
      <c r="O299" t="n">
        <v>21203</v>
      </c>
      <c r="P299" t="n">
        <v>489</v>
      </c>
      <c r="Q299" t="n">
        <v>0</v>
      </c>
      <c r="R299" t="n">
        <v>21203</v>
      </c>
      <c r="S299" t="n">
        <v>2264</v>
      </c>
      <c r="T299" t="n">
        <v>0</v>
      </c>
      <c r="U299" t="n">
        <v>40</v>
      </c>
      <c r="V299" t="n">
        <v>18410</v>
      </c>
      <c r="W299" t="n">
        <v>21163</v>
      </c>
      <c r="X299" t="n">
        <v>20714</v>
      </c>
      <c r="Y299" t="n">
        <v>21203</v>
      </c>
      <c r="Z299" t="n">
        <v>489</v>
      </c>
      <c r="AA299" t="n">
        <v>0</v>
      </c>
      <c r="AB299" t="n">
        <v>0</v>
      </c>
      <c r="AC299" t="n">
        <v>0</v>
      </c>
      <c r="AD299" t="n">
        <v>0</v>
      </c>
      <c r="AE299" t="n">
        <v>0</v>
      </c>
      <c r="AF299" t="n">
        <v>0</v>
      </c>
      <c r="AG299" t="n">
        <v>0</v>
      </c>
      <c r="AH299" t="n">
        <v>0</v>
      </c>
      <c r="AI299" t="n">
        <v>0</v>
      </c>
      <c r="AJ299" t="n">
        <v>0</v>
      </c>
      <c r="AK299" t="n">
        <v>0</v>
      </c>
      <c r="AL299" t="n">
        <v>-959</v>
      </c>
      <c r="AM299" t="n">
        <v>-143</v>
      </c>
      <c r="AN299" t="n">
        <v>-25</v>
      </c>
      <c r="AO299" t="n">
        <v>0</v>
      </c>
      <c r="AP299" t="n">
        <v>-854</v>
      </c>
      <c r="AQ299" t="n">
        <v>-934</v>
      </c>
      <c r="AR299" t="n">
        <v>-997</v>
      </c>
      <c r="AS299" t="n">
        <v>-959</v>
      </c>
      <c r="AT299" t="n">
        <v>38</v>
      </c>
      <c r="AU299" t="n">
        <v>0</v>
      </c>
      <c r="AV299" t="n">
        <v>100</v>
      </c>
      <c r="AW299" t="n">
        <v>10.7</v>
      </c>
      <c r="AX299" t="n">
        <v>0</v>
      </c>
      <c r="AY299" t="n">
        <v>0.2</v>
      </c>
      <c r="AZ299" t="n">
        <v>86.8</v>
      </c>
      <c r="BA299" t="n">
        <v>99.8</v>
      </c>
      <c r="BB299" t="n">
        <v>97.7</v>
      </c>
      <c r="BC299" t="n">
        <v>100</v>
      </c>
      <c r="BD299" t="n">
        <v>2.3</v>
      </c>
      <c r="BE299" t="n">
        <v>0</v>
      </c>
      <c r="BF299" t="n">
        <v>100</v>
      </c>
      <c r="BG299" t="n">
        <v>10.7</v>
      </c>
      <c r="BH299" t="n">
        <v>0</v>
      </c>
      <c r="BI299" t="n">
        <v>0.2</v>
      </c>
      <c r="BJ299" t="n">
        <v>86.8</v>
      </c>
      <c r="BK299" t="n">
        <v>99.8</v>
      </c>
      <c r="BL299" t="n">
        <v>97.7</v>
      </c>
      <c r="BM299" t="n">
        <v>100</v>
      </c>
      <c r="BN299" t="n">
        <v>2.3</v>
      </c>
      <c r="BO299" t="n">
        <v>0</v>
      </c>
      <c r="BP299" t="n">
        <v>0</v>
      </c>
      <c r="BQ299" t="n">
        <v>0</v>
      </c>
      <c r="BR299" t="n">
        <v>0</v>
      </c>
      <c r="BS299" t="n">
        <v>0</v>
      </c>
      <c r="BT299" t="n">
        <v>0</v>
      </c>
      <c r="BU299" t="n">
        <v>0</v>
      </c>
      <c r="BV299" t="n">
        <v>0</v>
      </c>
      <c r="BW299" t="n">
        <v>0</v>
      </c>
      <c r="BX299" t="n">
        <v>0</v>
      </c>
      <c r="BY299" t="n">
        <v>0</v>
      </c>
      <c r="BZ299" t="n">
        <v>23</v>
      </c>
      <c r="CA299" t="n">
        <v>2</v>
      </c>
      <c r="CB299" t="n">
        <v>0</v>
      </c>
      <c r="CC299" t="n">
        <v>1</v>
      </c>
      <c r="CD299" t="n">
        <v>19</v>
      </c>
      <c r="CE299" t="n">
        <v>15</v>
      </c>
      <c r="CF299" t="n">
        <v>21</v>
      </c>
      <c r="CG299" t="n">
        <v>16</v>
      </c>
      <c r="CH299" t="n">
        <v>23</v>
      </c>
      <c r="CI299" t="n">
        <v>2</v>
      </c>
      <c r="CJ299" t="n">
        <v>0</v>
      </c>
      <c r="CK299" t="n">
        <v>1</v>
      </c>
      <c r="CL299" t="n">
        <v>19</v>
      </c>
      <c r="CM299" t="n">
        <v>15</v>
      </c>
      <c r="CN299" t="n">
        <v>21</v>
      </c>
      <c r="CO299" t="n">
        <v>16</v>
      </c>
      <c r="CP299" t="n">
        <v>0</v>
      </c>
      <c r="CQ299" t="n">
        <v>0</v>
      </c>
      <c r="CR299" t="n">
        <v>0</v>
      </c>
      <c r="CS299" t="n">
        <v>0</v>
      </c>
      <c r="CT299" t="n">
        <v>0</v>
      </c>
      <c r="CU299" t="n">
        <v>0</v>
      </c>
      <c r="CV299" t="n">
        <v>0</v>
      </c>
      <c r="CW299" t="n">
        <v>0</v>
      </c>
      <c r="CX299" t="n">
        <v>54.5</v>
      </c>
      <c r="CY299" t="n">
        <v>76.09999999999999</v>
      </c>
      <c r="CZ299" t="n">
        <v>80.2</v>
      </c>
      <c r="DA299" t="n">
        <v>92.8</v>
      </c>
      <c r="DB299" t="n">
        <v>53.2</v>
      </c>
      <c r="DC299" t="n">
        <v>66.40000000000001</v>
      </c>
      <c r="DD299" t="n">
        <v>71.7</v>
      </c>
      <c r="DE299" t="n">
        <v>78.3</v>
      </c>
      <c r="DF299" t="n">
        <v>54.5</v>
      </c>
      <c r="DG299" t="n">
        <v>76.09999999999999</v>
      </c>
      <c r="DH299" t="n">
        <v>80.2</v>
      </c>
      <c r="DI299" t="n">
        <v>92.8</v>
      </c>
      <c r="DJ299" t="n">
        <v>53.2</v>
      </c>
      <c r="DK299" t="n">
        <v>66.40000000000001</v>
      </c>
      <c r="DL299" t="n">
        <v>71.7</v>
      </c>
      <c r="DM299" t="n">
        <v>78.3</v>
      </c>
      <c r="DN299" t="n">
        <v>0</v>
      </c>
      <c r="DO299" t="n">
        <v>0</v>
      </c>
      <c r="DP299" t="n">
        <v>0</v>
      </c>
      <c r="DQ299" t="n">
        <v>0</v>
      </c>
      <c r="DR299" t="n">
        <v>0</v>
      </c>
      <c r="DS299" t="n">
        <v>0</v>
      </c>
      <c r="DT299" t="n">
        <v>0</v>
      </c>
      <c r="DU299" t="n">
        <v>0</v>
      </c>
      <c r="DV299" t="inlineStr">
        <is>
          <t>1 MW</t>
        </is>
      </c>
    </row>
    <row r="300">
      <c r="A300" t="inlineStr">
        <is>
          <t>PJM PSEG DAY-AHEAD PEAK - ICE FUTURES ENERGY DIV</t>
        </is>
      </c>
      <c r="B300" t="n">
        <v>230103</v>
      </c>
      <c r="C300" s="1" t="n">
        <v>44929</v>
      </c>
      <c r="D300" t="inlineStr">
        <is>
          <t>0643DL</t>
        </is>
      </c>
      <c r="E300" t="inlineStr">
        <is>
          <t>IFED</t>
        </is>
      </c>
      <c r="F300" t="inlineStr">
        <is>
          <t>01</t>
        </is>
      </c>
      <c r="G300" t="inlineStr">
        <is>
          <t xml:space="preserve">064 </t>
        </is>
      </c>
      <c r="H300" t="n">
        <v>22162</v>
      </c>
      <c r="I300" s="17" t="n">
        <v>2407</v>
      </c>
      <c r="J300" s="17" t="n">
        <v>25</v>
      </c>
      <c r="K300" t="n">
        <v>40</v>
      </c>
      <c r="L300" t="n">
        <v>19264</v>
      </c>
      <c r="M300" t="n">
        <v>22097</v>
      </c>
      <c r="N300" t="n">
        <v>21711</v>
      </c>
      <c r="O300" t="n">
        <v>22162</v>
      </c>
      <c r="P300" t="n">
        <v>451</v>
      </c>
      <c r="Q300" t="n">
        <v>0</v>
      </c>
      <c r="R300" t="n">
        <v>22162</v>
      </c>
      <c r="S300" t="n">
        <v>2407</v>
      </c>
      <c r="T300" t="n">
        <v>25</v>
      </c>
      <c r="U300" t="n">
        <v>40</v>
      </c>
      <c r="V300" t="n">
        <v>19264</v>
      </c>
      <c r="W300" t="n">
        <v>22097</v>
      </c>
      <c r="X300" t="n">
        <v>21711</v>
      </c>
      <c r="Y300" t="n">
        <v>22162</v>
      </c>
      <c r="Z300" t="n">
        <v>451</v>
      </c>
      <c r="AA300" t="n">
        <v>0</v>
      </c>
      <c r="AB300" t="n">
        <v>0</v>
      </c>
      <c r="AC300" t="n">
        <v>0</v>
      </c>
      <c r="AD300" t="n">
        <v>0</v>
      </c>
      <c r="AE300" t="n">
        <v>0</v>
      </c>
      <c r="AF300" t="n">
        <v>0</v>
      </c>
      <c r="AG300" t="n">
        <v>0</v>
      </c>
      <c r="AH300" t="n">
        <v>0</v>
      </c>
      <c r="AI300" t="n">
        <v>0</v>
      </c>
      <c r="AJ300" t="n">
        <v>0</v>
      </c>
      <c r="AK300" t="n">
        <v>0</v>
      </c>
      <c r="AL300" t="n">
        <v>0</v>
      </c>
      <c r="AM300" t="n">
        <v>0</v>
      </c>
      <c r="AN300" t="n">
        <v>0</v>
      </c>
      <c r="AO300" t="n">
        <v>0</v>
      </c>
      <c r="AP300" t="n">
        <v>0</v>
      </c>
      <c r="AQ300" t="n">
        <v>0</v>
      </c>
      <c r="AR300" t="n">
        <v>0</v>
      </c>
      <c r="AS300" t="n">
        <v>0</v>
      </c>
      <c r="AT300" t="n">
        <v>0</v>
      </c>
      <c r="AU300" t="n">
        <v>0</v>
      </c>
      <c r="AV300" t="n">
        <v>100</v>
      </c>
      <c r="AW300" t="n">
        <v>10.9</v>
      </c>
      <c r="AX300" t="n">
        <v>0.1</v>
      </c>
      <c r="AY300" t="n">
        <v>0.2</v>
      </c>
      <c r="AZ300" t="n">
        <v>86.90000000000001</v>
      </c>
      <c r="BA300" t="n">
        <v>99.7</v>
      </c>
      <c r="BB300" t="n">
        <v>98</v>
      </c>
      <c r="BC300" t="n">
        <v>100</v>
      </c>
      <c r="BD300" t="n">
        <v>2</v>
      </c>
      <c r="BE300" t="n">
        <v>0</v>
      </c>
      <c r="BF300" t="n">
        <v>100</v>
      </c>
      <c r="BG300" t="n">
        <v>10.9</v>
      </c>
      <c r="BH300" t="n">
        <v>0.1</v>
      </c>
      <c r="BI300" t="n">
        <v>0.2</v>
      </c>
      <c r="BJ300" t="n">
        <v>86.90000000000001</v>
      </c>
      <c r="BK300" t="n">
        <v>99.7</v>
      </c>
      <c r="BL300" t="n">
        <v>98</v>
      </c>
      <c r="BM300" t="n">
        <v>100</v>
      </c>
      <c r="BN300" t="n">
        <v>2</v>
      </c>
      <c r="BO300" t="n">
        <v>0</v>
      </c>
      <c r="BP300" t="n">
        <v>0</v>
      </c>
      <c r="BQ300" t="n">
        <v>0</v>
      </c>
      <c r="BR300" t="n">
        <v>0</v>
      </c>
      <c r="BS300" t="n">
        <v>0</v>
      </c>
      <c r="BT300" t="n">
        <v>0</v>
      </c>
      <c r="BU300" t="n">
        <v>0</v>
      </c>
      <c r="BV300" t="n">
        <v>0</v>
      </c>
      <c r="BW300" t="n">
        <v>0</v>
      </c>
      <c r="BX300" t="n">
        <v>0</v>
      </c>
      <c r="BY300" t="n">
        <v>0</v>
      </c>
      <c r="BZ300" t="n">
        <v>25</v>
      </c>
      <c r="CA300" t="n">
        <v>2</v>
      </c>
      <c r="CB300" t="n">
        <v>1</v>
      </c>
      <c r="CC300" t="n">
        <v>1</v>
      </c>
      <c r="CD300" t="n">
        <v>20</v>
      </c>
      <c r="CE300" t="n">
        <v>16</v>
      </c>
      <c r="CF300" t="n">
        <v>22</v>
      </c>
      <c r="CG300" t="n">
        <v>18</v>
      </c>
      <c r="CH300" t="n">
        <v>25</v>
      </c>
      <c r="CI300" t="n">
        <v>2</v>
      </c>
      <c r="CJ300" t="n">
        <v>1</v>
      </c>
      <c r="CK300" t="n">
        <v>1</v>
      </c>
      <c r="CL300" t="n">
        <v>20</v>
      </c>
      <c r="CM300" t="n">
        <v>16</v>
      </c>
      <c r="CN300" t="n">
        <v>22</v>
      </c>
      <c r="CO300" t="n">
        <v>18</v>
      </c>
      <c r="CP300" t="n">
        <v>0</v>
      </c>
      <c r="CQ300" t="n">
        <v>0</v>
      </c>
      <c r="CR300" t="n">
        <v>0</v>
      </c>
      <c r="CS300" t="n">
        <v>0</v>
      </c>
      <c r="CT300" t="n">
        <v>0</v>
      </c>
      <c r="CU300" t="n">
        <v>0</v>
      </c>
      <c r="CV300" t="n">
        <v>0</v>
      </c>
      <c r="CW300" t="n">
        <v>0</v>
      </c>
      <c r="CX300" t="n">
        <v>54.6</v>
      </c>
      <c r="CY300" t="n">
        <v>75.09999999999999</v>
      </c>
      <c r="CZ300" t="n">
        <v>79.7</v>
      </c>
      <c r="DA300" t="n">
        <v>91.5</v>
      </c>
      <c r="DB300" t="n">
        <v>53.4</v>
      </c>
      <c r="DC300" t="n">
        <v>65.90000000000001</v>
      </c>
      <c r="DD300" t="n">
        <v>71.3</v>
      </c>
      <c r="DE300" t="n">
        <v>77.3</v>
      </c>
      <c r="DF300" t="n">
        <v>54.6</v>
      </c>
      <c r="DG300" t="n">
        <v>75.09999999999999</v>
      </c>
      <c r="DH300" t="n">
        <v>79.7</v>
      </c>
      <c r="DI300" t="n">
        <v>91.5</v>
      </c>
      <c r="DJ300" t="n">
        <v>53.4</v>
      </c>
      <c r="DK300" t="n">
        <v>65.90000000000001</v>
      </c>
      <c r="DL300" t="n">
        <v>71.3</v>
      </c>
      <c r="DM300" t="n">
        <v>77.3</v>
      </c>
      <c r="DN300" t="n">
        <v>0</v>
      </c>
      <c r="DO300" t="n">
        <v>0</v>
      </c>
      <c r="DP300" t="n">
        <v>0</v>
      </c>
      <c r="DQ300" t="n">
        <v>0</v>
      </c>
      <c r="DR300" t="n">
        <v>0</v>
      </c>
      <c r="DS300" t="n">
        <v>0</v>
      </c>
      <c r="DT300" t="n">
        <v>0</v>
      </c>
      <c r="DU300" t="n">
        <v>0</v>
      </c>
      <c r="DV300" t="inlineStr">
        <is>
          <t>1 MW</t>
        </is>
      </c>
    </row>
    <row r="301">
      <c r="A301" t="inlineStr">
        <is>
          <t>PJM PSEG DA OFF-PK FIXED PRICE - ICE FUTURES ENERGY DIV</t>
        </is>
      </c>
      <c r="B301" t="n">
        <v>230110</v>
      </c>
      <c r="C301" s="1" t="n">
        <v>44936</v>
      </c>
      <c r="D301" t="inlineStr">
        <is>
          <t>0643DM</t>
        </is>
      </c>
      <c r="E301" t="inlineStr">
        <is>
          <t>IFED</t>
        </is>
      </c>
      <c r="F301" t="inlineStr">
        <is>
          <t>01</t>
        </is>
      </c>
      <c r="G301" t="inlineStr">
        <is>
          <t xml:space="preserve">064 </t>
        </is>
      </c>
      <c r="H301" t="n">
        <v>21296</v>
      </c>
      <c r="I301" s="17" t="n">
        <v>1775</v>
      </c>
      <c r="J301" s="17" t="n">
        <v>0</v>
      </c>
      <c r="K301" t="n">
        <v>5</v>
      </c>
      <c r="L301" t="n">
        <v>18847</v>
      </c>
      <c r="M301" t="n">
        <v>21291</v>
      </c>
      <c r="N301" t="n">
        <v>20627</v>
      </c>
      <c r="O301" t="n">
        <v>21296</v>
      </c>
      <c r="P301" t="n">
        <v>669</v>
      </c>
      <c r="Q301" t="n">
        <v>0</v>
      </c>
      <c r="R301" t="n">
        <v>21296</v>
      </c>
      <c r="S301" t="n">
        <v>1775</v>
      </c>
      <c r="T301" t="n">
        <v>0</v>
      </c>
      <c r="U301" t="n">
        <v>5</v>
      </c>
      <c r="V301" t="n">
        <v>18847</v>
      </c>
      <c r="W301" t="n">
        <v>21291</v>
      </c>
      <c r="X301" t="n">
        <v>20627</v>
      </c>
      <c r="Y301" t="n">
        <v>21296</v>
      </c>
      <c r="Z301" t="n">
        <v>669</v>
      </c>
      <c r="AA301" t="n">
        <v>0</v>
      </c>
      <c r="AB301" t="n">
        <v>0</v>
      </c>
      <c r="AC301" t="n">
        <v>0</v>
      </c>
      <c r="AD301" t="n">
        <v>0</v>
      </c>
      <c r="AE301" t="n">
        <v>0</v>
      </c>
      <c r="AF301" t="n">
        <v>0</v>
      </c>
      <c r="AG301" t="n">
        <v>0</v>
      </c>
      <c r="AH301" t="n">
        <v>0</v>
      </c>
      <c r="AI301" t="n">
        <v>0</v>
      </c>
      <c r="AJ301" t="n">
        <v>0</v>
      </c>
      <c r="AK301" t="n">
        <v>0</v>
      </c>
      <c r="AL301" t="n">
        <v>-888</v>
      </c>
      <c r="AM301" t="n">
        <v>-64</v>
      </c>
      <c r="AN301" t="n">
        <v>0</v>
      </c>
      <c r="AO301" t="n">
        <v>0</v>
      </c>
      <c r="AP301" t="n">
        <v>-802</v>
      </c>
      <c r="AQ301" t="n">
        <v>-888</v>
      </c>
      <c r="AR301" t="n">
        <v>-866</v>
      </c>
      <c r="AS301" t="n">
        <v>-888</v>
      </c>
      <c r="AT301" t="n">
        <v>-22</v>
      </c>
      <c r="AU301" t="n">
        <v>0</v>
      </c>
      <c r="AV301" t="n">
        <v>100</v>
      </c>
      <c r="AW301" t="n">
        <v>8.300000000000001</v>
      </c>
      <c r="AX301" t="n">
        <v>0</v>
      </c>
      <c r="AY301" t="n">
        <v>0</v>
      </c>
      <c r="AZ301" t="n">
        <v>88.5</v>
      </c>
      <c r="BA301" t="n">
        <v>100</v>
      </c>
      <c r="BB301" t="n">
        <v>96.90000000000001</v>
      </c>
      <c r="BC301" t="n">
        <v>100</v>
      </c>
      <c r="BD301" t="n">
        <v>3.1</v>
      </c>
      <c r="BE301" t="n">
        <v>0</v>
      </c>
      <c r="BF301" t="n">
        <v>100</v>
      </c>
      <c r="BG301" t="n">
        <v>8.300000000000001</v>
      </c>
      <c r="BH301" t="n">
        <v>0</v>
      </c>
      <c r="BI301" t="n">
        <v>0</v>
      </c>
      <c r="BJ301" t="n">
        <v>88.5</v>
      </c>
      <c r="BK301" t="n">
        <v>100</v>
      </c>
      <c r="BL301" t="n">
        <v>96.90000000000001</v>
      </c>
      <c r="BM301" t="n">
        <v>100</v>
      </c>
      <c r="BN301" t="n">
        <v>3.1</v>
      </c>
      <c r="BO301" t="n">
        <v>0</v>
      </c>
      <c r="BP301" t="n">
        <v>0</v>
      </c>
      <c r="BQ301" t="n">
        <v>0</v>
      </c>
      <c r="BR301" t="n">
        <v>0</v>
      </c>
      <c r="BS301" t="n">
        <v>0</v>
      </c>
      <c r="BT301" t="n">
        <v>0</v>
      </c>
      <c r="BU301" t="n">
        <v>0</v>
      </c>
      <c r="BV301" t="n">
        <v>0</v>
      </c>
      <c r="BW301" t="n">
        <v>0</v>
      </c>
      <c r="BX301" t="n">
        <v>0</v>
      </c>
      <c r="BY301" t="n">
        <v>0</v>
      </c>
      <c r="BZ301" t="n">
        <v>23</v>
      </c>
      <c r="CA301" t="n">
        <v>2</v>
      </c>
      <c r="CB301" t="n">
        <v>0</v>
      </c>
      <c r="CC301" t="n">
        <v>1</v>
      </c>
      <c r="CD301" t="n">
        <v>19</v>
      </c>
      <c r="CE301" t="n">
        <v>15</v>
      </c>
      <c r="CF301" t="n">
        <v>21</v>
      </c>
      <c r="CG301" t="n">
        <v>16</v>
      </c>
      <c r="CH301" t="n">
        <v>23</v>
      </c>
      <c r="CI301" t="n">
        <v>2</v>
      </c>
      <c r="CJ301" t="n">
        <v>0</v>
      </c>
      <c r="CK301" t="n">
        <v>1</v>
      </c>
      <c r="CL301" t="n">
        <v>19</v>
      </c>
      <c r="CM301" t="n">
        <v>15</v>
      </c>
      <c r="CN301" t="n">
        <v>21</v>
      </c>
      <c r="CO301" t="n">
        <v>16</v>
      </c>
      <c r="CP301" t="n">
        <v>0</v>
      </c>
      <c r="CQ301" t="n">
        <v>0</v>
      </c>
      <c r="CR301" t="n">
        <v>0</v>
      </c>
      <c r="CS301" t="n">
        <v>0</v>
      </c>
      <c r="CT301" t="n">
        <v>0</v>
      </c>
      <c r="CU301" t="n">
        <v>0</v>
      </c>
      <c r="CV301" t="n">
        <v>0</v>
      </c>
      <c r="CW301" t="n">
        <v>0</v>
      </c>
      <c r="CX301" t="n">
        <v>52.2</v>
      </c>
      <c r="CY301" t="n">
        <v>81.90000000000001</v>
      </c>
      <c r="CZ301" t="n">
        <v>78.09999999999999</v>
      </c>
      <c r="DA301" t="n">
        <v>94.40000000000001</v>
      </c>
      <c r="DB301" t="n">
        <v>51.9</v>
      </c>
      <c r="DC301" t="n">
        <v>75.8</v>
      </c>
      <c r="DD301" t="n">
        <v>72.2</v>
      </c>
      <c r="DE301" t="n">
        <v>83.3</v>
      </c>
      <c r="DF301" t="n">
        <v>52.2</v>
      </c>
      <c r="DG301" t="n">
        <v>81.90000000000001</v>
      </c>
      <c r="DH301" t="n">
        <v>78.09999999999999</v>
      </c>
      <c r="DI301" t="n">
        <v>94.40000000000001</v>
      </c>
      <c r="DJ301" t="n">
        <v>51.9</v>
      </c>
      <c r="DK301" t="n">
        <v>75.8</v>
      </c>
      <c r="DL301" t="n">
        <v>72.2</v>
      </c>
      <c r="DM301" t="n">
        <v>83.3</v>
      </c>
      <c r="DN301" t="n">
        <v>0</v>
      </c>
      <c r="DO301" t="n">
        <v>0</v>
      </c>
      <c r="DP301" t="n">
        <v>0</v>
      </c>
      <c r="DQ301" t="n">
        <v>0</v>
      </c>
      <c r="DR301" t="n">
        <v>0</v>
      </c>
      <c r="DS301" t="n">
        <v>0</v>
      </c>
      <c r="DT301" t="n">
        <v>0</v>
      </c>
      <c r="DU301" t="n">
        <v>0</v>
      </c>
      <c r="DV301" t="inlineStr">
        <is>
          <t>1 MW</t>
        </is>
      </c>
    </row>
    <row r="302">
      <c r="A302" t="inlineStr">
        <is>
          <t>PJM PSEG DA OFF-PK FIXED PRICE - ICE FUTURES ENERGY DIV</t>
        </is>
      </c>
      <c r="B302" t="n">
        <v>230103</v>
      </c>
      <c r="C302" s="1" t="n">
        <v>44929</v>
      </c>
      <c r="D302" t="inlineStr">
        <is>
          <t>0643DM</t>
        </is>
      </c>
      <c r="E302" t="inlineStr">
        <is>
          <t>IFED</t>
        </is>
      </c>
      <c r="F302" t="inlineStr">
        <is>
          <t>01</t>
        </is>
      </c>
      <c r="G302" t="inlineStr">
        <is>
          <t xml:space="preserve">064 </t>
        </is>
      </c>
      <c r="H302" t="n">
        <v>22184</v>
      </c>
      <c r="I302" s="17" t="n">
        <v>1839</v>
      </c>
      <c r="J302" s="17" t="n">
        <v>0</v>
      </c>
      <c r="K302" t="n">
        <v>5</v>
      </c>
      <c r="L302" t="n">
        <v>19649</v>
      </c>
      <c r="M302" t="n">
        <v>22179</v>
      </c>
      <c r="N302" t="n">
        <v>21493</v>
      </c>
      <c r="O302" t="n">
        <v>22184</v>
      </c>
      <c r="P302" t="n">
        <v>691</v>
      </c>
      <c r="Q302" t="n">
        <v>0</v>
      </c>
      <c r="R302" t="n">
        <v>22184</v>
      </c>
      <c r="S302" t="n">
        <v>1839</v>
      </c>
      <c r="T302" t="n">
        <v>0</v>
      </c>
      <c r="U302" t="n">
        <v>5</v>
      </c>
      <c r="V302" t="n">
        <v>19649</v>
      </c>
      <c r="W302" t="n">
        <v>22179</v>
      </c>
      <c r="X302" t="n">
        <v>21493</v>
      </c>
      <c r="Y302" t="n">
        <v>22184</v>
      </c>
      <c r="Z302" t="n">
        <v>691</v>
      </c>
      <c r="AA302" t="n">
        <v>0</v>
      </c>
      <c r="AB302" t="n">
        <v>0</v>
      </c>
      <c r="AC302" t="n">
        <v>0</v>
      </c>
      <c r="AD302" t="n">
        <v>0</v>
      </c>
      <c r="AE302" t="n">
        <v>0</v>
      </c>
      <c r="AF302" t="n">
        <v>0</v>
      </c>
      <c r="AG302" t="n">
        <v>0</v>
      </c>
      <c r="AH302" t="n">
        <v>0</v>
      </c>
      <c r="AI302" t="n">
        <v>0</v>
      </c>
      <c r="AJ302" t="n">
        <v>0</v>
      </c>
      <c r="AK302" t="n">
        <v>0</v>
      </c>
      <c r="AL302" t="n">
        <v>0</v>
      </c>
      <c r="AM302" t="n">
        <v>0</v>
      </c>
      <c r="AN302" t="n">
        <v>0</v>
      </c>
      <c r="AO302" t="n">
        <v>0</v>
      </c>
      <c r="AP302" t="n">
        <v>0</v>
      </c>
      <c r="AQ302" t="n">
        <v>0</v>
      </c>
      <c r="AR302" t="n">
        <v>0</v>
      </c>
      <c r="AS302" t="n">
        <v>0</v>
      </c>
      <c r="AT302" t="n">
        <v>0</v>
      </c>
      <c r="AU302" t="n">
        <v>0</v>
      </c>
      <c r="AV302" t="n">
        <v>100</v>
      </c>
      <c r="AW302" t="n">
        <v>8.300000000000001</v>
      </c>
      <c r="AX302" t="n">
        <v>0</v>
      </c>
      <c r="AY302" t="n">
        <v>0</v>
      </c>
      <c r="AZ302" t="n">
        <v>88.59999999999999</v>
      </c>
      <c r="BA302" t="n">
        <v>100</v>
      </c>
      <c r="BB302" t="n">
        <v>96.90000000000001</v>
      </c>
      <c r="BC302" t="n">
        <v>100</v>
      </c>
      <c r="BD302" t="n">
        <v>3.1</v>
      </c>
      <c r="BE302" t="n">
        <v>0</v>
      </c>
      <c r="BF302" t="n">
        <v>100</v>
      </c>
      <c r="BG302" t="n">
        <v>8.300000000000001</v>
      </c>
      <c r="BH302" t="n">
        <v>0</v>
      </c>
      <c r="BI302" t="n">
        <v>0</v>
      </c>
      <c r="BJ302" t="n">
        <v>88.59999999999999</v>
      </c>
      <c r="BK302" t="n">
        <v>100</v>
      </c>
      <c r="BL302" t="n">
        <v>96.90000000000001</v>
      </c>
      <c r="BM302" t="n">
        <v>100</v>
      </c>
      <c r="BN302" t="n">
        <v>3.1</v>
      </c>
      <c r="BO302" t="n">
        <v>0</v>
      </c>
      <c r="BP302" t="n">
        <v>0</v>
      </c>
      <c r="BQ302" t="n">
        <v>0</v>
      </c>
      <c r="BR302" t="n">
        <v>0</v>
      </c>
      <c r="BS302" t="n">
        <v>0</v>
      </c>
      <c r="BT302" t="n">
        <v>0</v>
      </c>
      <c r="BU302" t="n">
        <v>0</v>
      </c>
      <c r="BV302" t="n">
        <v>0</v>
      </c>
      <c r="BW302" t="n">
        <v>0</v>
      </c>
      <c r="BX302" t="n">
        <v>0</v>
      </c>
      <c r="BY302" t="n">
        <v>0</v>
      </c>
      <c r="BZ302" t="n">
        <v>23</v>
      </c>
      <c r="CA302" t="n">
        <v>2</v>
      </c>
      <c r="CB302" t="n">
        <v>0</v>
      </c>
      <c r="CC302" t="n">
        <v>1</v>
      </c>
      <c r="CD302" t="n">
        <v>19</v>
      </c>
      <c r="CE302" t="n">
        <v>16</v>
      </c>
      <c r="CF302" t="n">
        <v>21</v>
      </c>
      <c r="CG302" t="n">
        <v>17</v>
      </c>
      <c r="CH302" t="n">
        <v>23</v>
      </c>
      <c r="CI302" t="n">
        <v>2</v>
      </c>
      <c r="CJ302" t="n">
        <v>0</v>
      </c>
      <c r="CK302" t="n">
        <v>1</v>
      </c>
      <c r="CL302" t="n">
        <v>19</v>
      </c>
      <c r="CM302" t="n">
        <v>16</v>
      </c>
      <c r="CN302" t="n">
        <v>21</v>
      </c>
      <c r="CO302" t="n">
        <v>17</v>
      </c>
      <c r="CP302" t="n">
        <v>0</v>
      </c>
      <c r="CQ302" t="n">
        <v>0</v>
      </c>
      <c r="CR302" t="n">
        <v>0</v>
      </c>
      <c r="CS302" t="n">
        <v>0</v>
      </c>
      <c r="CT302" t="n">
        <v>0</v>
      </c>
      <c r="CU302" t="n">
        <v>0</v>
      </c>
      <c r="CV302" t="n">
        <v>0</v>
      </c>
      <c r="CW302" t="n">
        <v>0</v>
      </c>
      <c r="CX302" t="n">
        <v>52.4</v>
      </c>
      <c r="CY302" t="n">
        <v>81.2</v>
      </c>
      <c r="CZ302" t="n">
        <v>78.40000000000001</v>
      </c>
      <c r="DA302" t="n">
        <v>93.8</v>
      </c>
      <c r="DB302" t="n">
        <v>52.1</v>
      </c>
      <c r="DC302" t="n">
        <v>75.5</v>
      </c>
      <c r="DD302" t="n">
        <v>72.8</v>
      </c>
      <c r="DE302" t="n">
        <v>83.3</v>
      </c>
      <c r="DF302" t="n">
        <v>52.4</v>
      </c>
      <c r="DG302" t="n">
        <v>81.2</v>
      </c>
      <c r="DH302" t="n">
        <v>78.40000000000001</v>
      </c>
      <c r="DI302" t="n">
        <v>93.8</v>
      </c>
      <c r="DJ302" t="n">
        <v>52.1</v>
      </c>
      <c r="DK302" t="n">
        <v>75.5</v>
      </c>
      <c r="DL302" t="n">
        <v>72.8</v>
      </c>
      <c r="DM302" t="n">
        <v>83.3</v>
      </c>
      <c r="DN302" t="n">
        <v>0</v>
      </c>
      <c r="DO302" t="n">
        <v>0</v>
      </c>
      <c r="DP302" t="n">
        <v>0</v>
      </c>
      <c r="DQ302" t="n">
        <v>0</v>
      </c>
      <c r="DR302" t="n">
        <v>0</v>
      </c>
      <c r="DS302" t="n">
        <v>0</v>
      </c>
      <c r="DT302" t="n">
        <v>0</v>
      </c>
      <c r="DU302" t="n">
        <v>0</v>
      </c>
      <c r="DV302" t="inlineStr">
        <is>
          <t>1 MW</t>
        </is>
      </c>
    </row>
    <row r="303">
      <c r="A303" t="inlineStr">
        <is>
          <t>ERCOT N 345KV REAL T PK DALY M - ICE FUTURES ENERGY DIV</t>
        </is>
      </c>
      <c r="B303" t="n">
        <v>230103</v>
      </c>
      <c r="C303" s="1" t="n">
        <v>44929</v>
      </c>
      <c r="D303" t="inlineStr">
        <is>
          <t>0643IB</t>
        </is>
      </c>
      <c r="E303" t="inlineStr">
        <is>
          <t>IFED</t>
        </is>
      </c>
      <c r="F303" t="inlineStr">
        <is>
          <t>01</t>
        </is>
      </c>
      <c r="G303" t="inlineStr">
        <is>
          <t xml:space="preserve">064 </t>
        </is>
      </c>
      <c r="H303" t="n">
        <v>9170</v>
      </c>
      <c r="I303" s="17" t="n">
        <v>1410</v>
      </c>
      <c r="J303" s="17" t="n">
        <v>1295</v>
      </c>
      <c r="K303" t="n">
        <v>420</v>
      </c>
      <c r="L303" t="n">
        <v>6815</v>
      </c>
      <c r="M303" t="n">
        <v>7240</v>
      </c>
      <c r="N303" t="n">
        <v>8645</v>
      </c>
      <c r="O303" t="n">
        <v>8955</v>
      </c>
      <c r="P303" t="n">
        <v>525</v>
      </c>
      <c r="Q303" t="n">
        <v>215</v>
      </c>
      <c r="R303" t="n">
        <v>9170</v>
      </c>
      <c r="S303" t="n">
        <v>1410</v>
      </c>
      <c r="T303" t="n">
        <v>1295</v>
      </c>
      <c r="U303" t="n">
        <v>420</v>
      </c>
      <c r="V303" t="n">
        <v>6815</v>
      </c>
      <c r="W303" t="n">
        <v>7240</v>
      </c>
      <c r="X303" t="n">
        <v>8645</v>
      </c>
      <c r="Y303" t="n">
        <v>8955</v>
      </c>
      <c r="Z303" t="n">
        <v>525</v>
      </c>
      <c r="AA303" t="n">
        <v>215</v>
      </c>
      <c r="AB303" t="n">
        <v>0</v>
      </c>
      <c r="AC303" t="n">
        <v>0</v>
      </c>
      <c r="AD303" t="n">
        <v>0</v>
      </c>
      <c r="AE303" t="n">
        <v>0</v>
      </c>
      <c r="AF303" t="n">
        <v>0</v>
      </c>
      <c r="AG303" t="n">
        <v>0</v>
      </c>
      <c r="AH303" t="n">
        <v>0</v>
      </c>
      <c r="AI303" t="n">
        <v>0</v>
      </c>
      <c r="AJ303" t="n">
        <v>0</v>
      </c>
      <c r="AK303" t="n">
        <v>0</v>
      </c>
      <c r="AL303" t="n">
        <v>-5785</v>
      </c>
      <c r="AM303" t="n">
        <v>-2110</v>
      </c>
      <c r="AN303" t="n">
        <v>-385</v>
      </c>
      <c r="AO303" t="n">
        <v>-395</v>
      </c>
      <c r="AP303" t="n">
        <v>-3145</v>
      </c>
      <c r="AQ303" t="n">
        <v>-5010</v>
      </c>
      <c r="AR303" t="n">
        <v>-5650</v>
      </c>
      <c r="AS303" t="n">
        <v>-5790</v>
      </c>
      <c r="AT303" t="n">
        <v>-135</v>
      </c>
      <c r="AU303" t="n">
        <v>5</v>
      </c>
      <c r="AV303" t="n">
        <v>100</v>
      </c>
      <c r="AW303" t="n">
        <v>15.4</v>
      </c>
      <c r="AX303" t="n">
        <v>14.1</v>
      </c>
      <c r="AY303" t="n">
        <v>4.6</v>
      </c>
      <c r="AZ303" t="n">
        <v>74.3</v>
      </c>
      <c r="BA303" t="n">
        <v>79</v>
      </c>
      <c r="BB303" t="n">
        <v>94.3</v>
      </c>
      <c r="BC303" t="n">
        <v>97.7</v>
      </c>
      <c r="BD303" t="n">
        <v>5.7</v>
      </c>
      <c r="BE303" t="n">
        <v>2.3</v>
      </c>
      <c r="BF303" t="n">
        <v>100</v>
      </c>
      <c r="BG303" t="n">
        <v>15.4</v>
      </c>
      <c r="BH303" t="n">
        <v>14.1</v>
      </c>
      <c r="BI303" t="n">
        <v>4.6</v>
      </c>
      <c r="BJ303" t="n">
        <v>74.3</v>
      </c>
      <c r="BK303" t="n">
        <v>79</v>
      </c>
      <c r="BL303" t="n">
        <v>94.3</v>
      </c>
      <c r="BM303" t="n">
        <v>97.7</v>
      </c>
      <c r="BN303" t="n">
        <v>5.7</v>
      </c>
      <c r="BO303" t="n">
        <v>2.3</v>
      </c>
      <c r="BP303" t="n">
        <v>0</v>
      </c>
      <c r="BQ303" t="n">
        <v>0</v>
      </c>
      <c r="BR303" t="n">
        <v>0</v>
      </c>
      <c r="BS303" t="n">
        <v>0</v>
      </c>
      <c r="BT303" t="n">
        <v>0</v>
      </c>
      <c r="BU303" t="n">
        <v>0</v>
      </c>
      <c r="BV303" t="n">
        <v>0</v>
      </c>
      <c r="BW303" t="n">
        <v>0</v>
      </c>
      <c r="BX303" t="n">
        <v>0</v>
      </c>
      <c r="BY303" t="n">
        <v>0</v>
      </c>
      <c r="BZ303" t="n">
        <v>49</v>
      </c>
      <c r="CA303" t="n">
        <v>8</v>
      </c>
      <c r="CB303" t="n">
        <v>6</v>
      </c>
      <c r="CC303" t="n">
        <v>6</v>
      </c>
      <c r="CD303" t="n">
        <v>24</v>
      </c>
      <c r="CE303" t="n">
        <v>25</v>
      </c>
      <c r="CF303" t="n">
        <v>34</v>
      </c>
      <c r="CG303" t="n">
        <v>36</v>
      </c>
      <c r="CH303" t="n">
        <v>49</v>
      </c>
      <c r="CI303" t="n">
        <v>8</v>
      </c>
      <c r="CJ303" t="n">
        <v>6</v>
      </c>
      <c r="CK303" t="n">
        <v>6</v>
      </c>
      <c r="CL303" t="n">
        <v>24</v>
      </c>
      <c r="CM303" t="n">
        <v>25</v>
      </c>
      <c r="CN303" t="n">
        <v>34</v>
      </c>
      <c r="CO303" t="n">
        <v>36</v>
      </c>
      <c r="CP303" t="n">
        <v>0</v>
      </c>
      <c r="CQ303" t="n">
        <v>0</v>
      </c>
      <c r="CR303" t="n">
        <v>0</v>
      </c>
      <c r="CS303" t="n">
        <v>0</v>
      </c>
      <c r="CT303" t="n">
        <v>0</v>
      </c>
      <c r="CU303" t="n">
        <v>0</v>
      </c>
      <c r="CV303" t="n">
        <v>0</v>
      </c>
      <c r="CW303" t="n">
        <v>0</v>
      </c>
      <c r="CX303" t="n">
        <v>43.9</v>
      </c>
      <c r="CY303" t="n">
        <v>44.1</v>
      </c>
      <c r="CZ303" t="n">
        <v>60.5</v>
      </c>
      <c r="DA303" t="n">
        <v>68.3</v>
      </c>
      <c r="DB303" t="n">
        <v>42.3</v>
      </c>
      <c r="DC303" t="n">
        <v>41.3</v>
      </c>
      <c r="DD303" t="n">
        <v>58</v>
      </c>
      <c r="DE303" t="n">
        <v>64</v>
      </c>
      <c r="DF303" t="n">
        <v>43.9</v>
      </c>
      <c r="DG303" t="n">
        <v>44.1</v>
      </c>
      <c r="DH303" t="n">
        <v>60.5</v>
      </c>
      <c r="DI303" t="n">
        <v>68.3</v>
      </c>
      <c r="DJ303" t="n">
        <v>42.3</v>
      </c>
      <c r="DK303" t="n">
        <v>41.3</v>
      </c>
      <c r="DL303" t="n">
        <v>58</v>
      </c>
      <c r="DM303" t="n">
        <v>64</v>
      </c>
      <c r="DN303" t="n">
        <v>0</v>
      </c>
      <c r="DO303" t="n">
        <v>0</v>
      </c>
      <c r="DP303" t="n">
        <v>0</v>
      </c>
      <c r="DQ303" t="n">
        <v>0</v>
      </c>
      <c r="DR303" t="n">
        <v>0</v>
      </c>
      <c r="DS303" t="n">
        <v>0</v>
      </c>
      <c r="DT303" t="n">
        <v>0</v>
      </c>
      <c r="DU303" t="n">
        <v>0</v>
      </c>
      <c r="DV303" t="inlineStr">
        <is>
          <t>16 MWh</t>
        </is>
      </c>
    </row>
    <row r="304">
      <c r="A304" t="inlineStr">
        <is>
          <t>ERCOT N 345KV REAL T PK 2x16 - ICE FUTURES ENERGY DIV</t>
        </is>
      </c>
      <c r="B304" t="n">
        <v>230110</v>
      </c>
      <c r="C304" s="1" t="n">
        <v>44936</v>
      </c>
      <c r="D304" t="inlineStr">
        <is>
          <t>0643ID</t>
        </is>
      </c>
      <c r="E304" t="inlineStr">
        <is>
          <t>IFED</t>
        </is>
      </c>
      <c r="F304" t="inlineStr">
        <is>
          <t>01</t>
        </is>
      </c>
      <c r="G304" t="inlineStr">
        <is>
          <t xml:space="preserve">064 </t>
        </is>
      </c>
      <c r="H304" t="n">
        <v>58125</v>
      </c>
      <c r="I304" s="17" t="n">
        <v>1499</v>
      </c>
      <c r="J304" s="17" t="n">
        <v>8057</v>
      </c>
      <c r="K304" t="n">
        <v>3180</v>
      </c>
      <c r="L304" t="n">
        <v>53028</v>
      </c>
      <c r="M304" t="n">
        <v>46771</v>
      </c>
      <c r="N304" t="n">
        <v>57707</v>
      </c>
      <c r="O304" t="n">
        <v>58008</v>
      </c>
      <c r="P304" t="n">
        <v>418</v>
      </c>
      <c r="Q304" t="n">
        <v>117</v>
      </c>
      <c r="R304" t="n">
        <v>58125</v>
      </c>
      <c r="S304" t="n">
        <v>1499</v>
      </c>
      <c r="T304" t="n">
        <v>8057</v>
      </c>
      <c r="U304" t="n">
        <v>3180</v>
      </c>
      <c r="V304" t="n">
        <v>53028</v>
      </c>
      <c r="W304" t="n">
        <v>46771</v>
      </c>
      <c r="X304" t="n">
        <v>57707</v>
      </c>
      <c r="Y304" t="n">
        <v>58008</v>
      </c>
      <c r="Z304" t="n">
        <v>418</v>
      </c>
      <c r="AA304" t="n">
        <v>117</v>
      </c>
      <c r="AB304" t="n">
        <v>0</v>
      </c>
      <c r="AC304" t="n">
        <v>0</v>
      </c>
      <c r="AD304" t="n">
        <v>0</v>
      </c>
      <c r="AE304" t="n">
        <v>0</v>
      </c>
      <c r="AF304" t="n">
        <v>0</v>
      </c>
      <c r="AG304" t="n">
        <v>0</v>
      </c>
      <c r="AH304" t="n">
        <v>0</v>
      </c>
      <c r="AI304" t="n">
        <v>0</v>
      </c>
      <c r="AJ304" t="n">
        <v>0</v>
      </c>
      <c r="AK304" t="n">
        <v>0</v>
      </c>
      <c r="AL304" t="n">
        <v>-2275</v>
      </c>
      <c r="AM304" t="n">
        <v>0</v>
      </c>
      <c r="AN304" t="n">
        <v>170</v>
      </c>
      <c r="AO304" t="n">
        <v>-470</v>
      </c>
      <c r="AP304" t="n">
        <v>-1738</v>
      </c>
      <c r="AQ304" t="n">
        <v>-1985</v>
      </c>
      <c r="AR304" t="n">
        <v>-2208</v>
      </c>
      <c r="AS304" t="n">
        <v>-2285</v>
      </c>
      <c r="AT304" t="n">
        <v>-67</v>
      </c>
      <c r="AU304" t="n">
        <v>10</v>
      </c>
      <c r="AV304" t="n">
        <v>100</v>
      </c>
      <c r="AW304" t="n">
        <v>2.6</v>
      </c>
      <c r="AX304" t="n">
        <v>13.9</v>
      </c>
      <c r="AY304" t="n">
        <v>5.5</v>
      </c>
      <c r="AZ304" t="n">
        <v>91.2</v>
      </c>
      <c r="BA304" t="n">
        <v>80.5</v>
      </c>
      <c r="BB304" t="n">
        <v>99.3</v>
      </c>
      <c r="BC304" t="n">
        <v>99.8</v>
      </c>
      <c r="BD304" t="n">
        <v>0.7</v>
      </c>
      <c r="BE304" t="n">
        <v>0.2</v>
      </c>
      <c r="BF304" t="n">
        <v>100</v>
      </c>
      <c r="BG304" t="n">
        <v>2.6</v>
      </c>
      <c r="BH304" t="n">
        <v>13.9</v>
      </c>
      <c r="BI304" t="n">
        <v>5.5</v>
      </c>
      <c r="BJ304" t="n">
        <v>91.2</v>
      </c>
      <c r="BK304" t="n">
        <v>80.5</v>
      </c>
      <c r="BL304" t="n">
        <v>99.3</v>
      </c>
      <c r="BM304" t="n">
        <v>99.8</v>
      </c>
      <c r="BN304" t="n">
        <v>0.7</v>
      </c>
      <c r="BO304" t="n">
        <v>0.2</v>
      </c>
      <c r="BP304" t="n">
        <v>0</v>
      </c>
      <c r="BQ304" t="n">
        <v>0</v>
      </c>
      <c r="BR304" t="n">
        <v>0</v>
      </c>
      <c r="BS304" t="n">
        <v>0</v>
      </c>
      <c r="BT304" t="n">
        <v>0</v>
      </c>
      <c r="BU304" t="n">
        <v>0</v>
      </c>
      <c r="BV304" t="n">
        <v>0</v>
      </c>
      <c r="BW304" t="n">
        <v>0</v>
      </c>
      <c r="BX304" t="n">
        <v>0</v>
      </c>
      <c r="BY304" t="n">
        <v>0</v>
      </c>
      <c r="BZ304" t="n">
        <v>39</v>
      </c>
      <c r="CA304" t="n">
        <v>3</v>
      </c>
      <c r="CB304" t="n">
        <v>4</v>
      </c>
      <c r="CC304" t="n">
        <v>3</v>
      </c>
      <c r="CD304" t="n">
        <v>29</v>
      </c>
      <c r="CE304" t="n">
        <v>20</v>
      </c>
      <c r="CF304" t="n">
        <v>34</v>
      </c>
      <c r="CG304" t="n">
        <v>25</v>
      </c>
      <c r="CH304" t="n">
        <v>39</v>
      </c>
      <c r="CI304" t="n">
        <v>3</v>
      </c>
      <c r="CJ304" t="n">
        <v>4</v>
      </c>
      <c r="CK304" t="n">
        <v>3</v>
      </c>
      <c r="CL304" t="n">
        <v>29</v>
      </c>
      <c r="CM304" t="n">
        <v>20</v>
      </c>
      <c r="CN304" t="n">
        <v>34</v>
      </c>
      <c r="CO304" t="n">
        <v>25</v>
      </c>
      <c r="CP304" t="n">
        <v>0</v>
      </c>
      <c r="CQ304" t="n">
        <v>0</v>
      </c>
      <c r="CR304" t="n">
        <v>0</v>
      </c>
      <c r="CS304" t="n">
        <v>0</v>
      </c>
      <c r="CT304" t="n">
        <v>0</v>
      </c>
      <c r="CU304" t="n">
        <v>0</v>
      </c>
      <c r="CV304" t="n">
        <v>0</v>
      </c>
      <c r="CW304" t="n">
        <v>0</v>
      </c>
      <c r="CX304" t="n">
        <v>48.3</v>
      </c>
      <c r="CY304" t="n">
        <v>47</v>
      </c>
      <c r="CZ304" t="n">
        <v>69</v>
      </c>
      <c r="DA304" t="n">
        <v>75.7</v>
      </c>
      <c r="DB304" t="n">
        <v>43.1</v>
      </c>
      <c r="DC304" t="n">
        <v>38.9</v>
      </c>
      <c r="DD304" t="n">
        <v>60.2</v>
      </c>
      <c r="DE304" t="n">
        <v>59.9</v>
      </c>
      <c r="DF304" t="n">
        <v>48.3</v>
      </c>
      <c r="DG304" t="n">
        <v>47</v>
      </c>
      <c r="DH304" t="n">
        <v>69</v>
      </c>
      <c r="DI304" t="n">
        <v>75.7</v>
      </c>
      <c r="DJ304" t="n">
        <v>43.1</v>
      </c>
      <c r="DK304" t="n">
        <v>38.9</v>
      </c>
      <c r="DL304" t="n">
        <v>60.2</v>
      </c>
      <c r="DM304" t="n">
        <v>59.9</v>
      </c>
      <c r="DN304" t="n">
        <v>0</v>
      </c>
      <c r="DO304" t="n">
        <v>0</v>
      </c>
      <c r="DP304" t="n">
        <v>0</v>
      </c>
      <c r="DQ304" t="n">
        <v>0</v>
      </c>
      <c r="DR304" t="n">
        <v>0</v>
      </c>
      <c r="DS304" t="n">
        <v>0</v>
      </c>
      <c r="DT304" t="n">
        <v>0</v>
      </c>
      <c r="DU304" t="n">
        <v>0</v>
      </c>
      <c r="DV304" t="inlineStr">
        <is>
          <t>(1MW for about 352 Hours)</t>
        </is>
      </c>
    </row>
    <row r="305">
      <c r="A305" t="inlineStr">
        <is>
          <t>ERCOT N 345KV REAL T PK 2x16 - ICE FUTURES ENERGY DIV</t>
        </is>
      </c>
      <c r="B305" t="n">
        <v>230103</v>
      </c>
      <c r="C305" s="1" t="n">
        <v>44929</v>
      </c>
      <c r="D305" t="inlineStr">
        <is>
          <t>0643ID</t>
        </is>
      </c>
      <c r="E305" t="inlineStr">
        <is>
          <t>IFED</t>
        </is>
      </c>
      <c r="F305" t="inlineStr">
        <is>
          <t>01</t>
        </is>
      </c>
      <c r="G305" t="inlineStr">
        <is>
          <t xml:space="preserve">064 </t>
        </is>
      </c>
      <c r="H305" t="n">
        <v>60400</v>
      </c>
      <c r="I305" s="17" t="n">
        <v>1499</v>
      </c>
      <c r="J305" s="17" t="n">
        <v>7887</v>
      </c>
      <c r="K305" t="n">
        <v>3650</v>
      </c>
      <c r="L305" t="n">
        <v>54766</v>
      </c>
      <c r="M305" t="n">
        <v>48756</v>
      </c>
      <c r="N305" t="n">
        <v>59915</v>
      </c>
      <c r="O305" t="n">
        <v>60293</v>
      </c>
      <c r="P305" t="n">
        <v>485</v>
      </c>
      <c r="Q305" t="n">
        <v>107</v>
      </c>
      <c r="R305" t="n">
        <v>60400</v>
      </c>
      <c r="S305" t="n">
        <v>1499</v>
      </c>
      <c r="T305" t="n">
        <v>7887</v>
      </c>
      <c r="U305" t="n">
        <v>3650</v>
      </c>
      <c r="V305" t="n">
        <v>54766</v>
      </c>
      <c r="W305" t="n">
        <v>48756</v>
      </c>
      <c r="X305" t="n">
        <v>59915</v>
      </c>
      <c r="Y305" t="n">
        <v>60293</v>
      </c>
      <c r="Z305" t="n">
        <v>485</v>
      </c>
      <c r="AA305" t="n">
        <v>107</v>
      </c>
      <c r="AB305" t="n">
        <v>0</v>
      </c>
      <c r="AC305" t="n">
        <v>0</v>
      </c>
      <c r="AD305" t="n">
        <v>0</v>
      </c>
      <c r="AE305" t="n">
        <v>0</v>
      </c>
      <c r="AF305" t="n">
        <v>0</v>
      </c>
      <c r="AG305" t="n">
        <v>0</v>
      </c>
      <c r="AH305" t="n">
        <v>0</v>
      </c>
      <c r="AI305" t="n">
        <v>0</v>
      </c>
      <c r="AJ305" t="n">
        <v>0</v>
      </c>
      <c r="AK305" t="n">
        <v>0</v>
      </c>
      <c r="AL305" t="n">
        <v>62</v>
      </c>
      <c r="AM305" t="n">
        <v>0</v>
      </c>
      <c r="AN305" t="n">
        <v>0</v>
      </c>
      <c r="AO305" t="n">
        <v>0</v>
      </c>
      <c r="AP305" t="n">
        <v>58</v>
      </c>
      <c r="AQ305" t="n">
        <v>61</v>
      </c>
      <c r="AR305" t="n">
        <v>58</v>
      </c>
      <c r="AS305" t="n">
        <v>61</v>
      </c>
      <c r="AT305" t="n">
        <v>4</v>
      </c>
      <c r="AU305" t="n">
        <v>1</v>
      </c>
      <c r="AV305" t="n">
        <v>100</v>
      </c>
      <c r="AW305" t="n">
        <v>2.5</v>
      </c>
      <c r="AX305" t="n">
        <v>13.1</v>
      </c>
      <c r="AY305" t="n">
        <v>6</v>
      </c>
      <c r="AZ305" t="n">
        <v>90.7</v>
      </c>
      <c r="BA305" t="n">
        <v>80.7</v>
      </c>
      <c r="BB305" t="n">
        <v>99.2</v>
      </c>
      <c r="BC305" t="n">
        <v>99.8</v>
      </c>
      <c r="BD305" t="n">
        <v>0.8</v>
      </c>
      <c r="BE305" t="n">
        <v>0.2</v>
      </c>
      <c r="BF305" t="n">
        <v>100</v>
      </c>
      <c r="BG305" t="n">
        <v>2.5</v>
      </c>
      <c r="BH305" t="n">
        <v>13.1</v>
      </c>
      <c r="BI305" t="n">
        <v>6</v>
      </c>
      <c r="BJ305" t="n">
        <v>90.7</v>
      </c>
      <c r="BK305" t="n">
        <v>80.7</v>
      </c>
      <c r="BL305" t="n">
        <v>99.2</v>
      </c>
      <c r="BM305" t="n">
        <v>99.8</v>
      </c>
      <c r="BN305" t="n">
        <v>0.8</v>
      </c>
      <c r="BO305" t="n">
        <v>0.2</v>
      </c>
      <c r="BP305" t="n">
        <v>0</v>
      </c>
      <c r="BQ305" t="n">
        <v>0</v>
      </c>
      <c r="BR305" t="n">
        <v>0</v>
      </c>
      <c r="BS305" t="n">
        <v>0</v>
      </c>
      <c r="BT305" t="n">
        <v>0</v>
      </c>
      <c r="BU305" t="n">
        <v>0</v>
      </c>
      <c r="BV305" t="n">
        <v>0</v>
      </c>
      <c r="BW305" t="n">
        <v>0</v>
      </c>
      <c r="BX305" t="n">
        <v>0</v>
      </c>
      <c r="BY305" t="n">
        <v>0</v>
      </c>
      <c r="BZ305" t="n">
        <v>38</v>
      </c>
      <c r="CA305" t="n">
        <v>3</v>
      </c>
      <c r="CB305" t="n">
        <v>3</v>
      </c>
      <c r="CC305" t="n">
        <v>4</v>
      </c>
      <c r="CD305" t="n">
        <v>30</v>
      </c>
      <c r="CE305" t="n">
        <v>22</v>
      </c>
      <c r="CF305" t="n">
        <v>36</v>
      </c>
      <c r="CG305" t="n">
        <v>26</v>
      </c>
      <c r="CH305" t="n">
        <v>38</v>
      </c>
      <c r="CI305" t="n">
        <v>3</v>
      </c>
      <c r="CJ305" t="n">
        <v>3</v>
      </c>
      <c r="CK305" t="n">
        <v>4</v>
      </c>
      <c r="CL305" t="n">
        <v>30</v>
      </c>
      <c r="CM305" t="n">
        <v>22</v>
      </c>
      <c r="CN305" t="n">
        <v>36</v>
      </c>
      <c r="CO305" t="n">
        <v>26</v>
      </c>
      <c r="CP305" t="n">
        <v>0</v>
      </c>
      <c r="CQ305" t="n">
        <v>0</v>
      </c>
      <c r="CR305" t="n">
        <v>0</v>
      </c>
      <c r="CS305" t="n">
        <v>0</v>
      </c>
      <c r="CT305" t="n">
        <v>0</v>
      </c>
      <c r="CU305" t="n">
        <v>0</v>
      </c>
      <c r="CV305" t="n">
        <v>0</v>
      </c>
      <c r="CW305" t="n">
        <v>0</v>
      </c>
      <c r="CX305" t="n">
        <v>48.6</v>
      </c>
      <c r="CY305" t="n">
        <v>49.9</v>
      </c>
      <c r="CZ305" t="n">
        <v>70.09999999999999</v>
      </c>
      <c r="DA305" t="n">
        <v>77.09999999999999</v>
      </c>
      <c r="DB305" t="n">
        <v>43.5</v>
      </c>
      <c r="DC305" t="n">
        <v>42.6</v>
      </c>
      <c r="DD305" t="n">
        <v>60.3</v>
      </c>
      <c r="DE305" t="n">
        <v>61.8</v>
      </c>
      <c r="DF305" t="n">
        <v>48.6</v>
      </c>
      <c r="DG305" t="n">
        <v>49.9</v>
      </c>
      <c r="DH305" t="n">
        <v>70.09999999999999</v>
      </c>
      <c r="DI305" t="n">
        <v>77.09999999999999</v>
      </c>
      <c r="DJ305" t="n">
        <v>43.5</v>
      </c>
      <c r="DK305" t="n">
        <v>42.6</v>
      </c>
      <c r="DL305" t="n">
        <v>60.3</v>
      </c>
      <c r="DM305" t="n">
        <v>61.8</v>
      </c>
      <c r="DN305" t="n">
        <v>0</v>
      </c>
      <c r="DO305" t="n">
        <v>0</v>
      </c>
      <c r="DP305" t="n">
        <v>0</v>
      </c>
      <c r="DQ305" t="n">
        <v>0</v>
      </c>
      <c r="DR305" t="n">
        <v>0</v>
      </c>
      <c r="DS305" t="n">
        <v>0</v>
      </c>
      <c r="DT305" t="n">
        <v>0</v>
      </c>
      <c r="DU305" t="n">
        <v>0</v>
      </c>
      <c r="DV305" t="inlineStr">
        <is>
          <t>(1MW for about 352 Hours)</t>
        </is>
      </c>
    </row>
    <row r="306">
      <c r="A306" t="inlineStr">
        <is>
          <t>ERCOT North 345KV Hub RT 7x8 - ICE FUTURES ENERGY DIV</t>
        </is>
      </c>
      <c r="B306" t="n">
        <v>230110</v>
      </c>
      <c r="C306" s="1" t="n">
        <v>44936</v>
      </c>
      <c r="D306" t="inlineStr">
        <is>
          <t>0643IK</t>
        </is>
      </c>
      <c r="E306" t="inlineStr">
        <is>
          <t>IFED</t>
        </is>
      </c>
      <c r="F306" t="inlineStr">
        <is>
          <t>01</t>
        </is>
      </c>
      <c r="G306" t="inlineStr">
        <is>
          <t xml:space="preserve">064 </t>
        </is>
      </c>
      <c r="H306" t="n">
        <v>52412</v>
      </c>
      <c r="I306" s="17" t="n">
        <v>8992</v>
      </c>
      <c r="J306" s="17" t="n">
        <v>8215</v>
      </c>
      <c r="K306" t="n">
        <v>0</v>
      </c>
      <c r="L306" t="n">
        <v>43306</v>
      </c>
      <c r="M306" t="n">
        <v>44017</v>
      </c>
      <c r="N306" t="n">
        <v>52298</v>
      </c>
      <c r="O306" t="n">
        <v>52232</v>
      </c>
      <c r="P306" t="n">
        <v>114</v>
      </c>
      <c r="Q306" t="n">
        <v>180</v>
      </c>
      <c r="R306" t="n">
        <v>52412</v>
      </c>
      <c r="S306" t="n">
        <v>8992</v>
      </c>
      <c r="T306" t="n">
        <v>8215</v>
      </c>
      <c r="U306" t="n">
        <v>0</v>
      </c>
      <c r="V306" t="n">
        <v>43306</v>
      </c>
      <c r="W306" t="n">
        <v>44017</v>
      </c>
      <c r="X306" t="n">
        <v>52298</v>
      </c>
      <c r="Y306" t="n">
        <v>52232</v>
      </c>
      <c r="Z306" t="n">
        <v>114</v>
      </c>
      <c r="AA306" t="n">
        <v>180</v>
      </c>
      <c r="AB306" t="n">
        <v>0</v>
      </c>
      <c r="AC306" t="n">
        <v>0</v>
      </c>
      <c r="AD306" t="n">
        <v>0</v>
      </c>
      <c r="AE306" t="n">
        <v>0</v>
      </c>
      <c r="AF306" t="n">
        <v>0</v>
      </c>
      <c r="AG306" t="n">
        <v>0</v>
      </c>
      <c r="AH306" t="n">
        <v>0</v>
      </c>
      <c r="AI306" t="n">
        <v>0</v>
      </c>
      <c r="AJ306" t="n">
        <v>0</v>
      </c>
      <c r="AK306" t="n">
        <v>0</v>
      </c>
      <c r="AL306" t="n">
        <v>318</v>
      </c>
      <c r="AM306" t="n">
        <v>3292</v>
      </c>
      <c r="AN306" t="n">
        <v>-390</v>
      </c>
      <c r="AO306" t="n">
        <v>-100</v>
      </c>
      <c r="AP306" t="n">
        <v>-2772</v>
      </c>
      <c r="AQ306" t="n">
        <v>824</v>
      </c>
      <c r="AR306" t="n">
        <v>420</v>
      </c>
      <c r="AS306" t="n">
        <v>334</v>
      </c>
      <c r="AT306" t="n">
        <v>-102</v>
      </c>
      <c r="AU306" t="n">
        <v>-16</v>
      </c>
      <c r="AV306" t="n">
        <v>100</v>
      </c>
      <c r="AW306" t="n">
        <v>17.2</v>
      </c>
      <c r="AX306" t="n">
        <v>15.7</v>
      </c>
      <c r="AY306" t="n">
        <v>0</v>
      </c>
      <c r="AZ306" t="n">
        <v>82.59999999999999</v>
      </c>
      <c r="BA306" t="n">
        <v>84</v>
      </c>
      <c r="BB306" t="n">
        <v>99.8</v>
      </c>
      <c r="BC306" t="n">
        <v>99.7</v>
      </c>
      <c r="BD306" t="n">
        <v>0.2</v>
      </c>
      <c r="BE306" t="n">
        <v>0.3</v>
      </c>
      <c r="BF306" t="n">
        <v>100</v>
      </c>
      <c r="BG306" t="n">
        <v>17.2</v>
      </c>
      <c r="BH306" t="n">
        <v>15.7</v>
      </c>
      <c r="BI306" t="n">
        <v>0</v>
      </c>
      <c r="BJ306" t="n">
        <v>82.59999999999999</v>
      </c>
      <c r="BK306" t="n">
        <v>84</v>
      </c>
      <c r="BL306" t="n">
        <v>99.8</v>
      </c>
      <c r="BM306" t="n">
        <v>99.7</v>
      </c>
      <c r="BN306" t="n">
        <v>0.2</v>
      </c>
      <c r="BO306" t="n">
        <v>0.3</v>
      </c>
      <c r="BP306" t="n">
        <v>0</v>
      </c>
      <c r="BQ306" t="n">
        <v>0</v>
      </c>
      <c r="BR306" t="n">
        <v>0</v>
      </c>
      <c r="BS306" t="n">
        <v>0</v>
      </c>
      <c r="BT306" t="n">
        <v>0</v>
      </c>
      <c r="BU306" t="n">
        <v>0</v>
      </c>
      <c r="BV306" t="n">
        <v>0</v>
      </c>
      <c r="BW306" t="n">
        <v>0</v>
      </c>
      <c r="BX306" t="n">
        <v>0</v>
      </c>
      <c r="BY306" t="n">
        <v>0</v>
      </c>
      <c r="BZ306" t="n">
        <v>33</v>
      </c>
      <c r="CA306" t="n">
        <v>6</v>
      </c>
      <c r="CB306" t="n">
        <v>1</v>
      </c>
      <c r="CC306" t="n">
        <v>0</v>
      </c>
      <c r="CD306" t="n">
        <v>19</v>
      </c>
      <c r="CE306" t="n">
        <v>23</v>
      </c>
      <c r="CF306" t="n">
        <v>25</v>
      </c>
      <c r="CG306" t="n">
        <v>24</v>
      </c>
      <c r="CH306" t="n">
        <v>33</v>
      </c>
      <c r="CI306" t="n">
        <v>6</v>
      </c>
      <c r="CJ306" t="n">
        <v>1</v>
      </c>
      <c r="CK306" t="n">
        <v>0</v>
      </c>
      <c r="CL306" t="n">
        <v>19</v>
      </c>
      <c r="CM306" t="n">
        <v>23</v>
      </c>
      <c r="CN306" t="n">
        <v>25</v>
      </c>
      <c r="CO306" t="n">
        <v>24</v>
      </c>
      <c r="CP306" t="n">
        <v>0</v>
      </c>
      <c r="CQ306" t="n">
        <v>0</v>
      </c>
      <c r="CR306" t="n">
        <v>0</v>
      </c>
      <c r="CS306" t="n">
        <v>0</v>
      </c>
      <c r="CT306" t="n">
        <v>0</v>
      </c>
      <c r="CU306" t="n">
        <v>0</v>
      </c>
      <c r="CV306" t="n">
        <v>0</v>
      </c>
      <c r="CW306" t="n">
        <v>0</v>
      </c>
      <c r="CX306" t="n">
        <v>46.7</v>
      </c>
      <c r="CY306" t="n">
        <v>47</v>
      </c>
      <c r="CZ306" t="n">
        <v>74.7</v>
      </c>
      <c r="DA306" t="n">
        <v>75.3</v>
      </c>
      <c r="DB306" t="n">
        <v>39.6</v>
      </c>
      <c r="DC306" t="n">
        <v>45.7</v>
      </c>
      <c r="DD306" t="n">
        <v>55</v>
      </c>
      <c r="DE306" t="n">
        <v>61.5</v>
      </c>
      <c r="DF306" t="n">
        <v>46.7</v>
      </c>
      <c r="DG306" t="n">
        <v>47</v>
      </c>
      <c r="DH306" t="n">
        <v>74.7</v>
      </c>
      <c r="DI306" t="n">
        <v>75.3</v>
      </c>
      <c r="DJ306" t="n">
        <v>39.6</v>
      </c>
      <c r="DK306" t="n">
        <v>45.7</v>
      </c>
      <c r="DL306" t="n">
        <v>55</v>
      </c>
      <c r="DM306" t="n">
        <v>61.5</v>
      </c>
      <c r="DN306" t="n">
        <v>0</v>
      </c>
      <c r="DO306" t="n">
        <v>0</v>
      </c>
      <c r="DP306" t="n">
        <v>0</v>
      </c>
      <c r="DQ306" t="n">
        <v>0</v>
      </c>
      <c r="DR306" t="n">
        <v>0</v>
      </c>
      <c r="DS306" t="n">
        <v>0</v>
      </c>
      <c r="DT306" t="n">
        <v>0</v>
      </c>
      <c r="DU306" t="n">
        <v>0</v>
      </c>
      <c r="DV306" t="inlineStr">
        <is>
          <t>(1MW for about 352 Hours)</t>
        </is>
      </c>
    </row>
    <row r="307">
      <c r="A307" t="inlineStr">
        <is>
          <t>ERCOT North 345KV Hub RT 7x8 - ICE FUTURES ENERGY DIV</t>
        </is>
      </c>
      <c r="B307" t="n">
        <v>230103</v>
      </c>
      <c r="C307" s="1" t="n">
        <v>44929</v>
      </c>
      <c r="D307" t="inlineStr">
        <is>
          <t>0643IK</t>
        </is>
      </c>
      <c r="E307" t="inlineStr">
        <is>
          <t>IFED</t>
        </is>
      </c>
      <c r="F307" t="inlineStr">
        <is>
          <t>01</t>
        </is>
      </c>
      <c r="G307" t="inlineStr">
        <is>
          <t xml:space="preserve">064 </t>
        </is>
      </c>
      <c r="H307" t="n">
        <v>52094</v>
      </c>
      <c r="I307" s="17" t="n">
        <v>5700</v>
      </c>
      <c r="J307" s="17" t="n">
        <v>8605</v>
      </c>
      <c r="K307" t="n">
        <v>100</v>
      </c>
      <c r="L307" t="n">
        <v>46078</v>
      </c>
      <c r="M307" t="n">
        <v>43193</v>
      </c>
      <c r="N307" t="n">
        <v>51878</v>
      </c>
      <c r="O307" t="n">
        <v>51898</v>
      </c>
      <c r="P307" t="n">
        <v>216</v>
      </c>
      <c r="Q307" t="n">
        <v>196</v>
      </c>
      <c r="R307" t="n">
        <v>52094</v>
      </c>
      <c r="S307" t="n">
        <v>5700</v>
      </c>
      <c r="T307" t="n">
        <v>8605</v>
      </c>
      <c r="U307" t="n">
        <v>100</v>
      </c>
      <c r="V307" t="n">
        <v>46078</v>
      </c>
      <c r="W307" t="n">
        <v>43193</v>
      </c>
      <c r="X307" t="n">
        <v>51878</v>
      </c>
      <c r="Y307" t="n">
        <v>51898</v>
      </c>
      <c r="Z307" t="n">
        <v>216</v>
      </c>
      <c r="AA307" t="n">
        <v>196</v>
      </c>
      <c r="AB307" t="n">
        <v>0</v>
      </c>
      <c r="AC307" t="n">
        <v>0</v>
      </c>
      <c r="AD307" t="n">
        <v>0</v>
      </c>
      <c r="AE307" t="n">
        <v>0</v>
      </c>
      <c r="AF307" t="n">
        <v>0</v>
      </c>
      <c r="AG307" t="n">
        <v>0</v>
      </c>
      <c r="AH307" t="n">
        <v>0</v>
      </c>
      <c r="AI307" t="n">
        <v>0</v>
      </c>
      <c r="AJ307" t="n">
        <v>0</v>
      </c>
      <c r="AK307" t="n">
        <v>0</v>
      </c>
      <c r="AL307" t="n">
        <v>4</v>
      </c>
      <c r="AM307" t="n">
        <v>0</v>
      </c>
      <c r="AN307" t="n">
        <v>0</v>
      </c>
      <c r="AO307" t="n">
        <v>0</v>
      </c>
      <c r="AP307" t="n">
        <v>-6</v>
      </c>
      <c r="AQ307" t="n">
        <v>4</v>
      </c>
      <c r="AR307" t="n">
        <v>-6</v>
      </c>
      <c r="AS307" t="n">
        <v>4</v>
      </c>
      <c r="AT307" t="n">
        <v>10</v>
      </c>
      <c r="AU307" t="n">
        <v>0</v>
      </c>
      <c r="AV307" t="n">
        <v>100</v>
      </c>
      <c r="AW307" t="n">
        <v>10.9</v>
      </c>
      <c r="AX307" t="n">
        <v>16.5</v>
      </c>
      <c r="AY307" t="n">
        <v>0.2</v>
      </c>
      <c r="AZ307" t="n">
        <v>88.5</v>
      </c>
      <c r="BA307" t="n">
        <v>82.90000000000001</v>
      </c>
      <c r="BB307" t="n">
        <v>99.59999999999999</v>
      </c>
      <c r="BC307" t="n">
        <v>99.59999999999999</v>
      </c>
      <c r="BD307" t="n">
        <v>0.4</v>
      </c>
      <c r="BE307" t="n">
        <v>0.4</v>
      </c>
      <c r="BF307" t="n">
        <v>100</v>
      </c>
      <c r="BG307" t="n">
        <v>10.9</v>
      </c>
      <c r="BH307" t="n">
        <v>16.5</v>
      </c>
      <c r="BI307" t="n">
        <v>0.2</v>
      </c>
      <c r="BJ307" t="n">
        <v>88.5</v>
      </c>
      <c r="BK307" t="n">
        <v>82.90000000000001</v>
      </c>
      <c r="BL307" t="n">
        <v>99.59999999999999</v>
      </c>
      <c r="BM307" t="n">
        <v>99.59999999999999</v>
      </c>
      <c r="BN307" t="n">
        <v>0.4</v>
      </c>
      <c r="BO307" t="n">
        <v>0.4</v>
      </c>
      <c r="BP307" t="n">
        <v>0</v>
      </c>
      <c r="BQ307" t="n">
        <v>0</v>
      </c>
      <c r="BR307" t="n">
        <v>0</v>
      </c>
      <c r="BS307" t="n">
        <v>0</v>
      </c>
      <c r="BT307" t="n">
        <v>0</v>
      </c>
      <c r="BU307" t="n">
        <v>0</v>
      </c>
      <c r="BV307" t="n">
        <v>0</v>
      </c>
      <c r="BW307" t="n">
        <v>0</v>
      </c>
      <c r="BX307" t="n">
        <v>0</v>
      </c>
      <c r="BY307" t="n">
        <v>0</v>
      </c>
      <c r="BZ307" t="n">
        <v>32</v>
      </c>
      <c r="CA307" t="n">
        <v>3</v>
      </c>
      <c r="CB307" t="n">
        <v>3</v>
      </c>
      <c r="CC307" t="n">
        <v>1</v>
      </c>
      <c r="CD307" t="n">
        <v>19</v>
      </c>
      <c r="CE307" t="n">
        <v>23</v>
      </c>
      <c r="CF307" t="n">
        <v>22</v>
      </c>
      <c r="CG307" t="n">
        <v>27</v>
      </c>
      <c r="CH307" t="n">
        <v>32</v>
      </c>
      <c r="CI307" t="n">
        <v>3</v>
      </c>
      <c r="CJ307" t="n">
        <v>3</v>
      </c>
      <c r="CK307" t="n">
        <v>1</v>
      </c>
      <c r="CL307" t="n">
        <v>19</v>
      </c>
      <c r="CM307" t="n">
        <v>23</v>
      </c>
      <c r="CN307" t="n">
        <v>22</v>
      </c>
      <c r="CO307" t="n">
        <v>27</v>
      </c>
      <c r="CP307" t="n">
        <v>0</v>
      </c>
      <c r="CQ307" t="n">
        <v>0</v>
      </c>
      <c r="CR307" t="n">
        <v>0</v>
      </c>
      <c r="CS307" t="n">
        <v>0</v>
      </c>
      <c r="CT307" t="n">
        <v>0</v>
      </c>
      <c r="CU307" t="n">
        <v>0</v>
      </c>
      <c r="CV307" t="n">
        <v>0</v>
      </c>
      <c r="CW307" t="n">
        <v>0</v>
      </c>
      <c r="CX307" t="n">
        <v>54.7</v>
      </c>
      <c r="CY307" t="n">
        <v>51.4</v>
      </c>
      <c r="CZ307" t="n">
        <v>82.2</v>
      </c>
      <c r="DA307" t="n">
        <v>78</v>
      </c>
      <c r="DB307" t="n">
        <v>43.9</v>
      </c>
      <c r="DC307" t="n">
        <v>51.4</v>
      </c>
      <c r="DD307" t="n">
        <v>60.8</v>
      </c>
      <c r="DE307" t="n">
        <v>65.40000000000001</v>
      </c>
      <c r="DF307" t="n">
        <v>54.7</v>
      </c>
      <c r="DG307" t="n">
        <v>51.4</v>
      </c>
      <c r="DH307" t="n">
        <v>82.2</v>
      </c>
      <c r="DI307" t="n">
        <v>78</v>
      </c>
      <c r="DJ307" t="n">
        <v>43.9</v>
      </c>
      <c r="DK307" t="n">
        <v>51.4</v>
      </c>
      <c r="DL307" t="n">
        <v>60.8</v>
      </c>
      <c r="DM307" t="n">
        <v>65.40000000000001</v>
      </c>
      <c r="DN307" t="n">
        <v>0</v>
      </c>
      <c r="DO307" t="n">
        <v>0</v>
      </c>
      <c r="DP307" t="n">
        <v>0</v>
      </c>
      <c r="DQ307" t="n">
        <v>0</v>
      </c>
      <c r="DR307" t="n">
        <v>0</v>
      </c>
      <c r="DS307" t="n">
        <v>0</v>
      </c>
      <c r="DT307" t="n">
        <v>0</v>
      </c>
      <c r="DU307" t="n">
        <v>0</v>
      </c>
      <c r="DV307" t="inlineStr">
        <is>
          <t>(1MW for about 352 Hours)</t>
        </is>
      </c>
    </row>
    <row r="308">
      <c r="A308" t="inlineStr">
        <is>
          <t>ISONE.H.INTERNAL_HUB_mo_on_dap - NODAL EXCHANGE</t>
        </is>
      </c>
      <c r="B308" t="n">
        <v>230110</v>
      </c>
      <c r="C308" s="1" t="n">
        <v>44936</v>
      </c>
      <c r="D308" t="inlineStr">
        <is>
          <t>064AAA</t>
        </is>
      </c>
      <c r="E308" t="inlineStr">
        <is>
          <t>NODX</t>
        </is>
      </c>
      <c r="F308" t="inlineStr">
        <is>
          <t>01</t>
        </is>
      </c>
      <c r="G308" t="inlineStr">
        <is>
          <t xml:space="preserve">064 </t>
        </is>
      </c>
      <c r="H308" t="n">
        <v>85814</v>
      </c>
      <c r="I308" s="17" t="n">
        <v>1776</v>
      </c>
      <c r="J308" s="17" t="n">
        <v>432</v>
      </c>
      <c r="K308" t="n">
        <v>201</v>
      </c>
      <c r="L308" t="n">
        <v>77546</v>
      </c>
      <c r="M308" t="n">
        <v>78471</v>
      </c>
      <c r="N308" t="n">
        <v>79523</v>
      </c>
      <c r="O308" t="n">
        <v>79104</v>
      </c>
      <c r="P308" t="n">
        <v>6291</v>
      </c>
      <c r="Q308" t="n">
        <v>6710</v>
      </c>
      <c r="R308" t="n">
        <v>85814</v>
      </c>
      <c r="S308" t="n">
        <v>1776</v>
      </c>
      <c r="T308" t="n">
        <v>432</v>
      </c>
      <c r="U308" t="n">
        <v>201</v>
      </c>
      <c r="V308" t="n">
        <v>77546</v>
      </c>
      <c r="W308" t="n">
        <v>78471</v>
      </c>
      <c r="X308" t="n">
        <v>79523</v>
      </c>
      <c r="Y308" t="n">
        <v>79104</v>
      </c>
      <c r="Z308" t="n">
        <v>6291</v>
      </c>
      <c r="AA308" t="n">
        <v>6710</v>
      </c>
      <c r="AB308" t="n">
        <v>0</v>
      </c>
      <c r="AC308" t="n">
        <v>0</v>
      </c>
      <c r="AD308" t="n">
        <v>0</v>
      </c>
      <c r="AE308" t="n">
        <v>0</v>
      </c>
      <c r="AF308" t="n">
        <v>0</v>
      </c>
      <c r="AG308" t="n">
        <v>0</v>
      </c>
      <c r="AH308" t="n">
        <v>0</v>
      </c>
      <c r="AI308" t="n">
        <v>0</v>
      </c>
      <c r="AJ308" t="n">
        <v>0</v>
      </c>
      <c r="AK308" t="n">
        <v>0</v>
      </c>
      <c r="AL308" t="n">
        <v>-4511</v>
      </c>
      <c r="AM308" t="n">
        <v>-340</v>
      </c>
      <c r="AN308" t="n">
        <v>-100</v>
      </c>
      <c r="AO308" t="n">
        <v>0</v>
      </c>
      <c r="AP308" t="n">
        <v>-3953</v>
      </c>
      <c r="AQ308" t="n">
        <v>-4193</v>
      </c>
      <c r="AR308" t="n">
        <v>-4293</v>
      </c>
      <c r="AS308" t="n">
        <v>-4293</v>
      </c>
      <c r="AT308" t="n">
        <v>-218</v>
      </c>
      <c r="AU308" t="n">
        <v>-218</v>
      </c>
      <c r="AV308" t="n">
        <v>100</v>
      </c>
      <c r="AW308" t="n">
        <v>2.1</v>
      </c>
      <c r="AX308" t="n">
        <v>0.5</v>
      </c>
      <c r="AY308" t="n">
        <v>0.2</v>
      </c>
      <c r="AZ308" t="n">
        <v>90.40000000000001</v>
      </c>
      <c r="BA308" t="n">
        <v>91.40000000000001</v>
      </c>
      <c r="BB308" t="n">
        <v>92.7</v>
      </c>
      <c r="BC308" t="n">
        <v>92.2</v>
      </c>
      <c r="BD308" t="n">
        <v>7.3</v>
      </c>
      <c r="BE308" t="n">
        <v>7.8</v>
      </c>
      <c r="BF308" t="n">
        <v>100</v>
      </c>
      <c r="BG308" t="n">
        <v>2.1</v>
      </c>
      <c r="BH308" t="n">
        <v>0.5</v>
      </c>
      <c r="BI308" t="n">
        <v>0.2</v>
      </c>
      <c r="BJ308" t="n">
        <v>90.40000000000001</v>
      </c>
      <c r="BK308" t="n">
        <v>91.40000000000001</v>
      </c>
      <c r="BL308" t="n">
        <v>92.7</v>
      </c>
      <c r="BM308" t="n">
        <v>92.2</v>
      </c>
      <c r="BN308" t="n">
        <v>7.3</v>
      </c>
      <c r="BO308" t="n">
        <v>7.8</v>
      </c>
      <c r="BP308" t="n">
        <v>0</v>
      </c>
      <c r="BQ308" t="n">
        <v>0</v>
      </c>
      <c r="BR308" t="n">
        <v>0</v>
      </c>
      <c r="BS308" t="n">
        <v>0</v>
      </c>
      <c r="BT308" t="n">
        <v>0</v>
      </c>
      <c r="BU308" t="n">
        <v>0</v>
      </c>
      <c r="BV308" t="n">
        <v>0</v>
      </c>
      <c r="BW308" t="n">
        <v>0</v>
      </c>
      <c r="BX308" t="n">
        <v>0</v>
      </c>
      <c r="BY308" t="n">
        <v>0</v>
      </c>
      <c r="BZ308" t="n">
        <v>22</v>
      </c>
      <c r="CA308" t="n">
        <v>2</v>
      </c>
      <c r="CB308" t="n">
        <v>1</v>
      </c>
      <c r="CC308" t="n">
        <v>2</v>
      </c>
      <c r="CD308" t="n">
        <v>18</v>
      </c>
      <c r="CE308" t="n">
        <v>15</v>
      </c>
      <c r="CF308" t="n">
        <v>21</v>
      </c>
      <c r="CG308" t="n">
        <v>17</v>
      </c>
      <c r="CH308" t="n">
        <v>22</v>
      </c>
      <c r="CI308" t="n">
        <v>2</v>
      </c>
      <c r="CJ308" t="n">
        <v>1</v>
      </c>
      <c r="CK308" t="n">
        <v>2</v>
      </c>
      <c r="CL308" t="n">
        <v>18</v>
      </c>
      <c r="CM308" t="n">
        <v>15</v>
      </c>
      <c r="CN308" t="n">
        <v>21</v>
      </c>
      <c r="CO308" t="n">
        <v>17</v>
      </c>
      <c r="CP308" t="n">
        <v>0</v>
      </c>
      <c r="CQ308" t="n">
        <v>0</v>
      </c>
      <c r="CR308" t="n">
        <v>0</v>
      </c>
      <c r="CS308" t="n">
        <v>0</v>
      </c>
      <c r="CT308" t="n">
        <v>0</v>
      </c>
      <c r="CU308" t="n">
        <v>0</v>
      </c>
      <c r="CV308" t="n">
        <v>0</v>
      </c>
      <c r="CW308" t="n">
        <v>0</v>
      </c>
      <c r="CX308" t="n">
        <v>72.40000000000001</v>
      </c>
      <c r="CY308" t="n">
        <v>66.59999999999999</v>
      </c>
      <c r="CZ308" t="n">
        <v>85.90000000000001</v>
      </c>
      <c r="DA308" t="n">
        <v>83.90000000000001</v>
      </c>
      <c r="DB308" t="n">
        <v>67.40000000000001</v>
      </c>
      <c r="DC308" t="n">
        <v>63.8</v>
      </c>
      <c r="DD308" t="n">
        <v>79.90000000000001</v>
      </c>
      <c r="DE308" t="n">
        <v>80.59999999999999</v>
      </c>
      <c r="DF308" t="n">
        <v>72.40000000000001</v>
      </c>
      <c r="DG308" t="n">
        <v>66.59999999999999</v>
      </c>
      <c r="DH308" t="n">
        <v>85.90000000000001</v>
      </c>
      <c r="DI308" t="n">
        <v>83.90000000000001</v>
      </c>
      <c r="DJ308" t="n">
        <v>67.40000000000001</v>
      </c>
      <c r="DK308" t="n">
        <v>63.8</v>
      </c>
      <c r="DL308" t="n">
        <v>79.90000000000001</v>
      </c>
      <c r="DM308" t="n">
        <v>80.59999999999999</v>
      </c>
      <c r="DN308" t="n">
        <v>0</v>
      </c>
      <c r="DO308" t="n">
        <v>0</v>
      </c>
      <c r="DP308" t="n">
        <v>0</v>
      </c>
      <c r="DQ308" t="n">
        <v>0</v>
      </c>
      <c r="DR308" t="n">
        <v>0</v>
      </c>
      <c r="DS308" t="n">
        <v>0</v>
      </c>
      <c r="DT308" t="n">
        <v>0</v>
      </c>
      <c r="DU308" t="n">
        <v>0</v>
      </c>
      <c r="DV308" t="inlineStr">
        <is>
          <t>Megawatt Hours (MWh)</t>
        </is>
      </c>
    </row>
    <row r="309">
      <c r="A309" t="inlineStr">
        <is>
          <t>ISONE.H.INTERNAL_HUB_mo_on_dap - NODAL EXCHANGE</t>
        </is>
      </c>
      <c r="B309" t="n">
        <v>230103</v>
      </c>
      <c r="C309" s="1" t="n">
        <v>44929</v>
      </c>
      <c r="D309" t="inlineStr">
        <is>
          <t>064AAA</t>
        </is>
      </c>
      <c r="E309" t="inlineStr">
        <is>
          <t>NODX</t>
        </is>
      </c>
      <c r="F309" t="inlineStr">
        <is>
          <t>01</t>
        </is>
      </c>
      <c r="G309" t="inlineStr">
        <is>
          <t xml:space="preserve">064 </t>
        </is>
      </c>
      <c r="H309" t="n">
        <v>90325</v>
      </c>
      <c r="I309" s="17" t="n">
        <v>2116</v>
      </c>
      <c r="J309" s="17" t="n">
        <v>532</v>
      </c>
      <c r="K309" t="n">
        <v>201</v>
      </c>
      <c r="L309" t="n">
        <v>81499</v>
      </c>
      <c r="M309" t="n">
        <v>82664</v>
      </c>
      <c r="N309" t="n">
        <v>83816</v>
      </c>
      <c r="O309" t="n">
        <v>83397</v>
      </c>
      <c r="P309" t="n">
        <v>6509</v>
      </c>
      <c r="Q309" t="n">
        <v>6928</v>
      </c>
      <c r="R309" t="n">
        <v>90325</v>
      </c>
      <c r="S309" t="n">
        <v>2116</v>
      </c>
      <c r="T309" t="n">
        <v>532</v>
      </c>
      <c r="U309" t="n">
        <v>201</v>
      </c>
      <c r="V309" t="n">
        <v>81499</v>
      </c>
      <c r="W309" t="n">
        <v>82664</v>
      </c>
      <c r="X309" t="n">
        <v>83816</v>
      </c>
      <c r="Y309" t="n">
        <v>83397</v>
      </c>
      <c r="Z309" t="n">
        <v>6509</v>
      </c>
      <c r="AA309" t="n">
        <v>6928</v>
      </c>
      <c r="AB309" t="n">
        <v>0</v>
      </c>
      <c r="AC309" t="n">
        <v>0</v>
      </c>
      <c r="AD309" t="n">
        <v>0</v>
      </c>
      <c r="AE309" t="n">
        <v>0</v>
      </c>
      <c r="AF309" t="n">
        <v>0</v>
      </c>
      <c r="AG309" t="n">
        <v>0</v>
      </c>
      <c r="AH309" t="n">
        <v>0</v>
      </c>
      <c r="AI309" t="n">
        <v>0</v>
      </c>
      <c r="AJ309" t="n">
        <v>0</v>
      </c>
      <c r="AK309" t="n">
        <v>0</v>
      </c>
      <c r="AL309" t="n">
        <v>150</v>
      </c>
      <c r="AM309" t="n">
        <v>0</v>
      </c>
      <c r="AN309" t="n">
        <v>0</v>
      </c>
      <c r="AO309" t="n">
        <v>0</v>
      </c>
      <c r="AP309" t="n">
        <v>150</v>
      </c>
      <c r="AQ309" t="n">
        <v>150</v>
      </c>
      <c r="AR309" t="n">
        <v>150</v>
      </c>
      <c r="AS309" t="n">
        <v>150</v>
      </c>
      <c r="AT309" t="n">
        <v>0</v>
      </c>
      <c r="AU309" t="n">
        <v>0</v>
      </c>
      <c r="AV309" t="n">
        <v>100</v>
      </c>
      <c r="AW309" t="n">
        <v>2.3</v>
      </c>
      <c r="AX309" t="n">
        <v>0.6</v>
      </c>
      <c r="AY309" t="n">
        <v>0.2</v>
      </c>
      <c r="AZ309" t="n">
        <v>90.2</v>
      </c>
      <c r="BA309" t="n">
        <v>91.5</v>
      </c>
      <c r="BB309" t="n">
        <v>92.8</v>
      </c>
      <c r="BC309" t="n">
        <v>92.3</v>
      </c>
      <c r="BD309" t="n">
        <v>7.2</v>
      </c>
      <c r="BE309" t="n">
        <v>7.7</v>
      </c>
      <c r="BF309" t="n">
        <v>100</v>
      </c>
      <c r="BG309" t="n">
        <v>2.3</v>
      </c>
      <c r="BH309" t="n">
        <v>0.6</v>
      </c>
      <c r="BI309" t="n">
        <v>0.2</v>
      </c>
      <c r="BJ309" t="n">
        <v>90.2</v>
      </c>
      <c r="BK309" t="n">
        <v>91.5</v>
      </c>
      <c r="BL309" t="n">
        <v>92.8</v>
      </c>
      <c r="BM309" t="n">
        <v>92.3</v>
      </c>
      <c r="BN309" t="n">
        <v>7.2</v>
      </c>
      <c r="BO309" t="n">
        <v>7.7</v>
      </c>
      <c r="BP309" t="n">
        <v>0</v>
      </c>
      <c r="BQ309" t="n">
        <v>0</v>
      </c>
      <c r="BR309" t="n">
        <v>0</v>
      </c>
      <c r="BS309" t="n">
        <v>0</v>
      </c>
      <c r="BT309" t="n">
        <v>0</v>
      </c>
      <c r="BU309" t="n">
        <v>0</v>
      </c>
      <c r="BV309" t="n">
        <v>0</v>
      </c>
      <c r="BW309" t="n">
        <v>0</v>
      </c>
      <c r="BX309" t="n">
        <v>0</v>
      </c>
      <c r="BY309" t="n">
        <v>0</v>
      </c>
      <c r="BZ309" t="n">
        <v>23</v>
      </c>
      <c r="CA309" t="n">
        <v>2</v>
      </c>
      <c r="CB309" t="n">
        <v>1</v>
      </c>
      <c r="CC309" t="n">
        <v>2</v>
      </c>
      <c r="CD309" t="n">
        <v>20</v>
      </c>
      <c r="CE309" t="n">
        <v>16</v>
      </c>
      <c r="CF309" t="n">
        <v>23</v>
      </c>
      <c r="CG309" t="n">
        <v>18</v>
      </c>
      <c r="CH309" t="n">
        <v>23</v>
      </c>
      <c r="CI309" t="n">
        <v>2</v>
      </c>
      <c r="CJ309" t="n">
        <v>1</v>
      </c>
      <c r="CK309" t="n">
        <v>2</v>
      </c>
      <c r="CL309" t="n">
        <v>20</v>
      </c>
      <c r="CM309" t="n">
        <v>16</v>
      </c>
      <c r="CN309" t="n">
        <v>23</v>
      </c>
      <c r="CO309" t="n">
        <v>18</v>
      </c>
      <c r="CP309" t="n">
        <v>0</v>
      </c>
      <c r="CQ309" t="n">
        <v>0</v>
      </c>
      <c r="CR309" t="n">
        <v>0</v>
      </c>
      <c r="CS309" t="n">
        <v>0</v>
      </c>
      <c r="CT309" t="n">
        <v>0</v>
      </c>
      <c r="CU309" t="n">
        <v>0</v>
      </c>
      <c r="CV309" t="n">
        <v>0</v>
      </c>
      <c r="CW309" t="n">
        <v>0</v>
      </c>
      <c r="CX309" t="n">
        <v>73.59999999999999</v>
      </c>
      <c r="CY309" t="n">
        <v>67</v>
      </c>
      <c r="CZ309" t="n">
        <v>86.3</v>
      </c>
      <c r="DA309" t="n">
        <v>84.5</v>
      </c>
      <c r="DB309" t="n">
        <v>68.90000000000001</v>
      </c>
      <c r="DC309" t="n">
        <v>64.3</v>
      </c>
      <c r="DD309" t="n">
        <v>80.40000000000001</v>
      </c>
      <c r="DE309" t="n">
        <v>81.3</v>
      </c>
      <c r="DF309" t="n">
        <v>73.59999999999999</v>
      </c>
      <c r="DG309" t="n">
        <v>67</v>
      </c>
      <c r="DH309" t="n">
        <v>86.3</v>
      </c>
      <c r="DI309" t="n">
        <v>84.5</v>
      </c>
      <c r="DJ309" t="n">
        <v>68.90000000000001</v>
      </c>
      <c r="DK309" t="n">
        <v>64.3</v>
      </c>
      <c r="DL309" t="n">
        <v>80.40000000000001</v>
      </c>
      <c r="DM309" t="n">
        <v>81.3</v>
      </c>
      <c r="DN309" t="n">
        <v>0</v>
      </c>
      <c r="DO309" t="n">
        <v>0</v>
      </c>
      <c r="DP309" t="n">
        <v>0</v>
      </c>
      <c r="DQ309" t="n">
        <v>0</v>
      </c>
      <c r="DR309" t="n">
        <v>0</v>
      </c>
      <c r="DS309" t="n">
        <v>0</v>
      </c>
      <c r="DT309" t="n">
        <v>0</v>
      </c>
      <c r="DU309" t="n">
        <v>0</v>
      </c>
      <c r="DV309" t="inlineStr">
        <is>
          <t>Megawatt Hours (MWh)</t>
        </is>
      </c>
    </row>
    <row r="310">
      <c r="A310" t="inlineStr">
        <is>
          <t>ISONE.H.INTERNAL_HB_mo_off_dap - NODAL EXCHANGE</t>
        </is>
      </c>
      <c r="B310" t="n">
        <v>230103</v>
      </c>
      <c r="C310" s="1" t="n">
        <v>44929</v>
      </c>
      <c r="D310" t="inlineStr">
        <is>
          <t>064AAB</t>
        </is>
      </c>
      <c r="E310" t="inlineStr">
        <is>
          <t>NODX</t>
        </is>
      </c>
      <c r="F310" t="inlineStr">
        <is>
          <t>01</t>
        </is>
      </c>
      <c r="G310" t="inlineStr">
        <is>
          <t xml:space="preserve">064 </t>
        </is>
      </c>
      <c r="H310" t="n">
        <v>73383</v>
      </c>
      <c r="I310" s="17" t="n">
        <v>1613</v>
      </c>
      <c r="J310" s="17" t="n">
        <v>319</v>
      </c>
      <c r="K310" t="n">
        <v>0</v>
      </c>
      <c r="L310" t="n">
        <v>66147</v>
      </c>
      <c r="M310" t="n">
        <v>67286</v>
      </c>
      <c r="N310" t="n">
        <v>67760</v>
      </c>
      <c r="O310" t="n">
        <v>67605</v>
      </c>
      <c r="P310" t="n">
        <v>5623</v>
      </c>
      <c r="Q310" t="n">
        <v>5778</v>
      </c>
      <c r="R310" t="n">
        <v>73383</v>
      </c>
      <c r="S310" t="n">
        <v>1613</v>
      </c>
      <c r="T310" t="n">
        <v>319</v>
      </c>
      <c r="U310" t="n">
        <v>0</v>
      </c>
      <c r="V310" t="n">
        <v>66147</v>
      </c>
      <c r="W310" t="n">
        <v>67286</v>
      </c>
      <c r="X310" t="n">
        <v>67760</v>
      </c>
      <c r="Y310" t="n">
        <v>67605</v>
      </c>
      <c r="Z310" t="n">
        <v>5623</v>
      </c>
      <c r="AA310" t="n">
        <v>5778</v>
      </c>
      <c r="AB310" t="n">
        <v>0</v>
      </c>
      <c r="AC310" t="n">
        <v>0</v>
      </c>
      <c r="AD310" t="n">
        <v>0</v>
      </c>
      <c r="AE310" t="n">
        <v>0</v>
      </c>
      <c r="AF310" t="n">
        <v>0</v>
      </c>
      <c r="AG310" t="n">
        <v>0</v>
      </c>
      <c r="AH310" t="n">
        <v>0</v>
      </c>
      <c r="AI310" t="n">
        <v>0</v>
      </c>
      <c r="AJ310" t="n">
        <v>0</v>
      </c>
      <c r="AK310" t="n">
        <v>0</v>
      </c>
      <c r="AL310" t="n">
        <v>175</v>
      </c>
      <c r="AM310" t="n">
        <v>0</v>
      </c>
      <c r="AN310" t="n">
        <v>0</v>
      </c>
      <c r="AO310" t="n">
        <v>0</v>
      </c>
      <c r="AP310" t="n">
        <v>190</v>
      </c>
      <c r="AQ310" t="n">
        <v>190</v>
      </c>
      <c r="AR310" t="n">
        <v>190</v>
      </c>
      <c r="AS310" t="n">
        <v>190</v>
      </c>
      <c r="AT310" t="n">
        <v>-15</v>
      </c>
      <c r="AU310" t="n">
        <v>-15</v>
      </c>
      <c r="AV310" t="n">
        <v>100</v>
      </c>
      <c r="AW310" t="n">
        <v>2.2</v>
      </c>
      <c r="AX310" t="n">
        <v>0.4</v>
      </c>
      <c r="AY310" t="n">
        <v>0</v>
      </c>
      <c r="AZ310" t="n">
        <v>90.09999999999999</v>
      </c>
      <c r="BA310" t="n">
        <v>91.7</v>
      </c>
      <c r="BB310" t="n">
        <v>92.3</v>
      </c>
      <c r="BC310" t="n">
        <v>92.09999999999999</v>
      </c>
      <c r="BD310" t="n">
        <v>7.7</v>
      </c>
      <c r="BE310" t="n">
        <v>7.9</v>
      </c>
      <c r="BF310" t="n">
        <v>100</v>
      </c>
      <c r="BG310" t="n">
        <v>2.2</v>
      </c>
      <c r="BH310" t="n">
        <v>0.4</v>
      </c>
      <c r="BI310" t="n">
        <v>0</v>
      </c>
      <c r="BJ310" t="n">
        <v>90.09999999999999</v>
      </c>
      <c r="BK310" t="n">
        <v>91.7</v>
      </c>
      <c r="BL310" t="n">
        <v>92.3</v>
      </c>
      <c r="BM310" t="n">
        <v>92.09999999999999</v>
      </c>
      <c r="BN310" t="n">
        <v>7.7</v>
      </c>
      <c r="BO310" t="n">
        <v>7.9</v>
      </c>
      <c r="BP310" t="n">
        <v>0</v>
      </c>
      <c r="BQ310" t="n">
        <v>0</v>
      </c>
      <c r="BR310" t="n">
        <v>0</v>
      </c>
      <c r="BS310" t="n">
        <v>0</v>
      </c>
      <c r="BT310" t="n">
        <v>0</v>
      </c>
      <c r="BU310" t="n">
        <v>0</v>
      </c>
      <c r="BV310" t="n">
        <v>0</v>
      </c>
      <c r="BW310" t="n">
        <v>0</v>
      </c>
      <c r="BX310" t="n">
        <v>0</v>
      </c>
      <c r="BY310" t="n">
        <v>0</v>
      </c>
      <c r="BZ310" t="n">
        <v>21</v>
      </c>
      <c r="CA310" t="n">
        <v>1</v>
      </c>
      <c r="CB310" t="n">
        <v>1</v>
      </c>
      <c r="CC310" t="n">
        <v>0</v>
      </c>
      <c r="CD310" t="n">
        <v>19</v>
      </c>
      <c r="CE310" t="n">
        <v>14</v>
      </c>
      <c r="CF310" t="n">
        <v>20</v>
      </c>
      <c r="CG310" t="n">
        <v>15</v>
      </c>
      <c r="CH310" t="n">
        <v>21</v>
      </c>
      <c r="CI310" t="n">
        <v>1</v>
      </c>
      <c r="CJ310" t="n">
        <v>1</v>
      </c>
      <c r="CK310" t="n">
        <v>0</v>
      </c>
      <c r="CL310" t="n">
        <v>19</v>
      </c>
      <c r="CM310" t="n">
        <v>14</v>
      </c>
      <c r="CN310" t="n">
        <v>20</v>
      </c>
      <c r="CO310" t="n">
        <v>15</v>
      </c>
      <c r="CP310" t="n">
        <v>0</v>
      </c>
      <c r="CQ310" t="n">
        <v>0</v>
      </c>
      <c r="CR310" t="n">
        <v>0</v>
      </c>
      <c r="CS310" t="n">
        <v>0</v>
      </c>
      <c r="CT310" t="n">
        <v>0</v>
      </c>
      <c r="CU310" t="n">
        <v>0</v>
      </c>
      <c r="CV310" t="n">
        <v>0</v>
      </c>
      <c r="CW310" t="n">
        <v>0</v>
      </c>
      <c r="CX310" t="n">
        <v>71</v>
      </c>
      <c r="CY310" t="n">
        <v>64.5</v>
      </c>
      <c r="CZ310" t="n">
        <v>84.5</v>
      </c>
      <c r="DA310" t="n">
        <v>84.40000000000001</v>
      </c>
      <c r="DB310" t="n">
        <v>66.3</v>
      </c>
      <c r="DC310" t="n">
        <v>60.8</v>
      </c>
      <c r="DD310" t="n">
        <v>76.40000000000001</v>
      </c>
      <c r="DE310" t="n">
        <v>77.90000000000001</v>
      </c>
      <c r="DF310" t="n">
        <v>71</v>
      </c>
      <c r="DG310" t="n">
        <v>64.5</v>
      </c>
      <c r="DH310" t="n">
        <v>84.5</v>
      </c>
      <c r="DI310" t="n">
        <v>84.40000000000001</v>
      </c>
      <c r="DJ310" t="n">
        <v>66.3</v>
      </c>
      <c r="DK310" t="n">
        <v>60.8</v>
      </c>
      <c r="DL310" t="n">
        <v>76.40000000000001</v>
      </c>
      <c r="DM310" t="n">
        <v>77.90000000000001</v>
      </c>
      <c r="DN310" t="n">
        <v>0</v>
      </c>
      <c r="DO310" t="n">
        <v>0</v>
      </c>
      <c r="DP310" t="n">
        <v>0</v>
      </c>
      <c r="DQ310" t="n">
        <v>0</v>
      </c>
      <c r="DR310" t="n">
        <v>0</v>
      </c>
      <c r="DS310" t="n">
        <v>0</v>
      </c>
      <c r="DT310" t="n">
        <v>0</v>
      </c>
      <c r="DU310" t="n">
        <v>0</v>
      </c>
      <c r="DV310" t="inlineStr">
        <is>
          <t>Megawatt Hours (MWh)</t>
        </is>
      </c>
    </row>
    <row r="311">
      <c r="A311" t="inlineStr">
        <is>
          <t>MISO.INDIANA.HUB_month_on_dap - NODAL EXCHANGE</t>
        </is>
      </c>
      <c r="B311" t="n">
        <v>230110</v>
      </c>
      <c r="C311" s="1" t="n">
        <v>44936</v>
      </c>
      <c r="D311" t="inlineStr">
        <is>
          <t>064BFI</t>
        </is>
      </c>
      <c r="E311" t="inlineStr">
        <is>
          <t>NODX</t>
        </is>
      </c>
      <c r="F311" t="inlineStr">
        <is>
          <t>01</t>
        </is>
      </c>
      <c r="G311" t="inlineStr">
        <is>
          <t xml:space="preserve">064 </t>
        </is>
      </c>
      <c r="H311" t="n">
        <v>24970</v>
      </c>
      <c r="I311" s="17" t="n">
        <v>2990</v>
      </c>
      <c r="J311" s="17" t="n">
        <v>0</v>
      </c>
      <c r="K311" t="n">
        <v>60</v>
      </c>
      <c r="L311" t="n">
        <v>17535</v>
      </c>
      <c r="M311" t="n">
        <v>20311</v>
      </c>
      <c r="N311" t="n">
        <v>20585</v>
      </c>
      <c r="O311" t="n">
        <v>20371</v>
      </c>
      <c r="P311" t="n">
        <v>4385</v>
      </c>
      <c r="Q311" t="n">
        <v>4599</v>
      </c>
      <c r="R311" t="n">
        <v>24970</v>
      </c>
      <c r="S311" t="n">
        <v>2990</v>
      </c>
      <c r="T311" t="n">
        <v>0</v>
      </c>
      <c r="U311" t="n">
        <v>60</v>
      </c>
      <c r="V311" t="n">
        <v>17535</v>
      </c>
      <c r="W311" t="n">
        <v>20311</v>
      </c>
      <c r="X311" t="n">
        <v>20585</v>
      </c>
      <c r="Y311" t="n">
        <v>20371</v>
      </c>
      <c r="Z311" t="n">
        <v>4385</v>
      </c>
      <c r="AA311" t="n">
        <v>4599</v>
      </c>
      <c r="AB311" t="n">
        <v>0</v>
      </c>
      <c r="AC311" t="n">
        <v>0</v>
      </c>
      <c r="AD311" t="n">
        <v>0</v>
      </c>
      <c r="AE311" t="n">
        <v>0</v>
      </c>
      <c r="AF311" t="n">
        <v>0</v>
      </c>
      <c r="AG311" t="n">
        <v>0</v>
      </c>
      <c r="AH311" t="n">
        <v>0</v>
      </c>
      <c r="AI311" t="n">
        <v>0</v>
      </c>
      <c r="AJ311" t="n">
        <v>0</v>
      </c>
      <c r="AK311" t="n">
        <v>0</v>
      </c>
      <c r="AL311" t="n">
        <v>820</v>
      </c>
      <c r="AM311" t="n">
        <v>-60</v>
      </c>
      <c r="AN311" t="n">
        <v>0</v>
      </c>
      <c r="AO311" t="n">
        <v>0</v>
      </c>
      <c r="AP311" t="n">
        <v>535</v>
      </c>
      <c r="AQ311" t="n">
        <v>508</v>
      </c>
      <c r="AR311" t="n">
        <v>475</v>
      </c>
      <c r="AS311" t="n">
        <v>508</v>
      </c>
      <c r="AT311" t="n">
        <v>345</v>
      </c>
      <c r="AU311" t="n">
        <v>312</v>
      </c>
      <c r="AV311" t="n">
        <v>100</v>
      </c>
      <c r="AW311" t="n">
        <v>12</v>
      </c>
      <c r="AX311" t="n">
        <v>0</v>
      </c>
      <c r="AY311" t="n">
        <v>0.2</v>
      </c>
      <c r="AZ311" t="n">
        <v>70.2</v>
      </c>
      <c r="BA311" t="n">
        <v>81.3</v>
      </c>
      <c r="BB311" t="n">
        <v>82.40000000000001</v>
      </c>
      <c r="BC311" t="n">
        <v>81.59999999999999</v>
      </c>
      <c r="BD311" t="n">
        <v>17.6</v>
      </c>
      <c r="BE311" t="n">
        <v>18.4</v>
      </c>
      <c r="BF311" t="n">
        <v>100</v>
      </c>
      <c r="BG311" t="n">
        <v>12</v>
      </c>
      <c r="BH311" t="n">
        <v>0</v>
      </c>
      <c r="BI311" t="n">
        <v>0.2</v>
      </c>
      <c r="BJ311" t="n">
        <v>70.2</v>
      </c>
      <c r="BK311" t="n">
        <v>81.3</v>
      </c>
      <c r="BL311" t="n">
        <v>82.40000000000001</v>
      </c>
      <c r="BM311" t="n">
        <v>81.59999999999999</v>
      </c>
      <c r="BN311" t="n">
        <v>17.6</v>
      </c>
      <c r="BO311" t="n">
        <v>18.4</v>
      </c>
      <c r="BP311" t="n">
        <v>0</v>
      </c>
      <c r="BQ311" t="n">
        <v>0</v>
      </c>
      <c r="BR311" t="n">
        <v>0</v>
      </c>
      <c r="BS311" t="n">
        <v>0</v>
      </c>
      <c r="BT311" t="n">
        <v>0</v>
      </c>
      <c r="BU311" t="n">
        <v>0</v>
      </c>
      <c r="BV311" t="n">
        <v>0</v>
      </c>
      <c r="BW311" t="n">
        <v>0</v>
      </c>
      <c r="BX311" t="n">
        <v>0</v>
      </c>
      <c r="BY311" t="n">
        <v>0</v>
      </c>
      <c r="BZ311" t="n">
        <v>21</v>
      </c>
      <c r="CA311" t="n">
        <v>2</v>
      </c>
      <c r="CB311" t="n">
        <v>0</v>
      </c>
      <c r="CC311" t="n">
        <v>1</v>
      </c>
      <c r="CD311" t="n">
        <v>16</v>
      </c>
      <c r="CE311" t="n">
        <v>15</v>
      </c>
      <c r="CF311" t="n">
        <v>18</v>
      </c>
      <c r="CG311" t="n">
        <v>16</v>
      </c>
      <c r="CH311" t="n">
        <v>21</v>
      </c>
      <c r="CI311" t="n">
        <v>2</v>
      </c>
      <c r="CJ311" t="n">
        <v>0</v>
      </c>
      <c r="CK311" t="n">
        <v>1</v>
      </c>
      <c r="CL311" t="n">
        <v>16</v>
      </c>
      <c r="CM311" t="n">
        <v>15</v>
      </c>
      <c r="CN311" t="n">
        <v>18</v>
      </c>
      <c r="CO311" t="n">
        <v>16</v>
      </c>
      <c r="CP311" t="n">
        <v>0</v>
      </c>
      <c r="CQ311" t="n">
        <v>0</v>
      </c>
      <c r="CR311" t="n">
        <v>0</v>
      </c>
      <c r="CS311" t="n">
        <v>0</v>
      </c>
      <c r="CT311" t="n">
        <v>0</v>
      </c>
      <c r="CU311" t="n">
        <v>0</v>
      </c>
      <c r="CV311" t="n">
        <v>0</v>
      </c>
      <c r="CW311" t="n">
        <v>0</v>
      </c>
      <c r="CX311" t="n">
        <v>55.8</v>
      </c>
      <c r="CY311" t="n">
        <v>61.4</v>
      </c>
      <c r="CZ311" t="n">
        <v>77.8</v>
      </c>
      <c r="DA311" t="n">
        <v>75.90000000000001</v>
      </c>
      <c r="DB311" t="n">
        <v>52.6</v>
      </c>
      <c r="DC311" t="n">
        <v>59.6</v>
      </c>
      <c r="DD311" t="n">
        <v>70</v>
      </c>
      <c r="DE311" t="n">
        <v>70.7</v>
      </c>
      <c r="DF311" t="n">
        <v>55.8</v>
      </c>
      <c r="DG311" t="n">
        <v>61.4</v>
      </c>
      <c r="DH311" t="n">
        <v>77.8</v>
      </c>
      <c r="DI311" t="n">
        <v>75.90000000000001</v>
      </c>
      <c r="DJ311" t="n">
        <v>52.6</v>
      </c>
      <c r="DK311" t="n">
        <v>59.6</v>
      </c>
      <c r="DL311" t="n">
        <v>70</v>
      </c>
      <c r="DM311" t="n">
        <v>70.7</v>
      </c>
      <c r="DN311" t="n">
        <v>0</v>
      </c>
      <c r="DO311" t="n">
        <v>0</v>
      </c>
      <c r="DP311" t="n">
        <v>0</v>
      </c>
      <c r="DQ311" t="n">
        <v>0</v>
      </c>
      <c r="DR311" t="n">
        <v>0</v>
      </c>
      <c r="DS311" t="n">
        <v>0</v>
      </c>
      <c r="DT311" t="n">
        <v>0</v>
      </c>
      <c r="DU311" t="n">
        <v>0</v>
      </c>
      <c r="DV311" t="inlineStr">
        <is>
          <t>Megawatt Hours (MWh)</t>
        </is>
      </c>
    </row>
    <row r="312">
      <c r="A312" t="inlineStr">
        <is>
          <t>MISO.INDIANA.HUB_month_on_dap - NODAL EXCHANGE</t>
        </is>
      </c>
      <c r="B312" t="n">
        <v>230103</v>
      </c>
      <c r="C312" s="1" t="n">
        <v>44929</v>
      </c>
      <c r="D312" t="inlineStr">
        <is>
          <t>064BFI</t>
        </is>
      </c>
      <c r="E312" t="inlineStr">
        <is>
          <t>NODX</t>
        </is>
      </c>
      <c r="F312" t="inlineStr">
        <is>
          <t>01</t>
        </is>
      </c>
      <c r="G312" t="inlineStr">
        <is>
          <t xml:space="preserve">064 </t>
        </is>
      </c>
      <c r="H312" t="n">
        <v>24150</v>
      </c>
      <c r="I312" s="17" t="n">
        <v>3050</v>
      </c>
      <c r="J312" s="17" t="n">
        <v>0</v>
      </c>
      <c r="K312" t="n">
        <v>60</v>
      </c>
      <c r="L312" t="n">
        <v>17000</v>
      </c>
      <c r="M312" t="n">
        <v>19803</v>
      </c>
      <c r="N312" t="n">
        <v>20110</v>
      </c>
      <c r="O312" t="n">
        <v>19863</v>
      </c>
      <c r="P312" t="n">
        <v>4040</v>
      </c>
      <c r="Q312" t="n">
        <v>4287</v>
      </c>
      <c r="R312" t="n">
        <v>24150</v>
      </c>
      <c r="S312" t="n">
        <v>3050</v>
      </c>
      <c r="T312" t="n">
        <v>0</v>
      </c>
      <c r="U312" t="n">
        <v>60</v>
      </c>
      <c r="V312" t="n">
        <v>17000</v>
      </c>
      <c r="W312" t="n">
        <v>19803</v>
      </c>
      <c r="X312" t="n">
        <v>20110</v>
      </c>
      <c r="Y312" t="n">
        <v>19863</v>
      </c>
      <c r="Z312" t="n">
        <v>4040</v>
      </c>
      <c r="AA312" t="n">
        <v>4287</v>
      </c>
      <c r="AB312" t="n">
        <v>0</v>
      </c>
      <c r="AC312" t="n">
        <v>0</v>
      </c>
      <c r="AD312" t="n">
        <v>0</v>
      </c>
      <c r="AE312" t="n">
        <v>0</v>
      </c>
      <c r="AF312" t="n">
        <v>0</v>
      </c>
      <c r="AG312" t="n">
        <v>0</v>
      </c>
      <c r="AH312" t="n">
        <v>0</v>
      </c>
      <c r="AI312" t="n">
        <v>0</v>
      </c>
      <c r="AJ312" t="n">
        <v>0</v>
      </c>
      <c r="AK312" t="n">
        <v>0</v>
      </c>
      <c r="AL312" t="n">
        <v>375</v>
      </c>
      <c r="AM312" t="n">
        <v>0</v>
      </c>
      <c r="AN312" t="n">
        <v>0</v>
      </c>
      <c r="AO312" t="n">
        <v>0</v>
      </c>
      <c r="AP312" t="n">
        <v>375</v>
      </c>
      <c r="AQ312" t="n">
        <v>375</v>
      </c>
      <c r="AR312" t="n">
        <v>375</v>
      </c>
      <c r="AS312" t="n">
        <v>375</v>
      </c>
      <c r="AT312" t="n">
        <v>0</v>
      </c>
      <c r="AU312" t="n">
        <v>0</v>
      </c>
      <c r="AV312" t="n">
        <v>100</v>
      </c>
      <c r="AW312" t="n">
        <v>12.6</v>
      </c>
      <c r="AX312" t="n">
        <v>0</v>
      </c>
      <c r="AY312" t="n">
        <v>0.2</v>
      </c>
      <c r="AZ312" t="n">
        <v>70.40000000000001</v>
      </c>
      <c r="BA312" t="n">
        <v>82</v>
      </c>
      <c r="BB312" t="n">
        <v>83.3</v>
      </c>
      <c r="BC312" t="n">
        <v>82.2</v>
      </c>
      <c r="BD312" t="n">
        <v>16.7</v>
      </c>
      <c r="BE312" t="n">
        <v>17.8</v>
      </c>
      <c r="BF312" t="n">
        <v>100</v>
      </c>
      <c r="BG312" t="n">
        <v>12.6</v>
      </c>
      <c r="BH312" t="n">
        <v>0</v>
      </c>
      <c r="BI312" t="n">
        <v>0.2</v>
      </c>
      <c r="BJ312" t="n">
        <v>70.40000000000001</v>
      </c>
      <c r="BK312" t="n">
        <v>82</v>
      </c>
      <c r="BL312" t="n">
        <v>83.3</v>
      </c>
      <c r="BM312" t="n">
        <v>82.2</v>
      </c>
      <c r="BN312" t="n">
        <v>16.7</v>
      </c>
      <c r="BO312" t="n">
        <v>17.8</v>
      </c>
      <c r="BP312" t="n">
        <v>0</v>
      </c>
      <c r="BQ312" t="n">
        <v>0</v>
      </c>
      <c r="BR312" t="n">
        <v>0</v>
      </c>
      <c r="BS312" t="n">
        <v>0</v>
      </c>
      <c r="BT312" t="n">
        <v>0</v>
      </c>
      <c r="BU312" t="n">
        <v>0</v>
      </c>
      <c r="BV312" t="n">
        <v>0</v>
      </c>
      <c r="BW312" t="n">
        <v>0</v>
      </c>
      <c r="BX312" t="n">
        <v>0</v>
      </c>
      <c r="BY312" t="n">
        <v>0</v>
      </c>
      <c r="BZ312" t="n">
        <v>22</v>
      </c>
      <c r="CA312" t="n">
        <v>2</v>
      </c>
      <c r="CB312" t="n">
        <v>0</v>
      </c>
      <c r="CC312" t="n">
        <v>1</v>
      </c>
      <c r="CD312" t="n">
        <v>16</v>
      </c>
      <c r="CE312" t="n">
        <v>15</v>
      </c>
      <c r="CF312" t="n">
        <v>18</v>
      </c>
      <c r="CG312" t="n">
        <v>16</v>
      </c>
      <c r="CH312" t="n">
        <v>22</v>
      </c>
      <c r="CI312" t="n">
        <v>2</v>
      </c>
      <c r="CJ312" t="n">
        <v>0</v>
      </c>
      <c r="CK312" t="n">
        <v>1</v>
      </c>
      <c r="CL312" t="n">
        <v>16</v>
      </c>
      <c r="CM312" t="n">
        <v>15</v>
      </c>
      <c r="CN312" t="n">
        <v>18</v>
      </c>
      <c r="CO312" t="n">
        <v>16</v>
      </c>
      <c r="CP312" t="n">
        <v>0</v>
      </c>
      <c r="CQ312" t="n">
        <v>0</v>
      </c>
      <c r="CR312" t="n">
        <v>0</v>
      </c>
      <c r="CS312" t="n">
        <v>0</v>
      </c>
      <c r="CT312" t="n">
        <v>0</v>
      </c>
      <c r="CU312" t="n">
        <v>0</v>
      </c>
      <c r="CV312" t="n">
        <v>0</v>
      </c>
      <c r="CW312" t="n">
        <v>0</v>
      </c>
      <c r="CX312" t="n">
        <v>60</v>
      </c>
      <c r="CY312" t="n">
        <v>60.7</v>
      </c>
      <c r="CZ312" t="n">
        <v>78.3</v>
      </c>
      <c r="DA312" t="n">
        <v>75.90000000000001</v>
      </c>
      <c r="DB312" t="n">
        <v>57.2</v>
      </c>
      <c r="DC312" t="n">
        <v>59.1</v>
      </c>
      <c r="DD312" t="n">
        <v>70.8</v>
      </c>
      <c r="DE312" t="n">
        <v>70.40000000000001</v>
      </c>
      <c r="DF312" t="n">
        <v>60</v>
      </c>
      <c r="DG312" t="n">
        <v>60.7</v>
      </c>
      <c r="DH312" t="n">
        <v>78.3</v>
      </c>
      <c r="DI312" t="n">
        <v>75.90000000000001</v>
      </c>
      <c r="DJ312" t="n">
        <v>57.2</v>
      </c>
      <c r="DK312" t="n">
        <v>59.1</v>
      </c>
      <c r="DL312" t="n">
        <v>70.8</v>
      </c>
      <c r="DM312" t="n">
        <v>70.40000000000001</v>
      </c>
      <c r="DN312" t="n">
        <v>0</v>
      </c>
      <c r="DO312" t="n">
        <v>0</v>
      </c>
      <c r="DP312" t="n">
        <v>0</v>
      </c>
      <c r="DQ312" t="n">
        <v>0</v>
      </c>
      <c r="DR312" t="n">
        <v>0</v>
      </c>
      <c r="DS312" t="n">
        <v>0</v>
      </c>
      <c r="DT312" t="n">
        <v>0</v>
      </c>
      <c r="DU312" t="n">
        <v>0</v>
      </c>
      <c r="DV312" t="inlineStr">
        <is>
          <t>Megawatt Hours (MWh)</t>
        </is>
      </c>
    </row>
    <row r="313">
      <c r="A313" t="inlineStr">
        <is>
          <t>MISO.INDIANA.HUB_month_off_dap - NODAL EXCHANGE</t>
        </is>
      </c>
      <c r="B313" t="n">
        <v>230103</v>
      </c>
      <c r="C313" s="1" t="n">
        <v>44929</v>
      </c>
      <c r="D313" t="inlineStr">
        <is>
          <t>064BFJ</t>
        </is>
      </c>
      <c r="E313" t="inlineStr">
        <is>
          <t>NODX</t>
        </is>
      </c>
      <c r="F313" t="inlineStr">
        <is>
          <t>01</t>
        </is>
      </c>
      <c r="G313" t="inlineStr">
        <is>
          <t xml:space="preserve">064 </t>
        </is>
      </c>
      <c r="H313" t="n">
        <v>23888</v>
      </c>
      <c r="I313" s="17" t="n">
        <v>2950</v>
      </c>
      <c r="J313" s="17" t="n">
        <v>0</v>
      </c>
      <c r="K313" t="n">
        <v>90</v>
      </c>
      <c r="L313" t="n">
        <v>16735</v>
      </c>
      <c r="M313" t="n">
        <v>19510</v>
      </c>
      <c r="N313" t="n">
        <v>19775</v>
      </c>
      <c r="O313" t="n">
        <v>19600</v>
      </c>
      <c r="P313" t="n">
        <v>4113</v>
      </c>
      <c r="Q313" t="n">
        <v>4288</v>
      </c>
      <c r="R313" t="n">
        <v>23888</v>
      </c>
      <c r="S313" t="n">
        <v>2950</v>
      </c>
      <c r="T313" t="n">
        <v>0</v>
      </c>
      <c r="U313" t="n">
        <v>90</v>
      </c>
      <c r="V313" t="n">
        <v>16735</v>
      </c>
      <c r="W313" t="n">
        <v>19510</v>
      </c>
      <c r="X313" t="n">
        <v>19775</v>
      </c>
      <c r="Y313" t="n">
        <v>19600</v>
      </c>
      <c r="Z313" t="n">
        <v>4113</v>
      </c>
      <c r="AA313" t="n">
        <v>4288</v>
      </c>
      <c r="AB313" t="n">
        <v>0</v>
      </c>
      <c r="AC313" t="n">
        <v>0</v>
      </c>
      <c r="AD313" t="n">
        <v>0</v>
      </c>
      <c r="AE313" t="n">
        <v>0</v>
      </c>
      <c r="AF313" t="n">
        <v>0</v>
      </c>
      <c r="AG313" t="n">
        <v>0</v>
      </c>
      <c r="AH313" t="n">
        <v>0</v>
      </c>
      <c r="AI313" t="n">
        <v>0</v>
      </c>
      <c r="AJ313" t="n">
        <v>0</v>
      </c>
      <c r="AK313" t="n">
        <v>0</v>
      </c>
      <c r="AL313" t="n">
        <v>570</v>
      </c>
      <c r="AM313" t="n">
        <v>0</v>
      </c>
      <c r="AN313" t="n">
        <v>0</v>
      </c>
      <c r="AO313" t="n">
        <v>0</v>
      </c>
      <c r="AP313" t="n">
        <v>570</v>
      </c>
      <c r="AQ313" t="n">
        <v>570</v>
      </c>
      <c r="AR313" t="n">
        <v>570</v>
      </c>
      <c r="AS313" t="n">
        <v>570</v>
      </c>
      <c r="AT313" t="n">
        <v>0</v>
      </c>
      <c r="AU313" t="n">
        <v>0</v>
      </c>
      <c r="AV313" t="n">
        <v>100</v>
      </c>
      <c r="AW313" t="n">
        <v>12.3</v>
      </c>
      <c r="AX313" t="n">
        <v>0</v>
      </c>
      <c r="AY313" t="n">
        <v>0.4</v>
      </c>
      <c r="AZ313" t="n">
        <v>70.09999999999999</v>
      </c>
      <c r="BA313" t="n">
        <v>81.7</v>
      </c>
      <c r="BB313" t="n">
        <v>82.8</v>
      </c>
      <c r="BC313" t="n">
        <v>82</v>
      </c>
      <c r="BD313" t="n">
        <v>17.2</v>
      </c>
      <c r="BE313" t="n">
        <v>18</v>
      </c>
      <c r="BF313" t="n">
        <v>100</v>
      </c>
      <c r="BG313" t="n">
        <v>12.3</v>
      </c>
      <c r="BH313" t="n">
        <v>0</v>
      </c>
      <c r="BI313" t="n">
        <v>0.4</v>
      </c>
      <c r="BJ313" t="n">
        <v>70.09999999999999</v>
      </c>
      <c r="BK313" t="n">
        <v>81.7</v>
      </c>
      <c r="BL313" t="n">
        <v>82.8</v>
      </c>
      <c r="BM313" t="n">
        <v>82</v>
      </c>
      <c r="BN313" t="n">
        <v>17.2</v>
      </c>
      <c r="BO313" t="n">
        <v>18</v>
      </c>
      <c r="BP313" t="n">
        <v>0</v>
      </c>
      <c r="BQ313" t="n">
        <v>0</v>
      </c>
      <c r="BR313" t="n">
        <v>0</v>
      </c>
      <c r="BS313" t="n">
        <v>0</v>
      </c>
      <c r="BT313" t="n">
        <v>0</v>
      </c>
      <c r="BU313" t="n">
        <v>0</v>
      </c>
      <c r="BV313" t="n">
        <v>0</v>
      </c>
      <c r="BW313" t="n">
        <v>0</v>
      </c>
      <c r="BX313" t="n">
        <v>0</v>
      </c>
      <c r="BY313" t="n">
        <v>0</v>
      </c>
      <c r="BZ313" t="n">
        <v>20</v>
      </c>
      <c r="CA313" t="n">
        <v>2</v>
      </c>
      <c r="CB313" t="n">
        <v>0</v>
      </c>
      <c r="CC313" t="n">
        <v>1</v>
      </c>
      <c r="CD313" t="n">
        <v>14</v>
      </c>
      <c r="CE313" t="n">
        <v>15</v>
      </c>
      <c r="CF313" t="n">
        <v>16</v>
      </c>
      <c r="CG313" t="n">
        <v>16</v>
      </c>
      <c r="CH313" t="n">
        <v>20</v>
      </c>
      <c r="CI313" t="n">
        <v>2</v>
      </c>
      <c r="CJ313" t="n">
        <v>0</v>
      </c>
      <c r="CK313" t="n">
        <v>1</v>
      </c>
      <c r="CL313" t="n">
        <v>14</v>
      </c>
      <c r="CM313" t="n">
        <v>15</v>
      </c>
      <c r="CN313" t="n">
        <v>16</v>
      </c>
      <c r="CO313" t="n">
        <v>16</v>
      </c>
      <c r="CP313" t="n">
        <v>0</v>
      </c>
      <c r="CQ313" t="n">
        <v>0</v>
      </c>
      <c r="CR313" t="n">
        <v>0</v>
      </c>
      <c r="CS313" t="n">
        <v>0</v>
      </c>
      <c r="CT313" t="n">
        <v>0</v>
      </c>
      <c r="CU313" t="n">
        <v>0</v>
      </c>
      <c r="CV313" t="n">
        <v>0</v>
      </c>
      <c r="CW313" t="n">
        <v>0</v>
      </c>
      <c r="CX313" t="n">
        <v>60.3</v>
      </c>
      <c r="CY313" t="n">
        <v>62.9</v>
      </c>
      <c r="CZ313" t="n">
        <v>79</v>
      </c>
      <c r="DA313" t="n">
        <v>76.59999999999999</v>
      </c>
      <c r="DB313" t="n">
        <v>58.6</v>
      </c>
      <c r="DC313" t="n">
        <v>61.8</v>
      </c>
      <c r="DD313" t="n">
        <v>73.90000000000001</v>
      </c>
      <c r="DE313" t="n">
        <v>72.40000000000001</v>
      </c>
      <c r="DF313" t="n">
        <v>60.3</v>
      </c>
      <c r="DG313" t="n">
        <v>62.9</v>
      </c>
      <c r="DH313" t="n">
        <v>79</v>
      </c>
      <c r="DI313" t="n">
        <v>76.59999999999999</v>
      </c>
      <c r="DJ313" t="n">
        <v>58.6</v>
      </c>
      <c r="DK313" t="n">
        <v>61.8</v>
      </c>
      <c r="DL313" t="n">
        <v>73.90000000000001</v>
      </c>
      <c r="DM313" t="n">
        <v>72.40000000000001</v>
      </c>
      <c r="DN313" t="n">
        <v>0</v>
      </c>
      <c r="DO313" t="n">
        <v>0</v>
      </c>
      <c r="DP313" t="n">
        <v>0</v>
      </c>
      <c r="DQ313" t="n">
        <v>0</v>
      </c>
      <c r="DR313" t="n">
        <v>0</v>
      </c>
      <c r="DS313" t="n">
        <v>0</v>
      </c>
      <c r="DT313" t="n">
        <v>0</v>
      </c>
      <c r="DU313" t="n">
        <v>0</v>
      </c>
      <c r="DV313" t="inlineStr">
        <is>
          <t>Megawatt Hours (MWh)</t>
        </is>
      </c>
    </row>
    <row r="314">
      <c r="A314" t="inlineStr">
        <is>
          <t>NYISO.HUD VL_month_on_dap - NODAL EXCHANGE</t>
        </is>
      </c>
      <c r="B314" t="n">
        <v>230110</v>
      </c>
      <c r="C314" s="1" t="n">
        <v>44936</v>
      </c>
      <c r="D314" t="inlineStr">
        <is>
          <t>064CXO</t>
        </is>
      </c>
      <c r="E314" t="inlineStr">
        <is>
          <t>NODX</t>
        </is>
      </c>
      <c r="F314" t="inlineStr">
        <is>
          <t>01</t>
        </is>
      </c>
      <c r="G314" t="inlineStr">
        <is>
          <t xml:space="preserve">064 </t>
        </is>
      </c>
      <c r="H314" t="n">
        <v>25098</v>
      </c>
      <c r="I314" s="17" t="n">
        <v>1226</v>
      </c>
      <c r="J314" s="17" t="n">
        <v>4750</v>
      </c>
      <c r="K314" t="n">
        <v>196</v>
      </c>
      <c r="L314" t="n">
        <v>22773</v>
      </c>
      <c r="M314" t="n">
        <v>18715</v>
      </c>
      <c r="N314" t="n">
        <v>24195</v>
      </c>
      <c r="O314" t="n">
        <v>23661</v>
      </c>
      <c r="P314" t="n">
        <v>903</v>
      </c>
      <c r="Q314" t="n">
        <v>1437</v>
      </c>
      <c r="R314" t="n">
        <v>25098</v>
      </c>
      <c r="S314" t="n">
        <v>1226</v>
      </c>
      <c r="T314" t="n">
        <v>4750</v>
      </c>
      <c r="U314" t="n">
        <v>196</v>
      </c>
      <c r="V314" t="n">
        <v>22773</v>
      </c>
      <c r="W314" t="n">
        <v>18715</v>
      </c>
      <c r="X314" t="n">
        <v>24195</v>
      </c>
      <c r="Y314" t="n">
        <v>23661</v>
      </c>
      <c r="Z314" t="n">
        <v>903</v>
      </c>
      <c r="AA314" t="n">
        <v>1437</v>
      </c>
      <c r="AB314" t="n">
        <v>0</v>
      </c>
      <c r="AC314" t="n">
        <v>0</v>
      </c>
      <c r="AD314" t="n">
        <v>0</v>
      </c>
      <c r="AE314" t="n">
        <v>0</v>
      </c>
      <c r="AF314" t="n">
        <v>0</v>
      </c>
      <c r="AG314" t="n">
        <v>0</v>
      </c>
      <c r="AH314" t="n">
        <v>0</v>
      </c>
      <c r="AI314" t="n">
        <v>0</v>
      </c>
      <c r="AJ314" t="n">
        <v>0</v>
      </c>
      <c r="AK314" t="n">
        <v>0</v>
      </c>
      <c r="AL314" t="n">
        <v>255</v>
      </c>
      <c r="AM314" t="n">
        <v>105</v>
      </c>
      <c r="AN314" t="n">
        <v>580</v>
      </c>
      <c r="AO314" t="n">
        <v>-25</v>
      </c>
      <c r="AP314" t="n">
        <v>207</v>
      </c>
      <c r="AQ314" t="n">
        <v>-348</v>
      </c>
      <c r="AR314" t="n">
        <v>287</v>
      </c>
      <c r="AS314" t="n">
        <v>207</v>
      </c>
      <c r="AT314" t="n">
        <v>-32</v>
      </c>
      <c r="AU314" t="n">
        <v>48</v>
      </c>
      <c r="AV314" t="n">
        <v>100</v>
      </c>
      <c r="AW314" t="n">
        <v>4.9</v>
      </c>
      <c r="AX314" t="n">
        <v>18.9</v>
      </c>
      <c r="AY314" t="n">
        <v>0.8</v>
      </c>
      <c r="AZ314" t="n">
        <v>90.7</v>
      </c>
      <c r="BA314" t="n">
        <v>74.59999999999999</v>
      </c>
      <c r="BB314" t="n">
        <v>96.40000000000001</v>
      </c>
      <c r="BC314" t="n">
        <v>94.3</v>
      </c>
      <c r="BD314" t="n">
        <v>3.6</v>
      </c>
      <c r="BE314" t="n">
        <v>5.7</v>
      </c>
      <c r="BF314" t="n">
        <v>100</v>
      </c>
      <c r="BG314" t="n">
        <v>4.9</v>
      </c>
      <c r="BH314" t="n">
        <v>18.9</v>
      </c>
      <c r="BI314" t="n">
        <v>0.8</v>
      </c>
      <c r="BJ314" t="n">
        <v>90.7</v>
      </c>
      <c r="BK314" t="n">
        <v>74.59999999999999</v>
      </c>
      <c r="BL314" t="n">
        <v>96.40000000000001</v>
      </c>
      <c r="BM314" t="n">
        <v>94.3</v>
      </c>
      <c r="BN314" t="n">
        <v>3.6</v>
      </c>
      <c r="BO314" t="n">
        <v>5.7</v>
      </c>
      <c r="BP314" t="n">
        <v>0</v>
      </c>
      <c r="BQ314" t="n">
        <v>0</v>
      </c>
      <c r="BR314" t="n">
        <v>0</v>
      </c>
      <c r="BS314" t="n">
        <v>0</v>
      </c>
      <c r="BT314" t="n">
        <v>0</v>
      </c>
      <c r="BU314" t="n">
        <v>0</v>
      </c>
      <c r="BV314" t="n">
        <v>0</v>
      </c>
      <c r="BW314" t="n">
        <v>0</v>
      </c>
      <c r="BX314" t="n">
        <v>0</v>
      </c>
      <c r="BY314" t="n">
        <v>0</v>
      </c>
      <c r="BZ314" t="n">
        <v>25</v>
      </c>
      <c r="CA314" t="n">
        <v>2</v>
      </c>
      <c r="CB314" t="n">
        <v>2</v>
      </c>
      <c r="CC314" t="n">
        <v>1</v>
      </c>
      <c r="CD314" t="n">
        <v>18</v>
      </c>
      <c r="CE314" t="n">
        <v>19</v>
      </c>
      <c r="CF314" t="n">
        <v>20</v>
      </c>
      <c r="CG314" t="n">
        <v>22</v>
      </c>
      <c r="CH314" t="n">
        <v>25</v>
      </c>
      <c r="CI314" t="n">
        <v>2</v>
      </c>
      <c r="CJ314" t="n">
        <v>2</v>
      </c>
      <c r="CK314" t="n">
        <v>1</v>
      </c>
      <c r="CL314" t="n">
        <v>18</v>
      </c>
      <c r="CM314" t="n">
        <v>19</v>
      </c>
      <c r="CN314" t="n">
        <v>20</v>
      </c>
      <c r="CO314" t="n">
        <v>22</v>
      </c>
      <c r="CP314" t="n">
        <v>0</v>
      </c>
      <c r="CQ314" t="n">
        <v>0</v>
      </c>
      <c r="CR314" t="n">
        <v>0</v>
      </c>
      <c r="CS314" t="n">
        <v>0</v>
      </c>
      <c r="CT314" t="n">
        <v>0</v>
      </c>
      <c r="CU314" t="n">
        <v>0</v>
      </c>
      <c r="CV314" t="n">
        <v>0</v>
      </c>
      <c r="CW314" t="n">
        <v>0</v>
      </c>
      <c r="CX314" t="n">
        <v>73.59999999999999</v>
      </c>
      <c r="CY314" t="n">
        <v>48.7</v>
      </c>
      <c r="CZ314" t="n">
        <v>84.40000000000001</v>
      </c>
      <c r="DA314" t="n">
        <v>69.90000000000001</v>
      </c>
      <c r="DB314" t="n">
        <v>69</v>
      </c>
      <c r="DC314" t="n">
        <v>44.9</v>
      </c>
      <c r="DD314" t="n">
        <v>76.40000000000001</v>
      </c>
      <c r="DE314" t="n">
        <v>63.5</v>
      </c>
      <c r="DF314" t="n">
        <v>73.59999999999999</v>
      </c>
      <c r="DG314" t="n">
        <v>48.7</v>
      </c>
      <c r="DH314" t="n">
        <v>84.40000000000001</v>
      </c>
      <c r="DI314" t="n">
        <v>69.90000000000001</v>
      </c>
      <c r="DJ314" t="n">
        <v>69</v>
      </c>
      <c r="DK314" t="n">
        <v>44.9</v>
      </c>
      <c r="DL314" t="n">
        <v>76.40000000000001</v>
      </c>
      <c r="DM314" t="n">
        <v>63.5</v>
      </c>
      <c r="DN314" t="n">
        <v>0</v>
      </c>
      <c r="DO314" t="n">
        <v>0</v>
      </c>
      <c r="DP314" t="n">
        <v>0</v>
      </c>
      <c r="DQ314" t="n">
        <v>0</v>
      </c>
      <c r="DR314" t="n">
        <v>0</v>
      </c>
      <c r="DS314" t="n">
        <v>0</v>
      </c>
      <c r="DT314" t="n">
        <v>0</v>
      </c>
      <c r="DU314" t="n">
        <v>0</v>
      </c>
      <c r="DV314" t="inlineStr">
        <is>
          <t>Megawatt Hours (MWh)</t>
        </is>
      </c>
    </row>
    <row r="315">
      <c r="A315" t="inlineStr">
        <is>
          <t>NYISO.HUD VL_month_on_dap - NODAL EXCHANGE</t>
        </is>
      </c>
      <c r="B315" t="n">
        <v>230103</v>
      </c>
      <c r="C315" s="1" t="n">
        <v>44929</v>
      </c>
      <c r="D315" t="inlineStr">
        <is>
          <t>064CXO</t>
        </is>
      </c>
      <c r="E315" t="inlineStr">
        <is>
          <t>NODX</t>
        </is>
      </c>
      <c r="F315" t="inlineStr">
        <is>
          <t>01</t>
        </is>
      </c>
      <c r="G315" t="inlineStr">
        <is>
          <t xml:space="preserve">064 </t>
        </is>
      </c>
      <c r="H315" t="n">
        <v>24843</v>
      </c>
      <c r="I315" s="17" t="n">
        <v>1121</v>
      </c>
      <c r="J315" s="17" t="n">
        <v>4170</v>
      </c>
      <c r="K315" t="n">
        <v>221</v>
      </c>
      <c r="L315" t="n">
        <v>22566</v>
      </c>
      <c r="M315" t="n">
        <v>19063</v>
      </c>
      <c r="N315" t="n">
        <v>23908</v>
      </c>
      <c r="O315" t="n">
        <v>23454</v>
      </c>
      <c r="P315" t="n">
        <v>935</v>
      </c>
      <c r="Q315" t="n">
        <v>1389</v>
      </c>
      <c r="R315" t="n">
        <v>24843</v>
      </c>
      <c r="S315" t="n">
        <v>1121</v>
      </c>
      <c r="T315" t="n">
        <v>4170</v>
      </c>
      <c r="U315" t="n">
        <v>221</v>
      </c>
      <c r="V315" t="n">
        <v>22566</v>
      </c>
      <c r="W315" t="n">
        <v>19063</v>
      </c>
      <c r="X315" t="n">
        <v>23908</v>
      </c>
      <c r="Y315" t="n">
        <v>23454</v>
      </c>
      <c r="Z315" t="n">
        <v>935</v>
      </c>
      <c r="AA315" t="n">
        <v>1389</v>
      </c>
      <c r="AB315" t="n">
        <v>0</v>
      </c>
      <c r="AC315" t="n">
        <v>0</v>
      </c>
      <c r="AD315" t="n">
        <v>0</v>
      </c>
      <c r="AE315" t="n">
        <v>0</v>
      </c>
      <c r="AF315" t="n">
        <v>0</v>
      </c>
      <c r="AG315" t="n">
        <v>0</v>
      </c>
      <c r="AH315" t="n">
        <v>0</v>
      </c>
      <c r="AI315" t="n">
        <v>0</v>
      </c>
      <c r="AJ315" t="n">
        <v>0</v>
      </c>
      <c r="AK315" t="n">
        <v>0</v>
      </c>
      <c r="AL315" t="n">
        <v>975</v>
      </c>
      <c r="AM315" t="n">
        <v>0</v>
      </c>
      <c r="AN315" t="n">
        <v>660</v>
      </c>
      <c r="AO315" t="n">
        <v>0</v>
      </c>
      <c r="AP315" t="n">
        <v>970</v>
      </c>
      <c r="AQ315" t="n">
        <v>310</v>
      </c>
      <c r="AR315" t="n">
        <v>970</v>
      </c>
      <c r="AS315" t="n">
        <v>970</v>
      </c>
      <c r="AT315" t="n">
        <v>5</v>
      </c>
      <c r="AU315" t="n">
        <v>5</v>
      </c>
      <c r="AV315" t="n">
        <v>100</v>
      </c>
      <c r="AW315" t="n">
        <v>4.5</v>
      </c>
      <c r="AX315" t="n">
        <v>16.8</v>
      </c>
      <c r="AY315" t="n">
        <v>0.9</v>
      </c>
      <c r="AZ315" t="n">
        <v>90.8</v>
      </c>
      <c r="BA315" t="n">
        <v>76.7</v>
      </c>
      <c r="BB315" t="n">
        <v>96.2</v>
      </c>
      <c r="BC315" t="n">
        <v>94.40000000000001</v>
      </c>
      <c r="BD315" t="n">
        <v>3.8</v>
      </c>
      <c r="BE315" t="n">
        <v>5.6</v>
      </c>
      <c r="BF315" t="n">
        <v>100</v>
      </c>
      <c r="BG315" t="n">
        <v>4.5</v>
      </c>
      <c r="BH315" t="n">
        <v>16.8</v>
      </c>
      <c r="BI315" t="n">
        <v>0.9</v>
      </c>
      <c r="BJ315" t="n">
        <v>90.8</v>
      </c>
      <c r="BK315" t="n">
        <v>76.7</v>
      </c>
      <c r="BL315" t="n">
        <v>96.2</v>
      </c>
      <c r="BM315" t="n">
        <v>94.40000000000001</v>
      </c>
      <c r="BN315" t="n">
        <v>3.8</v>
      </c>
      <c r="BO315" t="n">
        <v>5.6</v>
      </c>
      <c r="BP315" t="n">
        <v>0</v>
      </c>
      <c r="BQ315" t="n">
        <v>0</v>
      </c>
      <c r="BR315" t="n">
        <v>0</v>
      </c>
      <c r="BS315" t="n">
        <v>0</v>
      </c>
      <c r="BT315" t="n">
        <v>0</v>
      </c>
      <c r="BU315" t="n">
        <v>0</v>
      </c>
      <c r="BV315" t="n">
        <v>0</v>
      </c>
      <c r="BW315" t="n">
        <v>0</v>
      </c>
      <c r="BX315" t="n">
        <v>0</v>
      </c>
      <c r="BY315" t="n">
        <v>0</v>
      </c>
      <c r="BZ315" t="n">
        <v>25</v>
      </c>
      <c r="CA315" t="n">
        <v>2</v>
      </c>
      <c r="CB315" t="n">
        <v>2</v>
      </c>
      <c r="CC315" t="n">
        <v>2</v>
      </c>
      <c r="CD315" t="n">
        <v>18</v>
      </c>
      <c r="CE315" t="n">
        <v>20</v>
      </c>
      <c r="CF315" t="n">
        <v>21</v>
      </c>
      <c r="CG315" t="n">
        <v>23</v>
      </c>
      <c r="CH315" t="n">
        <v>25</v>
      </c>
      <c r="CI315" t="n">
        <v>2</v>
      </c>
      <c r="CJ315" t="n">
        <v>2</v>
      </c>
      <c r="CK315" t="n">
        <v>2</v>
      </c>
      <c r="CL315" t="n">
        <v>18</v>
      </c>
      <c r="CM315" t="n">
        <v>20</v>
      </c>
      <c r="CN315" t="n">
        <v>21</v>
      </c>
      <c r="CO315" t="n">
        <v>23</v>
      </c>
      <c r="CP315" t="n">
        <v>0</v>
      </c>
      <c r="CQ315" t="n">
        <v>0</v>
      </c>
      <c r="CR315" t="n">
        <v>0</v>
      </c>
      <c r="CS315" t="n">
        <v>0</v>
      </c>
      <c r="CT315" t="n">
        <v>0</v>
      </c>
      <c r="CU315" t="n">
        <v>0</v>
      </c>
      <c r="CV315" t="n">
        <v>0</v>
      </c>
      <c r="CW315" t="n">
        <v>0</v>
      </c>
      <c r="CX315" t="n">
        <v>68.3</v>
      </c>
      <c r="CY315" t="n">
        <v>46.5</v>
      </c>
      <c r="CZ315" t="n">
        <v>80.7</v>
      </c>
      <c r="DA315" t="n">
        <v>69.59999999999999</v>
      </c>
      <c r="DB315" t="n">
        <v>62.1</v>
      </c>
      <c r="DC315" t="n">
        <v>41</v>
      </c>
      <c r="DD315" t="n">
        <v>70.2</v>
      </c>
      <c r="DE315" t="n">
        <v>58.2</v>
      </c>
      <c r="DF315" t="n">
        <v>68.3</v>
      </c>
      <c r="DG315" t="n">
        <v>46.5</v>
      </c>
      <c r="DH315" t="n">
        <v>80.7</v>
      </c>
      <c r="DI315" t="n">
        <v>69.59999999999999</v>
      </c>
      <c r="DJ315" t="n">
        <v>62.1</v>
      </c>
      <c r="DK315" t="n">
        <v>41</v>
      </c>
      <c r="DL315" t="n">
        <v>70.2</v>
      </c>
      <c r="DM315" t="n">
        <v>58.2</v>
      </c>
      <c r="DN315" t="n">
        <v>0</v>
      </c>
      <c r="DO315" t="n">
        <v>0</v>
      </c>
      <c r="DP315" t="n">
        <v>0</v>
      </c>
      <c r="DQ315" t="n">
        <v>0</v>
      </c>
      <c r="DR315" t="n">
        <v>0</v>
      </c>
      <c r="DS315" t="n">
        <v>0</v>
      </c>
      <c r="DT315" t="n">
        <v>0</v>
      </c>
      <c r="DU315" t="n">
        <v>0</v>
      </c>
      <c r="DV315" t="inlineStr">
        <is>
          <t>Megawatt Hours (MWh)</t>
        </is>
      </c>
    </row>
    <row r="316">
      <c r="A316" t="inlineStr">
        <is>
          <t>NYISO.HUD VL_month_off_dap - NODAL EXCHANGE</t>
        </is>
      </c>
      <c r="B316" t="n">
        <v>230110</v>
      </c>
      <c r="C316" s="1" t="n">
        <v>44936</v>
      </c>
      <c r="D316" t="inlineStr">
        <is>
          <t>064CXP</t>
        </is>
      </c>
      <c r="E316" t="inlineStr">
        <is>
          <t>NODX</t>
        </is>
      </c>
      <c r="F316" t="inlineStr">
        <is>
          <t>01</t>
        </is>
      </c>
      <c r="G316" t="inlineStr">
        <is>
          <t xml:space="preserve">064 </t>
        </is>
      </c>
      <c r="H316" t="n">
        <v>16836</v>
      </c>
      <c r="I316" s="17" t="n">
        <v>0</v>
      </c>
      <c r="J316" s="17" t="n">
        <v>5245</v>
      </c>
      <c r="K316" t="n">
        <v>90</v>
      </c>
      <c r="L316" t="n">
        <v>15693</v>
      </c>
      <c r="M316" t="n">
        <v>9951</v>
      </c>
      <c r="N316" t="n">
        <v>15783</v>
      </c>
      <c r="O316" t="n">
        <v>15286</v>
      </c>
      <c r="P316" t="n">
        <v>1053</v>
      </c>
      <c r="Q316" t="n">
        <v>1550</v>
      </c>
      <c r="R316" t="n">
        <v>16836</v>
      </c>
      <c r="S316" t="n">
        <v>0</v>
      </c>
      <c r="T316" t="n">
        <v>5245</v>
      </c>
      <c r="U316" t="n">
        <v>90</v>
      </c>
      <c r="V316" t="n">
        <v>15693</v>
      </c>
      <c r="W316" t="n">
        <v>9951</v>
      </c>
      <c r="X316" t="n">
        <v>15783</v>
      </c>
      <c r="Y316" t="n">
        <v>15286</v>
      </c>
      <c r="Z316" t="n">
        <v>1053</v>
      </c>
      <c r="AA316" t="n">
        <v>1550</v>
      </c>
      <c r="AB316" t="n">
        <v>0</v>
      </c>
      <c r="AC316" t="n">
        <v>0</v>
      </c>
      <c r="AD316" t="n">
        <v>0</v>
      </c>
      <c r="AE316" t="n">
        <v>0</v>
      </c>
      <c r="AF316" t="n">
        <v>0</v>
      </c>
      <c r="AG316" t="n">
        <v>0</v>
      </c>
      <c r="AH316" t="n">
        <v>0</v>
      </c>
      <c r="AI316" t="n">
        <v>0</v>
      </c>
      <c r="AJ316" t="n">
        <v>0</v>
      </c>
      <c r="AK316" t="n">
        <v>0</v>
      </c>
      <c r="AL316" t="n">
        <v>-176</v>
      </c>
      <c r="AM316" t="n">
        <v>-28</v>
      </c>
      <c r="AN316" t="n">
        <v>605</v>
      </c>
      <c r="AO316" t="n">
        <v>-25</v>
      </c>
      <c r="AP316" t="n">
        <v>122</v>
      </c>
      <c r="AQ316" t="n">
        <v>-743</v>
      </c>
      <c r="AR316" t="n">
        <v>69</v>
      </c>
      <c r="AS316" t="n">
        <v>-163</v>
      </c>
      <c r="AT316" t="n">
        <v>-245</v>
      </c>
      <c r="AU316" t="n">
        <v>-13</v>
      </c>
      <c r="AV316" t="n">
        <v>100</v>
      </c>
      <c r="AW316" t="n">
        <v>0</v>
      </c>
      <c r="AX316" t="n">
        <v>31.2</v>
      </c>
      <c r="AY316" t="n">
        <v>0.5</v>
      </c>
      <c r="AZ316" t="n">
        <v>93.2</v>
      </c>
      <c r="BA316" t="n">
        <v>59.1</v>
      </c>
      <c r="BB316" t="n">
        <v>93.7</v>
      </c>
      <c r="BC316" t="n">
        <v>90.8</v>
      </c>
      <c r="BD316" t="n">
        <v>6.3</v>
      </c>
      <c r="BE316" t="n">
        <v>9.199999999999999</v>
      </c>
      <c r="BF316" t="n">
        <v>100</v>
      </c>
      <c r="BG316" t="n">
        <v>0</v>
      </c>
      <c r="BH316" t="n">
        <v>31.2</v>
      </c>
      <c r="BI316" t="n">
        <v>0.5</v>
      </c>
      <c r="BJ316" t="n">
        <v>93.2</v>
      </c>
      <c r="BK316" t="n">
        <v>59.1</v>
      </c>
      <c r="BL316" t="n">
        <v>93.7</v>
      </c>
      <c r="BM316" t="n">
        <v>90.8</v>
      </c>
      <c r="BN316" t="n">
        <v>6.3</v>
      </c>
      <c r="BO316" t="n">
        <v>9.199999999999999</v>
      </c>
      <c r="BP316" t="n">
        <v>0</v>
      </c>
      <c r="BQ316" t="n">
        <v>0</v>
      </c>
      <c r="BR316" t="n">
        <v>0</v>
      </c>
      <c r="BS316" t="n">
        <v>0</v>
      </c>
      <c r="BT316" t="n">
        <v>0</v>
      </c>
      <c r="BU316" t="n">
        <v>0</v>
      </c>
      <c r="BV316" t="n">
        <v>0</v>
      </c>
      <c r="BW316" t="n">
        <v>0</v>
      </c>
      <c r="BX316" t="n">
        <v>0</v>
      </c>
      <c r="BY316" t="n">
        <v>0</v>
      </c>
      <c r="BZ316" t="n">
        <v>24</v>
      </c>
      <c r="CA316" t="n">
        <v>0</v>
      </c>
      <c r="CB316" t="n">
        <v>4</v>
      </c>
      <c r="CC316" t="n">
        <v>1</v>
      </c>
      <c r="CD316" t="n">
        <v>17</v>
      </c>
      <c r="CE316" t="n">
        <v>13</v>
      </c>
      <c r="CF316" t="n">
        <v>18</v>
      </c>
      <c r="CG316" t="n">
        <v>17</v>
      </c>
      <c r="CH316" t="n">
        <v>24</v>
      </c>
      <c r="CI316" t="n">
        <v>0</v>
      </c>
      <c r="CJ316" t="n">
        <v>4</v>
      </c>
      <c r="CK316" t="n">
        <v>1</v>
      </c>
      <c r="CL316" t="n">
        <v>17</v>
      </c>
      <c r="CM316" t="n">
        <v>13</v>
      </c>
      <c r="CN316" t="n">
        <v>18</v>
      </c>
      <c r="CO316" t="n">
        <v>17</v>
      </c>
      <c r="CP316" t="n">
        <v>0</v>
      </c>
      <c r="CQ316" t="n">
        <v>0</v>
      </c>
      <c r="CR316" t="n">
        <v>0</v>
      </c>
      <c r="CS316" t="n">
        <v>0</v>
      </c>
      <c r="CT316" t="n">
        <v>0</v>
      </c>
      <c r="CU316" t="n">
        <v>0</v>
      </c>
      <c r="CV316" t="n">
        <v>0</v>
      </c>
      <c r="CW316" t="n">
        <v>0</v>
      </c>
      <c r="CX316" t="n">
        <v>65.5</v>
      </c>
      <c r="CY316" t="n">
        <v>50.5</v>
      </c>
      <c r="CZ316" t="n">
        <v>80.7</v>
      </c>
      <c r="DA316" t="n">
        <v>69.5</v>
      </c>
      <c r="DB316" t="n">
        <v>60</v>
      </c>
      <c r="DC316" t="n">
        <v>43.2</v>
      </c>
      <c r="DD316" t="n">
        <v>65.7</v>
      </c>
      <c r="DE316" t="n">
        <v>57.7</v>
      </c>
      <c r="DF316" t="n">
        <v>65.5</v>
      </c>
      <c r="DG316" t="n">
        <v>50.5</v>
      </c>
      <c r="DH316" t="n">
        <v>80.7</v>
      </c>
      <c r="DI316" t="n">
        <v>69.5</v>
      </c>
      <c r="DJ316" t="n">
        <v>60</v>
      </c>
      <c r="DK316" t="n">
        <v>43.2</v>
      </c>
      <c r="DL316" t="n">
        <v>65.7</v>
      </c>
      <c r="DM316" t="n">
        <v>57.7</v>
      </c>
      <c r="DN316" t="n">
        <v>0</v>
      </c>
      <c r="DO316" t="n">
        <v>0</v>
      </c>
      <c r="DP316" t="n">
        <v>0</v>
      </c>
      <c r="DQ316" t="n">
        <v>0</v>
      </c>
      <c r="DR316" t="n">
        <v>0</v>
      </c>
      <c r="DS316" t="n">
        <v>0</v>
      </c>
      <c r="DT316" t="n">
        <v>0</v>
      </c>
      <c r="DU316" t="n">
        <v>0</v>
      </c>
      <c r="DV316" t="inlineStr">
        <is>
          <t>Megawatt Hours (MWh)</t>
        </is>
      </c>
    </row>
    <row r="317">
      <c r="A317" t="inlineStr">
        <is>
          <t>NYISO.HUD VL_month_off_dap - NODAL EXCHANGE</t>
        </is>
      </c>
      <c r="B317" t="n">
        <v>230103</v>
      </c>
      <c r="C317" s="1" t="n">
        <v>44929</v>
      </c>
      <c r="D317" t="inlineStr">
        <is>
          <t>064CXP</t>
        </is>
      </c>
      <c r="E317" t="inlineStr">
        <is>
          <t>NODX</t>
        </is>
      </c>
      <c r="F317" t="inlineStr">
        <is>
          <t>01</t>
        </is>
      </c>
      <c r="G317" t="inlineStr">
        <is>
          <t xml:space="preserve">064 </t>
        </is>
      </c>
      <c r="H317" t="n">
        <v>17012</v>
      </c>
      <c r="I317" s="17" t="n">
        <v>28</v>
      </c>
      <c r="J317" s="17" t="n">
        <v>4640</v>
      </c>
      <c r="K317" t="n">
        <v>115</v>
      </c>
      <c r="L317" t="n">
        <v>15571</v>
      </c>
      <c r="M317" t="n">
        <v>10694</v>
      </c>
      <c r="N317" t="n">
        <v>15714</v>
      </c>
      <c r="O317" t="n">
        <v>15449</v>
      </c>
      <c r="P317" t="n">
        <v>1298</v>
      </c>
      <c r="Q317" t="n">
        <v>1563</v>
      </c>
      <c r="R317" t="n">
        <v>17012</v>
      </c>
      <c r="S317" t="n">
        <v>28</v>
      </c>
      <c r="T317" t="n">
        <v>4640</v>
      </c>
      <c r="U317" t="n">
        <v>115</v>
      </c>
      <c r="V317" t="n">
        <v>15571</v>
      </c>
      <c r="W317" t="n">
        <v>10694</v>
      </c>
      <c r="X317" t="n">
        <v>15714</v>
      </c>
      <c r="Y317" t="n">
        <v>15449</v>
      </c>
      <c r="Z317" t="n">
        <v>1298</v>
      </c>
      <c r="AA317" t="n">
        <v>1563</v>
      </c>
      <c r="AB317" t="n">
        <v>0</v>
      </c>
      <c r="AC317" t="n">
        <v>0</v>
      </c>
      <c r="AD317" t="n">
        <v>0</v>
      </c>
      <c r="AE317" t="n">
        <v>0</v>
      </c>
      <c r="AF317" t="n">
        <v>0</v>
      </c>
      <c r="AG317" t="n">
        <v>0</v>
      </c>
      <c r="AH317" t="n">
        <v>0</v>
      </c>
      <c r="AI317" t="n">
        <v>0</v>
      </c>
      <c r="AJ317" t="n">
        <v>0</v>
      </c>
      <c r="AK317" t="n">
        <v>0</v>
      </c>
      <c r="AL317" t="n">
        <v>980</v>
      </c>
      <c r="AM317" t="n">
        <v>0</v>
      </c>
      <c r="AN317" t="n">
        <v>660</v>
      </c>
      <c r="AO317" t="n">
        <v>0</v>
      </c>
      <c r="AP317" t="n">
        <v>1015</v>
      </c>
      <c r="AQ317" t="n">
        <v>295</v>
      </c>
      <c r="AR317" t="n">
        <v>1015</v>
      </c>
      <c r="AS317" t="n">
        <v>955</v>
      </c>
      <c r="AT317" t="n">
        <v>-35</v>
      </c>
      <c r="AU317" t="n">
        <v>25</v>
      </c>
      <c r="AV317" t="n">
        <v>100</v>
      </c>
      <c r="AW317" t="n">
        <v>0.2</v>
      </c>
      <c r="AX317" t="n">
        <v>27.3</v>
      </c>
      <c r="AY317" t="n">
        <v>0.7</v>
      </c>
      <c r="AZ317" t="n">
        <v>91.5</v>
      </c>
      <c r="BA317" t="n">
        <v>62.9</v>
      </c>
      <c r="BB317" t="n">
        <v>92.40000000000001</v>
      </c>
      <c r="BC317" t="n">
        <v>90.8</v>
      </c>
      <c r="BD317" t="n">
        <v>7.6</v>
      </c>
      <c r="BE317" t="n">
        <v>9.199999999999999</v>
      </c>
      <c r="BF317" t="n">
        <v>100</v>
      </c>
      <c r="BG317" t="n">
        <v>0.2</v>
      </c>
      <c r="BH317" t="n">
        <v>27.3</v>
      </c>
      <c r="BI317" t="n">
        <v>0.7</v>
      </c>
      <c r="BJ317" t="n">
        <v>91.5</v>
      </c>
      <c r="BK317" t="n">
        <v>62.9</v>
      </c>
      <c r="BL317" t="n">
        <v>92.40000000000001</v>
      </c>
      <c r="BM317" t="n">
        <v>90.8</v>
      </c>
      <c r="BN317" t="n">
        <v>7.6</v>
      </c>
      <c r="BO317" t="n">
        <v>9.199999999999999</v>
      </c>
      <c r="BP317" t="n">
        <v>0</v>
      </c>
      <c r="BQ317" t="n">
        <v>0</v>
      </c>
      <c r="BR317" t="n">
        <v>0</v>
      </c>
      <c r="BS317" t="n">
        <v>0</v>
      </c>
      <c r="BT317" t="n">
        <v>0</v>
      </c>
      <c r="BU317" t="n">
        <v>0</v>
      </c>
      <c r="BV317" t="n">
        <v>0</v>
      </c>
      <c r="BW317" t="n">
        <v>0</v>
      </c>
      <c r="BX317" t="n">
        <v>0</v>
      </c>
      <c r="BY317" t="n">
        <v>0</v>
      </c>
      <c r="BZ317" t="n">
        <v>26</v>
      </c>
      <c r="CA317" t="n">
        <v>1</v>
      </c>
      <c r="CB317" t="n">
        <v>3</v>
      </c>
      <c r="CC317" t="n">
        <v>2</v>
      </c>
      <c r="CD317" t="n">
        <v>19</v>
      </c>
      <c r="CE317" t="n">
        <v>16</v>
      </c>
      <c r="CF317" t="n">
        <v>22</v>
      </c>
      <c r="CG317" t="n">
        <v>19</v>
      </c>
      <c r="CH317" t="n">
        <v>26</v>
      </c>
      <c r="CI317" t="n">
        <v>1</v>
      </c>
      <c r="CJ317" t="n">
        <v>3</v>
      </c>
      <c r="CK317" t="n">
        <v>2</v>
      </c>
      <c r="CL317" t="n">
        <v>19</v>
      </c>
      <c r="CM317" t="n">
        <v>16</v>
      </c>
      <c r="CN317" t="n">
        <v>22</v>
      </c>
      <c r="CO317" t="n">
        <v>19</v>
      </c>
      <c r="CP317" t="n">
        <v>0</v>
      </c>
      <c r="CQ317" t="n">
        <v>0</v>
      </c>
      <c r="CR317" t="n">
        <v>0</v>
      </c>
      <c r="CS317" t="n">
        <v>0</v>
      </c>
      <c r="CT317" t="n">
        <v>0</v>
      </c>
      <c r="CU317" t="n">
        <v>0</v>
      </c>
      <c r="CV317" t="n">
        <v>0</v>
      </c>
      <c r="CW317" t="n">
        <v>0</v>
      </c>
      <c r="CX317" t="n">
        <v>55.2</v>
      </c>
      <c r="CY317" t="n">
        <v>51.6</v>
      </c>
      <c r="CZ317" t="n">
        <v>73.2</v>
      </c>
      <c r="DA317" t="n">
        <v>73.59999999999999</v>
      </c>
      <c r="DB317" t="n">
        <v>48.9</v>
      </c>
      <c r="DC317" t="n">
        <v>42</v>
      </c>
      <c r="DD317" t="n">
        <v>56.6</v>
      </c>
      <c r="DE317" t="n">
        <v>53.1</v>
      </c>
      <c r="DF317" t="n">
        <v>55.2</v>
      </c>
      <c r="DG317" t="n">
        <v>51.6</v>
      </c>
      <c r="DH317" t="n">
        <v>73.2</v>
      </c>
      <c r="DI317" t="n">
        <v>73.59999999999999</v>
      </c>
      <c r="DJ317" t="n">
        <v>48.9</v>
      </c>
      <c r="DK317" t="n">
        <v>42</v>
      </c>
      <c r="DL317" t="n">
        <v>56.6</v>
      </c>
      <c r="DM317" t="n">
        <v>53.1</v>
      </c>
      <c r="DN317" t="n">
        <v>0</v>
      </c>
      <c r="DO317" t="n">
        <v>0</v>
      </c>
      <c r="DP317" t="n">
        <v>0</v>
      </c>
      <c r="DQ317" t="n">
        <v>0</v>
      </c>
      <c r="DR317" t="n">
        <v>0</v>
      </c>
      <c r="DS317" t="n">
        <v>0</v>
      </c>
      <c r="DT317" t="n">
        <v>0</v>
      </c>
      <c r="DU317" t="n">
        <v>0</v>
      </c>
      <c r="DV317" t="inlineStr">
        <is>
          <t>Megawatt Hours (MWh)</t>
        </is>
      </c>
    </row>
    <row r="318">
      <c r="A318" t="inlineStr">
        <is>
          <t>NYISO.WEST_month_on_dap - NODAL EXCHANGE</t>
        </is>
      </c>
      <c r="B318" t="n">
        <v>230103</v>
      </c>
      <c r="C318" s="1" t="n">
        <v>44929</v>
      </c>
      <c r="D318" t="inlineStr">
        <is>
          <t>064DEU</t>
        </is>
      </c>
      <c r="E318" t="inlineStr">
        <is>
          <t>NODX</t>
        </is>
      </c>
      <c r="F318" t="inlineStr">
        <is>
          <t>01</t>
        </is>
      </c>
      <c r="G318" t="inlineStr">
        <is>
          <t xml:space="preserve">064 </t>
        </is>
      </c>
      <c r="H318" t="n">
        <v>17346</v>
      </c>
      <c r="I318" s="17" t="n">
        <v>1785</v>
      </c>
      <c r="J318" s="17" t="n">
        <v>685</v>
      </c>
      <c r="K318" t="n">
        <v>575</v>
      </c>
      <c r="L318" t="n">
        <v>14003</v>
      </c>
      <c r="M318" t="n">
        <v>15171</v>
      </c>
      <c r="N318" t="n">
        <v>16363</v>
      </c>
      <c r="O318" t="n">
        <v>16431</v>
      </c>
      <c r="P318" t="n">
        <v>983</v>
      </c>
      <c r="Q318" t="n">
        <v>915</v>
      </c>
      <c r="R318" t="n">
        <v>17346</v>
      </c>
      <c r="S318" t="n">
        <v>1785</v>
      </c>
      <c r="T318" t="n">
        <v>685</v>
      </c>
      <c r="U318" t="n">
        <v>575</v>
      </c>
      <c r="V318" t="n">
        <v>14003</v>
      </c>
      <c r="W318" t="n">
        <v>15171</v>
      </c>
      <c r="X318" t="n">
        <v>16363</v>
      </c>
      <c r="Y318" t="n">
        <v>16431</v>
      </c>
      <c r="Z318" t="n">
        <v>983</v>
      </c>
      <c r="AA318" t="n">
        <v>915</v>
      </c>
      <c r="AB318" t="n">
        <v>0</v>
      </c>
      <c r="AC318" t="n">
        <v>0</v>
      </c>
      <c r="AD318" t="n">
        <v>0</v>
      </c>
      <c r="AE318" t="n">
        <v>0</v>
      </c>
      <c r="AF318" t="n">
        <v>0</v>
      </c>
      <c r="AG318" t="n">
        <v>0</v>
      </c>
      <c r="AH318" t="n">
        <v>0</v>
      </c>
      <c r="AI318" t="n">
        <v>0</v>
      </c>
      <c r="AJ318" t="n">
        <v>0</v>
      </c>
      <c r="AK318" t="n">
        <v>0</v>
      </c>
      <c r="AL318" t="n">
        <v>-350</v>
      </c>
      <c r="AM318" t="n">
        <v>-900</v>
      </c>
      <c r="AN318" t="n">
        <v>0</v>
      </c>
      <c r="AO318" t="n">
        <v>550</v>
      </c>
      <c r="AP318" t="n">
        <v>150</v>
      </c>
      <c r="AQ318" t="n">
        <v>-750</v>
      </c>
      <c r="AR318" t="n">
        <v>-200</v>
      </c>
      <c r="AS318" t="n">
        <v>-200</v>
      </c>
      <c r="AT318" t="n">
        <v>-150</v>
      </c>
      <c r="AU318" t="n">
        <v>-150</v>
      </c>
      <c r="AV318" t="n">
        <v>100</v>
      </c>
      <c r="AW318" t="n">
        <v>10.3</v>
      </c>
      <c r="AX318" t="n">
        <v>3.9</v>
      </c>
      <c r="AY318" t="n">
        <v>3.3</v>
      </c>
      <c r="AZ318" t="n">
        <v>80.7</v>
      </c>
      <c r="BA318" t="n">
        <v>87.5</v>
      </c>
      <c r="BB318" t="n">
        <v>94.3</v>
      </c>
      <c r="BC318" t="n">
        <v>94.7</v>
      </c>
      <c r="BD318" t="n">
        <v>5.7</v>
      </c>
      <c r="BE318" t="n">
        <v>5.3</v>
      </c>
      <c r="BF318" t="n">
        <v>100</v>
      </c>
      <c r="BG318" t="n">
        <v>10.3</v>
      </c>
      <c r="BH318" t="n">
        <v>3.9</v>
      </c>
      <c r="BI318" t="n">
        <v>3.3</v>
      </c>
      <c r="BJ318" t="n">
        <v>80.7</v>
      </c>
      <c r="BK318" t="n">
        <v>87.5</v>
      </c>
      <c r="BL318" t="n">
        <v>94.3</v>
      </c>
      <c r="BM318" t="n">
        <v>94.7</v>
      </c>
      <c r="BN318" t="n">
        <v>5.7</v>
      </c>
      <c r="BO318" t="n">
        <v>5.3</v>
      </c>
      <c r="BP318" t="n">
        <v>0</v>
      </c>
      <c r="BQ318" t="n">
        <v>0</v>
      </c>
      <c r="BR318" t="n">
        <v>0</v>
      </c>
      <c r="BS318" t="n">
        <v>0</v>
      </c>
      <c r="BT318" t="n">
        <v>0</v>
      </c>
      <c r="BU318" t="n">
        <v>0</v>
      </c>
      <c r="BV318" t="n">
        <v>0</v>
      </c>
      <c r="BW318" t="n">
        <v>0</v>
      </c>
      <c r="BX318" t="n">
        <v>0</v>
      </c>
      <c r="BY318" t="n">
        <v>0</v>
      </c>
      <c r="BZ318" t="n">
        <v>20</v>
      </c>
      <c r="CA318" t="n">
        <v>1</v>
      </c>
      <c r="CB318" t="n">
        <v>1</v>
      </c>
      <c r="CC318" t="n">
        <v>1</v>
      </c>
      <c r="CD318" t="n">
        <v>15</v>
      </c>
      <c r="CE318" t="n">
        <v>14</v>
      </c>
      <c r="CF318" t="n">
        <v>16</v>
      </c>
      <c r="CG318" t="n">
        <v>16</v>
      </c>
      <c r="CH318" t="n">
        <v>20</v>
      </c>
      <c r="CI318" t="n">
        <v>1</v>
      </c>
      <c r="CJ318" t="n">
        <v>1</v>
      </c>
      <c r="CK318" t="n">
        <v>1</v>
      </c>
      <c r="CL318" t="n">
        <v>15</v>
      </c>
      <c r="CM318" t="n">
        <v>14</v>
      </c>
      <c r="CN318" t="n">
        <v>16</v>
      </c>
      <c r="CO318" t="n">
        <v>16</v>
      </c>
      <c r="CP318" t="n">
        <v>0</v>
      </c>
      <c r="CQ318" t="n">
        <v>0</v>
      </c>
      <c r="CR318" t="n">
        <v>0</v>
      </c>
      <c r="CS318" t="n">
        <v>0</v>
      </c>
      <c r="CT318" t="n">
        <v>0</v>
      </c>
      <c r="CU318" t="n">
        <v>0</v>
      </c>
      <c r="CV318" t="n">
        <v>0</v>
      </c>
      <c r="CW318" t="n">
        <v>0</v>
      </c>
      <c r="CX318" t="n">
        <v>63.7</v>
      </c>
      <c r="CY318" t="n">
        <v>71.5</v>
      </c>
      <c r="CZ318" t="n">
        <v>81.8</v>
      </c>
      <c r="DA318" t="n">
        <v>86</v>
      </c>
      <c r="DB318" t="n">
        <v>53.2</v>
      </c>
      <c r="DC318" t="n">
        <v>64.90000000000001</v>
      </c>
      <c r="DD318" t="n">
        <v>69.7</v>
      </c>
      <c r="DE318" t="n">
        <v>73.3</v>
      </c>
      <c r="DF318" t="n">
        <v>63.7</v>
      </c>
      <c r="DG318" t="n">
        <v>71.5</v>
      </c>
      <c r="DH318" t="n">
        <v>81.8</v>
      </c>
      <c r="DI318" t="n">
        <v>86</v>
      </c>
      <c r="DJ318" t="n">
        <v>53.2</v>
      </c>
      <c r="DK318" t="n">
        <v>64.90000000000001</v>
      </c>
      <c r="DL318" t="n">
        <v>69.7</v>
      </c>
      <c r="DM318" t="n">
        <v>73.3</v>
      </c>
      <c r="DN318" t="n">
        <v>0</v>
      </c>
      <c r="DO318" t="n">
        <v>0</v>
      </c>
      <c r="DP318" t="n">
        <v>0</v>
      </c>
      <c r="DQ318" t="n">
        <v>0</v>
      </c>
      <c r="DR318" t="n">
        <v>0</v>
      </c>
      <c r="DS318" t="n">
        <v>0</v>
      </c>
      <c r="DT318" t="n">
        <v>0</v>
      </c>
      <c r="DU318" t="n">
        <v>0</v>
      </c>
      <c r="DV318" t="inlineStr">
        <is>
          <t>Megawatt Hours (MWh)</t>
        </is>
      </c>
    </row>
    <row r="319">
      <c r="A319" t="inlineStr">
        <is>
          <t>PJM.AEP-DAYTON HUB_mo_on_dap - NODAL EXCHANGE</t>
        </is>
      </c>
      <c r="B319" t="n">
        <v>230110</v>
      </c>
      <c r="C319" s="1" t="n">
        <v>44936</v>
      </c>
      <c r="D319" t="inlineStr">
        <is>
          <t>064DLW</t>
        </is>
      </c>
      <c r="E319" t="inlineStr">
        <is>
          <t>NODX</t>
        </is>
      </c>
      <c r="F319" t="inlineStr">
        <is>
          <t>01</t>
        </is>
      </c>
      <c r="G319" t="inlineStr">
        <is>
          <t xml:space="preserve">064 </t>
        </is>
      </c>
      <c r="H319" t="n">
        <v>80153</v>
      </c>
      <c r="I319" s="17" t="n">
        <v>3870</v>
      </c>
      <c r="J319" s="17" t="n">
        <v>3660</v>
      </c>
      <c r="K319" t="n">
        <v>900</v>
      </c>
      <c r="L319" t="n">
        <v>62679</v>
      </c>
      <c r="M319" t="n">
        <v>62809</v>
      </c>
      <c r="N319" t="n">
        <v>67449</v>
      </c>
      <c r="O319" t="n">
        <v>67369</v>
      </c>
      <c r="P319" t="n">
        <v>12704</v>
      </c>
      <c r="Q319" t="n">
        <v>12784</v>
      </c>
      <c r="R319" t="n">
        <v>80153</v>
      </c>
      <c r="S319" t="n">
        <v>3870</v>
      </c>
      <c r="T319" t="n">
        <v>3660</v>
      </c>
      <c r="U319" t="n">
        <v>900</v>
      </c>
      <c r="V319" t="n">
        <v>62679</v>
      </c>
      <c r="W319" t="n">
        <v>62809</v>
      </c>
      <c r="X319" t="n">
        <v>67449</v>
      </c>
      <c r="Y319" t="n">
        <v>67369</v>
      </c>
      <c r="Z319" t="n">
        <v>12704</v>
      </c>
      <c r="AA319" t="n">
        <v>12784</v>
      </c>
      <c r="AB319" t="n">
        <v>0</v>
      </c>
      <c r="AC319" t="n">
        <v>0</v>
      </c>
      <c r="AD319" t="n">
        <v>0</v>
      </c>
      <c r="AE319" t="n">
        <v>0</v>
      </c>
      <c r="AF319" t="n">
        <v>0</v>
      </c>
      <c r="AG319" t="n">
        <v>0</v>
      </c>
      <c r="AH319" t="n">
        <v>0</v>
      </c>
      <c r="AI319" t="n">
        <v>0</v>
      </c>
      <c r="AJ319" t="n">
        <v>0</v>
      </c>
      <c r="AK319" t="n">
        <v>0</v>
      </c>
      <c r="AL319" t="n">
        <v>-3765</v>
      </c>
      <c r="AM319" t="n">
        <v>-380</v>
      </c>
      <c r="AN319" t="n">
        <v>555</v>
      </c>
      <c r="AO319" t="n">
        <v>-515</v>
      </c>
      <c r="AP319" t="n">
        <v>-2477</v>
      </c>
      <c r="AQ319" t="n">
        <v>-3424</v>
      </c>
      <c r="AR319" t="n">
        <v>-3372</v>
      </c>
      <c r="AS319" t="n">
        <v>-3384</v>
      </c>
      <c r="AT319" t="n">
        <v>-393</v>
      </c>
      <c r="AU319" t="n">
        <v>-381</v>
      </c>
      <c r="AV319" t="n">
        <v>100</v>
      </c>
      <c r="AW319" t="n">
        <v>4.8</v>
      </c>
      <c r="AX319" t="n">
        <v>4.6</v>
      </c>
      <c r="AY319" t="n">
        <v>1.1</v>
      </c>
      <c r="AZ319" t="n">
        <v>78.2</v>
      </c>
      <c r="BA319" t="n">
        <v>78.40000000000001</v>
      </c>
      <c r="BB319" t="n">
        <v>84.2</v>
      </c>
      <c r="BC319" t="n">
        <v>84.09999999999999</v>
      </c>
      <c r="BD319" t="n">
        <v>15.8</v>
      </c>
      <c r="BE319" t="n">
        <v>15.9</v>
      </c>
      <c r="BF319" t="n">
        <v>100</v>
      </c>
      <c r="BG319" t="n">
        <v>4.8</v>
      </c>
      <c r="BH319" t="n">
        <v>4.6</v>
      </c>
      <c r="BI319" t="n">
        <v>1.1</v>
      </c>
      <c r="BJ319" t="n">
        <v>78.2</v>
      </c>
      <c r="BK319" t="n">
        <v>78.40000000000001</v>
      </c>
      <c r="BL319" t="n">
        <v>84.2</v>
      </c>
      <c r="BM319" t="n">
        <v>84.09999999999999</v>
      </c>
      <c r="BN319" t="n">
        <v>15.8</v>
      </c>
      <c r="BO319" t="n">
        <v>15.9</v>
      </c>
      <c r="BP319" t="n">
        <v>0</v>
      </c>
      <c r="BQ319" t="n">
        <v>0</v>
      </c>
      <c r="BR319" t="n">
        <v>0</v>
      </c>
      <c r="BS319" t="n">
        <v>0</v>
      </c>
      <c r="BT319" t="n">
        <v>0</v>
      </c>
      <c r="BU319" t="n">
        <v>0</v>
      </c>
      <c r="BV319" t="n">
        <v>0</v>
      </c>
      <c r="BW319" t="n">
        <v>0</v>
      </c>
      <c r="BX319" t="n">
        <v>0</v>
      </c>
      <c r="BY319" t="n">
        <v>0</v>
      </c>
      <c r="BZ319" t="n">
        <v>32</v>
      </c>
      <c r="CA319" t="n">
        <v>2</v>
      </c>
      <c r="CB319" t="n">
        <v>4</v>
      </c>
      <c r="CC319" t="n">
        <v>1</v>
      </c>
      <c r="CD319" t="n">
        <v>21</v>
      </c>
      <c r="CE319" t="n">
        <v>26</v>
      </c>
      <c r="CF319" t="n">
        <v>24</v>
      </c>
      <c r="CG319" t="n">
        <v>30</v>
      </c>
      <c r="CH319" t="n">
        <v>32</v>
      </c>
      <c r="CI319" t="n">
        <v>2</v>
      </c>
      <c r="CJ319" t="n">
        <v>4</v>
      </c>
      <c r="CK319" t="n">
        <v>1</v>
      </c>
      <c r="CL319" t="n">
        <v>21</v>
      </c>
      <c r="CM319" t="n">
        <v>26</v>
      </c>
      <c r="CN319" t="n">
        <v>24</v>
      </c>
      <c r="CO319" t="n">
        <v>30</v>
      </c>
      <c r="CP319" t="n">
        <v>0</v>
      </c>
      <c r="CQ319" t="n">
        <v>0</v>
      </c>
      <c r="CR319" t="n">
        <v>0</v>
      </c>
      <c r="CS319" t="n">
        <v>0</v>
      </c>
      <c r="CT319" t="n">
        <v>0</v>
      </c>
      <c r="CU319" t="n">
        <v>0</v>
      </c>
      <c r="CV319" t="n">
        <v>0</v>
      </c>
      <c r="CW319" t="n">
        <v>0</v>
      </c>
      <c r="CX319" t="n">
        <v>49.4</v>
      </c>
      <c r="CY319" t="n">
        <v>39.1</v>
      </c>
      <c r="CZ319" t="n">
        <v>64.40000000000001</v>
      </c>
      <c r="DA319" t="n">
        <v>60.4</v>
      </c>
      <c r="DB319" t="n">
        <v>44.4</v>
      </c>
      <c r="DC319" t="n">
        <v>38.2</v>
      </c>
      <c r="DD319" t="n">
        <v>58.1</v>
      </c>
      <c r="DE319" t="n">
        <v>56</v>
      </c>
      <c r="DF319" t="n">
        <v>49.4</v>
      </c>
      <c r="DG319" t="n">
        <v>39.1</v>
      </c>
      <c r="DH319" t="n">
        <v>64.40000000000001</v>
      </c>
      <c r="DI319" t="n">
        <v>60.4</v>
      </c>
      <c r="DJ319" t="n">
        <v>44.4</v>
      </c>
      <c r="DK319" t="n">
        <v>38.2</v>
      </c>
      <c r="DL319" t="n">
        <v>58.1</v>
      </c>
      <c r="DM319" t="n">
        <v>56</v>
      </c>
      <c r="DN319" t="n">
        <v>0</v>
      </c>
      <c r="DO319" t="n">
        <v>0</v>
      </c>
      <c r="DP319" t="n">
        <v>0</v>
      </c>
      <c r="DQ319" t="n">
        <v>0</v>
      </c>
      <c r="DR319" t="n">
        <v>0</v>
      </c>
      <c r="DS319" t="n">
        <v>0</v>
      </c>
      <c r="DT319" t="n">
        <v>0</v>
      </c>
      <c r="DU319" t="n">
        <v>0</v>
      </c>
      <c r="DV319" t="inlineStr">
        <is>
          <t>Megawatt Hours (MWh)</t>
        </is>
      </c>
    </row>
    <row r="320">
      <c r="A320" t="inlineStr">
        <is>
          <t>PJM.AEP-DAYTON HUB_mo_on_dap - NODAL EXCHANGE</t>
        </is>
      </c>
      <c r="B320" t="n">
        <v>230103</v>
      </c>
      <c r="C320" s="1" t="n">
        <v>44929</v>
      </c>
      <c r="D320" t="inlineStr">
        <is>
          <t>064DLW</t>
        </is>
      </c>
      <c r="E320" t="inlineStr">
        <is>
          <t>NODX</t>
        </is>
      </c>
      <c r="F320" t="inlineStr">
        <is>
          <t>01</t>
        </is>
      </c>
      <c r="G320" t="inlineStr">
        <is>
          <t xml:space="preserve">064 </t>
        </is>
      </c>
      <c r="H320" t="n">
        <v>83918</v>
      </c>
      <c r="I320" s="17" t="n">
        <v>4250</v>
      </c>
      <c r="J320" s="17" t="n">
        <v>3105</v>
      </c>
      <c r="K320" t="n">
        <v>1415</v>
      </c>
      <c r="L320" t="n">
        <v>65156</v>
      </c>
      <c r="M320" t="n">
        <v>66233</v>
      </c>
      <c r="N320" t="n">
        <v>70821</v>
      </c>
      <c r="O320" t="n">
        <v>70753</v>
      </c>
      <c r="P320" t="n">
        <v>13097</v>
      </c>
      <c r="Q320" t="n">
        <v>13165</v>
      </c>
      <c r="R320" t="n">
        <v>83918</v>
      </c>
      <c r="S320" t="n">
        <v>4250</v>
      </c>
      <c r="T320" t="n">
        <v>3105</v>
      </c>
      <c r="U320" t="n">
        <v>1415</v>
      </c>
      <c r="V320" t="n">
        <v>65156</v>
      </c>
      <c r="W320" t="n">
        <v>66233</v>
      </c>
      <c r="X320" t="n">
        <v>70821</v>
      </c>
      <c r="Y320" t="n">
        <v>70753</v>
      </c>
      <c r="Z320" t="n">
        <v>13097</v>
      </c>
      <c r="AA320" t="n">
        <v>13165</v>
      </c>
      <c r="AB320" t="n">
        <v>0</v>
      </c>
      <c r="AC320" t="n">
        <v>0</v>
      </c>
      <c r="AD320" t="n">
        <v>0</v>
      </c>
      <c r="AE320" t="n">
        <v>0</v>
      </c>
      <c r="AF320" t="n">
        <v>0</v>
      </c>
      <c r="AG320" t="n">
        <v>0</v>
      </c>
      <c r="AH320" t="n">
        <v>0</v>
      </c>
      <c r="AI320" t="n">
        <v>0</v>
      </c>
      <c r="AJ320" t="n">
        <v>0</v>
      </c>
      <c r="AK320" t="n">
        <v>0</v>
      </c>
      <c r="AL320" t="n">
        <v>47</v>
      </c>
      <c r="AM320" t="n">
        <v>-200</v>
      </c>
      <c r="AN320" t="n">
        <v>0</v>
      </c>
      <c r="AO320" t="n">
        <v>0</v>
      </c>
      <c r="AP320" t="n">
        <v>220</v>
      </c>
      <c r="AQ320" t="n">
        <v>20</v>
      </c>
      <c r="AR320" t="n">
        <v>20</v>
      </c>
      <c r="AS320" t="n">
        <v>20</v>
      </c>
      <c r="AT320" t="n">
        <v>27</v>
      </c>
      <c r="AU320" t="n">
        <v>27</v>
      </c>
      <c r="AV320" t="n">
        <v>100</v>
      </c>
      <c r="AW320" t="n">
        <v>5.1</v>
      </c>
      <c r="AX320" t="n">
        <v>3.7</v>
      </c>
      <c r="AY320" t="n">
        <v>1.7</v>
      </c>
      <c r="AZ320" t="n">
        <v>77.59999999999999</v>
      </c>
      <c r="BA320" t="n">
        <v>78.90000000000001</v>
      </c>
      <c r="BB320" t="n">
        <v>84.40000000000001</v>
      </c>
      <c r="BC320" t="n">
        <v>84.3</v>
      </c>
      <c r="BD320" t="n">
        <v>15.6</v>
      </c>
      <c r="BE320" t="n">
        <v>15.7</v>
      </c>
      <c r="BF320" t="n">
        <v>100</v>
      </c>
      <c r="BG320" t="n">
        <v>5.1</v>
      </c>
      <c r="BH320" t="n">
        <v>3.7</v>
      </c>
      <c r="BI320" t="n">
        <v>1.7</v>
      </c>
      <c r="BJ320" t="n">
        <v>77.59999999999999</v>
      </c>
      <c r="BK320" t="n">
        <v>78.90000000000001</v>
      </c>
      <c r="BL320" t="n">
        <v>84.40000000000001</v>
      </c>
      <c r="BM320" t="n">
        <v>84.3</v>
      </c>
      <c r="BN320" t="n">
        <v>15.6</v>
      </c>
      <c r="BO320" t="n">
        <v>15.7</v>
      </c>
      <c r="BP320" t="n">
        <v>0</v>
      </c>
      <c r="BQ320" t="n">
        <v>0</v>
      </c>
      <c r="BR320" t="n">
        <v>0</v>
      </c>
      <c r="BS320" t="n">
        <v>0</v>
      </c>
      <c r="BT320" t="n">
        <v>0</v>
      </c>
      <c r="BU320" t="n">
        <v>0</v>
      </c>
      <c r="BV320" t="n">
        <v>0</v>
      </c>
      <c r="BW320" t="n">
        <v>0</v>
      </c>
      <c r="BX320" t="n">
        <v>0</v>
      </c>
      <c r="BY320" t="n">
        <v>0</v>
      </c>
      <c r="BZ320" t="n">
        <v>33</v>
      </c>
      <c r="CA320" t="n">
        <v>3</v>
      </c>
      <c r="CB320" t="n">
        <v>4</v>
      </c>
      <c r="CC320" t="n">
        <v>1</v>
      </c>
      <c r="CD320" t="n">
        <v>22</v>
      </c>
      <c r="CE320" t="n">
        <v>25</v>
      </c>
      <c r="CF320" t="n">
        <v>26</v>
      </c>
      <c r="CG320" t="n">
        <v>29</v>
      </c>
      <c r="CH320" t="n">
        <v>33</v>
      </c>
      <c r="CI320" t="n">
        <v>3</v>
      </c>
      <c r="CJ320" t="n">
        <v>4</v>
      </c>
      <c r="CK320" t="n">
        <v>1</v>
      </c>
      <c r="CL320" t="n">
        <v>22</v>
      </c>
      <c r="CM320" t="n">
        <v>25</v>
      </c>
      <c r="CN320" t="n">
        <v>26</v>
      </c>
      <c r="CO320" t="n">
        <v>29</v>
      </c>
      <c r="CP320" t="n">
        <v>0</v>
      </c>
      <c r="CQ320" t="n">
        <v>0</v>
      </c>
      <c r="CR320" t="n">
        <v>0</v>
      </c>
      <c r="CS320" t="n">
        <v>0</v>
      </c>
      <c r="CT320" t="n">
        <v>0</v>
      </c>
      <c r="CU320" t="n">
        <v>0</v>
      </c>
      <c r="CV320" t="n">
        <v>0</v>
      </c>
      <c r="CW320" t="n">
        <v>0</v>
      </c>
      <c r="CX320" t="n">
        <v>49.9</v>
      </c>
      <c r="CY320" t="n">
        <v>39.1</v>
      </c>
      <c r="CZ320" t="n">
        <v>65.2</v>
      </c>
      <c r="DA320" t="n">
        <v>60.2</v>
      </c>
      <c r="DB320" t="n">
        <v>45</v>
      </c>
      <c r="DC320" t="n">
        <v>38.1</v>
      </c>
      <c r="DD320" t="n">
        <v>58.9</v>
      </c>
      <c r="DE320" t="n">
        <v>56.5</v>
      </c>
      <c r="DF320" t="n">
        <v>49.9</v>
      </c>
      <c r="DG320" t="n">
        <v>39.1</v>
      </c>
      <c r="DH320" t="n">
        <v>65.2</v>
      </c>
      <c r="DI320" t="n">
        <v>60.2</v>
      </c>
      <c r="DJ320" t="n">
        <v>45</v>
      </c>
      <c r="DK320" t="n">
        <v>38.1</v>
      </c>
      <c r="DL320" t="n">
        <v>58.9</v>
      </c>
      <c r="DM320" t="n">
        <v>56.5</v>
      </c>
      <c r="DN320" t="n">
        <v>0</v>
      </c>
      <c r="DO320" t="n">
        <v>0</v>
      </c>
      <c r="DP320" t="n">
        <v>0</v>
      </c>
      <c r="DQ320" t="n">
        <v>0</v>
      </c>
      <c r="DR320" t="n">
        <v>0</v>
      </c>
      <c r="DS320" t="n">
        <v>0</v>
      </c>
      <c r="DT320" t="n">
        <v>0</v>
      </c>
      <c r="DU320" t="n">
        <v>0</v>
      </c>
      <c r="DV320" t="inlineStr">
        <is>
          <t>Megawatt Hours (MWh)</t>
        </is>
      </c>
    </row>
    <row r="321">
      <c r="A321" t="inlineStr">
        <is>
          <t>PJM.AEP-DAYTON HUB_mo_off_dap - NODAL EXCHANGE</t>
        </is>
      </c>
      <c r="B321" t="n">
        <v>230110</v>
      </c>
      <c r="C321" s="1" t="n">
        <v>44936</v>
      </c>
      <c r="D321" t="inlineStr">
        <is>
          <t>064DLX</t>
        </is>
      </c>
      <c r="E321" t="inlineStr">
        <is>
          <t>NODX</t>
        </is>
      </c>
      <c r="F321" t="inlineStr">
        <is>
          <t>01</t>
        </is>
      </c>
      <c r="G321" t="inlineStr">
        <is>
          <t xml:space="preserve">064 </t>
        </is>
      </c>
      <c r="H321" t="n">
        <v>82457</v>
      </c>
      <c r="I321" s="17" t="n">
        <v>8279</v>
      </c>
      <c r="J321" s="17" t="n">
        <v>2898</v>
      </c>
      <c r="K321" t="n">
        <v>900</v>
      </c>
      <c r="L321" t="n">
        <v>60655</v>
      </c>
      <c r="M321" t="n">
        <v>66006</v>
      </c>
      <c r="N321" t="n">
        <v>69834</v>
      </c>
      <c r="O321" t="n">
        <v>69804</v>
      </c>
      <c r="P321" t="n">
        <v>12623</v>
      </c>
      <c r="Q321" t="n">
        <v>12653</v>
      </c>
      <c r="R321" t="n">
        <v>82457</v>
      </c>
      <c r="S321" t="n">
        <v>8279</v>
      </c>
      <c r="T321" t="n">
        <v>2898</v>
      </c>
      <c r="U321" t="n">
        <v>900</v>
      </c>
      <c r="V321" t="n">
        <v>60655</v>
      </c>
      <c r="W321" t="n">
        <v>66006</v>
      </c>
      <c r="X321" t="n">
        <v>69834</v>
      </c>
      <c r="Y321" t="n">
        <v>69804</v>
      </c>
      <c r="Z321" t="n">
        <v>12623</v>
      </c>
      <c r="AA321" t="n">
        <v>12653</v>
      </c>
      <c r="AB321" t="n">
        <v>0</v>
      </c>
      <c r="AC321" t="n">
        <v>0</v>
      </c>
      <c r="AD321" t="n">
        <v>0</v>
      </c>
      <c r="AE321" t="n">
        <v>0</v>
      </c>
      <c r="AF321" t="n">
        <v>0</v>
      </c>
      <c r="AG321" t="n">
        <v>0</v>
      </c>
      <c r="AH321" t="n">
        <v>0</v>
      </c>
      <c r="AI321" t="n">
        <v>0</v>
      </c>
      <c r="AJ321" t="n">
        <v>0</v>
      </c>
      <c r="AK321" t="n">
        <v>0</v>
      </c>
      <c r="AL321" t="n">
        <v>-3207</v>
      </c>
      <c r="AM321" t="n">
        <v>485</v>
      </c>
      <c r="AN321" t="n">
        <v>869</v>
      </c>
      <c r="AO321" t="n">
        <v>-778</v>
      </c>
      <c r="AP321" t="n">
        <v>-2571</v>
      </c>
      <c r="AQ321" t="n">
        <v>-2982</v>
      </c>
      <c r="AR321" t="n">
        <v>-2864</v>
      </c>
      <c r="AS321" t="n">
        <v>-2891</v>
      </c>
      <c r="AT321" t="n">
        <v>-343</v>
      </c>
      <c r="AU321" t="n">
        <v>-316</v>
      </c>
      <c r="AV321" t="n">
        <v>100</v>
      </c>
      <c r="AW321" t="n">
        <v>10</v>
      </c>
      <c r="AX321" t="n">
        <v>3.5</v>
      </c>
      <c r="AY321" t="n">
        <v>1.1</v>
      </c>
      <c r="AZ321" t="n">
        <v>73.59999999999999</v>
      </c>
      <c r="BA321" t="n">
        <v>80</v>
      </c>
      <c r="BB321" t="n">
        <v>84.7</v>
      </c>
      <c r="BC321" t="n">
        <v>84.7</v>
      </c>
      <c r="BD321" t="n">
        <v>15.3</v>
      </c>
      <c r="BE321" t="n">
        <v>15.3</v>
      </c>
      <c r="BF321" t="n">
        <v>100</v>
      </c>
      <c r="BG321" t="n">
        <v>10</v>
      </c>
      <c r="BH321" t="n">
        <v>3.5</v>
      </c>
      <c r="BI321" t="n">
        <v>1.1</v>
      </c>
      <c r="BJ321" t="n">
        <v>73.59999999999999</v>
      </c>
      <c r="BK321" t="n">
        <v>80</v>
      </c>
      <c r="BL321" t="n">
        <v>84.7</v>
      </c>
      <c r="BM321" t="n">
        <v>84.7</v>
      </c>
      <c r="BN321" t="n">
        <v>15.3</v>
      </c>
      <c r="BO321" t="n">
        <v>15.3</v>
      </c>
      <c r="BP321" t="n">
        <v>0</v>
      </c>
      <c r="BQ321" t="n">
        <v>0</v>
      </c>
      <c r="BR321" t="n">
        <v>0</v>
      </c>
      <c r="BS321" t="n">
        <v>0</v>
      </c>
      <c r="BT321" t="n">
        <v>0</v>
      </c>
      <c r="BU321" t="n">
        <v>0</v>
      </c>
      <c r="BV321" t="n">
        <v>0</v>
      </c>
      <c r="BW321" t="n">
        <v>0</v>
      </c>
      <c r="BX321" t="n">
        <v>0</v>
      </c>
      <c r="BY321" t="n">
        <v>0</v>
      </c>
      <c r="BZ321" t="n">
        <v>34</v>
      </c>
      <c r="CA321" t="n">
        <v>3</v>
      </c>
      <c r="CB321" t="n">
        <v>4</v>
      </c>
      <c r="CC321" t="n">
        <v>1</v>
      </c>
      <c r="CD321" t="n">
        <v>24</v>
      </c>
      <c r="CE321" t="n">
        <v>24</v>
      </c>
      <c r="CF321" t="n">
        <v>28</v>
      </c>
      <c r="CG321" t="n">
        <v>28</v>
      </c>
      <c r="CH321" t="n">
        <v>34</v>
      </c>
      <c r="CI321" t="n">
        <v>3</v>
      </c>
      <c r="CJ321" t="n">
        <v>4</v>
      </c>
      <c r="CK321" t="n">
        <v>1</v>
      </c>
      <c r="CL321" t="n">
        <v>24</v>
      </c>
      <c r="CM321" t="n">
        <v>24</v>
      </c>
      <c r="CN321" t="n">
        <v>28</v>
      </c>
      <c r="CO321" t="n">
        <v>28</v>
      </c>
      <c r="CP321" t="n">
        <v>0</v>
      </c>
      <c r="CQ321" t="n">
        <v>0</v>
      </c>
      <c r="CR321" t="n">
        <v>0</v>
      </c>
      <c r="CS321" t="n">
        <v>0</v>
      </c>
      <c r="CT321" t="n">
        <v>0</v>
      </c>
      <c r="CU321" t="n">
        <v>0</v>
      </c>
      <c r="CV321" t="n">
        <v>0</v>
      </c>
      <c r="CW321" t="n">
        <v>0</v>
      </c>
      <c r="CX321" t="n">
        <v>42.9</v>
      </c>
      <c r="CY321" t="n">
        <v>43</v>
      </c>
      <c r="CZ321" t="n">
        <v>60.2</v>
      </c>
      <c r="DA321" t="n">
        <v>63.2</v>
      </c>
      <c r="DB321" t="n">
        <v>37.8</v>
      </c>
      <c r="DC321" t="n">
        <v>40.4</v>
      </c>
      <c r="DD321" t="n">
        <v>54.8</v>
      </c>
      <c r="DE321" t="n">
        <v>57.8</v>
      </c>
      <c r="DF321" t="n">
        <v>42.9</v>
      </c>
      <c r="DG321" t="n">
        <v>43</v>
      </c>
      <c r="DH321" t="n">
        <v>60.2</v>
      </c>
      <c r="DI321" t="n">
        <v>63.2</v>
      </c>
      <c r="DJ321" t="n">
        <v>37.8</v>
      </c>
      <c r="DK321" t="n">
        <v>40.4</v>
      </c>
      <c r="DL321" t="n">
        <v>54.8</v>
      </c>
      <c r="DM321" t="n">
        <v>57.8</v>
      </c>
      <c r="DN321" t="n">
        <v>0</v>
      </c>
      <c r="DO321" t="n">
        <v>0</v>
      </c>
      <c r="DP321" t="n">
        <v>0</v>
      </c>
      <c r="DQ321" t="n">
        <v>0</v>
      </c>
      <c r="DR321" t="n">
        <v>0</v>
      </c>
      <c r="DS321" t="n">
        <v>0</v>
      </c>
      <c r="DT321" t="n">
        <v>0</v>
      </c>
      <c r="DU321" t="n">
        <v>0</v>
      </c>
      <c r="DV321" t="inlineStr">
        <is>
          <t>Megawatt Hours (MWh)</t>
        </is>
      </c>
    </row>
    <row r="322">
      <c r="A322" t="inlineStr">
        <is>
          <t>PJM.AEP-DAYTON HUB_mo_off_dap - NODAL EXCHANGE</t>
        </is>
      </c>
      <c r="B322" t="n">
        <v>230103</v>
      </c>
      <c r="C322" s="1" t="n">
        <v>44929</v>
      </c>
      <c r="D322" t="inlineStr">
        <is>
          <t>064DLX</t>
        </is>
      </c>
      <c r="E322" t="inlineStr">
        <is>
          <t>NODX</t>
        </is>
      </c>
      <c r="F322" t="inlineStr">
        <is>
          <t>01</t>
        </is>
      </c>
      <c r="G322" t="inlineStr">
        <is>
          <t xml:space="preserve">064 </t>
        </is>
      </c>
      <c r="H322" t="n">
        <v>85664</v>
      </c>
      <c r="I322" s="17" t="n">
        <v>7794</v>
      </c>
      <c r="J322" s="17" t="n">
        <v>2029</v>
      </c>
      <c r="K322" t="n">
        <v>1678</v>
      </c>
      <c r="L322" t="n">
        <v>63226</v>
      </c>
      <c r="M322" t="n">
        <v>68988</v>
      </c>
      <c r="N322" t="n">
        <v>72698</v>
      </c>
      <c r="O322" t="n">
        <v>72695</v>
      </c>
      <c r="P322" t="n">
        <v>12966</v>
      </c>
      <c r="Q322" t="n">
        <v>12969</v>
      </c>
      <c r="R322" t="n">
        <v>85664</v>
      </c>
      <c r="S322" t="n">
        <v>7794</v>
      </c>
      <c r="T322" t="n">
        <v>2029</v>
      </c>
      <c r="U322" t="n">
        <v>1678</v>
      </c>
      <c r="V322" t="n">
        <v>63226</v>
      </c>
      <c r="W322" t="n">
        <v>68988</v>
      </c>
      <c r="X322" t="n">
        <v>72698</v>
      </c>
      <c r="Y322" t="n">
        <v>72695</v>
      </c>
      <c r="Z322" t="n">
        <v>12966</v>
      </c>
      <c r="AA322" t="n">
        <v>12969</v>
      </c>
      <c r="AB322" t="n">
        <v>0</v>
      </c>
      <c r="AC322" t="n">
        <v>0</v>
      </c>
      <c r="AD322" t="n">
        <v>0</v>
      </c>
      <c r="AE322" t="n">
        <v>0</v>
      </c>
      <c r="AF322" t="n">
        <v>0</v>
      </c>
      <c r="AG322" t="n">
        <v>0</v>
      </c>
      <c r="AH322" t="n">
        <v>0</v>
      </c>
      <c r="AI322" t="n">
        <v>0</v>
      </c>
      <c r="AJ322" t="n">
        <v>0</v>
      </c>
      <c r="AK322" t="n">
        <v>0</v>
      </c>
      <c r="AL322" t="n">
        <v>48</v>
      </c>
      <c r="AM322" t="n">
        <v>-200</v>
      </c>
      <c r="AN322" t="n">
        <v>0</v>
      </c>
      <c r="AO322" t="n">
        <v>0</v>
      </c>
      <c r="AP322" t="n">
        <v>164</v>
      </c>
      <c r="AQ322" t="n">
        <v>-36</v>
      </c>
      <c r="AR322" t="n">
        <v>-36</v>
      </c>
      <c r="AS322" t="n">
        <v>-36</v>
      </c>
      <c r="AT322" t="n">
        <v>84</v>
      </c>
      <c r="AU322" t="n">
        <v>84</v>
      </c>
      <c r="AV322" t="n">
        <v>100</v>
      </c>
      <c r="AW322" t="n">
        <v>9.1</v>
      </c>
      <c r="AX322" t="n">
        <v>2.4</v>
      </c>
      <c r="AY322" t="n">
        <v>2</v>
      </c>
      <c r="AZ322" t="n">
        <v>73.8</v>
      </c>
      <c r="BA322" t="n">
        <v>80.5</v>
      </c>
      <c r="BB322" t="n">
        <v>84.90000000000001</v>
      </c>
      <c r="BC322" t="n">
        <v>84.90000000000001</v>
      </c>
      <c r="BD322" t="n">
        <v>15.1</v>
      </c>
      <c r="BE322" t="n">
        <v>15.1</v>
      </c>
      <c r="BF322" t="n">
        <v>100</v>
      </c>
      <c r="BG322" t="n">
        <v>9.1</v>
      </c>
      <c r="BH322" t="n">
        <v>2.4</v>
      </c>
      <c r="BI322" t="n">
        <v>2</v>
      </c>
      <c r="BJ322" t="n">
        <v>73.8</v>
      </c>
      <c r="BK322" t="n">
        <v>80.5</v>
      </c>
      <c r="BL322" t="n">
        <v>84.90000000000001</v>
      </c>
      <c r="BM322" t="n">
        <v>84.90000000000001</v>
      </c>
      <c r="BN322" t="n">
        <v>15.1</v>
      </c>
      <c r="BO322" t="n">
        <v>15.1</v>
      </c>
      <c r="BP322" t="n">
        <v>0</v>
      </c>
      <c r="BQ322" t="n">
        <v>0</v>
      </c>
      <c r="BR322" t="n">
        <v>0</v>
      </c>
      <c r="BS322" t="n">
        <v>0</v>
      </c>
      <c r="BT322" t="n">
        <v>0</v>
      </c>
      <c r="BU322" t="n">
        <v>0</v>
      </c>
      <c r="BV322" t="n">
        <v>0</v>
      </c>
      <c r="BW322" t="n">
        <v>0</v>
      </c>
      <c r="BX322" t="n">
        <v>0</v>
      </c>
      <c r="BY322" t="n">
        <v>0</v>
      </c>
      <c r="BZ322" t="n">
        <v>36</v>
      </c>
      <c r="CA322" t="n">
        <v>4</v>
      </c>
      <c r="CB322" t="n">
        <v>4</v>
      </c>
      <c r="CC322" t="n">
        <v>2</v>
      </c>
      <c r="CD322" t="n">
        <v>26</v>
      </c>
      <c r="CE322" t="n">
        <v>24</v>
      </c>
      <c r="CF322" t="n">
        <v>32</v>
      </c>
      <c r="CG322" t="n">
        <v>28</v>
      </c>
      <c r="CH322" t="n">
        <v>36</v>
      </c>
      <c r="CI322" t="n">
        <v>4</v>
      </c>
      <c r="CJ322" t="n">
        <v>4</v>
      </c>
      <c r="CK322" t="n">
        <v>2</v>
      </c>
      <c r="CL322" t="n">
        <v>26</v>
      </c>
      <c r="CM322" t="n">
        <v>24</v>
      </c>
      <c r="CN322" t="n">
        <v>32</v>
      </c>
      <c r="CO322" t="n">
        <v>28</v>
      </c>
      <c r="CP322" t="n">
        <v>0</v>
      </c>
      <c r="CQ322" t="n">
        <v>0</v>
      </c>
      <c r="CR322" t="n">
        <v>0</v>
      </c>
      <c r="CS322" t="n">
        <v>0</v>
      </c>
      <c r="CT322" t="n">
        <v>0</v>
      </c>
      <c r="CU322" t="n">
        <v>0</v>
      </c>
      <c r="CV322" t="n">
        <v>0</v>
      </c>
      <c r="CW322" t="n">
        <v>0</v>
      </c>
      <c r="CX322" t="n">
        <v>43</v>
      </c>
      <c r="CY322" t="n">
        <v>41.5</v>
      </c>
      <c r="CZ322" t="n">
        <v>60</v>
      </c>
      <c r="DA322" t="n">
        <v>62.1</v>
      </c>
      <c r="DB322" t="n">
        <v>38</v>
      </c>
      <c r="DC322" t="n">
        <v>39.4</v>
      </c>
      <c r="DD322" t="n">
        <v>54.5</v>
      </c>
      <c r="DE322" t="n">
        <v>57</v>
      </c>
      <c r="DF322" t="n">
        <v>43</v>
      </c>
      <c r="DG322" t="n">
        <v>41.5</v>
      </c>
      <c r="DH322" t="n">
        <v>60</v>
      </c>
      <c r="DI322" t="n">
        <v>62.1</v>
      </c>
      <c r="DJ322" t="n">
        <v>38</v>
      </c>
      <c r="DK322" t="n">
        <v>39.4</v>
      </c>
      <c r="DL322" t="n">
        <v>54.5</v>
      </c>
      <c r="DM322" t="n">
        <v>57</v>
      </c>
      <c r="DN322" t="n">
        <v>0</v>
      </c>
      <c r="DO322" t="n">
        <v>0</v>
      </c>
      <c r="DP322" t="n">
        <v>0</v>
      </c>
      <c r="DQ322" t="n">
        <v>0</v>
      </c>
      <c r="DR322" t="n">
        <v>0</v>
      </c>
      <c r="DS322" t="n">
        <v>0</v>
      </c>
      <c r="DT322" t="n">
        <v>0</v>
      </c>
      <c r="DU322" t="n">
        <v>0</v>
      </c>
      <c r="DV322" t="inlineStr">
        <is>
          <t>Megawatt Hours (MWh)</t>
        </is>
      </c>
    </row>
    <row r="323">
      <c r="A323" t="inlineStr">
        <is>
          <t>PJM.BGE_month_on_dap - NODAL EXCHANGE</t>
        </is>
      </c>
      <c r="B323" t="n">
        <v>230110</v>
      </c>
      <c r="C323" s="1" t="n">
        <v>44936</v>
      </c>
      <c r="D323" t="inlineStr">
        <is>
          <t>064DPQ</t>
        </is>
      </c>
      <c r="E323" t="inlineStr">
        <is>
          <t>NODX</t>
        </is>
      </c>
      <c r="F323" t="inlineStr">
        <is>
          <t>01</t>
        </is>
      </c>
      <c r="G323" t="inlineStr">
        <is>
          <t xml:space="preserve">064 </t>
        </is>
      </c>
      <c r="H323" t="n">
        <v>23127</v>
      </c>
      <c r="I323" s="17" t="n">
        <v>1270</v>
      </c>
      <c r="J323" s="17" t="n">
        <v>2225</v>
      </c>
      <c r="K323" t="n">
        <v>215</v>
      </c>
      <c r="L323" t="n">
        <v>17277</v>
      </c>
      <c r="M323" t="n">
        <v>16507</v>
      </c>
      <c r="N323" t="n">
        <v>18762</v>
      </c>
      <c r="O323" t="n">
        <v>18947</v>
      </c>
      <c r="P323" t="n">
        <v>4365</v>
      </c>
      <c r="Q323" t="n">
        <v>4180</v>
      </c>
      <c r="R323" t="n">
        <v>23127</v>
      </c>
      <c r="S323" t="n">
        <v>1270</v>
      </c>
      <c r="T323" t="n">
        <v>2225</v>
      </c>
      <c r="U323" t="n">
        <v>215</v>
      </c>
      <c r="V323" t="n">
        <v>17277</v>
      </c>
      <c r="W323" t="n">
        <v>16507</v>
      </c>
      <c r="X323" t="n">
        <v>18762</v>
      </c>
      <c r="Y323" t="n">
        <v>18947</v>
      </c>
      <c r="Z323" t="n">
        <v>4365</v>
      </c>
      <c r="AA323" t="n">
        <v>4180</v>
      </c>
      <c r="AB323" t="n">
        <v>0</v>
      </c>
      <c r="AC323" t="n">
        <v>0</v>
      </c>
      <c r="AD323" t="n">
        <v>0</v>
      </c>
      <c r="AE323" t="n">
        <v>0</v>
      </c>
      <c r="AF323" t="n">
        <v>0</v>
      </c>
      <c r="AG323" t="n">
        <v>0</v>
      </c>
      <c r="AH323" t="n">
        <v>0</v>
      </c>
      <c r="AI323" t="n">
        <v>0</v>
      </c>
      <c r="AJ323" t="n">
        <v>0</v>
      </c>
      <c r="AK323" t="n">
        <v>0</v>
      </c>
      <c r="AL323" t="n">
        <v>-1910</v>
      </c>
      <c r="AM323" t="n">
        <v>25</v>
      </c>
      <c r="AN323" t="n">
        <v>-265</v>
      </c>
      <c r="AO323" t="n">
        <v>-25</v>
      </c>
      <c r="AP323" t="n">
        <v>-1475</v>
      </c>
      <c r="AQ323" t="n">
        <v>-1170</v>
      </c>
      <c r="AR323" t="n">
        <v>-1475</v>
      </c>
      <c r="AS323" t="n">
        <v>-1460</v>
      </c>
      <c r="AT323" t="n">
        <v>-435</v>
      </c>
      <c r="AU323" t="n">
        <v>-450</v>
      </c>
      <c r="AV323" t="n">
        <v>100</v>
      </c>
      <c r="AW323" t="n">
        <v>5.5</v>
      </c>
      <c r="AX323" t="n">
        <v>9.6</v>
      </c>
      <c r="AY323" t="n">
        <v>0.9</v>
      </c>
      <c r="AZ323" t="n">
        <v>74.7</v>
      </c>
      <c r="BA323" t="n">
        <v>71.40000000000001</v>
      </c>
      <c r="BB323" t="n">
        <v>81.09999999999999</v>
      </c>
      <c r="BC323" t="n">
        <v>81.90000000000001</v>
      </c>
      <c r="BD323" t="n">
        <v>18.9</v>
      </c>
      <c r="BE323" t="n">
        <v>18.1</v>
      </c>
      <c r="BF323" t="n">
        <v>100</v>
      </c>
      <c r="BG323" t="n">
        <v>5.5</v>
      </c>
      <c r="BH323" t="n">
        <v>9.6</v>
      </c>
      <c r="BI323" t="n">
        <v>0.9</v>
      </c>
      <c r="BJ323" t="n">
        <v>74.7</v>
      </c>
      <c r="BK323" t="n">
        <v>71.40000000000001</v>
      </c>
      <c r="BL323" t="n">
        <v>81.09999999999999</v>
      </c>
      <c r="BM323" t="n">
        <v>81.90000000000001</v>
      </c>
      <c r="BN323" t="n">
        <v>18.9</v>
      </c>
      <c r="BO323" t="n">
        <v>18.1</v>
      </c>
      <c r="BP323" t="n">
        <v>0</v>
      </c>
      <c r="BQ323" t="n">
        <v>0</v>
      </c>
      <c r="BR323" t="n">
        <v>0</v>
      </c>
      <c r="BS323" t="n">
        <v>0</v>
      </c>
      <c r="BT323" t="n">
        <v>0</v>
      </c>
      <c r="BU323" t="n">
        <v>0</v>
      </c>
      <c r="BV323" t="n">
        <v>0</v>
      </c>
      <c r="BW323" t="n">
        <v>0</v>
      </c>
      <c r="BX323" t="n">
        <v>0</v>
      </c>
      <c r="BY323" t="n">
        <v>0</v>
      </c>
      <c r="BZ323" t="n">
        <v>30</v>
      </c>
      <c r="CA323" t="n">
        <v>2</v>
      </c>
      <c r="CB323" t="n">
        <v>2</v>
      </c>
      <c r="CC323" t="n">
        <v>3</v>
      </c>
      <c r="CD323" t="n">
        <v>24</v>
      </c>
      <c r="CE323" t="n">
        <v>11</v>
      </c>
      <c r="CF323" t="n">
        <v>28</v>
      </c>
      <c r="CG323" t="n">
        <v>14</v>
      </c>
      <c r="CH323" t="n">
        <v>30</v>
      </c>
      <c r="CI323" t="n">
        <v>2</v>
      </c>
      <c r="CJ323" t="n">
        <v>2</v>
      </c>
      <c r="CK323" t="n">
        <v>3</v>
      </c>
      <c r="CL323" t="n">
        <v>24</v>
      </c>
      <c r="CM323" t="n">
        <v>11</v>
      </c>
      <c r="CN323" t="n">
        <v>28</v>
      </c>
      <c r="CO323" t="n">
        <v>14</v>
      </c>
      <c r="CP323" t="n">
        <v>0</v>
      </c>
      <c r="CQ323" t="n">
        <v>0</v>
      </c>
      <c r="CR323" t="n">
        <v>0</v>
      </c>
      <c r="CS323" t="n">
        <v>0</v>
      </c>
      <c r="CT323" t="n">
        <v>0</v>
      </c>
      <c r="CU323" t="n">
        <v>0</v>
      </c>
      <c r="CV323" t="n">
        <v>0</v>
      </c>
      <c r="CW323" t="n">
        <v>0</v>
      </c>
      <c r="CX323" t="n">
        <v>33.4</v>
      </c>
      <c r="CY323" t="n">
        <v>70.8</v>
      </c>
      <c r="CZ323" t="n">
        <v>53.7</v>
      </c>
      <c r="DA323" t="n">
        <v>79.5</v>
      </c>
      <c r="DB323" t="n">
        <v>33.1</v>
      </c>
      <c r="DC323" t="n">
        <v>70.40000000000001</v>
      </c>
      <c r="DD323" t="n">
        <v>53.1</v>
      </c>
      <c r="DE323" t="n">
        <v>74</v>
      </c>
      <c r="DF323" t="n">
        <v>33.4</v>
      </c>
      <c r="DG323" t="n">
        <v>70.8</v>
      </c>
      <c r="DH323" t="n">
        <v>53.7</v>
      </c>
      <c r="DI323" t="n">
        <v>79.5</v>
      </c>
      <c r="DJ323" t="n">
        <v>33.1</v>
      </c>
      <c r="DK323" t="n">
        <v>70.40000000000001</v>
      </c>
      <c r="DL323" t="n">
        <v>53.1</v>
      </c>
      <c r="DM323" t="n">
        <v>74</v>
      </c>
      <c r="DN323" t="n">
        <v>0</v>
      </c>
      <c r="DO323" t="n">
        <v>0</v>
      </c>
      <c r="DP323" t="n">
        <v>0</v>
      </c>
      <c r="DQ323" t="n">
        <v>0</v>
      </c>
      <c r="DR323" t="n">
        <v>0</v>
      </c>
      <c r="DS323" t="n">
        <v>0</v>
      </c>
      <c r="DT323" t="n">
        <v>0</v>
      </c>
      <c r="DU323" t="n">
        <v>0</v>
      </c>
      <c r="DV323" t="inlineStr">
        <is>
          <t>Megawatt Hours (MWh)</t>
        </is>
      </c>
    </row>
    <row r="324">
      <c r="A324" t="inlineStr">
        <is>
          <t>PJM.BGE_month_on_dap - NODAL EXCHANGE</t>
        </is>
      </c>
      <c r="B324" t="n">
        <v>230103</v>
      </c>
      <c r="C324" s="1" t="n">
        <v>44929</v>
      </c>
      <c r="D324" t="inlineStr">
        <is>
          <t>064DPQ</t>
        </is>
      </c>
      <c r="E324" t="inlineStr">
        <is>
          <t>NODX</t>
        </is>
      </c>
      <c r="F324" t="inlineStr">
        <is>
          <t>01</t>
        </is>
      </c>
      <c r="G324" t="inlineStr">
        <is>
          <t xml:space="preserve">064 </t>
        </is>
      </c>
      <c r="H324" t="n">
        <v>25037</v>
      </c>
      <c r="I324" s="17" t="n">
        <v>1245</v>
      </c>
      <c r="J324" s="17" t="n">
        <v>2490</v>
      </c>
      <c r="K324" t="n">
        <v>240</v>
      </c>
      <c r="L324" t="n">
        <v>18752</v>
      </c>
      <c r="M324" t="n">
        <v>17677</v>
      </c>
      <c r="N324" t="n">
        <v>20237</v>
      </c>
      <c r="O324" t="n">
        <v>20407</v>
      </c>
      <c r="P324" t="n">
        <v>4800</v>
      </c>
      <c r="Q324" t="n">
        <v>4630</v>
      </c>
      <c r="R324" t="n">
        <v>25037</v>
      </c>
      <c r="S324" t="n">
        <v>1245</v>
      </c>
      <c r="T324" t="n">
        <v>2490</v>
      </c>
      <c r="U324" t="n">
        <v>240</v>
      </c>
      <c r="V324" t="n">
        <v>18752</v>
      </c>
      <c r="W324" t="n">
        <v>17677</v>
      </c>
      <c r="X324" t="n">
        <v>20237</v>
      </c>
      <c r="Y324" t="n">
        <v>20407</v>
      </c>
      <c r="Z324" t="n">
        <v>4800</v>
      </c>
      <c r="AA324" t="n">
        <v>4630</v>
      </c>
      <c r="AB324" t="n">
        <v>0</v>
      </c>
      <c r="AC324" t="n">
        <v>0</v>
      </c>
      <c r="AD324" t="n">
        <v>0</v>
      </c>
      <c r="AE324" t="n">
        <v>0</v>
      </c>
      <c r="AF324" t="n">
        <v>0</v>
      </c>
      <c r="AG324" t="n">
        <v>0</v>
      </c>
      <c r="AH324" t="n">
        <v>0</v>
      </c>
      <c r="AI324" t="n">
        <v>0</v>
      </c>
      <c r="AJ324" t="n">
        <v>0</v>
      </c>
      <c r="AK324" t="n">
        <v>0</v>
      </c>
      <c r="AL324" t="n">
        <v>0</v>
      </c>
      <c r="AM324" t="n">
        <v>0</v>
      </c>
      <c r="AN324" t="n">
        <v>0</v>
      </c>
      <c r="AO324" t="n">
        <v>0</v>
      </c>
      <c r="AP324" t="n">
        <v>0</v>
      </c>
      <c r="AQ324" t="n">
        <v>0</v>
      </c>
      <c r="AR324" t="n">
        <v>0</v>
      </c>
      <c r="AS324" t="n">
        <v>0</v>
      </c>
      <c r="AT324" t="n">
        <v>0</v>
      </c>
      <c r="AU324" t="n">
        <v>0</v>
      </c>
      <c r="AV324" t="n">
        <v>100</v>
      </c>
      <c r="AW324" t="n">
        <v>5</v>
      </c>
      <c r="AX324" t="n">
        <v>9.9</v>
      </c>
      <c r="AY324" t="n">
        <v>1</v>
      </c>
      <c r="AZ324" t="n">
        <v>74.90000000000001</v>
      </c>
      <c r="BA324" t="n">
        <v>70.59999999999999</v>
      </c>
      <c r="BB324" t="n">
        <v>80.8</v>
      </c>
      <c r="BC324" t="n">
        <v>81.5</v>
      </c>
      <c r="BD324" t="n">
        <v>19.2</v>
      </c>
      <c r="BE324" t="n">
        <v>18.5</v>
      </c>
      <c r="BF324" t="n">
        <v>100</v>
      </c>
      <c r="BG324" t="n">
        <v>5</v>
      </c>
      <c r="BH324" t="n">
        <v>9.9</v>
      </c>
      <c r="BI324" t="n">
        <v>1</v>
      </c>
      <c r="BJ324" t="n">
        <v>74.90000000000001</v>
      </c>
      <c r="BK324" t="n">
        <v>70.59999999999999</v>
      </c>
      <c r="BL324" t="n">
        <v>80.8</v>
      </c>
      <c r="BM324" t="n">
        <v>81.5</v>
      </c>
      <c r="BN324" t="n">
        <v>19.2</v>
      </c>
      <c r="BO324" t="n">
        <v>18.5</v>
      </c>
      <c r="BP324" t="n">
        <v>0</v>
      </c>
      <c r="BQ324" t="n">
        <v>0</v>
      </c>
      <c r="BR324" t="n">
        <v>0</v>
      </c>
      <c r="BS324" t="n">
        <v>0</v>
      </c>
      <c r="BT324" t="n">
        <v>0</v>
      </c>
      <c r="BU324" t="n">
        <v>0</v>
      </c>
      <c r="BV324" t="n">
        <v>0</v>
      </c>
      <c r="BW324" t="n">
        <v>0</v>
      </c>
      <c r="BX324" t="n">
        <v>0</v>
      </c>
      <c r="BY324" t="n">
        <v>0</v>
      </c>
      <c r="BZ324" t="n">
        <v>30</v>
      </c>
      <c r="CA324" t="n">
        <v>2</v>
      </c>
      <c r="CB324" t="n">
        <v>2</v>
      </c>
      <c r="CC324" t="n">
        <v>3</v>
      </c>
      <c r="CD324" t="n">
        <v>24</v>
      </c>
      <c r="CE324" t="n">
        <v>10</v>
      </c>
      <c r="CF324" t="n">
        <v>28</v>
      </c>
      <c r="CG324" t="n">
        <v>13</v>
      </c>
      <c r="CH324" t="n">
        <v>30</v>
      </c>
      <c r="CI324" t="n">
        <v>2</v>
      </c>
      <c r="CJ324" t="n">
        <v>2</v>
      </c>
      <c r="CK324" t="n">
        <v>3</v>
      </c>
      <c r="CL324" t="n">
        <v>24</v>
      </c>
      <c r="CM324" t="n">
        <v>10</v>
      </c>
      <c r="CN324" t="n">
        <v>28</v>
      </c>
      <c r="CO324" t="n">
        <v>13</v>
      </c>
      <c r="CP324" t="n">
        <v>0</v>
      </c>
      <c r="CQ324" t="n">
        <v>0</v>
      </c>
      <c r="CR324" t="n">
        <v>0</v>
      </c>
      <c r="CS324" t="n">
        <v>0</v>
      </c>
      <c r="CT324" t="n">
        <v>0</v>
      </c>
      <c r="CU324" t="n">
        <v>0</v>
      </c>
      <c r="CV324" t="n">
        <v>0</v>
      </c>
      <c r="CW324" t="n">
        <v>0</v>
      </c>
      <c r="CX324" t="n">
        <v>32.3</v>
      </c>
      <c r="CY324" t="n">
        <v>69.7</v>
      </c>
      <c r="CZ324" t="n">
        <v>52.2</v>
      </c>
      <c r="DA324" t="n">
        <v>78.90000000000001</v>
      </c>
      <c r="DB324" t="n">
        <v>32.3</v>
      </c>
      <c r="DC324" t="n">
        <v>69.3</v>
      </c>
      <c r="DD324" t="n">
        <v>51.6</v>
      </c>
      <c r="DE324" t="n">
        <v>73.5</v>
      </c>
      <c r="DF324" t="n">
        <v>32.3</v>
      </c>
      <c r="DG324" t="n">
        <v>69.7</v>
      </c>
      <c r="DH324" t="n">
        <v>52.2</v>
      </c>
      <c r="DI324" t="n">
        <v>78.90000000000001</v>
      </c>
      <c r="DJ324" t="n">
        <v>32.3</v>
      </c>
      <c r="DK324" t="n">
        <v>69.3</v>
      </c>
      <c r="DL324" t="n">
        <v>51.6</v>
      </c>
      <c r="DM324" t="n">
        <v>73.5</v>
      </c>
      <c r="DN324" t="n">
        <v>0</v>
      </c>
      <c r="DO324" t="n">
        <v>0</v>
      </c>
      <c r="DP324" t="n">
        <v>0</v>
      </c>
      <c r="DQ324" t="n">
        <v>0</v>
      </c>
      <c r="DR324" t="n">
        <v>0</v>
      </c>
      <c r="DS324" t="n">
        <v>0</v>
      </c>
      <c r="DT324" t="n">
        <v>0</v>
      </c>
      <c r="DU324" t="n">
        <v>0</v>
      </c>
      <c r="DV324" t="inlineStr">
        <is>
          <t>Megawatt Hours (MWh)</t>
        </is>
      </c>
    </row>
    <row r="325">
      <c r="A325" t="inlineStr">
        <is>
          <t>PJM.BGE_month_off_dap - NODAL EXCHANGE</t>
        </is>
      </c>
      <c r="B325" t="n">
        <v>230110</v>
      </c>
      <c r="C325" s="1" t="n">
        <v>44936</v>
      </c>
      <c r="D325" t="inlineStr">
        <is>
          <t>064DPR</t>
        </is>
      </c>
      <c r="E325" t="inlineStr">
        <is>
          <t>NODX</t>
        </is>
      </c>
      <c r="F325" t="inlineStr">
        <is>
          <t>01</t>
        </is>
      </c>
      <c r="G325" t="inlineStr">
        <is>
          <t xml:space="preserve">064 </t>
        </is>
      </c>
      <c r="H325" t="n">
        <v>23112</v>
      </c>
      <c r="I325" s="17" t="n">
        <v>1270</v>
      </c>
      <c r="J325" s="17" t="n">
        <v>2190</v>
      </c>
      <c r="K325" t="n">
        <v>235</v>
      </c>
      <c r="L325" t="n">
        <v>17187</v>
      </c>
      <c r="M325" t="n">
        <v>16502</v>
      </c>
      <c r="N325" t="n">
        <v>18692</v>
      </c>
      <c r="O325" t="n">
        <v>18927</v>
      </c>
      <c r="P325" t="n">
        <v>4420</v>
      </c>
      <c r="Q325" t="n">
        <v>4185</v>
      </c>
      <c r="R325" t="n">
        <v>23112</v>
      </c>
      <c r="S325" t="n">
        <v>1270</v>
      </c>
      <c r="T325" t="n">
        <v>2190</v>
      </c>
      <c r="U325" t="n">
        <v>235</v>
      </c>
      <c r="V325" t="n">
        <v>17187</v>
      </c>
      <c r="W325" t="n">
        <v>16502</v>
      </c>
      <c r="X325" t="n">
        <v>18692</v>
      </c>
      <c r="Y325" t="n">
        <v>18927</v>
      </c>
      <c r="Z325" t="n">
        <v>4420</v>
      </c>
      <c r="AA325" t="n">
        <v>4185</v>
      </c>
      <c r="AB325" t="n">
        <v>0</v>
      </c>
      <c r="AC325" t="n">
        <v>0</v>
      </c>
      <c r="AD325" t="n">
        <v>0</v>
      </c>
      <c r="AE325" t="n">
        <v>0</v>
      </c>
      <c r="AF325" t="n">
        <v>0</v>
      </c>
      <c r="AG325" t="n">
        <v>0</v>
      </c>
      <c r="AH325" t="n">
        <v>0</v>
      </c>
      <c r="AI325" t="n">
        <v>0</v>
      </c>
      <c r="AJ325" t="n">
        <v>0</v>
      </c>
      <c r="AK325" t="n">
        <v>0</v>
      </c>
      <c r="AL325" t="n">
        <v>-1910</v>
      </c>
      <c r="AM325" t="n">
        <v>25</v>
      </c>
      <c r="AN325" t="n">
        <v>-265</v>
      </c>
      <c r="AO325" t="n">
        <v>-25</v>
      </c>
      <c r="AP325" t="n">
        <v>-1540</v>
      </c>
      <c r="AQ325" t="n">
        <v>-1175</v>
      </c>
      <c r="AR325" t="n">
        <v>-1540</v>
      </c>
      <c r="AS325" t="n">
        <v>-1465</v>
      </c>
      <c r="AT325" t="n">
        <v>-370</v>
      </c>
      <c r="AU325" t="n">
        <v>-445</v>
      </c>
      <c r="AV325" t="n">
        <v>100</v>
      </c>
      <c r="AW325" t="n">
        <v>5.5</v>
      </c>
      <c r="AX325" t="n">
        <v>9.5</v>
      </c>
      <c r="AY325" t="n">
        <v>1</v>
      </c>
      <c r="AZ325" t="n">
        <v>74.40000000000001</v>
      </c>
      <c r="BA325" t="n">
        <v>71.40000000000001</v>
      </c>
      <c r="BB325" t="n">
        <v>80.90000000000001</v>
      </c>
      <c r="BC325" t="n">
        <v>81.90000000000001</v>
      </c>
      <c r="BD325" t="n">
        <v>19.1</v>
      </c>
      <c r="BE325" t="n">
        <v>18.1</v>
      </c>
      <c r="BF325" t="n">
        <v>100</v>
      </c>
      <c r="BG325" t="n">
        <v>5.5</v>
      </c>
      <c r="BH325" t="n">
        <v>9.5</v>
      </c>
      <c r="BI325" t="n">
        <v>1</v>
      </c>
      <c r="BJ325" t="n">
        <v>74.40000000000001</v>
      </c>
      <c r="BK325" t="n">
        <v>71.40000000000001</v>
      </c>
      <c r="BL325" t="n">
        <v>80.90000000000001</v>
      </c>
      <c r="BM325" t="n">
        <v>81.90000000000001</v>
      </c>
      <c r="BN325" t="n">
        <v>19.1</v>
      </c>
      <c r="BO325" t="n">
        <v>18.1</v>
      </c>
      <c r="BP325" t="n">
        <v>0</v>
      </c>
      <c r="BQ325" t="n">
        <v>0</v>
      </c>
      <c r="BR325" t="n">
        <v>0</v>
      </c>
      <c r="BS325" t="n">
        <v>0</v>
      </c>
      <c r="BT325" t="n">
        <v>0</v>
      </c>
      <c r="BU325" t="n">
        <v>0</v>
      </c>
      <c r="BV325" t="n">
        <v>0</v>
      </c>
      <c r="BW325" t="n">
        <v>0</v>
      </c>
      <c r="BX325" t="n">
        <v>0</v>
      </c>
      <c r="BY325" t="n">
        <v>0</v>
      </c>
      <c r="BZ325" t="n">
        <v>30</v>
      </c>
      <c r="CA325" t="n">
        <v>2</v>
      </c>
      <c r="CB325" t="n">
        <v>2</v>
      </c>
      <c r="CC325" t="n">
        <v>3</v>
      </c>
      <c r="CD325" t="n">
        <v>24</v>
      </c>
      <c r="CE325" t="n">
        <v>11</v>
      </c>
      <c r="CF325" t="n">
        <v>28</v>
      </c>
      <c r="CG325" t="n">
        <v>14</v>
      </c>
      <c r="CH325" t="n">
        <v>30</v>
      </c>
      <c r="CI325" t="n">
        <v>2</v>
      </c>
      <c r="CJ325" t="n">
        <v>2</v>
      </c>
      <c r="CK325" t="n">
        <v>3</v>
      </c>
      <c r="CL325" t="n">
        <v>24</v>
      </c>
      <c r="CM325" t="n">
        <v>11</v>
      </c>
      <c r="CN325" t="n">
        <v>28</v>
      </c>
      <c r="CO325" t="n">
        <v>14</v>
      </c>
      <c r="CP325" t="n">
        <v>0</v>
      </c>
      <c r="CQ325" t="n">
        <v>0</v>
      </c>
      <c r="CR325" t="n">
        <v>0</v>
      </c>
      <c r="CS325" t="n">
        <v>0</v>
      </c>
      <c r="CT325" t="n">
        <v>0</v>
      </c>
      <c r="CU325" t="n">
        <v>0</v>
      </c>
      <c r="CV325" t="n">
        <v>0</v>
      </c>
      <c r="CW325" t="n">
        <v>0</v>
      </c>
      <c r="CX325" t="n">
        <v>32.9</v>
      </c>
      <c r="CY325" t="n">
        <v>70.8</v>
      </c>
      <c r="CZ325" t="n">
        <v>53.3</v>
      </c>
      <c r="DA325" t="n">
        <v>79.5</v>
      </c>
      <c r="DB325" t="n">
        <v>32.7</v>
      </c>
      <c r="DC325" t="n">
        <v>70.5</v>
      </c>
      <c r="DD325" t="n">
        <v>52.7</v>
      </c>
      <c r="DE325" t="n">
        <v>73.8</v>
      </c>
      <c r="DF325" t="n">
        <v>32.9</v>
      </c>
      <c r="DG325" t="n">
        <v>70.8</v>
      </c>
      <c r="DH325" t="n">
        <v>53.3</v>
      </c>
      <c r="DI325" t="n">
        <v>79.5</v>
      </c>
      <c r="DJ325" t="n">
        <v>32.7</v>
      </c>
      <c r="DK325" t="n">
        <v>70.5</v>
      </c>
      <c r="DL325" t="n">
        <v>52.7</v>
      </c>
      <c r="DM325" t="n">
        <v>73.8</v>
      </c>
      <c r="DN325" t="n">
        <v>0</v>
      </c>
      <c r="DO325" t="n">
        <v>0</v>
      </c>
      <c r="DP325" t="n">
        <v>0</v>
      </c>
      <c r="DQ325" t="n">
        <v>0</v>
      </c>
      <c r="DR325" t="n">
        <v>0</v>
      </c>
      <c r="DS325" t="n">
        <v>0</v>
      </c>
      <c r="DT325" t="n">
        <v>0</v>
      </c>
      <c r="DU325" t="n">
        <v>0</v>
      </c>
      <c r="DV325" t="inlineStr">
        <is>
          <t>Megawatt Hours (MWh)</t>
        </is>
      </c>
    </row>
    <row r="326">
      <c r="A326" t="inlineStr">
        <is>
          <t>PJM.BGE_month_off_dap - NODAL EXCHANGE</t>
        </is>
      </c>
      <c r="B326" t="n">
        <v>230103</v>
      </c>
      <c r="C326" s="1" t="n">
        <v>44929</v>
      </c>
      <c r="D326" t="inlineStr">
        <is>
          <t>064DPR</t>
        </is>
      </c>
      <c r="E326" t="inlineStr">
        <is>
          <t>NODX</t>
        </is>
      </c>
      <c r="F326" t="inlineStr">
        <is>
          <t>01</t>
        </is>
      </c>
      <c r="G326" t="inlineStr">
        <is>
          <t xml:space="preserve">064 </t>
        </is>
      </c>
      <c r="H326" t="n">
        <v>25022</v>
      </c>
      <c r="I326" s="17" t="n">
        <v>1245</v>
      </c>
      <c r="J326" s="17" t="n">
        <v>2455</v>
      </c>
      <c r="K326" t="n">
        <v>260</v>
      </c>
      <c r="L326" t="n">
        <v>18727</v>
      </c>
      <c r="M326" t="n">
        <v>17677</v>
      </c>
      <c r="N326" t="n">
        <v>20232</v>
      </c>
      <c r="O326" t="n">
        <v>20392</v>
      </c>
      <c r="P326" t="n">
        <v>4790</v>
      </c>
      <c r="Q326" t="n">
        <v>4630</v>
      </c>
      <c r="R326" t="n">
        <v>25022</v>
      </c>
      <c r="S326" t="n">
        <v>1245</v>
      </c>
      <c r="T326" t="n">
        <v>2455</v>
      </c>
      <c r="U326" t="n">
        <v>260</v>
      </c>
      <c r="V326" t="n">
        <v>18727</v>
      </c>
      <c r="W326" t="n">
        <v>17677</v>
      </c>
      <c r="X326" t="n">
        <v>20232</v>
      </c>
      <c r="Y326" t="n">
        <v>20392</v>
      </c>
      <c r="Z326" t="n">
        <v>4790</v>
      </c>
      <c r="AA326" t="n">
        <v>4630</v>
      </c>
      <c r="AB326" t="n">
        <v>0</v>
      </c>
      <c r="AC326" t="n">
        <v>0</v>
      </c>
      <c r="AD326" t="n">
        <v>0</v>
      </c>
      <c r="AE326" t="n">
        <v>0</v>
      </c>
      <c r="AF326" t="n">
        <v>0</v>
      </c>
      <c r="AG326" t="n">
        <v>0</v>
      </c>
      <c r="AH326" t="n">
        <v>0</v>
      </c>
      <c r="AI326" t="n">
        <v>0</v>
      </c>
      <c r="AJ326" t="n">
        <v>0</v>
      </c>
      <c r="AK326" t="n">
        <v>0</v>
      </c>
      <c r="AL326" t="n">
        <v>20</v>
      </c>
      <c r="AM326" t="n">
        <v>0</v>
      </c>
      <c r="AN326" t="n">
        <v>0</v>
      </c>
      <c r="AO326" t="n">
        <v>0</v>
      </c>
      <c r="AP326" t="n">
        <v>20</v>
      </c>
      <c r="AQ326" t="n">
        <v>20</v>
      </c>
      <c r="AR326" t="n">
        <v>20</v>
      </c>
      <c r="AS326" t="n">
        <v>20</v>
      </c>
      <c r="AT326" t="n">
        <v>0</v>
      </c>
      <c r="AU326" t="n">
        <v>0</v>
      </c>
      <c r="AV326" t="n">
        <v>100</v>
      </c>
      <c r="AW326" t="n">
        <v>5</v>
      </c>
      <c r="AX326" t="n">
        <v>9.800000000000001</v>
      </c>
      <c r="AY326" t="n">
        <v>1</v>
      </c>
      <c r="AZ326" t="n">
        <v>74.8</v>
      </c>
      <c r="BA326" t="n">
        <v>70.59999999999999</v>
      </c>
      <c r="BB326" t="n">
        <v>80.90000000000001</v>
      </c>
      <c r="BC326" t="n">
        <v>81.5</v>
      </c>
      <c r="BD326" t="n">
        <v>19.1</v>
      </c>
      <c r="BE326" t="n">
        <v>18.5</v>
      </c>
      <c r="BF326" t="n">
        <v>100</v>
      </c>
      <c r="BG326" t="n">
        <v>5</v>
      </c>
      <c r="BH326" t="n">
        <v>9.800000000000001</v>
      </c>
      <c r="BI326" t="n">
        <v>1</v>
      </c>
      <c r="BJ326" t="n">
        <v>74.8</v>
      </c>
      <c r="BK326" t="n">
        <v>70.59999999999999</v>
      </c>
      <c r="BL326" t="n">
        <v>80.90000000000001</v>
      </c>
      <c r="BM326" t="n">
        <v>81.5</v>
      </c>
      <c r="BN326" t="n">
        <v>19.1</v>
      </c>
      <c r="BO326" t="n">
        <v>18.5</v>
      </c>
      <c r="BP326" t="n">
        <v>0</v>
      </c>
      <c r="BQ326" t="n">
        <v>0</v>
      </c>
      <c r="BR326" t="n">
        <v>0</v>
      </c>
      <c r="BS326" t="n">
        <v>0</v>
      </c>
      <c r="BT326" t="n">
        <v>0</v>
      </c>
      <c r="BU326" t="n">
        <v>0</v>
      </c>
      <c r="BV326" t="n">
        <v>0</v>
      </c>
      <c r="BW326" t="n">
        <v>0</v>
      </c>
      <c r="BX326" t="n">
        <v>0</v>
      </c>
      <c r="BY326" t="n">
        <v>0</v>
      </c>
      <c r="BZ326" t="n">
        <v>31</v>
      </c>
      <c r="CA326" t="n">
        <v>2</v>
      </c>
      <c r="CB326" t="n">
        <v>2</v>
      </c>
      <c r="CC326" t="n">
        <v>3</v>
      </c>
      <c r="CD326" t="n">
        <v>25</v>
      </c>
      <c r="CE326" t="n">
        <v>10</v>
      </c>
      <c r="CF326" t="n">
        <v>29</v>
      </c>
      <c r="CG326" t="n">
        <v>13</v>
      </c>
      <c r="CH326" t="n">
        <v>31</v>
      </c>
      <c r="CI326" t="n">
        <v>2</v>
      </c>
      <c r="CJ326" t="n">
        <v>2</v>
      </c>
      <c r="CK326" t="n">
        <v>3</v>
      </c>
      <c r="CL326" t="n">
        <v>25</v>
      </c>
      <c r="CM326" t="n">
        <v>10</v>
      </c>
      <c r="CN326" t="n">
        <v>29</v>
      </c>
      <c r="CO326" t="n">
        <v>13</v>
      </c>
      <c r="CP326" t="n">
        <v>0</v>
      </c>
      <c r="CQ326" t="n">
        <v>0</v>
      </c>
      <c r="CR326" t="n">
        <v>0</v>
      </c>
      <c r="CS326" t="n">
        <v>0</v>
      </c>
      <c r="CT326" t="n">
        <v>0</v>
      </c>
      <c r="CU326" t="n">
        <v>0</v>
      </c>
      <c r="CV326" t="n">
        <v>0</v>
      </c>
      <c r="CW326" t="n">
        <v>0</v>
      </c>
      <c r="CX326" t="n">
        <v>31.9</v>
      </c>
      <c r="CY326" t="n">
        <v>69.7</v>
      </c>
      <c r="CZ326" t="n">
        <v>51.8</v>
      </c>
      <c r="DA326" t="n">
        <v>78.90000000000001</v>
      </c>
      <c r="DB326" t="n">
        <v>31.9</v>
      </c>
      <c r="DC326" t="n">
        <v>69.40000000000001</v>
      </c>
      <c r="DD326" t="n">
        <v>51.2</v>
      </c>
      <c r="DE326" t="n">
        <v>73.40000000000001</v>
      </c>
      <c r="DF326" t="n">
        <v>31.9</v>
      </c>
      <c r="DG326" t="n">
        <v>69.7</v>
      </c>
      <c r="DH326" t="n">
        <v>51.8</v>
      </c>
      <c r="DI326" t="n">
        <v>78.90000000000001</v>
      </c>
      <c r="DJ326" t="n">
        <v>31.9</v>
      </c>
      <c r="DK326" t="n">
        <v>69.40000000000001</v>
      </c>
      <c r="DL326" t="n">
        <v>51.2</v>
      </c>
      <c r="DM326" t="n">
        <v>73.40000000000001</v>
      </c>
      <c r="DN326" t="n">
        <v>0</v>
      </c>
      <c r="DO326" t="n">
        <v>0</v>
      </c>
      <c r="DP326" t="n">
        <v>0</v>
      </c>
      <c r="DQ326" t="n">
        <v>0</v>
      </c>
      <c r="DR326" t="n">
        <v>0</v>
      </c>
      <c r="DS326" t="n">
        <v>0</v>
      </c>
      <c r="DT326" t="n">
        <v>0</v>
      </c>
      <c r="DU326" t="n">
        <v>0</v>
      </c>
      <c r="DV326" t="inlineStr">
        <is>
          <t>Megawatt Hours (MWh)</t>
        </is>
      </c>
    </row>
    <row r="327">
      <c r="A327" t="inlineStr">
        <is>
          <t>PJM.COMED_month_on_dap - NODAL EXCHANGE</t>
        </is>
      </c>
      <c r="B327" t="n">
        <v>230110</v>
      </c>
      <c r="C327" s="1" t="n">
        <v>44936</v>
      </c>
      <c r="D327" t="inlineStr">
        <is>
          <t>064DVO</t>
        </is>
      </c>
      <c r="E327" t="inlineStr">
        <is>
          <t>NODX</t>
        </is>
      </c>
      <c r="F327" t="inlineStr">
        <is>
          <t>01</t>
        </is>
      </c>
      <c r="G327" t="inlineStr">
        <is>
          <t xml:space="preserve">064 </t>
        </is>
      </c>
      <c r="H327" t="n">
        <v>24653</v>
      </c>
      <c r="I327" s="17" t="n">
        <v>0</v>
      </c>
      <c r="J327" s="17" t="n">
        <v>5987</v>
      </c>
      <c r="K327" t="n">
        <v>140</v>
      </c>
      <c r="L327" t="n">
        <v>23954</v>
      </c>
      <c r="M327" t="n">
        <v>18381</v>
      </c>
      <c r="N327" t="n">
        <v>24094</v>
      </c>
      <c r="O327" t="n">
        <v>24508</v>
      </c>
      <c r="P327" t="n">
        <v>559</v>
      </c>
      <c r="Q327" t="n">
        <v>145</v>
      </c>
      <c r="R327" t="n">
        <v>24653</v>
      </c>
      <c r="S327" t="n">
        <v>0</v>
      </c>
      <c r="T327" t="n">
        <v>5987</v>
      </c>
      <c r="U327" t="n">
        <v>140</v>
      </c>
      <c r="V327" t="n">
        <v>23954</v>
      </c>
      <c r="W327" t="n">
        <v>18381</v>
      </c>
      <c r="X327" t="n">
        <v>24094</v>
      </c>
      <c r="Y327" t="n">
        <v>24508</v>
      </c>
      <c r="Z327" t="n">
        <v>559</v>
      </c>
      <c r="AA327" t="n">
        <v>145</v>
      </c>
      <c r="AB327" t="n">
        <v>0</v>
      </c>
      <c r="AC327" t="n">
        <v>0</v>
      </c>
      <c r="AD327" t="n">
        <v>0</v>
      </c>
      <c r="AE327" t="n">
        <v>0</v>
      </c>
      <c r="AF327" t="n">
        <v>0</v>
      </c>
      <c r="AG327" t="n">
        <v>0</v>
      </c>
      <c r="AH327" t="n">
        <v>0</v>
      </c>
      <c r="AI327" t="n">
        <v>0</v>
      </c>
      <c r="AJ327" t="n">
        <v>0</v>
      </c>
      <c r="AK327" t="n">
        <v>0</v>
      </c>
      <c r="AL327" t="n">
        <v>-1027</v>
      </c>
      <c r="AM327" t="n">
        <v>0</v>
      </c>
      <c r="AN327" t="n">
        <v>-195</v>
      </c>
      <c r="AO327" t="n">
        <v>140</v>
      </c>
      <c r="AP327" t="n">
        <v>-1135</v>
      </c>
      <c r="AQ327" t="n">
        <v>-972</v>
      </c>
      <c r="AR327" t="n">
        <v>-995</v>
      </c>
      <c r="AS327" t="n">
        <v>-1027</v>
      </c>
      <c r="AT327" t="n">
        <v>-32</v>
      </c>
      <c r="AU327" t="n">
        <v>0</v>
      </c>
      <c r="AV327" t="n">
        <v>100</v>
      </c>
      <c r="AW327" t="n">
        <v>0</v>
      </c>
      <c r="AX327" t="n">
        <v>24.3</v>
      </c>
      <c r="AY327" t="n">
        <v>0.6</v>
      </c>
      <c r="AZ327" t="n">
        <v>97.2</v>
      </c>
      <c r="BA327" t="n">
        <v>74.59999999999999</v>
      </c>
      <c r="BB327" t="n">
        <v>97.7</v>
      </c>
      <c r="BC327" t="n">
        <v>99.40000000000001</v>
      </c>
      <c r="BD327" t="n">
        <v>2.3</v>
      </c>
      <c r="BE327" t="n">
        <v>0.6</v>
      </c>
      <c r="BF327" t="n">
        <v>100</v>
      </c>
      <c r="BG327" t="n">
        <v>0</v>
      </c>
      <c r="BH327" t="n">
        <v>24.3</v>
      </c>
      <c r="BI327" t="n">
        <v>0.6</v>
      </c>
      <c r="BJ327" t="n">
        <v>97.2</v>
      </c>
      <c r="BK327" t="n">
        <v>74.59999999999999</v>
      </c>
      <c r="BL327" t="n">
        <v>97.7</v>
      </c>
      <c r="BM327" t="n">
        <v>99.40000000000001</v>
      </c>
      <c r="BN327" t="n">
        <v>2.3</v>
      </c>
      <c r="BO327" t="n">
        <v>0.6</v>
      </c>
      <c r="BP327" t="n">
        <v>0</v>
      </c>
      <c r="BQ327" t="n">
        <v>0</v>
      </c>
      <c r="BR327" t="n">
        <v>0</v>
      </c>
      <c r="BS327" t="n">
        <v>0</v>
      </c>
      <c r="BT327" t="n">
        <v>0</v>
      </c>
      <c r="BU327" t="n">
        <v>0</v>
      </c>
      <c r="BV327" t="n">
        <v>0</v>
      </c>
      <c r="BW327" t="n">
        <v>0</v>
      </c>
      <c r="BX327" t="n">
        <v>0</v>
      </c>
      <c r="BY327" t="n">
        <v>0</v>
      </c>
      <c r="BZ327" t="n">
        <v>22</v>
      </c>
      <c r="CA327" t="n">
        <v>0</v>
      </c>
      <c r="CB327" t="n">
        <v>2</v>
      </c>
      <c r="CC327" t="n">
        <v>1</v>
      </c>
      <c r="CD327" t="n">
        <v>15</v>
      </c>
      <c r="CE327" t="n">
        <v>8</v>
      </c>
      <c r="CF327" t="n">
        <v>16</v>
      </c>
      <c r="CG327" t="n">
        <v>10</v>
      </c>
      <c r="CH327" t="n">
        <v>22</v>
      </c>
      <c r="CI327" t="n">
        <v>0</v>
      </c>
      <c r="CJ327" t="n">
        <v>2</v>
      </c>
      <c r="CK327" t="n">
        <v>1</v>
      </c>
      <c r="CL327" t="n">
        <v>15</v>
      </c>
      <c r="CM327" t="n">
        <v>8</v>
      </c>
      <c r="CN327" t="n">
        <v>16</v>
      </c>
      <c r="CO327" t="n">
        <v>10</v>
      </c>
      <c r="CP327" t="n">
        <v>0</v>
      </c>
      <c r="CQ327" t="n">
        <v>0</v>
      </c>
      <c r="CR327" t="n">
        <v>0</v>
      </c>
      <c r="CS327" t="n">
        <v>0</v>
      </c>
      <c r="CT327" t="n">
        <v>0</v>
      </c>
      <c r="CU327" t="n">
        <v>0</v>
      </c>
      <c r="CV327" t="n">
        <v>0</v>
      </c>
      <c r="CW327" t="n">
        <v>0</v>
      </c>
      <c r="CX327" t="n">
        <v>64.7</v>
      </c>
      <c r="CY327" t="n">
        <v>76.8</v>
      </c>
      <c r="CZ327" t="n">
        <v>85</v>
      </c>
      <c r="DA327" t="n">
        <v>97.7</v>
      </c>
      <c r="DB327" t="n">
        <v>64.7</v>
      </c>
      <c r="DC327" t="n">
        <v>73.7</v>
      </c>
      <c r="DD327" t="n">
        <v>85</v>
      </c>
      <c r="DE327" t="n">
        <v>93.09999999999999</v>
      </c>
      <c r="DF327" t="n">
        <v>64.7</v>
      </c>
      <c r="DG327" t="n">
        <v>76.8</v>
      </c>
      <c r="DH327" t="n">
        <v>85</v>
      </c>
      <c r="DI327" t="n">
        <v>97.7</v>
      </c>
      <c r="DJ327" t="n">
        <v>64.7</v>
      </c>
      <c r="DK327" t="n">
        <v>73.7</v>
      </c>
      <c r="DL327" t="n">
        <v>85</v>
      </c>
      <c r="DM327" t="n">
        <v>93.09999999999999</v>
      </c>
      <c r="DN327" t="n">
        <v>0</v>
      </c>
      <c r="DO327" t="n">
        <v>0</v>
      </c>
      <c r="DP327" t="n">
        <v>0</v>
      </c>
      <c r="DQ327" t="n">
        <v>0</v>
      </c>
      <c r="DR327" t="n">
        <v>0</v>
      </c>
      <c r="DS327" t="n">
        <v>0</v>
      </c>
      <c r="DT327" t="n">
        <v>0</v>
      </c>
      <c r="DU327" t="n">
        <v>0</v>
      </c>
      <c r="DV327" t="inlineStr">
        <is>
          <t>Megawatt Hours (MWh)</t>
        </is>
      </c>
    </row>
    <row r="328">
      <c r="A328" t="inlineStr">
        <is>
          <t>PJM.COMED_month_on_dap - NODAL EXCHANGE</t>
        </is>
      </c>
      <c r="B328" t="n">
        <v>230103</v>
      </c>
      <c r="C328" s="1" t="n">
        <v>44929</v>
      </c>
      <c r="D328" t="inlineStr">
        <is>
          <t>064DVO</t>
        </is>
      </c>
      <c r="E328" t="inlineStr">
        <is>
          <t>NODX</t>
        </is>
      </c>
      <c r="F328" t="inlineStr">
        <is>
          <t>01</t>
        </is>
      </c>
      <c r="G328" t="inlineStr">
        <is>
          <t xml:space="preserve">064 </t>
        </is>
      </c>
      <c r="H328" t="n">
        <v>25680</v>
      </c>
      <c r="I328" s="17" t="n">
        <v>0</v>
      </c>
      <c r="J328" s="17" t="n">
        <v>6182</v>
      </c>
      <c r="K328" t="n">
        <v>0</v>
      </c>
      <c r="L328" t="n">
        <v>25089</v>
      </c>
      <c r="M328" t="n">
        <v>19353</v>
      </c>
      <c r="N328" t="n">
        <v>25089</v>
      </c>
      <c r="O328" t="n">
        <v>25535</v>
      </c>
      <c r="P328" t="n">
        <v>591</v>
      </c>
      <c r="Q328" t="n">
        <v>145</v>
      </c>
      <c r="R328" t="n">
        <v>25680</v>
      </c>
      <c r="S328" t="n">
        <v>0</v>
      </c>
      <c r="T328" t="n">
        <v>6182</v>
      </c>
      <c r="U328" t="n">
        <v>0</v>
      </c>
      <c r="V328" t="n">
        <v>25089</v>
      </c>
      <c r="W328" t="n">
        <v>19353</v>
      </c>
      <c r="X328" t="n">
        <v>25089</v>
      </c>
      <c r="Y328" t="n">
        <v>25535</v>
      </c>
      <c r="Z328" t="n">
        <v>591</v>
      </c>
      <c r="AA328" t="n">
        <v>145</v>
      </c>
      <c r="AB328" t="n">
        <v>0</v>
      </c>
      <c r="AC328" t="n">
        <v>0</v>
      </c>
      <c r="AD328" t="n">
        <v>0</v>
      </c>
      <c r="AE328" t="n">
        <v>0</v>
      </c>
      <c r="AF328" t="n">
        <v>0</v>
      </c>
      <c r="AG328" t="n">
        <v>0</v>
      </c>
      <c r="AH328" t="n">
        <v>0</v>
      </c>
      <c r="AI328" t="n">
        <v>0</v>
      </c>
      <c r="AJ328" t="n">
        <v>0</v>
      </c>
      <c r="AK328" t="n">
        <v>0</v>
      </c>
      <c r="AL328" t="n">
        <v>217</v>
      </c>
      <c r="AM328" t="n">
        <v>0</v>
      </c>
      <c r="AN328" t="n">
        <v>212</v>
      </c>
      <c r="AO328" t="n">
        <v>0</v>
      </c>
      <c r="AP328" t="n">
        <v>97</v>
      </c>
      <c r="AQ328" t="n">
        <v>5</v>
      </c>
      <c r="AR328" t="n">
        <v>97</v>
      </c>
      <c r="AS328" t="n">
        <v>217</v>
      </c>
      <c r="AT328" t="n">
        <v>120</v>
      </c>
      <c r="AU328" t="n">
        <v>0</v>
      </c>
      <c r="AV328" t="n">
        <v>100</v>
      </c>
      <c r="AW328" t="n">
        <v>0</v>
      </c>
      <c r="AX328" t="n">
        <v>24.1</v>
      </c>
      <c r="AY328" t="n">
        <v>0</v>
      </c>
      <c r="AZ328" t="n">
        <v>97.7</v>
      </c>
      <c r="BA328" t="n">
        <v>75.40000000000001</v>
      </c>
      <c r="BB328" t="n">
        <v>97.7</v>
      </c>
      <c r="BC328" t="n">
        <v>99.40000000000001</v>
      </c>
      <c r="BD328" t="n">
        <v>2.3</v>
      </c>
      <c r="BE328" t="n">
        <v>0.6</v>
      </c>
      <c r="BF328" t="n">
        <v>100</v>
      </c>
      <c r="BG328" t="n">
        <v>0</v>
      </c>
      <c r="BH328" t="n">
        <v>24.1</v>
      </c>
      <c r="BI328" t="n">
        <v>0</v>
      </c>
      <c r="BJ328" t="n">
        <v>97.7</v>
      </c>
      <c r="BK328" t="n">
        <v>75.40000000000001</v>
      </c>
      <c r="BL328" t="n">
        <v>97.7</v>
      </c>
      <c r="BM328" t="n">
        <v>99.40000000000001</v>
      </c>
      <c r="BN328" t="n">
        <v>2.3</v>
      </c>
      <c r="BO328" t="n">
        <v>0.6</v>
      </c>
      <c r="BP328" t="n">
        <v>0</v>
      </c>
      <c r="BQ328" t="n">
        <v>0</v>
      </c>
      <c r="BR328" t="n">
        <v>0</v>
      </c>
      <c r="BS328" t="n">
        <v>0</v>
      </c>
      <c r="BT328" t="n">
        <v>0</v>
      </c>
      <c r="BU328" t="n">
        <v>0</v>
      </c>
      <c r="BV328" t="n">
        <v>0</v>
      </c>
      <c r="BW328" t="n">
        <v>0</v>
      </c>
      <c r="BX328" t="n">
        <v>0</v>
      </c>
      <c r="BY328" t="n">
        <v>0</v>
      </c>
      <c r="BZ328" t="n">
        <v>22</v>
      </c>
      <c r="CA328" t="n">
        <v>0</v>
      </c>
      <c r="CB328" t="n">
        <v>2</v>
      </c>
      <c r="CC328" t="n">
        <v>0</v>
      </c>
      <c r="CD328" t="n">
        <v>15</v>
      </c>
      <c r="CE328" t="n">
        <v>9</v>
      </c>
      <c r="CF328" t="n">
        <v>15</v>
      </c>
      <c r="CG328" t="n">
        <v>11</v>
      </c>
      <c r="CH328" t="n">
        <v>22</v>
      </c>
      <c r="CI328" t="n">
        <v>0</v>
      </c>
      <c r="CJ328" t="n">
        <v>2</v>
      </c>
      <c r="CK328" t="n">
        <v>0</v>
      </c>
      <c r="CL328" t="n">
        <v>15</v>
      </c>
      <c r="CM328" t="n">
        <v>9</v>
      </c>
      <c r="CN328" t="n">
        <v>15</v>
      </c>
      <c r="CO328" t="n">
        <v>11</v>
      </c>
      <c r="CP328" t="n">
        <v>0</v>
      </c>
      <c r="CQ328" t="n">
        <v>0</v>
      </c>
      <c r="CR328" t="n">
        <v>0</v>
      </c>
      <c r="CS328" t="n">
        <v>0</v>
      </c>
      <c r="CT328" t="n">
        <v>0</v>
      </c>
      <c r="CU328" t="n">
        <v>0</v>
      </c>
      <c r="CV328" t="n">
        <v>0</v>
      </c>
      <c r="CW328" t="n">
        <v>0</v>
      </c>
      <c r="CX328" t="n">
        <v>63.4</v>
      </c>
      <c r="CY328" t="n">
        <v>74.90000000000001</v>
      </c>
      <c r="CZ328" t="n">
        <v>85.09999999999999</v>
      </c>
      <c r="DA328" t="n">
        <v>97.7</v>
      </c>
      <c r="DB328" t="n">
        <v>63.4</v>
      </c>
      <c r="DC328" t="n">
        <v>70.5</v>
      </c>
      <c r="DD328" t="n">
        <v>84.7</v>
      </c>
      <c r="DE328" t="n">
        <v>92.5</v>
      </c>
      <c r="DF328" t="n">
        <v>63.4</v>
      </c>
      <c r="DG328" t="n">
        <v>74.90000000000001</v>
      </c>
      <c r="DH328" t="n">
        <v>85.09999999999999</v>
      </c>
      <c r="DI328" t="n">
        <v>97.7</v>
      </c>
      <c r="DJ328" t="n">
        <v>63.4</v>
      </c>
      <c r="DK328" t="n">
        <v>70.5</v>
      </c>
      <c r="DL328" t="n">
        <v>84.7</v>
      </c>
      <c r="DM328" t="n">
        <v>92.5</v>
      </c>
      <c r="DN328" t="n">
        <v>0</v>
      </c>
      <c r="DO328" t="n">
        <v>0</v>
      </c>
      <c r="DP328" t="n">
        <v>0</v>
      </c>
      <c r="DQ328" t="n">
        <v>0</v>
      </c>
      <c r="DR328" t="n">
        <v>0</v>
      </c>
      <c r="DS328" t="n">
        <v>0</v>
      </c>
      <c r="DT328" t="n">
        <v>0</v>
      </c>
      <c r="DU328" t="n">
        <v>0</v>
      </c>
      <c r="DV328" t="inlineStr">
        <is>
          <t>Megawatt Hours (MWh)</t>
        </is>
      </c>
    </row>
    <row r="329">
      <c r="A329" t="inlineStr">
        <is>
          <t>PJM.COMED_month_off_dap - NODAL EXCHANGE</t>
        </is>
      </c>
      <c r="B329" t="n">
        <v>230110</v>
      </c>
      <c r="C329" s="1" t="n">
        <v>44936</v>
      </c>
      <c r="D329" t="inlineStr">
        <is>
          <t>064DVP</t>
        </is>
      </c>
      <c r="E329" t="inlineStr">
        <is>
          <t>NODX</t>
        </is>
      </c>
      <c r="F329" t="inlineStr">
        <is>
          <t>01</t>
        </is>
      </c>
      <c r="G329" t="inlineStr">
        <is>
          <t xml:space="preserve">064 </t>
        </is>
      </c>
      <c r="H329" t="n">
        <v>23469</v>
      </c>
      <c r="I329" s="17" t="n">
        <v>50</v>
      </c>
      <c r="J329" s="17" t="n">
        <v>5687</v>
      </c>
      <c r="K329" t="n">
        <v>140</v>
      </c>
      <c r="L329" t="n">
        <v>22844</v>
      </c>
      <c r="M329" t="n">
        <v>17437</v>
      </c>
      <c r="N329" t="n">
        <v>23034</v>
      </c>
      <c r="O329" t="n">
        <v>23264</v>
      </c>
      <c r="P329" t="n">
        <v>435</v>
      </c>
      <c r="Q329" t="n">
        <v>205</v>
      </c>
      <c r="R329" t="n">
        <v>23469</v>
      </c>
      <c r="S329" t="n">
        <v>50</v>
      </c>
      <c r="T329" t="n">
        <v>5687</v>
      </c>
      <c r="U329" t="n">
        <v>140</v>
      </c>
      <c r="V329" t="n">
        <v>22844</v>
      </c>
      <c r="W329" t="n">
        <v>17437</v>
      </c>
      <c r="X329" t="n">
        <v>23034</v>
      </c>
      <c r="Y329" t="n">
        <v>23264</v>
      </c>
      <c r="Z329" t="n">
        <v>435</v>
      </c>
      <c r="AA329" t="n">
        <v>205</v>
      </c>
      <c r="AB329" t="n">
        <v>0</v>
      </c>
      <c r="AC329" t="n">
        <v>0</v>
      </c>
      <c r="AD329" t="n">
        <v>0</v>
      </c>
      <c r="AE329" t="n">
        <v>0</v>
      </c>
      <c r="AF329" t="n">
        <v>0</v>
      </c>
      <c r="AG329" t="n">
        <v>0</v>
      </c>
      <c r="AH329" t="n">
        <v>0</v>
      </c>
      <c r="AI329" t="n">
        <v>0</v>
      </c>
      <c r="AJ329" t="n">
        <v>0</v>
      </c>
      <c r="AK329" t="n">
        <v>0</v>
      </c>
      <c r="AL329" t="n">
        <v>-888</v>
      </c>
      <c r="AM329" t="n">
        <v>0</v>
      </c>
      <c r="AN329" t="n">
        <v>-195</v>
      </c>
      <c r="AO329" t="n">
        <v>140</v>
      </c>
      <c r="AP329" t="n">
        <v>-1015</v>
      </c>
      <c r="AQ329" t="n">
        <v>-833</v>
      </c>
      <c r="AR329" t="n">
        <v>-875</v>
      </c>
      <c r="AS329" t="n">
        <v>-888</v>
      </c>
      <c r="AT329" t="n">
        <v>-13</v>
      </c>
      <c r="AU329" t="n">
        <v>0</v>
      </c>
      <c r="AV329" t="n">
        <v>100</v>
      </c>
      <c r="AW329" t="n">
        <v>0.2</v>
      </c>
      <c r="AX329" t="n">
        <v>24.2</v>
      </c>
      <c r="AY329" t="n">
        <v>0.6</v>
      </c>
      <c r="AZ329" t="n">
        <v>97.3</v>
      </c>
      <c r="BA329" t="n">
        <v>74.3</v>
      </c>
      <c r="BB329" t="n">
        <v>98.09999999999999</v>
      </c>
      <c r="BC329" t="n">
        <v>99.09999999999999</v>
      </c>
      <c r="BD329" t="n">
        <v>1.9</v>
      </c>
      <c r="BE329" t="n">
        <v>0.9</v>
      </c>
      <c r="BF329" t="n">
        <v>100</v>
      </c>
      <c r="BG329" t="n">
        <v>0.2</v>
      </c>
      <c r="BH329" t="n">
        <v>24.2</v>
      </c>
      <c r="BI329" t="n">
        <v>0.6</v>
      </c>
      <c r="BJ329" t="n">
        <v>97.3</v>
      </c>
      <c r="BK329" t="n">
        <v>74.3</v>
      </c>
      <c r="BL329" t="n">
        <v>98.09999999999999</v>
      </c>
      <c r="BM329" t="n">
        <v>99.09999999999999</v>
      </c>
      <c r="BN329" t="n">
        <v>1.9</v>
      </c>
      <c r="BO329" t="n">
        <v>0.9</v>
      </c>
      <c r="BP329" t="n">
        <v>0</v>
      </c>
      <c r="BQ329" t="n">
        <v>0</v>
      </c>
      <c r="BR329" t="n">
        <v>0</v>
      </c>
      <c r="BS329" t="n">
        <v>0</v>
      </c>
      <c r="BT329" t="n">
        <v>0</v>
      </c>
      <c r="BU329" t="n">
        <v>0</v>
      </c>
      <c r="BV329" t="n">
        <v>0</v>
      </c>
      <c r="BW329" t="n">
        <v>0</v>
      </c>
      <c r="BX329" t="n">
        <v>0</v>
      </c>
      <c r="BY329" t="n">
        <v>0</v>
      </c>
      <c r="BZ329" t="n">
        <v>23</v>
      </c>
      <c r="CA329" t="n">
        <v>1</v>
      </c>
      <c r="CB329" t="n">
        <v>2</v>
      </c>
      <c r="CC329" t="n">
        <v>1</v>
      </c>
      <c r="CD329" t="n">
        <v>15</v>
      </c>
      <c r="CE329" t="n">
        <v>7</v>
      </c>
      <c r="CF329" t="n">
        <v>17</v>
      </c>
      <c r="CG329" t="n">
        <v>9</v>
      </c>
      <c r="CH329" t="n">
        <v>23</v>
      </c>
      <c r="CI329" t="n">
        <v>1</v>
      </c>
      <c r="CJ329" t="n">
        <v>2</v>
      </c>
      <c r="CK329" t="n">
        <v>1</v>
      </c>
      <c r="CL329" t="n">
        <v>15</v>
      </c>
      <c r="CM329" t="n">
        <v>7</v>
      </c>
      <c r="CN329" t="n">
        <v>17</v>
      </c>
      <c r="CO329" t="n">
        <v>9</v>
      </c>
      <c r="CP329" t="n">
        <v>0</v>
      </c>
      <c r="CQ329" t="n">
        <v>0</v>
      </c>
      <c r="CR329" t="n">
        <v>0</v>
      </c>
      <c r="CS329" t="n">
        <v>0</v>
      </c>
      <c r="CT329" t="n">
        <v>0</v>
      </c>
      <c r="CU329" t="n">
        <v>0</v>
      </c>
      <c r="CV329" t="n">
        <v>0</v>
      </c>
      <c r="CW329" t="n">
        <v>0</v>
      </c>
      <c r="CX329" t="n">
        <v>65.90000000000001</v>
      </c>
      <c r="CY329" t="n">
        <v>77.3</v>
      </c>
      <c r="CZ329" t="n">
        <v>85</v>
      </c>
      <c r="DA329" t="n">
        <v>97.59999999999999</v>
      </c>
      <c r="DB329" t="n">
        <v>65.90000000000001</v>
      </c>
      <c r="DC329" t="n">
        <v>74.5</v>
      </c>
      <c r="DD329" t="n">
        <v>85</v>
      </c>
      <c r="DE329" t="n">
        <v>93.3</v>
      </c>
      <c r="DF329" t="n">
        <v>65.90000000000001</v>
      </c>
      <c r="DG329" t="n">
        <v>77.3</v>
      </c>
      <c r="DH329" t="n">
        <v>85</v>
      </c>
      <c r="DI329" t="n">
        <v>97.59999999999999</v>
      </c>
      <c r="DJ329" t="n">
        <v>65.90000000000001</v>
      </c>
      <c r="DK329" t="n">
        <v>74.5</v>
      </c>
      <c r="DL329" t="n">
        <v>85</v>
      </c>
      <c r="DM329" t="n">
        <v>93.3</v>
      </c>
      <c r="DN329" t="n">
        <v>0</v>
      </c>
      <c r="DO329" t="n">
        <v>0</v>
      </c>
      <c r="DP329" t="n">
        <v>0</v>
      </c>
      <c r="DQ329" t="n">
        <v>0</v>
      </c>
      <c r="DR329" t="n">
        <v>0</v>
      </c>
      <c r="DS329" t="n">
        <v>0</v>
      </c>
      <c r="DT329" t="n">
        <v>0</v>
      </c>
      <c r="DU329" t="n">
        <v>0</v>
      </c>
      <c r="DV329" t="inlineStr">
        <is>
          <t>Megawatt Hours (MWh)</t>
        </is>
      </c>
    </row>
    <row r="330">
      <c r="A330" t="inlineStr">
        <is>
          <t>PJM.COMED_month_off_dap - NODAL EXCHANGE</t>
        </is>
      </c>
      <c r="B330" t="n">
        <v>230103</v>
      </c>
      <c r="C330" s="1" t="n">
        <v>44929</v>
      </c>
      <c r="D330" t="inlineStr">
        <is>
          <t>064DVP</t>
        </is>
      </c>
      <c r="E330" t="inlineStr">
        <is>
          <t>NODX</t>
        </is>
      </c>
      <c r="F330" t="inlineStr">
        <is>
          <t>01</t>
        </is>
      </c>
      <c r="G330" t="inlineStr">
        <is>
          <t xml:space="preserve">064 </t>
        </is>
      </c>
      <c r="H330" t="n">
        <v>24357</v>
      </c>
      <c r="I330" s="17" t="n">
        <v>50</v>
      </c>
      <c r="J330" s="17" t="n">
        <v>5882</v>
      </c>
      <c r="K330" t="n">
        <v>0</v>
      </c>
      <c r="L330" t="n">
        <v>23859</v>
      </c>
      <c r="M330" t="n">
        <v>18270</v>
      </c>
      <c r="N330" t="n">
        <v>23909</v>
      </c>
      <c r="O330" t="n">
        <v>24152</v>
      </c>
      <c r="P330" t="n">
        <v>448</v>
      </c>
      <c r="Q330" t="n">
        <v>205</v>
      </c>
      <c r="R330" t="n">
        <v>24357</v>
      </c>
      <c r="S330" t="n">
        <v>50</v>
      </c>
      <c r="T330" t="n">
        <v>5882</v>
      </c>
      <c r="U330" t="n">
        <v>0</v>
      </c>
      <c r="V330" t="n">
        <v>23859</v>
      </c>
      <c r="W330" t="n">
        <v>18270</v>
      </c>
      <c r="X330" t="n">
        <v>23909</v>
      </c>
      <c r="Y330" t="n">
        <v>24152</v>
      </c>
      <c r="Z330" t="n">
        <v>448</v>
      </c>
      <c r="AA330" t="n">
        <v>205</v>
      </c>
      <c r="AB330" t="n">
        <v>0</v>
      </c>
      <c r="AC330" t="n">
        <v>0</v>
      </c>
      <c r="AD330" t="n">
        <v>0</v>
      </c>
      <c r="AE330" t="n">
        <v>0</v>
      </c>
      <c r="AF330" t="n">
        <v>0</v>
      </c>
      <c r="AG330" t="n">
        <v>0</v>
      </c>
      <c r="AH330" t="n">
        <v>0</v>
      </c>
      <c r="AI330" t="n">
        <v>0</v>
      </c>
      <c r="AJ330" t="n">
        <v>0</v>
      </c>
      <c r="AK330" t="n">
        <v>0</v>
      </c>
      <c r="AL330" t="n">
        <v>217</v>
      </c>
      <c r="AM330" t="n">
        <v>0</v>
      </c>
      <c r="AN330" t="n">
        <v>212</v>
      </c>
      <c r="AO330" t="n">
        <v>0</v>
      </c>
      <c r="AP330" t="n">
        <v>97</v>
      </c>
      <c r="AQ330" t="n">
        <v>5</v>
      </c>
      <c r="AR330" t="n">
        <v>97</v>
      </c>
      <c r="AS330" t="n">
        <v>217</v>
      </c>
      <c r="AT330" t="n">
        <v>120</v>
      </c>
      <c r="AU330" t="n">
        <v>0</v>
      </c>
      <c r="AV330" t="n">
        <v>100</v>
      </c>
      <c r="AW330" t="n">
        <v>0.2</v>
      </c>
      <c r="AX330" t="n">
        <v>24.1</v>
      </c>
      <c r="AY330" t="n">
        <v>0</v>
      </c>
      <c r="AZ330" t="n">
        <v>98</v>
      </c>
      <c r="BA330" t="n">
        <v>75</v>
      </c>
      <c r="BB330" t="n">
        <v>98.2</v>
      </c>
      <c r="BC330" t="n">
        <v>99.2</v>
      </c>
      <c r="BD330" t="n">
        <v>1.8</v>
      </c>
      <c r="BE330" t="n">
        <v>0.8</v>
      </c>
      <c r="BF330" t="n">
        <v>100</v>
      </c>
      <c r="BG330" t="n">
        <v>0.2</v>
      </c>
      <c r="BH330" t="n">
        <v>24.1</v>
      </c>
      <c r="BI330" t="n">
        <v>0</v>
      </c>
      <c r="BJ330" t="n">
        <v>98</v>
      </c>
      <c r="BK330" t="n">
        <v>75</v>
      </c>
      <c r="BL330" t="n">
        <v>98.2</v>
      </c>
      <c r="BM330" t="n">
        <v>99.2</v>
      </c>
      <c r="BN330" t="n">
        <v>1.8</v>
      </c>
      <c r="BO330" t="n">
        <v>0.8</v>
      </c>
      <c r="BP330" t="n">
        <v>0</v>
      </c>
      <c r="BQ330" t="n">
        <v>0</v>
      </c>
      <c r="BR330" t="n">
        <v>0</v>
      </c>
      <c r="BS330" t="n">
        <v>0</v>
      </c>
      <c r="BT330" t="n">
        <v>0</v>
      </c>
      <c r="BU330" t="n">
        <v>0</v>
      </c>
      <c r="BV330" t="n">
        <v>0</v>
      </c>
      <c r="BW330" t="n">
        <v>0</v>
      </c>
      <c r="BX330" t="n">
        <v>0</v>
      </c>
      <c r="BY330" t="n">
        <v>0</v>
      </c>
      <c r="BZ330" t="n">
        <v>23</v>
      </c>
      <c r="CA330" t="n">
        <v>1</v>
      </c>
      <c r="CB330" t="n">
        <v>2</v>
      </c>
      <c r="CC330" t="n">
        <v>0</v>
      </c>
      <c r="CD330" t="n">
        <v>15</v>
      </c>
      <c r="CE330" t="n">
        <v>7</v>
      </c>
      <c r="CF330" t="n">
        <v>16</v>
      </c>
      <c r="CG330" t="n">
        <v>9</v>
      </c>
      <c r="CH330" t="n">
        <v>23</v>
      </c>
      <c r="CI330" t="n">
        <v>1</v>
      </c>
      <c r="CJ330" t="n">
        <v>2</v>
      </c>
      <c r="CK330" t="n">
        <v>0</v>
      </c>
      <c r="CL330" t="n">
        <v>15</v>
      </c>
      <c r="CM330" t="n">
        <v>7</v>
      </c>
      <c r="CN330" t="n">
        <v>16</v>
      </c>
      <c r="CO330" t="n">
        <v>9</v>
      </c>
      <c r="CP330" t="n">
        <v>0</v>
      </c>
      <c r="CQ330" t="n">
        <v>0</v>
      </c>
      <c r="CR330" t="n">
        <v>0</v>
      </c>
      <c r="CS330" t="n">
        <v>0</v>
      </c>
      <c r="CT330" t="n">
        <v>0</v>
      </c>
      <c r="CU330" t="n">
        <v>0</v>
      </c>
      <c r="CV330" t="n">
        <v>0</v>
      </c>
      <c r="CW330" t="n">
        <v>0</v>
      </c>
      <c r="CX330" t="n">
        <v>64.59999999999999</v>
      </c>
      <c r="CY330" t="n">
        <v>75.8</v>
      </c>
      <c r="CZ330" t="n">
        <v>85.09999999999999</v>
      </c>
      <c r="DA330" t="n">
        <v>97.7</v>
      </c>
      <c r="DB330" t="n">
        <v>64.59999999999999</v>
      </c>
      <c r="DC330" t="n">
        <v>71.7</v>
      </c>
      <c r="DD330" t="n">
        <v>84.7</v>
      </c>
      <c r="DE330" t="n">
        <v>92.8</v>
      </c>
      <c r="DF330" t="n">
        <v>64.59999999999999</v>
      </c>
      <c r="DG330" t="n">
        <v>75.8</v>
      </c>
      <c r="DH330" t="n">
        <v>85.09999999999999</v>
      </c>
      <c r="DI330" t="n">
        <v>97.7</v>
      </c>
      <c r="DJ330" t="n">
        <v>64.59999999999999</v>
      </c>
      <c r="DK330" t="n">
        <v>71.7</v>
      </c>
      <c r="DL330" t="n">
        <v>84.7</v>
      </c>
      <c r="DM330" t="n">
        <v>92.8</v>
      </c>
      <c r="DN330" t="n">
        <v>0</v>
      </c>
      <c r="DO330" t="n">
        <v>0</v>
      </c>
      <c r="DP330" t="n">
        <v>0</v>
      </c>
      <c r="DQ330" t="n">
        <v>0</v>
      </c>
      <c r="DR330" t="n">
        <v>0</v>
      </c>
      <c r="DS330" t="n">
        <v>0</v>
      </c>
      <c r="DT330" t="n">
        <v>0</v>
      </c>
      <c r="DU330" t="n">
        <v>0</v>
      </c>
      <c r="DV330" t="inlineStr">
        <is>
          <t>Megawatt Hours (MWh)</t>
        </is>
      </c>
    </row>
    <row r="331">
      <c r="A331" t="inlineStr">
        <is>
          <t>PJM.JCPL_month_on_dap - NODAL EXCHANGE</t>
        </is>
      </c>
      <c r="B331" t="n">
        <v>230110</v>
      </c>
      <c r="C331" s="1" t="n">
        <v>44936</v>
      </c>
      <c r="D331" t="inlineStr">
        <is>
          <t>064EJI</t>
        </is>
      </c>
      <c r="E331" t="inlineStr">
        <is>
          <t>NODX</t>
        </is>
      </c>
      <c r="F331" t="inlineStr">
        <is>
          <t>01</t>
        </is>
      </c>
      <c r="G331" t="inlineStr">
        <is>
          <t xml:space="preserve">064 </t>
        </is>
      </c>
      <c r="H331" t="n">
        <v>24003</v>
      </c>
      <c r="I331" s="17" t="n">
        <v>3802</v>
      </c>
      <c r="J331" s="17" t="n">
        <v>380</v>
      </c>
      <c r="K331" t="n">
        <v>0</v>
      </c>
      <c r="L331" t="n">
        <v>17453</v>
      </c>
      <c r="M331" t="n">
        <v>21406</v>
      </c>
      <c r="N331" t="n">
        <v>21255</v>
      </c>
      <c r="O331" t="n">
        <v>21786</v>
      </c>
      <c r="P331" t="n">
        <v>2748</v>
      </c>
      <c r="Q331" t="n">
        <v>2217</v>
      </c>
      <c r="R331" t="n">
        <v>24003</v>
      </c>
      <c r="S331" t="n">
        <v>3802</v>
      </c>
      <c r="T331" t="n">
        <v>380</v>
      </c>
      <c r="U331" t="n">
        <v>0</v>
      </c>
      <c r="V331" t="n">
        <v>17453</v>
      </c>
      <c r="W331" t="n">
        <v>21406</v>
      </c>
      <c r="X331" t="n">
        <v>21255</v>
      </c>
      <c r="Y331" t="n">
        <v>21786</v>
      </c>
      <c r="Z331" t="n">
        <v>2748</v>
      </c>
      <c r="AA331" t="n">
        <v>2217</v>
      </c>
      <c r="AB331" t="n">
        <v>0</v>
      </c>
      <c r="AC331" t="n">
        <v>0</v>
      </c>
      <c r="AD331" t="n">
        <v>0</v>
      </c>
      <c r="AE331" t="n">
        <v>0</v>
      </c>
      <c r="AF331" t="n">
        <v>0</v>
      </c>
      <c r="AG331" t="n">
        <v>0</v>
      </c>
      <c r="AH331" t="n">
        <v>0</v>
      </c>
      <c r="AI331" t="n">
        <v>0</v>
      </c>
      <c r="AJ331" t="n">
        <v>0</v>
      </c>
      <c r="AK331" t="n">
        <v>0</v>
      </c>
      <c r="AL331" t="n">
        <v>-1084</v>
      </c>
      <c r="AM331" t="n">
        <v>-129</v>
      </c>
      <c r="AN331" t="n">
        <v>-35</v>
      </c>
      <c r="AO331" t="n">
        <v>0</v>
      </c>
      <c r="AP331" t="n">
        <v>-1300</v>
      </c>
      <c r="AQ331" t="n">
        <v>-854</v>
      </c>
      <c r="AR331" t="n">
        <v>-1429</v>
      </c>
      <c r="AS331" t="n">
        <v>-889</v>
      </c>
      <c r="AT331" t="n">
        <v>345</v>
      </c>
      <c r="AU331" t="n">
        <v>-195</v>
      </c>
      <c r="AV331" t="n">
        <v>100</v>
      </c>
      <c r="AW331" t="n">
        <v>15.8</v>
      </c>
      <c r="AX331" t="n">
        <v>1.6</v>
      </c>
      <c r="AY331" t="n">
        <v>0</v>
      </c>
      <c r="AZ331" t="n">
        <v>72.7</v>
      </c>
      <c r="BA331" t="n">
        <v>89.2</v>
      </c>
      <c r="BB331" t="n">
        <v>88.59999999999999</v>
      </c>
      <c r="BC331" t="n">
        <v>90.8</v>
      </c>
      <c r="BD331" t="n">
        <v>11.4</v>
      </c>
      <c r="BE331" t="n">
        <v>9.199999999999999</v>
      </c>
      <c r="BF331" t="n">
        <v>100</v>
      </c>
      <c r="BG331" t="n">
        <v>15.8</v>
      </c>
      <c r="BH331" t="n">
        <v>1.6</v>
      </c>
      <c r="BI331" t="n">
        <v>0</v>
      </c>
      <c r="BJ331" t="n">
        <v>72.7</v>
      </c>
      <c r="BK331" t="n">
        <v>89.2</v>
      </c>
      <c r="BL331" t="n">
        <v>88.59999999999999</v>
      </c>
      <c r="BM331" t="n">
        <v>90.8</v>
      </c>
      <c r="BN331" t="n">
        <v>11.4</v>
      </c>
      <c r="BO331" t="n">
        <v>9.199999999999999</v>
      </c>
      <c r="BP331" t="n">
        <v>0</v>
      </c>
      <c r="BQ331" t="n">
        <v>0</v>
      </c>
      <c r="BR331" t="n">
        <v>0</v>
      </c>
      <c r="BS331" t="n">
        <v>0</v>
      </c>
      <c r="BT331" t="n">
        <v>0</v>
      </c>
      <c r="BU331" t="n">
        <v>0</v>
      </c>
      <c r="BV331" t="n">
        <v>0</v>
      </c>
      <c r="BW331" t="n">
        <v>0</v>
      </c>
      <c r="BX331" t="n">
        <v>0</v>
      </c>
      <c r="BY331" t="n">
        <v>0</v>
      </c>
      <c r="BZ331" t="n">
        <v>20</v>
      </c>
      <c r="CA331" t="n">
        <v>1</v>
      </c>
      <c r="CB331" t="n">
        <v>1</v>
      </c>
      <c r="CC331" t="n">
        <v>0</v>
      </c>
      <c r="CD331" t="n">
        <v>15</v>
      </c>
      <c r="CE331" t="n">
        <v>12</v>
      </c>
      <c r="CF331" t="n">
        <v>16</v>
      </c>
      <c r="CG331" t="n">
        <v>13</v>
      </c>
      <c r="CH331" t="n">
        <v>20</v>
      </c>
      <c r="CI331" t="n">
        <v>1</v>
      </c>
      <c r="CJ331" t="n">
        <v>1</v>
      </c>
      <c r="CK331" t="n">
        <v>0</v>
      </c>
      <c r="CL331" t="n">
        <v>15</v>
      </c>
      <c r="CM331" t="n">
        <v>12</v>
      </c>
      <c r="CN331" t="n">
        <v>16</v>
      </c>
      <c r="CO331" t="n">
        <v>13</v>
      </c>
      <c r="CP331" t="n">
        <v>0</v>
      </c>
      <c r="CQ331" t="n">
        <v>0</v>
      </c>
      <c r="CR331" t="n">
        <v>0</v>
      </c>
      <c r="CS331" t="n">
        <v>0</v>
      </c>
      <c r="CT331" t="n">
        <v>0</v>
      </c>
      <c r="CU331" t="n">
        <v>0</v>
      </c>
      <c r="CV331" t="n">
        <v>0</v>
      </c>
      <c r="CW331" t="n">
        <v>0</v>
      </c>
      <c r="CX331" t="n">
        <v>71.3</v>
      </c>
      <c r="CY331" t="n">
        <v>76.09999999999999</v>
      </c>
      <c r="CZ331" t="n">
        <v>82</v>
      </c>
      <c r="DA331" t="n">
        <v>87.09999999999999</v>
      </c>
      <c r="DB331" t="n">
        <v>49.7</v>
      </c>
      <c r="DC331" t="n">
        <v>56.2</v>
      </c>
      <c r="DD331" t="n">
        <v>56.9</v>
      </c>
      <c r="DE331" t="n">
        <v>60</v>
      </c>
      <c r="DF331" t="n">
        <v>71.3</v>
      </c>
      <c r="DG331" t="n">
        <v>76.09999999999999</v>
      </c>
      <c r="DH331" t="n">
        <v>82</v>
      </c>
      <c r="DI331" t="n">
        <v>87.09999999999999</v>
      </c>
      <c r="DJ331" t="n">
        <v>49.7</v>
      </c>
      <c r="DK331" t="n">
        <v>56.2</v>
      </c>
      <c r="DL331" t="n">
        <v>56.9</v>
      </c>
      <c r="DM331" t="n">
        <v>60</v>
      </c>
      <c r="DN331" t="n">
        <v>0</v>
      </c>
      <c r="DO331" t="n">
        <v>0</v>
      </c>
      <c r="DP331" t="n">
        <v>0</v>
      </c>
      <c r="DQ331" t="n">
        <v>0</v>
      </c>
      <c r="DR331" t="n">
        <v>0</v>
      </c>
      <c r="DS331" t="n">
        <v>0</v>
      </c>
      <c r="DT331" t="n">
        <v>0</v>
      </c>
      <c r="DU331" t="n">
        <v>0</v>
      </c>
      <c r="DV331" t="inlineStr">
        <is>
          <t>Megawatt Hours (MWh)</t>
        </is>
      </c>
    </row>
    <row r="332">
      <c r="A332" t="inlineStr">
        <is>
          <t>PJM.JCPL_month_on_dap - NODAL EXCHANGE</t>
        </is>
      </c>
      <c r="B332" t="n">
        <v>230103</v>
      </c>
      <c r="C332" s="1" t="n">
        <v>44929</v>
      </c>
      <c r="D332" t="inlineStr">
        <is>
          <t>064EJI</t>
        </is>
      </c>
      <c r="E332" t="inlineStr">
        <is>
          <t>NODX</t>
        </is>
      </c>
      <c r="F332" t="inlineStr">
        <is>
          <t>01</t>
        </is>
      </c>
      <c r="G332" t="inlineStr">
        <is>
          <t xml:space="preserve">064 </t>
        </is>
      </c>
      <c r="H332" t="n">
        <v>25087</v>
      </c>
      <c r="I332" s="17" t="n">
        <v>3931</v>
      </c>
      <c r="J332" s="17" t="n">
        <v>415</v>
      </c>
      <c r="K332" t="n">
        <v>0</v>
      </c>
      <c r="L332" t="n">
        <v>18753</v>
      </c>
      <c r="M332" t="n">
        <v>22260</v>
      </c>
      <c r="N332" t="n">
        <v>22684</v>
      </c>
      <c r="O332" t="n">
        <v>22675</v>
      </c>
      <c r="P332" t="n">
        <v>2403</v>
      </c>
      <c r="Q332" t="n">
        <v>2412</v>
      </c>
      <c r="R332" t="n">
        <v>25087</v>
      </c>
      <c r="S332" t="n">
        <v>3931</v>
      </c>
      <c r="T332" t="n">
        <v>415</v>
      </c>
      <c r="U332" t="n">
        <v>0</v>
      </c>
      <c r="V332" t="n">
        <v>18753</v>
      </c>
      <c r="W332" t="n">
        <v>22260</v>
      </c>
      <c r="X332" t="n">
        <v>22684</v>
      </c>
      <c r="Y332" t="n">
        <v>22675</v>
      </c>
      <c r="Z332" t="n">
        <v>2403</v>
      </c>
      <c r="AA332" t="n">
        <v>2412</v>
      </c>
      <c r="AB332" t="n">
        <v>0</v>
      </c>
      <c r="AC332" t="n">
        <v>0</v>
      </c>
      <c r="AD332" t="n">
        <v>0</v>
      </c>
      <c r="AE332" t="n">
        <v>0</v>
      </c>
      <c r="AF332" t="n">
        <v>0</v>
      </c>
      <c r="AG332" t="n">
        <v>0</v>
      </c>
      <c r="AH332" t="n">
        <v>0</v>
      </c>
      <c r="AI332" t="n">
        <v>0</v>
      </c>
      <c r="AJ332" t="n">
        <v>0</v>
      </c>
      <c r="AK332" t="n">
        <v>0</v>
      </c>
      <c r="AL332" t="n">
        <v>0</v>
      </c>
      <c r="AM332" t="n">
        <v>0</v>
      </c>
      <c r="AN332" t="n">
        <v>0</v>
      </c>
      <c r="AO332" t="n">
        <v>0</v>
      </c>
      <c r="AP332" t="n">
        <v>0</v>
      </c>
      <c r="AQ332" t="n">
        <v>0</v>
      </c>
      <c r="AR332" t="n">
        <v>0</v>
      </c>
      <c r="AS332" t="n">
        <v>0</v>
      </c>
      <c r="AT332" t="n">
        <v>0</v>
      </c>
      <c r="AU332" t="n">
        <v>0</v>
      </c>
      <c r="AV332" t="n">
        <v>100</v>
      </c>
      <c r="AW332" t="n">
        <v>15.7</v>
      </c>
      <c r="AX332" t="n">
        <v>1.7</v>
      </c>
      <c r="AY332" t="n">
        <v>0</v>
      </c>
      <c r="AZ332" t="n">
        <v>74.8</v>
      </c>
      <c r="BA332" t="n">
        <v>88.7</v>
      </c>
      <c r="BB332" t="n">
        <v>90.40000000000001</v>
      </c>
      <c r="BC332" t="n">
        <v>90.40000000000001</v>
      </c>
      <c r="BD332" t="n">
        <v>9.6</v>
      </c>
      <c r="BE332" t="n">
        <v>9.6</v>
      </c>
      <c r="BF332" t="n">
        <v>100</v>
      </c>
      <c r="BG332" t="n">
        <v>15.7</v>
      </c>
      <c r="BH332" t="n">
        <v>1.7</v>
      </c>
      <c r="BI332" t="n">
        <v>0</v>
      </c>
      <c r="BJ332" t="n">
        <v>74.8</v>
      </c>
      <c r="BK332" t="n">
        <v>88.7</v>
      </c>
      <c r="BL332" t="n">
        <v>90.40000000000001</v>
      </c>
      <c r="BM332" t="n">
        <v>90.40000000000001</v>
      </c>
      <c r="BN332" t="n">
        <v>9.6</v>
      </c>
      <c r="BO332" t="n">
        <v>9.6</v>
      </c>
      <c r="BP332" t="n">
        <v>0</v>
      </c>
      <c r="BQ332" t="n">
        <v>0</v>
      </c>
      <c r="BR332" t="n">
        <v>0</v>
      </c>
      <c r="BS332" t="n">
        <v>0</v>
      </c>
      <c r="BT332" t="n">
        <v>0</v>
      </c>
      <c r="BU332" t="n">
        <v>0</v>
      </c>
      <c r="BV332" t="n">
        <v>0</v>
      </c>
      <c r="BW332" t="n">
        <v>0</v>
      </c>
      <c r="BX332" t="n">
        <v>0</v>
      </c>
      <c r="BY332" t="n">
        <v>0</v>
      </c>
      <c r="BZ332" t="n">
        <v>23</v>
      </c>
      <c r="CA332" t="n">
        <v>1</v>
      </c>
      <c r="CB332" t="n">
        <v>2</v>
      </c>
      <c r="CC332" t="n">
        <v>0</v>
      </c>
      <c r="CD332" t="n">
        <v>17</v>
      </c>
      <c r="CE332" t="n">
        <v>12</v>
      </c>
      <c r="CF332" t="n">
        <v>18</v>
      </c>
      <c r="CG332" t="n">
        <v>14</v>
      </c>
      <c r="CH332" t="n">
        <v>23</v>
      </c>
      <c r="CI332" t="n">
        <v>1</v>
      </c>
      <c r="CJ332" t="n">
        <v>2</v>
      </c>
      <c r="CK332" t="n">
        <v>0</v>
      </c>
      <c r="CL332" t="n">
        <v>17</v>
      </c>
      <c r="CM332" t="n">
        <v>12</v>
      </c>
      <c r="CN332" t="n">
        <v>18</v>
      </c>
      <c r="CO332" t="n">
        <v>14</v>
      </c>
      <c r="CP332" t="n">
        <v>0</v>
      </c>
      <c r="CQ332" t="n">
        <v>0</v>
      </c>
      <c r="CR332" t="n">
        <v>0</v>
      </c>
      <c r="CS332" t="n">
        <v>0</v>
      </c>
      <c r="CT332" t="n">
        <v>0</v>
      </c>
      <c r="CU332" t="n">
        <v>0</v>
      </c>
      <c r="CV332" t="n">
        <v>0</v>
      </c>
      <c r="CW332" t="n">
        <v>0</v>
      </c>
      <c r="CX332" t="n">
        <v>70.3</v>
      </c>
      <c r="CY332" t="n">
        <v>74.40000000000001</v>
      </c>
      <c r="CZ332" t="n">
        <v>81.3</v>
      </c>
      <c r="DA332" t="n">
        <v>85.8</v>
      </c>
      <c r="DB332" t="n">
        <v>48.7</v>
      </c>
      <c r="DC332" t="n">
        <v>55.2</v>
      </c>
      <c r="DD332" t="n">
        <v>56.3</v>
      </c>
      <c r="DE332" t="n">
        <v>59.1</v>
      </c>
      <c r="DF332" t="n">
        <v>70.3</v>
      </c>
      <c r="DG332" t="n">
        <v>74.40000000000001</v>
      </c>
      <c r="DH332" t="n">
        <v>81.3</v>
      </c>
      <c r="DI332" t="n">
        <v>85.8</v>
      </c>
      <c r="DJ332" t="n">
        <v>48.7</v>
      </c>
      <c r="DK332" t="n">
        <v>55.2</v>
      </c>
      <c r="DL332" t="n">
        <v>56.3</v>
      </c>
      <c r="DM332" t="n">
        <v>59.1</v>
      </c>
      <c r="DN332" t="n">
        <v>0</v>
      </c>
      <c r="DO332" t="n">
        <v>0</v>
      </c>
      <c r="DP332" t="n">
        <v>0</v>
      </c>
      <c r="DQ332" t="n">
        <v>0</v>
      </c>
      <c r="DR332" t="n">
        <v>0</v>
      </c>
      <c r="DS332" t="n">
        <v>0</v>
      </c>
      <c r="DT332" t="n">
        <v>0</v>
      </c>
      <c r="DU332" t="n">
        <v>0</v>
      </c>
      <c r="DV332" t="inlineStr">
        <is>
          <t>Megawatt Hours (MWh)</t>
        </is>
      </c>
    </row>
    <row r="333">
      <c r="A333" t="inlineStr">
        <is>
          <t>PJM.JCPL_month_off_dap - NODAL EXCHANGE</t>
        </is>
      </c>
      <c r="B333" t="n">
        <v>230110</v>
      </c>
      <c r="C333" s="1" t="n">
        <v>44936</v>
      </c>
      <c r="D333" t="inlineStr">
        <is>
          <t>064EJJ</t>
        </is>
      </c>
      <c r="E333" t="inlineStr">
        <is>
          <t>NODX</t>
        </is>
      </c>
      <c r="F333" t="inlineStr">
        <is>
          <t>01</t>
        </is>
      </c>
      <c r="G333" t="inlineStr">
        <is>
          <t xml:space="preserve">064 </t>
        </is>
      </c>
      <c r="H333" t="n">
        <v>20625</v>
      </c>
      <c r="I333" s="17" t="n">
        <v>2996</v>
      </c>
      <c r="J333" s="17" t="n">
        <v>100</v>
      </c>
      <c r="K333" t="n">
        <v>0</v>
      </c>
      <c r="L333" t="n">
        <v>15697</v>
      </c>
      <c r="M333" t="n">
        <v>19238</v>
      </c>
      <c r="N333" t="n">
        <v>18693</v>
      </c>
      <c r="O333" t="n">
        <v>19338</v>
      </c>
      <c r="P333" t="n">
        <v>1932</v>
      </c>
      <c r="Q333" t="n">
        <v>1287</v>
      </c>
      <c r="R333" t="n">
        <v>20625</v>
      </c>
      <c r="S333" t="n">
        <v>2996</v>
      </c>
      <c r="T333" t="n">
        <v>100</v>
      </c>
      <c r="U333" t="n">
        <v>0</v>
      </c>
      <c r="V333" t="n">
        <v>15697</v>
      </c>
      <c r="W333" t="n">
        <v>19238</v>
      </c>
      <c r="X333" t="n">
        <v>18693</v>
      </c>
      <c r="Y333" t="n">
        <v>19338</v>
      </c>
      <c r="Z333" t="n">
        <v>1932</v>
      </c>
      <c r="AA333" t="n">
        <v>1287</v>
      </c>
      <c r="AB333" t="n">
        <v>0</v>
      </c>
      <c r="AC333" t="n">
        <v>0</v>
      </c>
      <c r="AD333" t="n">
        <v>0</v>
      </c>
      <c r="AE333" t="n">
        <v>0</v>
      </c>
      <c r="AF333" t="n">
        <v>0</v>
      </c>
      <c r="AG333" t="n">
        <v>0</v>
      </c>
      <c r="AH333" t="n">
        <v>0</v>
      </c>
      <c r="AI333" t="n">
        <v>0</v>
      </c>
      <c r="AJ333" t="n">
        <v>0</v>
      </c>
      <c r="AK333" t="n">
        <v>0</v>
      </c>
      <c r="AL333" t="n">
        <v>-928</v>
      </c>
      <c r="AM333" t="n">
        <v>-103</v>
      </c>
      <c r="AN333" t="n">
        <v>-35</v>
      </c>
      <c r="AO333" t="n">
        <v>0</v>
      </c>
      <c r="AP333" t="n">
        <v>-1110</v>
      </c>
      <c r="AQ333" t="n">
        <v>-663</v>
      </c>
      <c r="AR333" t="n">
        <v>-1213</v>
      </c>
      <c r="AS333" t="n">
        <v>-698</v>
      </c>
      <c r="AT333" t="n">
        <v>285</v>
      </c>
      <c r="AU333" t="n">
        <v>-230</v>
      </c>
      <c r="AV333" t="n">
        <v>100</v>
      </c>
      <c r="AW333" t="n">
        <v>14.5</v>
      </c>
      <c r="AX333" t="n">
        <v>0.5</v>
      </c>
      <c r="AY333" t="n">
        <v>0</v>
      </c>
      <c r="AZ333" t="n">
        <v>76.09999999999999</v>
      </c>
      <c r="BA333" t="n">
        <v>93.3</v>
      </c>
      <c r="BB333" t="n">
        <v>90.59999999999999</v>
      </c>
      <c r="BC333" t="n">
        <v>93.8</v>
      </c>
      <c r="BD333" t="n">
        <v>9.4</v>
      </c>
      <c r="BE333" t="n">
        <v>6.2</v>
      </c>
      <c r="BF333" t="n">
        <v>100</v>
      </c>
      <c r="BG333" t="n">
        <v>14.5</v>
      </c>
      <c r="BH333" t="n">
        <v>0.5</v>
      </c>
      <c r="BI333" t="n">
        <v>0</v>
      </c>
      <c r="BJ333" t="n">
        <v>76.09999999999999</v>
      </c>
      <c r="BK333" t="n">
        <v>93.3</v>
      </c>
      <c r="BL333" t="n">
        <v>90.59999999999999</v>
      </c>
      <c r="BM333" t="n">
        <v>93.8</v>
      </c>
      <c r="BN333" t="n">
        <v>9.4</v>
      </c>
      <c r="BO333" t="n">
        <v>6.2</v>
      </c>
      <c r="BP333" t="n">
        <v>0</v>
      </c>
      <c r="BQ333" t="n">
        <v>0</v>
      </c>
      <c r="BR333" t="n">
        <v>0</v>
      </c>
      <c r="BS333" t="n">
        <v>0</v>
      </c>
      <c r="BT333" t="n">
        <v>0</v>
      </c>
      <c r="BU333" t="n">
        <v>0</v>
      </c>
      <c r="BV333" t="n">
        <v>0</v>
      </c>
      <c r="BW333" t="n">
        <v>0</v>
      </c>
      <c r="BX333" t="n">
        <v>0</v>
      </c>
      <c r="BY333" t="n">
        <v>0</v>
      </c>
      <c r="BZ333" t="n">
        <v>21</v>
      </c>
      <c r="CA333" t="n">
        <v>1</v>
      </c>
      <c r="CB333" t="n">
        <v>1</v>
      </c>
      <c r="CC333" t="n">
        <v>0</v>
      </c>
      <c r="CD333" t="n">
        <v>17</v>
      </c>
      <c r="CE333" t="n">
        <v>13</v>
      </c>
      <c r="CF333" t="n">
        <v>18</v>
      </c>
      <c r="CG333" t="n">
        <v>14</v>
      </c>
      <c r="CH333" t="n">
        <v>21</v>
      </c>
      <c r="CI333" t="n">
        <v>1</v>
      </c>
      <c r="CJ333" t="n">
        <v>1</v>
      </c>
      <c r="CK333" t="n">
        <v>0</v>
      </c>
      <c r="CL333" t="n">
        <v>17</v>
      </c>
      <c r="CM333" t="n">
        <v>13</v>
      </c>
      <c r="CN333" t="n">
        <v>18</v>
      </c>
      <c r="CO333" t="n">
        <v>14</v>
      </c>
      <c r="CP333" t="n">
        <v>0</v>
      </c>
      <c r="CQ333" t="n">
        <v>0</v>
      </c>
      <c r="CR333" t="n">
        <v>0</v>
      </c>
      <c r="CS333" t="n">
        <v>0</v>
      </c>
      <c r="CT333" t="n">
        <v>0</v>
      </c>
      <c r="CU333" t="n">
        <v>0</v>
      </c>
      <c r="CV333" t="n">
        <v>0</v>
      </c>
      <c r="CW333" t="n">
        <v>0</v>
      </c>
      <c r="CX333" t="n">
        <v>68.7</v>
      </c>
      <c r="CY333" t="n">
        <v>77.2</v>
      </c>
      <c r="CZ333" t="n">
        <v>80.8</v>
      </c>
      <c r="DA333" t="n">
        <v>89.40000000000001</v>
      </c>
      <c r="DB333" t="n">
        <v>46.8</v>
      </c>
      <c r="DC333" t="n">
        <v>55.4</v>
      </c>
      <c r="DD333" t="n">
        <v>55.2</v>
      </c>
      <c r="DE333" t="n">
        <v>58.9</v>
      </c>
      <c r="DF333" t="n">
        <v>68.7</v>
      </c>
      <c r="DG333" t="n">
        <v>77.2</v>
      </c>
      <c r="DH333" t="n">
        <v>80.8</v>
      </c>
      <c r="DI333" t="n">
        <v>89.40000000000001</v>
      </c>
      <c r="DJ333" t="n">
        <v>46.8</v>
      </c>
      <c r="DK333" t="n">
        <v>55.4</v>
      </c>
      <c r="DL333" t="n">
        <v>55.2</v>
      </c>
      <c r="DM333" t="n">
        <v>58.9</v>
      </c>
      <c r="DN333" t="n">
        <v>0</v>
      </c>
      <c r="DO333" t="n">
        <v>0</v>
      </c>
      <c r="DP333" t="n">
        <v>0</v>
      </c>
      <c r="DQ333" t="n">
        <v>0</v>
      </c>
      <c r="DR333" t="n">
        <v>0</v>
      </c>
      <c r="DS333" t="n">
        <v>0</v>
      </c>
      <c r="DT333" t="n">
        <v>0</v>
      </c>
      <c r="DU333" t="n">
        <v>0</v>
      </c>
      <c r="DV333" t="inlineStr">
        <is>
          <t>Megawatt Hours (MWh)</t>
        </is>
      </c>
    </row>
    <row r="334">
      <c r="A334" t="inlineStr">
        <is>
          <t>PJM.JCPL_month_off_dap - NODAL EXCHANGE</t>
        </is>
      </c>
      <c r="B334" t="n">
        <v>230103</v>
      </c>
      <c r="C334" s="1" t="n">
        <v>44929</v>
      </c>
      <c r="D334" t="inlineStr">
        <is>
          <t>064EJJ</t>
        </is>
      </c>
      <c r="E334" t="inlineStr">
        <is>
          <t>NODX</t>
        </is>
      </c>
      <c r="F334" t="inlineStr">
        <is>
          <t>01</t>
        </is>
      </c>
      <c r="G334" t="inlineStr">
        <is>
          <t xml:space="preserve">064 </t>
        </is>
      </c>
      <c r="H334" t="n">
        <v>21553</v>
      </c>
      <c r="I334" s="17" t="n">
        <v>3099</v>
      </c>
      <c r="J334" s="17" t="n">
        <v>135</v>
      </c>
      <c r="K334" t="n">
        <v>0</v>
      </c>
      <c r="L334" t="n">
        <v>16807</v>
      </c>
      <c r="M334" t="n">
        <v>19901</v>
      </c>
      <c r="N334" t="n">
        <v>19906</v>
      </c>
      <c r="O334" t="n">
        <v>20036</v>
      </c>
      <c r="P334" t="n">
        <v>1647</v>
      </c>
      <c r="Q334" t="n">
        <v>1517</v>
      </c>
      <c r="R334" t="n">
        <v>21553</v>
      </c>
      <c r="S334" t="n">
        <v>3099</v>
      </c>
      <c r="T334" t="n">
        <v>135</v>
      </c>
      <c r="U334" t="n">
        <v>0</v>
      </c>
      <c r="V334" t="n">
        <v>16807</v>
      </c>
      <c r="W334" t="n">
        <v>19901</v>
      </c>
      <c r="X334" t="n">
        <v>19906</v>
      </c>
      <c r="Y334" t="n">
        <v>20036</v>
      </c>
      <c r="Z334" t="n">
        <v>1647</v>
      </c>
      <c r="AA334" t="n">
        <v>1517</v>
      </c>
      <c r="AB334" t="n">
        <v>0</v>
      </c>
      <c r="AC334" t="n">
        <v>0</v>
      </c>
      <c r="AD334" t="n">
        <v>0</v>
      </c>
      <c r="AE334" t="n">
        <v>0</v>
      </c>
      <c r="AF334" t="n">
        <v>0</v>
      </c>
      <c r="AG334" t="n">
        <v>0</v>
      </c>
      <c r="AH334" t="n">
        <v>0</v>
      </c>
      <c r="AI334" t="n">
        <v>0</v>
      </c>
      <c r="AJ334" t="n">
        <v>0</v>
      </c>
      <c r="AK334" t="n">
        <v>0</v>
      </c>
      <c r="AL334" t="n">
        <v>0</v>
      </c>
      <c r="AM334" t="n">
        <v>0</v>
      </c>
      <c r="AN334" t="n">
        <v>0</v>
      </c>
      <c r="AO334" t="n">
        <v>0</v>
      </c>
      <c r="AP334" t="n">
        <v>0</v>
      </c>
      <c r="AQ334" t="n">
        <v>0</v>
      </c>
      <c r="AR334" t="n">
        <v>0</v>
      </c>
      <c r="AS334" t="n">
        <v>0</v>
      </c>
      <c r="AT334" t="n">
        <v>0</v>
      </c>
      <c r="AU334" t="n">
        <v>0</v>
      </c>
      <c r="AV334" t="n">
        <v>100</v>
      </c>
      <c r="AW334" t="n">
        <v>14.4</v>
      </c>
      <c r="AX334" t="n">
        <v>0.6</v>
      </c>
      <c r="AY334" t="n">
        <v>0</v>
      </c>
      <c r="AZ334" t="n">
        <v>78</v>
      </c>
      <c r="BA334" t="n">
        <v>92.3</v>
      </c>
      <c r="BB334" t="n">
        <v>92.40000000000001</v>
      </c>
      <c r="BC334" t="n">
        <v>93</v>
      </c>
      <c r="BD334" t="n">
        <v>7.6</v>
      </c>
      <c r="BE334" t="n">
        <v>7</v>
      </c>
      <c r="BF334" t="n">
        <v>100</v>
      </c>
      <c r="BG334" t="n">
        <v>14.4</v>
      </c>
      <c r="BH334" t="n">
        <v>0.6</v>
      </c>
      <c r="BI334" t="n">
        <v>0</v>
      </c>
      <c r="BJ334" t="n">
        <v>78</v>
      </c>
      <c r="BK334" t="n">
        <v>92.3</v>
      </c>
      <c r="BL334" t="n">
        <v>92.40000000000001</v>
      </c>
      <c r="BM334" t="n">
        <v>93</v>
      </c>
      <c r="BN334" t="n">
        <v>7.6</v>
      </c>
      <c r="BO334" t="n">
        <v>7</v>
      </c>
      <c r="BP334" t="n">
        <v>0</v>
      </c>
      <c r="BQ334" t="n">
        <v>0</v>
      </c>
      <c r="BR334" t="n">
        <v>0</v>
      </c>
      <c r="BS334" t="n">
        <v>0</v>
      </c>
      <c r="BT334" t="n">
        <v>0</v>
      </c>
      <c r="BU334" t="n">
        <v>0</v>
      </c>
      <c r="BV334" t="n">
        <v>0</v>
      </c>
      <c r="BW334" t="n">
        <v>0</v>
      </c>
      <c r="BX334" t="n">
        <v>0</v>
      </c>
      <c r="BY334" t="n">
        <v>0</v>
      </c>
      <c r="BZ334" t="n">
        <v>23</v>
      </c>
      <c r="CA334" t="n">
        <v>1</v>
      </c>
      <c r="CB334" t="n">
        <v>2</v>
      </c>
      <c r="CC334" t="n">
        <v>0</v>
      </c>
      <c r="CD334" t="n">
        <v>18</v>
      </c>
      <c r="CE334" t="n">
        <v>14</v>
      </c>
      <c r="CF334" t="n">
        <v>19</v>
      </c>
      <c r="CG334" t="n">
        <v>16</v>
      </c>
      <c r="CH334" t="n">
        <v>23</v>
      </c>
      <c r="CI334" t="n">
        <v>1</v>
      </c>
      <c r="CJ334" t="n">
        <v>2</v>
      </c>
      <c r="CK334" t="n">
        <v>0</v>
      </c>
      <c r="CL334" t="n">
        <v>18</v>
      </c>
      <c r="CM334" t="n">
        <v>14</v>
      </c>
      <c r="CN334" t="n">
        <v>19</v>
      </c>
      <c r="CO334" t="n">
        <v>16</v>
      </c>
      <c r="CP334" t="n">
        <v>0</v>
      </c>
      <c r="CQ334" t="n">
        <v>0</v>
      </c>
      <c r="CR334" t="n">
        <v>0</v>
      </c>
      <c r="CS334" t="n">
        <v>0</v>
      </c>
      <c r="CT334" t="n">
        <v>0</v>
      </c>
      <c r="CU334" t="n">
        <v>0</v>
      </c>
      <c r="CV334" t="n">
        <v>0</v>
      </c>
      <c r="CW334" t="n">
        <v>0</v>
      </c>
      <c r="CX334" t="n">
        <v>66.90000000000001</v>
      </c>
      <c r="CY334" t="n">
        <v>74.8</v>
      </c>
      <c r="CZ334" t="n">
        <v>79.2</v>
      </c>
      <c r="DA334" t="n">
        <v>87.90000000000001</v>
      </c>
      <c r="DB334" t="n">
        <v>44.5</v>
      </c>
      <c r="DC334" t="n">
        <v>53.5</v>
      </c>
      <c r="DD334" t="n">
        <v>54</v>
      </c>
      <c r="DE334" t="n">
        <v>57.3</v>
      </c>
      <c r="DF334" t="n">
        <v>66.90000000000001</v>
      </c>
      <c r="DG334" t="n">
        <v>74.8</v>
      </c>
      <c r="DH334" t="n">
        <v>79.2</v>
      </c>
      <c r="DI334" t="n">
        <v>87.90000000000001</v>
      </c>
      <c r="DJ334" t="n">
        <v>44.5</v>
      </c>
      <c r="DK334" t="n">
        <v>53.5</v>
      </c>
      <c r="DL334" t="n">
        <v>54</v>
      </c>
      <c r="DM334" t="n">
        <v>57.3</v>
      </c>
      <c r="DN334" t="n">
        <v>0</v>
      </c>
      <c r="DO334" t="n">
        <v>0</v>
      </c>
      <c r="DP334" t="n">
        <v>0</v>
      </c>
      <c r="DQ334" t="n">
        <v>0</v>
      </c>
      <c r="DR334" t="n">
        <v>0</v>
      </c>
      <c r="DS334" t="n">
        <v>0</v>
      </c>
      <c r="DT334" t="n">
        <v>0</v>
      </c>
      <c r="DU334" t="n">
        <v>0</v>
      </c>
      <c r="DV334" t="inlineStr">
        <is>
          <t>Megawatt Hours (MWh)</t>
        </is>
      </c>
    </row>
    <row r="335">
      <c r="A335" t="inlineStr">
        <is>
          <t>PJM.METED_month_on_dap - NODAL EXCHANGE</t>
        </is>
      </c>
      <c r="B335" t="n">
        <v>230103</v>
      </c>
      <c r="C335" s="1" t="n">
        <v>44929</v>
      </c>
      <c r="D335" t="inlineStr">
        <is>
          <t>064EOW</t>
        </is>
      </c>
      <c r="E335" t="inlineStr">
        <is>
          <t>NODX</t>
        </is>
      </c>
      <c r="F335" t="inlineStr">
        <is>
          <t>01</t>
        </is>
      </c>
      <c r="G335" t="inlineStr">
        <is>
          <t xml:space="preserve">064 </t>
        </is>
      </c>
      <c r="H335" t="n">
        <v>8220</v>
      </c>
      <c r="I335" s="17" t="n">
        <v>650</v>
      </c>
      <c r="J335" s="17" t="n">
        <v>0</v>
      </c>
      <c r="K335" t="n">
        <v>0</v>
      </c>
      <c r="L335" t="n">
        <v>6380</v>
      </c>
      <c r="M335" t="n">
        <v>7065</v>
      </c>
      <c r="N335" t="n">
        <v>7030</v>
      </c>
      <c r="O335" t="n">
        <v>7065</v>
      </c>
      <c r="P335" t="n">
        <v>1190</v>
      </c>
      <c r="Q335" t="n">
        <v>1155</v>
      </c>
      <c r="R335" t="n">
        <v>8220</v>
      </c>
      <c r="S335" t="n">
        <v>650</v>
      </c>
      <c r="T335" t="n">
        <v>0</v>
      </c>
      <c r="U335" t="n">
        <v>0</v>
      </c>
      <c r="V335" t="n">
        <v>6380</v>
      </c>
      <c r="W335" t="n">
        <v>7065</v>
      </c>
      <c r="X335" t="n">
        <v>7030</v>
      </c>
      <c r="Y335" t="n">
        <v>7065</v>
      </c>
      <c r="Z335" t="n">
        <v>1190</v>
      </c>
      <c r="AA335" t="n">
        <v>1155</v>
      </c>
      <c r="AB335" t="n">
        <v>0</v>
      </c>
      <c r="AC335" t="n">
        <v>0</v>
      </c>
      <c r="AD335" t="n">
        <v>0</v>
      </c>
      <c r="AE335" t="n">
        <v>0</v>
      </c>
      <c r="AF335" t="n">
        <v>0</v>
      </c>
      <c r="AG335" t="n">
        <v>0</v>
      </c>
      <c r="AH335" t="n">
        <v>0</v>
      </c>
      <c r="AI335" t="n">
        <v>0</v>
      </c>
      <c r="AJ335" t="n">
        <v>0</v>
      </c>
      <c r="AK335" t="n">
        <v>0</v>
      </c>
      <c r="AL335" t="n">
        <v>10</v>
      </c>
      <c r="AM335" t="n">
        <v>0</v>
      </c>
      <c r="AN335" t="n">
        <v>0</v>
      </c>
      <c r="AO335" t="n">
        <v>0</v>
      </c>
      <c r="AP335" t="n">
        <v>0</v>
      </c>
      <c r="AQ335" t="n">
        <v>0</v>
      </c>
      <c r="AR335" t="n">
        <v>0</v>
      </c>
      <c r="AS335" t="n">
        <v>0</v>
      </c>
      <c r="AT335" t="n">
        <v>10</v>
      </c>
      <c r="AU335" t="n">
        <v>10</v>
      </c>
      <c r="AV335" t="n">
        <v>100</v>
      </c>
      <c r="AW335" t="n">
        <v>7.9</v>
      </c>
      <c r="AX335" t="n">
        <v>0</v>
      </c>
      <c r="AY335" t="n">
        <v>0</v>
      </c>
      <c r="AZ335" t="n">
        <v>77.59999999999999</v>
      </c>
      <c r="BA335" t="n">
        <v>85.90000000000001</v>
      </c>
      <c r="BB335" t="n">
        <v>85.5</v>
      </c>
      <c r="BC335" t="n">
        <v>85.90000000000001</v>
      </c>
      <c r="BD335" t="n">
        <v>14.5</v>
      </c>
      <c r="BE335" t="n">
        <v>14.1</v>
      </c>
      <c r="BF335" t="n">
        <v>100</v>
      </c>
      <c r="BG335" t="n">
        <v>7.9</v>
      </c>
      <c r="BH335" t="n">
        <v>0</v>
      </c>
      <c r="BI335" t="n">
        <v>0</v>
      </c>
      <c r="BJ335" t="n">
        <v>77.59999999999999</v>
      </c>
      <c r="BK335" t="n">
        <v>85.90000000000001</v>
      </c>
      <c r="BL335" t="n">
        <v>85.5</v>
      </c>
      <c r="BM335" t="n">
        <v>85.90000000000001</v>
      </c>
      <c r="BN335" t="n">
        <v>14.5</v>
      </c>
      <c r="BO335" t="n">
        <v>14.1</v>
      </c>
      <c r="BP335" t="n">
        <v>0</v>
      </c>
      <c r="BQ335" t="n">
        <v>0</v>
      </c>
      <c r="BR335" t="n">
        <v>0</v>
      </c>
      <c r="BS335" t="n">
        <v>0</v>
      </c>
      <c r="BT335" t="n">
        <v>0</v>
      </c>
      <c r="BU335" t="n">
        <v>0</v>
      </c>
      <c r="BV335" t="n">
        <v>0</v>
      </c>
      <c r="BW335" t="n">
        <v>0</v>
      </c>
      <c r="BX335" t="n">
        <v>0</v>
      </c>
      <c r="BY335" t="n">
        <v>0</v>
      </c>
      <c r="BZ335" t="n">
        <v>20</v>
      </c>
      <c r="CA335" t="n">
        <v>3</v>
      </c>
      <c r="CB335" t="n">
        <v>0</v>
      </c>
      <c r="CC335" t="n">
        <v>0</v>
      </c>
      <c r="CD335" t="n">
        <v>13</v>
      </c>
      <c r="CE335" t="n">
        <v>9</v>
      </c>
      <c r="CF335" t="n">
        <v>16</v>
      </c>
      <c r="CG335" t="n">
        <v>9</v>
      </c>
      <c r="CH335" t="n">
        <v>20</v>
      </c>
      <c r="CI335" t="n">
        <v>3</v>
      </c>
      <c r="CJ335" t="n">
        <v>0</v>
      </c>
      <c r="CK335" t="n">
        <v>0</v>
      </c>
      <c r="CL335" t="n">
        <v>13</v>
      </c>
      <c r="CM335" t="n">
        <v>9</v>
      </c>
      <c r="CN335" t="n">
        <v>16</v>
      </c>
      <c r="CO335" t="n">
        <v>9</v>
      </c>
      <c r="CP335" t="n">
        <v>0</v>
      </c>
      <c r="CQ335" t="n">
        <v>0</v>
      </c>
      <c r="CR335" t="n">
        <v>0</v>
      </c>
      <c r="CS335" t="n">
        <v>0</v>
      </c>
      <c r="CT335" t="n">
        <v>0</v>
      </c>
      <c r="CU335" t="n">
        <v>0</v>
      </c>
      <c r="CV335" t="n">
        <v>0</v>
      </c>
      <c r="CW335" t="n">
        <v>0</v>
      </c>
      <c r="CX335" t="n">
        <v>51.6</v>
      </c>
      <c r="CY335" t="n">
        <v>78.09999999999999</v>
      </c>
      <c r="CZ335" t="n">
        <v>69.7</v>
      </c>
      <c r="DA335" t="n">
        <v>85.5</v>
      </c>
      <c r="DB335" t="n">
        <v>41.6</v>
      </c>
      <c r="DC335" t="n">
        <v>69.40000000000001</v>
      </c>
      <c r="DD335" t="n">
        <v>56.7</v>
      </c>
      <c r="DE335" t="n">
        <v>69.8</v>
      </c>
      <c r="DF335" t="n">
        <v>51.6</v>
      </c>
      <c r="DG335" t="n">
        <v>78.09999999999999</v>
      </c>
      <c r="DH335" t="n">
        <v>69.7</v>
      </c>
      <c r="DI335" t="n">
        <v>85.5</v>
      </c>
      <c r="DJ335" t="n">
        <v>41.6</v>
      </c>
      <c r="DK335" t="n">
        <v>69.40000000000001</v>
      </c>
      <c r="DL335" t="n">
        <v>56.7</v>
      </c>
      <c r="DM335" t="n">
        <v>69.8</v>
      </c>
      <c r="DN335" t="n">
        <v>0</v>
      </c>
      <c r="DO335" t="n">
        <v>0</v>
      </c>
      <c r="DP335" t="n">
        <v>0</v>
      </c>
      <c r="DQ335" t="n">
        <v>0</v>
      </c>
      <c r="DR335" t="n">
        <v>0</v>
      </c>
      <c r="DS335" t="n">
        <v>0</v>
      </c>
      <c r="DT335" t="n">
        <v>0</v>
      </c>
      <c r="DU335" t="n">
        <v>0</v>
      </c>
      <c r="DV335" t="inlineStr">
        <is>
          <t>Megawatt Hours (MWh)</t>
        </is>
      </c>
    </row>
    <row r="336">
      <c r="A336" t="inlineStr">
        <is>
          <t>PJM.METED_month_off_dap - NODAL EXCHANGE</t>
        </is>
      </c>
      <c r="B336" t="n">
        <v>230103</v>
      </c>
      <c r="C336" s="1" t="n">
        <v>44929</v>
      </c>
      <c r="D336" t="inlineStr">
        <is>
          <t>064EOX</t>
        </is>
      </c>
      <c r="E336" t="inlineStr">
        <is>
          <t>NODX</t>
        </is>
      </c>
      <c r="F336" t="inlineStr">
        <is>
          <t>01</t>
        </is>
      </c>
      <c r="G336" t="inlineStr">
        <is>
          <t xml:space="preserve">064 </t>
        </is>
      </c>
      <c r="H336" t="n">
        <v>8065</v>
      </c>
      <c r="I336" s="17" t="n">
        <v>650</v>
      </c>
      <c r="J336" s="17" t="n">
        <v>0</v>
      </c>
      <c r="K336" t="n">
        <v>0</v>
      </c>
      <c r="L336" t="n">
        <v>6250</v>
      </c>
      <c r="M336" t="n">
        <v>6935</v>
      </c>
      <c r="N336" t="n">
        <v>6900</v>
      </c>
      <c r="O336" t="n">
        <v>6935</v>
      </c>
      <c r="P336" t="n">
        <v>1165</v>
      </c>
      <c r="Q336" t="n">
        <v>1130</v>
      </c>
      <c r="R336" t="n">
        <v>8065</v>
      </c>
      <c r="S336" t="n">
        <v>650</v>
      </c>
      <c r="T336" t="n">
        <v>0</v>
      </c>
      <c r="U336" t="n">
        <v>0</v>
      </c>
      <c r="V336" t="n">
        <v>6250</v>
      </c>
      <c r="W336" t="n">
        <v>6935</v>
      </c>
      <c r="X336" t="n">
        <v>6900</v>
      </c>
      <c r="Y336" t="n">
        <v>6935</v>
      </c>
      <c r="Z336" t="n">
        <v>1165</v>
      </c>
      <c r="AA336" t="n">
        <v>1130</v>
      </c>
      <c r="AB336" t="n">
        <v>0</v>
      </c>
      <c r="AC336" t="n">
        <v>0</v>
      </c>
      <c r="AD336" t="n">
        <v>0</v>
      </c>
      <c r="AE336" t="n">
        <v>0</v>
      </c>
      <c r="AF336" t="n">
        <v>0</v>
      </c>
      <c r="AG336" t="n">
        <v>0</v>
      </c>
      <c r="AH336" t="n">
        <v>0</v>
      </c>
      <c r="AI336" t="n">
        <v>0</v>
      </c>
      <c r="AJ336" t="n">
        <v>0</v>
      </c>
      <c r="AK336" t="n">
        <v>0</v>
      </c>
      <c r="AL336" t="n">
        <v>10</v>
      </c>
      <c r="AM336" t="n">
        <v>0</v>
      </c>
      <c r="AN336" t="n">
        <v>0</v>
      </c>
      <c r="AO336" t="n">
        <v>0</v>
      </c>
      <c r="AP336" t="n">
        <v>0</v>
      </c>
      <c r="AQ336" t="n">
        <v>0</v>
      </c>
      <c r="AR336" t="n">
        <v>0</v>
      </c>
      <c r="AS336" t="n">
        <v>0</v>
      </c>
      <c r="AT336" t="n">
        <v>10</v>
      </c>
      <c r="AU336" t="n">
        <v>10</v>
      </c>
      <c r="AV336" t="n">
        <v>100</v>
      </c>
      <c r="AW336" t="n">
        <v>8.1</v>
      </c>
      <c r="AX336" t="n">
        <v>0</v>
      </c>
      <c r="AY336" t="n">
        <v>0</v>
      </c>
      <c r="AZ336" t="n">
        <v>77.5</v>
      </c>
      <c r="BA336" t="n">
        <v>86</v>
      </c>
      <c r="BB336" t="n">
        <v>85.59999999999999</v>
      </c>
      <c r="BC336" t="n">
        <v>86</v>
      </c>
      <c r="BD336" t="n">
        <v>14.4</v>
      </c>
      <c r="BE336" t="n">
        <v>14</v>
      </c>
      <c r="BF336" t="n">
        <v>100</v>
      </c>
      <c r="BG336" t="n">
        <v>8.1</v>
      </c>
      <c r="BH336" t="n">
        <v>0</v>
      </c>
      <c r="BI336" t="n">
        <v>0</v>
      </c>
      <c r="BJ336" t="n">
        <v>77.5</v>
      </c>
      <c r="BK336" t="n">
        <v>86</v>
      </c>
      <c r="BL336" t="n">
        <v>85.59999999999999</v>
      </c>
      <c r="BM336" t="n">
        <v>86</v>
      </c>
      <c r="BN336" t="n">
        <v>14.4</v>
      </c>
      <c r="BO336" t="n">
        <v>14</v>
      </c>
      <c r="BP336" t="n">
        <v>0</v>
      </c>
      <c r="BQ336" t="n">
        <v>0</v>
      </c>
      <c r="BR336" t="n">
        <v>0</v>
      </c>
      <c r="BS336" t="n">
        <v>0</v>
      </c>
      <c r="BT336" t="n">
        <v>0</v>
      </c>
      <c r="BU336" t="n">
        <v>0</v>
      </c>
      <c r="BV336" t="n">
        <v>0</v>
      </c>
      <c r="BW336" t="n">
        <v>0</v>
      </c>
      <c r="BX336" t="n">
        <v>0</v>
      </c>
      <c r="BY336" t="n">
        <v>0</v>
      </c>
      <c r="BZ336" t="n">
        <v>20</v>
      </c>
      <c r="CA336" t="n">
        <v>3</v>
      </c>
      <c r="CB336" t="n">
        <v>0</v>
      </c>
      <c r="CC336" t="n">
        <v>0</v>
      </c>
      <c r="CD336" t="n">
        <v>13</v>
      </c>
      <c r="CE336" t="n">
        <v>9</v>
      </c>
      <c r="CF336" t="n">
        <v>16</v>
      </c>
      <c r="CG336" t="n">
        <v>9</v>
      </c>
      <c r="CH336" t="n">
        <v>20</v>
      </c>
      <c r="CI336" t="n">
        <v>3</v>
      </c>
      <c r="CJ336" t="n">
        <v>0</v>
      </c>
      <c r="CK336" t="n">
        <v>0</v>
      </c>
      <c r="CL336" t="n">
        <v>13</v>
      </c>
      <c r="CM336" t="n">
        <v>9</v>
      </c>
      <c r="CN336" t="n">
        <v>16</v>
      </c>
      <c r="CO336" t="n">
        <v>9</v>
      </c>
      <c r="CP336" t="n">
        <v>0</v>
      </c>
      <c r="CQ336" t="n">
        <v>0</v>
      </c>
      <c r="CR336" t="n">
        <v>0</v>
      </c>
      <c r="CS336" t="n">
        <v>0</v>
      </c>
      <c r="CT336" t="n">
        <v>0</v>
      </c>
      <c r="CU336" t="n">
        <v>0</v>
      </c>
      <c r="CV336" t="n">
        <v>0</v>
      </c>
      <c r="CW336" t="n">
        <v>0</v>
      </c>
      <c r="CX336" t="n">
        <v>53.5</v>
      </c>
      <c r="CY336" t="n">
        <v>77.8</v>
      </c>
      <c r="CZ336" t="n">
        <v>70.59999999999999</v>
      </c>
      <c r="DA336" t="n">
        <v>85.7</v>
      </c>
      <c r="DB336" t="n">
        <v>42.4</v>
      </c>
      <c r="DC336" t="n">
        <v>70</v>
      </c>
      <c r="DD336" t="n">
        <v>57.3</v>
      </c>
      <c r="DE336" t="n">
        <v>70.3</v>
      </c>
      <c r="DF336" t="n">
        <v>53.5</v>
      </c>
      <c r="DG336" t="n">
        <v>77.8</v>
      </c>
      <c r="DH336" t="n">
        <v>70.59999999999999</v>
      </c>
      <c r="DI336" t="n">
        <v>85.7</v>
      </c>
      <c r="DJ336" t="n">
        <v>42.4</v>
      </c>
      <c r="DK336" t="n">
        <v>70</v>
      </c>
      <c r="DL336" t="n">
        <v>57.3</v>
      </c>
      <c r="DM336" t="n">
        <v>70.3</v>
      </c>
      <c r="DN336" t="n">
        <v>0</v>
      </c>
      <c r="DO336" t="n">
        <v>0</v>
      </c>
      <c r="DP336" t="n">
        <v>0</v>
      </c>
      <c r="DQ336" t="n">
        <v>0</v>
      </c>
      <c r="DR336" t="n">
        <v>0</v>
      </c>
      <c r="DS336" t="n">
        <v>0</v>
      </c>
      <c r="DT336" t="n">
        <v>0</v>
      </c>
      <c r="DU336" t="n">
        <v>0</v>
      </c>
      <c r="DV336" t="inlineStr">
        <is>
          <t>Megawatt Hours (MWh)</t>
        </is>
      </c>
    </row>
    <row r="337">
      <c r="A337" t="inlineStr">
        <is>
          <t>PJM.N ILLINOIS HUB_mo_on_dap - NODAL EXCHANGE</t>
        </is>
      </c>
      <c r="B337" t="n">
        <v>230110</v>
      </c>
      <c r="C337" s="1" t="n">
        <v>44936</v>
      </c>
      <c r="D337" t="inlineStr">
        <is>
          <t>064ERM</t>
        </is>
      </c>
      <c r="E337" t="inlineStr">
        <is>
          <t>NODX</t>
        </is>
      </c>
      <c r="F337" t="inlineStr">
        <is>
          <t>01</t>
        </is>
      </c>
      <c r="G337" t="inlineStr">
        <is>
          <t xml:space="preserve">064 </t>
        </is>
      </c>
      <c r="H337" t="n">
        <v>43167</v>
      </c>
      <c r="I337" s="17" t="n">
        <v>5867</v>
      </c>
      <c r="J337" s="17" t="n">
        <v>0</v>
      </c>
      <c r="K337" t="n">
        <v>140</v>
      </c>
      <c r="L337" t="n">
        <v>34156</v>
      </c>
      <c r="M337" t="n">
        <v>40277</v>
      </c>
      <c r="N337" t="n">
        <v>40163</v>
      </c>
      <c r="O337" t="n">
        <v>40417</v>
      </c>
      <c r="P337" t="n">
        <v>3004</v>
      </c>
      <c r="Q337" t="n">
        <v>2750</v>
      </c>
      <c r="R337" t="n">
        <v>43167</v>
      </c>
      <c r="S337" t="n">
        <v>5867</v>
      </c>
      <c r="T337" t="n">
        <v>0</v>
      </c>
      <c r="U337" t="n">
        <v>140</v>
      </c>
      <c r="V337" t="n">
        <v>34156</v>
      </c>
      <c r="W337" t="n">
        <v>40277</v>
      </c>
      <c r="X337" t="n">
        <v>40163</v>
      </c>
      <c r="Y337" t="n">
        <v>40417</v>
      </c>
      <c r="Z337" t="n">
        <v>3004</v>
      </c>
      <c r="AA337" t="n">
        <v>2750</v>
      </c>
      <c r="AB337" t="n">
        <v>0</v>
      </c>
      <c r="AC337" t="n">
        <v>0</v>
      </c>
      <c r="AD337" t="n">
        <v>0</v>
      </c>
      <c r="AE337" t="n">
        <v>0</v>
      </c>
      <c r="AF337" t="n">
        <v>0</v>
      </c>
      <c r="AG337" t="n">
        <v>0</v>
      </c>
      <c r="AH337" t="n">
        <v>0</v>
      </c>
      <c r="AI337" t="n">
        <v>0</v>
      </c>
      <c r="AJ337" t="n">
        <v>0</v>
      </c>
      <c r="AK337" t="n">
        <v>0</v>
      </c>
      <c r="AL337" t="n">
        <v>-437</v>
      </c>
      <c r="AM337" t="n">
        <v>-195</v>
      </c>
      <c r="AN337" t="n">
        <v>0</v>
      </c>
      <c r="AO337" t="n">
        <v>140</v>
      </c>
      <c r="AP337" t="n">
        <v>-172</v>
      </c>
      <c r="AQ337" t="n">
        <v>-265</v>
      </c>
      <c r="AR337" t="n">
        <v>-227</v>
      </c>
      <c r="AS337" t="n">
        <v>-125</v>
      </c>
      <c r="AT337" t="n">
        <v>-210</v>
      </c>
      <c r="AU337" t="n">
        <v>-312</v>
      </c>
      <c r="AV337" t="n">
        <v>100</v>
      </c>
      <c r="AW337" t="n">
        <v>13.6</v>
      </c>
      <c r="AX337" t="n">
        <v>0</v>
      </c>
      <c r="AY337" t="n">
        <v>0.3</v>
      </c>
      <c r="AZ337" t="n">
        <v>79.09999999999999</v>
      </c>
      <c r="BA337" t="n">
        <v>93.3</v>
      </c>
      <c r="BB337" t="n">
        <v>93</v>
      </c>
      <c r="BC337" t="n">
        <v>93.59999999999999</v>
      </c>
      <c r="BD337" t="n">
        <v>7</v>
      </c>
      <c r="BE337" t="n">
        <v>6.4</v>
      </c>
      <c r="BF337" t="n">
        <v>100</v>
      </c>
      <c r="BG337" t="n">
        <v>13.6</v>
      </c>
      <c r="BH337" t="n">
        <v>0</v>
      </c>
      <c r="BI337" t="n">
        <v>0.3</v>
      </c>
      <c r="BJ337" t="n">
        <v>79.09999999999999</v>
      </c>
      <c r="BK337" t="n">
        <v>93.3</v>
      </c>
      <c r="BL337" t="n">
        <v>93</v>
      </c>
      <c r="BM337" t="n">
        <v>93.59999999999999</v>
      </c>
      <c r="BN337" t="n">
        <v>7</v>
      </c>
      <c r="BO337" t="n">
        <v>6.4</v>
      </c>
      <c r="BP337" t="n">
        <v>0</v>
      </c>
      <c r="BQ337" t="n">
        <v>0</v>
      </c>
      <c r="BR337" t="n">
        <v>0</v>
      </c>
      <c r="BS337" t="n">
        <v>0</v>
      </c>
      <c r="BT337" t="n">
        <v>0</v>
      </c>
      <c r="BU337" t="n">
        <v>0</v>
      </c>
      <c r="BV337" t="n">
        <v>0</v>
      </c>
      <c r="BW337" t="n">
        <v>0</v>
      </c>
      <c r="BX337" t="n">
        <v>0</v>
      </c>
      <c r="BY337" t="n">
        <v>0</v>
      </c>
      <c r="BZ337" t="n">
        <v>29</v>
      </c>
      <c r="CA337" t="n">
        <v>2</v>
      </c>
      <c r="CB337" t="n">
        <v>0</v>
      </c>
      <c r="CC337" t="n">
        <v>1</v>
      </c>
      <c r="CD337" t="n">
        <v>19</v>
      </c>
      <c r="CE337" t="n">
        <v>22</v>
      </c>
      <c r="CF337" t="n">
        <v>21</v>
      </c>
      <c r="CG337" t="n">
        <v>23</v>
      </c>
      <c r="CH337" t="n">
        <v>29</v>
      </c>
      <c r="CI337" t="n">
        <v>2</v>
      </c>
      <c r="CJ337" t="n">
        <v>0</v>
      </c>
      <c r="CK337" t="n">
        <v>1</v>
      </c>
      <c r="CL337" t="n">
        <v>19</v>
      </c>
      <c r="CM337" t="n">
        <v>22</v>
      </c>
      <c r="CN337" t="n">
        <v>21</v>
      </c>
      <c r="CO337" t="n">
        <v>23</v>
      </c>
      <c r="CP337" t="n">
        <v>0</v>
      </c>
      <c r="CQ337" t="n">
        <v>0</v>
      </c>
      <c r="CR337" t="n">
        <v>0</v>
      </c>
      <c r="CS337" t="n">
        <v>0</v>
      </c>
      <c r="CT337" t="n">
        <v>0</v>
      </c>
      <c r="CU337" t="n">
        <v>0</v>
      </c>
      <c r="CV337" t="n">
        <v>0</v>
      </c>
      <c r="CW337" t="n">
        <v>0</v>
      </c>
      <c r="CX337" t="n">
        <v>66.5</v>
      </c>
      <c r="CY337" t="n">
        <v>68.90000000000001</v>
      </c>
      <c r="CZ337" t="n">
        <v>81.40000000000001</v>
      </c>
      <c r="DA337" t="n">
        <v>81.7</v>
      </c>
      <c r="DB337" t="n">
        <v>66.3</v>
      </c>
      <c r="DC337" t="n">
        <v>67.3</v>
      </c>
      <c r="DD337" t="n">
        <v>78.3</v>
      </c>
      <c r="DE337" t="n">
        <v>78.09999999999999</v>
      </c>
      <c r="DF337" t="n">
        <v>66.5</v>
      </c>
      <c r="DG337" t="n">
        <v>68.90000000000001</v>
      </c>
      <c r="DH337" t="n">
        <v>81.40000000000001</v>
      </c>
      <c r="DI337" t="n">
        <v>81.7</v>
      </c>
      <c r="DJ337" t="n">
        <v>66.3</v>
      </c>
      <c r="DK337" t="n">
        <v>67.3</v>
      </c>
      <c r="DL337" t="n">
        <v>78.3</v>
      </c>
      <c r="DM337" t="n">
        <v>78.09999999999999</v>
      </c>
      <c r="DN337" t="n">
        <v>0</v>
      </c>
      <c r="DO337" t="n">
        <v>0</v>
      </c>
      <c r="DP337" t="n">
        <v>0</v>
      </c>
      <c r="DQ337" t="n">
        <v>0</v>
      </c>
      <c r="DR337" t="n">
        <v>0</v>
      </c>
      <c r="DS337" t="n">
        <v>0</v>
      </c>
      <c r="DT337" t="n">
        <v>0</v>
      </c>
      <c r="DU337" t="n">
        <v>0</v>
      </c>
      <c r="DV337" t="inlineStr">
        <is>
          <t>Megawatt Hours (MWh)</t>
        </is>
      </c>
    </row>
    <row r="338">
      <c r="A338" t="inlineStr">
        <is>
          <t>PJM.N ILLINOIS HUB_mo_on_dap - NODAL EXCHANGE</t>
        </is>
      </c>
      <c r="B338" t="n">
        <v>230103</v>
      </c>
      <c r="C338" s="1" t="n">
        <v>44929</v>
      </c>
      <c r="D338" t="inlineStr">
        <is>
          <t>064ERM</t>
        </is>
      </c>
      <c r="E338" t="inlineStr">
        <is>
          <t>NODX</t>
        </is>
      </c>
      <c r="F338" t="inlineStr">
        <is>
          <t>01</t>
        </is>
      </c>
      <c r="G338" t="inlineStr">
        <is>
          <t xml:space="preserve">064 </t>
        </is>
      </c>
      <c r="H338" t="n">
        <v>43604</v>
      </c>
      <c r="I338" s="17" t="n">
        <v>6062</v>
      </c>
      <c r="J338" s="17" t="n">
        <v>0</v>
      </c>
      <c r="K338" t="n">
        <v>0</v>
      </c>
      <c r="L338" t="n">
        <v>34328</v>
      </c>
      <c r="M338" t="n">
        <v>40542</v>
      </c>
      <c r="N338" t="n">
        <v>40390</v>
      </c>
      <c r="O338" t="n">
        <v>40542</v>
      </c>
      <c r="P338" t="n">
        <v>3214</v>
      </c>
      <c r="Q338" t="n">
        <v>3062</v>
      </c>
      <c r="R338" t="n">
        <v>43604</v>
      </c>
      <c r="S338" t="n">
        <v>6062</v>
      </c>
      <c r="T338" t="n">
        <v>0</v>
      </c>
      <c r="U338" t="n">
        <v>0</v>
      </c>
      <c r="V338" t="n">
        <v>34328</v>
      </c>
      <c r="W338" t="n">
        <v>40542</v>
      </c>
      <c r="X338" t="n">
        <v>40390</v>
      </c>
      <c r="Y338" t="n">
        <v>40542</v>
      </c>
      <c r="Z338" t="n">
        <v>3214</v>
      </c>
      <c r="AA338" t="n">
        <v>3062</v>
      </c>
      <c r="AB338" t="n">
        <v>0</v>
      </c>
      <c r="AC338" t="n">
        <v>0</v>
      </c>
      <c r="AD338" t="n">
        <v>0</v>
      </c>
      <c r="AE338" t="n">
        <v>0</v>
      </c>
      <c r="AF338" t="n">
        <v>0</v>
      </c>
      <c r="AG338" t="n">
        <v>0</v>
      </c>
      <c r="AH338" t="n">
        <v>0</v>
      </c>
      <c r="AI338" t="n">
        <v>0</v>
      </c>
      <c r="AJ338" t="n">
        <v>0</v>
      </c>
      <c r="AK338" t="n">
        <v>0</v>
      </c>
      <c r="AL338" t="n">
        <v>227</v>
      </c>
      <c r="AM338" t="n">
        <v>212</v>
      </c>
      <c r="AN338" t="n">
        <v>0</v>
      </c>
      <c r="AO338" t="n">
        <v>0</v>
      </c>
      <c r="AP338" t="n">
        <v>-221</v>
      </c>
      <c r="AQ338" t="n">
        <v>51</v>
      </c>
      <c r="AR338" t="n">
        <v>-9</v>
      </c>
      <c r="AS338" t="n">
        <v>51</v>
      </c>
      <c r="AT338" t="n">
        <v>236</v>
      </c>
      <c r="AU338" t="n">
        <v>176</v>
      </c>
      <c r="AV338" t="n">
        <v>100</v>
      </c>
      <c r="AW338" t="n">
        <v>13.9</v>
      </c>
      <c r="AX338" t="n">
        <v>0</v>
      </c>
      <c r="AY338" t="n">
        <v>0</v>
      </c>
      <c r="AZ338" t="n">
        <v>78.7</v>
      </c>
      <c r="BA338" t="n">
        <v>93</v>
      </c>
      <c r="BB338" t="n">
        <v>92.59999999999999</v>
      </c>
      <c r="BC338" t="n">
        <v>93</v>
      </c>
      <c r="BD338" t="n">
        <v>7.4</v>
      </c>
      <c r="BE338" t="n">
        <v>7</v>
      </c>
      <c r="BF338" t="n">
        <v>100</v>
      </c>
      <c r="BG338" t="n">
        <v>13.9</v>
      </c>
      <c r="BH338" t="n">
        <v>0</v>
      </c>
      <c r="BI338" t="n">
        <v>0</v>
      </c>
      <c r="BJ338" t="n">
        <v>78.7</v>
      </c>
      <c r="BK338" t="n">
        <v>93</v>
      </c>
      <c r="BL338" t="n">
        <v>92.59999999999999</v>
      </c>
      <c r="BM338" t="n">
        <v>93</v>
      </c>
      <c r="BN338" t="n">
        <v>7.4</v>
      </c>
      <c r="BO338" t="n">
        <v>7</v>
      </c>
      <c r="BP338" t="n">
        <v>0</v>
      </c>
      <c r="BQ338" t="n">
        <v>0</v>
      </c>
      <c r="BR338" t="n">
        <v>0</v>
      </c>
      <c r="BS338" t="n">
        <v>0</v>
      </c>
      <c r="BT338" t="n">
        <v>0</v>
      </c>
      <c r="BU338" t="n">
        <v>0</v>
      </c>
      <c r="BV338" t="n">
        <v>0</v>
      </c>
      <c r="BW338" t="n">
        <v>0</v>
      </c>
      <c r="BX338" t="n">
        <v>0</v>
      </c>
      <c r="BY338" t="n">
        <v>0</v>
      </c>
      <c r="BZ338" t="n">
        <v>28</v>
      </c>
      <c r="CA338" t="n">
        <v>2</v>
      </c>
      <c r="CB338" t="n">
        <v>0</v>
      </c>
      <c r="CC338" t="n">
        <v>0</v>
      </c>
      <c r="CD338" t="n">
        <v>17</v>
      </c>
      <c r="CE338" t="n">
        <v>21</v>
      </c>
      <c r="CF338" t="n">
        <v>19</v>
      </c>
      <c r="CG338" t="n">
        <v>21</v>
      </c>
      <c r="CH338" t="n">
        <v>28</v>
      </c>
      <c r="CI338" t="n">
        <v>2</v>
      </c>
      <c r="CJ338" t="n">
        <v>0</v>
      </c>
      <c r="CK338" t="n">
        <v>0</v>
      </c>
      <c r="CL338" t="n">
        <v>17</v>
      </c>
      <c r="CM338" t="n">
        <v>21</v>
      </c>
      <c r="CN338" t="n">
        <v>19</v>
      </c>
      <c r="CO338" t="n">
        <v>21</v>
      </c>
      <c r="CP338" t="n">
        <v>0</v>
      </c>
      <c r="CQ338" t="n">
        <v>0</v>
      </c>
      <c r="CR338" t="n">
        <v>0</v>
      </c>
      <c r="CS338" t="n">
        <v>0</v>
      </c>
      <c r="CT338" t="n">
        <v>0</v>
      </c>
      <c r="CU338" t="n">
        <v>0</v>
      </c>
      <c r="CV338" t="n">
        <v>0</v>
      </c>
      <c r="CW338" t="n">
        <v>0</v>
      </c>
      <c r="CX338" t="n">
        <v>65.59999999999999</v>
      </c>
      <c r="CY338" t="n">
        <v>67.2</v>
      </c>
      <c r="CZ338" t="n">
        <v>81</v>
      </c>
      <c r="DA338" t="n">
        <v>80.90000000000001</v>
      </c>
      <c r="DB338" t="n">
        <v>65.5</v>
      </c>
      <c r="DC338" t="n">
        <v>66.90000000000001</v>
      </c>
      <c r="DD338" t="n">
        <v>78.7</v>
      </c>
      <c r="DE338" t="n">
        <v>78.09999999999999</v>
      </c>
      <c r="DF338" t="n">
        <v>65.59999999999999</v>
      </c>
      <c r="DG338" t="n">
        <v>67.2</v>
      </c>
      <c r="DH338" t="n">
        <v>81</v>
      </c>
      <c r="DI338" t="n">
        <v>80.90000000000001</v>
      </c>
      <c r="DJ338" t="n">
        <v>65.5</v>
      </c>
      <c r="DK338" t="n">
        <v>66.90000000000001</v>
      </c>
      <c r="DL338" t="n">
        <v>78.7</v>
      </c>
      <c r="DM338" t="n">
        <v>78.09999999999999</v>
      </c>
      <c r="DN338" t="n">
        <v>0</v>
      </c>
      <c r="DO338" t="n">
        <v>0</v>
      </c>
      <c r="DP338" t="n">
        <v>0</v>
      </c>
      <c r="DQ338" t="n">
        <v>0</v>
      </c>
      <c r="DR338" t="n">
        <v>0</v>
      </c>
      <c r="DS338" t="n">
        <v>0</v>
      </c>
      <c r="DT338" t="n">
        <v>0</v>
      </c>
      <c r="DU338" t="n">
        <v>0</v>
      </c>
      <c r="DV338" t="inlineStr">
        <is>
          <t>Megawatt Hours (MWh)</t>
        </is>
      </c>
    </row>
    <row r="339">
      <c r="A339" t="inlineStr">
        <is>
          <t>PJM.N ILLINOIS HUB_mo_off_dap - NODAL EXCHANGE</t>
        </is>
      </c>
      <c r="B339" t="n">
        <v>230110</v>
      </c>
      <c r="C339" s="1" t="n">
        <v>44936</v>
      </c>
      <c r="D339" t="inlineStr">
        <is>
          <t>064ERN</t>
        </is>
      </c>
      <c r="E339" t="inlineStr">
        <is>
          <t>NODX</t>
        </is>
      </c>
      <c r="F339" t="inlineStr">
        <is>
          <t>01</t>
        </is>
      </c>
      <c r="G339" t="inlineStr">
        <is>
          <t xml:space="preserve">064 </t>
        </is>
      </c>
      <c r="H339" t="n">
        <v>45272</v>
      </c>
      <c r="I339" s="17" t="n">
        <v>5687</v>
      </c>
      <c r="J339" s="17" t="n">
        <v>4800</v>
      </c>
      <c r="K339" t="n">
        <v>140</v>
      </c>
      <c r="L339" t="n">
        <v>36432</v>
      </c>
      <c r="M339" t="n">
        <v>37693</v>
      </c>
      <c r="N339" t="n">
        <v>42259</v>
      </c>
      <c r="O339" t="n">
        <v>42633</v>
      </c>
      <c r="P339" t="n">
        <v>3013</v>
      </c>
      <c r="Q339" t="n">
        <v>2639</v>
      </c>
      <c r="R339" t="n">
        <v>45272</v>
      </c>
      <c r="S339" t="n">
        <v>5687</v>
      </c>
      <c r="T339" t="n">
        <v>4800</v>
      </c>
      <c r="U339" t="n">
        <v>140</v>
      </c>
      <c r="V339" t="n">
        <v>36432</v>
      </c>
      <c r="W339" t="n">
        <v>37693</v>
      </c>
      <c r="X339" t="n">
        <v>42259</v>
      </c>
      <c r="Y339" t="n">
        <v>42633</v>
      </c>
      <c r="Z339" t="n">
        <v>3013</v>
      </c>
      <c r="AA339" t="n">
        <v>2639</v>
      </c>
      <c r="AB339" t="n">
        <v>0</v>
      </c>
      <c r="AC339" t="n">
        <v>0</v>
      </c>
      <c r="AD339" t="n">
        <v>0</v>
      </c>
      <c r="AE339" t="n">
        <v>0</v>
      </c>
      <c r="AF339" t="n">
        <v>0</v>
      </c>
      <c r="AG339" t="n">
        <v>0</v>
      </c>
      <c r="AH339" t="n">
        <v>0</v>
      </c>
      <c r="AI339" t="n">
        <v>0</v>
      </c>
      <c r="AJ339" t="n">
        <v>0</v>
      </c>
      <c r="AK339" t="n">
        <v>0</v>
      </c>
      <c r="AL339" t="n">
        <v>-1530</v>
      </c>
      <c r="AM339" t="n">
        <v>-95</v>
      </c>
      <c r="AN339" t="n">
        <v>862</v>
      </c>
      <c r="AO339" t="n">
        <v>-35</v>
      </c>
      <c r="AP339" t="n">
        <v>-1089</v>
      </c>
      <c r="AQ339" t="n">
        <v>-1934</v>
      </c>
      <c r="AR339" t="n">
        <v>-1219</v>
      </c>
      <c r="AS339" t="n">
        <v>-1107</v>
      </c>
      <c r="AT339" t="n">
        <v>-311</v>
      </c>
      <c r="AU339" t="n">
        <v>-423</v>
      </c>
      <c r="AV339" t="n">
        <v>100</v>
      </c>
      <c r="AW339" t="n">
        <v>12.6</v>
      </c>
      <c r="AX339" t="n">
        <v>10.6</v>
      </c>
      <c r="AY339" t="n">
        <v>0.3</v>
      </c>
      <c r="AZ339" t="n">
        <v>80.5</v>
      </c>
      <c r="BA339" t="n">
        <v>83.3</v>
      </c>
      <c r="BB339" t="n">
        <v>93.3</v>
      </c>
      <c r="BC339" t="n">
        <v>94.2</v>
      </c>
      <c r="BD339" t="n">
        <v>6.7</v>
      </c>
      <c r="BE339" t="n">
        <v>5.8</v>
      </c>
      <c r="BF339" t="n">
        <v>100</v>
      </c>
      <c r="BG339" t="n">
        <v>12.6</v>
      </c>
      <c r="BH339" t="n">
        <v>10.6</v>
      </c>
      <c r="BI339" t="n">
        <v>0.3</v>
      </c>
      <c r="BJ339" t="n">
        <v>80.5</v>
      </c>
      <c r="BK339" t="n">
        <v>83.3</v>
      </c>
      <c r="BL339" t="n">
        <v>93.3</v>
      </c>
      <c r="BM339" t="n">
        <v>94.2</v>
      </c>
      <c r="BN339" t="n">
        <v>6.7</v>
      </c>
      <c r="BO339" t="n">
        <v>5.8</v>
      </c>
      <c r="BP339" t="n">
        <v>0</v>
      </c>
      <c r="BQ339" t="n">
        <v>0</v>
      </c>
      <c r="BR339" t="n">
        <v>0</v>
      </c>
      <c r="BS339" t="n">
        <v>0</v>
      </c>
      <c r="BT339" t="n">
        <v>0</v>
      </c>
      <c r="BU339" t="n">
        <v>0</v>
      </c>
      <c r="BV339" t="n">
        <v>0</v>
      </c>
      <c r="BW339" t="n">
        <v>0</v>
      </c>
      <c r="BX339" t="n">
        <v>0</v>
      </c>
      <c r="BY339" t="n">
        <v>0</v>
      </c>
      <c r="BZ339" t="n">
        <v>31</v>
      </c>
      <c r="CA339" t="n">
        <v>2</v>
      </c>
      <c r="CB339" t="n">
        <v>3</v>
      </c>
      <c r="CC339" t="n">
        <v>1</v>
      </c>
      <c r="CD339" t="n">
        <v>19</v>
      </c>
      <c r="CE339" t="n">
        <v>20</v>
      </c>
      <c r="CF339" t="n">
        <v>21</v>
      </c>
      <c r="CG339" t="n">
        <v>24</v>
      </c>
      <c r="CH339" t="n">
        <v>31</v>
      </c>
      <c r="CI339" t="n">
        <v>2</v>
      </c>
      <c r="CJ339" t="n">
        <v>3</v>
      </c>
      <c r="CK339" t="n">
        <v>1</v>
      </c>
      <c r="CL339" t="n">
        <v>19</v>
      </c>
      <c r="CM339" t="n">
        <v>20</v>
      </c>
      <c r="CN339" t="n">
        <v>21</v>
      </c>
      <c r="CO339" t="n">
        <v>24</v>
      </c>
      <c r="CP339" t="n">
        <v>0</v>
      </c>
      <c r="CQ339" t="n">
        <v>0</v>
      </c>
      <c r="CR339" t="n">
        <v>0</v>
      </c>
      <c r="CS339" t="n">
        <v>0</v>
      </c>
      <c r="CT339" t="n">
        <v>0</v>
      </c>
      <c r="CU339" t="n">
        <v>0</v>
      </c>
      <c r="CV339" t="n">
        <v>0</v>
      </c>
      <c r="CW339" t="n">
        <v>0</v>
      </c>
      <c r="CX339" t="n">
        <v>69.5</v>
      </c>
      <c r="CY339" t="n">
        <v>64.59999999999999</v>
      </c>
      <c r="CZ339" t="n">
        <v>82.2</v>
      </c>
      <c r="DA339" t="n">
        <v>80.09999999999999</v>
      </c>
      <c r="DB339" t="n">
        <v>69.5</v>
      </c>
      <c r="DC339" t="n">
        <v>63.8</v>
      </c>
      <c r="DD339" t="n">
        <v>79</v>
      </c>
      <c r="DE339" t="n">
        <v>75.90000000000001</v>
      </c>
      <c r="DF339" t="n">
        <v>69.5</v>
      </c>
      <c r="DG339" t="n">
        <v>64.59999999999999</v>
      </c>
      <c r="DH339" t="n">
        <v>82.2</v>
      </c>
      <c r="DI339" t="n">
        <v>80.09999999999999</v>
      </c>
      <c r="DJ339" t="n">
        <v>69.5</v>
      </c>
      <c r="DK339" t="n">
        <v>63.8</v>
      </c>
      <c r="DL339" t="n">
        <v>79</v>
      </c>
      <c r="DM339" t="n">
        <v>75.90000000000001</v>
      </c>
      <c r="DN339" t="n">
        <v>0</v>
      </c>
      <c r="DO339" t="n">
        <v>0</v>
      </c>
      <c r="DP339" t="n">
        <v>0</v>
      </c>
      <c r="DQ339" t="n">
        <v>0</v>
      </c>
      <c r="DR339" t="n">
        <v>0</v>
      </c>
      <c r="DS339" t="n">
        <v>0</v>
      </c>
      <c r="DT339" t="n">
        <v>0</v>
      </c>
      <c r="DU339" t="n">
        <v>0</v>
      </c>
      <c r="DV339" t="inlineStr">
        <is>
          <t>Megawatt Hours (MWh)</t>
        </is>
      </c>
    </row>
    <row r="340">
      <c r="A340" t="inlineStr">
        <is>
          <t>PJM.N ILLINOIS HUB_mo_off_dap - NODAL EXCHANGE</t>
        </is>
      </c>
      <c r="B340" t="n">
        <v>230103</v>
      </c>
      <c r="C340" s="1" t="n">
        <v>44929</v>
      </c>
      <c r="D340" t="inlineStr">
        <is>
          <t>064ERN</t>
        </is>
      </c>
      <c r="E340" t="inlineStr">
        <is>
          <t>NODX</t>
        </is>
      </c>
      <c r="F340" t="inlineStr">
        <is>
          <t>01</t>
        </is>
      </c>
      <c r="G340" t="inlineStr">
        <is>
          <t xml:space="preserve">064 </t>
        </is>
      </c>
      <c r="H340" t="n">
        <v>46802</v>
      </c>
      <c r="I340" s="17" t="n">
        <v>5782</v>
      </c>
      <c r="J340" s="17" t="n">
        <v>3938</v>
      </c>
      <c r="K340" t="n">
        <v>175</v>
      </c>
      <c r="L340" t="n">
        <v>37521</v>
      </c>
      <c r="M340" t="n">
        <v>39627</v>
      </c>
      <c r="N340" t="n">
        <v>43478</v>
      </c>
      <c r="O340" t="n">
        <v>43740</v>
      </c>
      <c r="P340" t="n">
        <v>3324</v>
      </c>
      <c r="Q340" t="n">
        <v>3062</v>
      </c>
      <c r="R340" t="n">
        <v>46802</v>
      </c>
      <c r="S340" t="n">
        <v>5782</v>
      </c>
      <c r="T340" t="n">
        <v>3938</v>
      </c>
      <c r="U340" t="n">
        <v>175</v>
      </c>
      <c r="V340" t="n">
        <v>37521</v>
      </c>
      <c r="W340" t="n">
        <v>39627</v>
      </c>
      <c r="X340" t="n">
        <v>43478</v>
      </c>
      <c r="Y340" t="n">
        <v>43740</v>
      </c>
      <c r="Z340" t="n">
        <v>3324</v>
      </c>
      <c r="AA340" t="n">
        <v>3062</v>
      </c>
      <c r="AB340" t="n">
        <v>0</v>
      </c>
      <c r="AC340" t="n">
        <v>0</v>
      </c>
      <c r="AD340" t="n">
        <v>0</v>
      </c>
      <c r="AE340" t="n">
        <v>0</v>
      </c>
      <c r="AF340" t="n">
        <v>0</v>
      </c>
      <c r="AG340" t="n">
        <v>0</v>
      </c>
      <c r="AH340" t="n">
        <v>0</v>
      </c>
      <c r="AI340" t="n">
        <v>0</v>
      </c>
      <c r="AJ340" t="n">
        <v>0</v>
      </c>
      <c r="AK340" t="n">
        <v>0</v>
      </c>
      <c r="AL340" t="n">
        <v>297</v>
      </c>
      <c r="AM340" t="n">
        <v>212</v>
      </c>
      <c r="AN340" t="n">
        <v>0</v>
      </c>
      <c r="AO340" t="n">
        <v>0</v>
      </c>
      <c r="AP340" t="n">
        <v>-591</v>
      </c>
      <c r="AQ340" t="n">
        <v>101</v>
      </c>
      <c r="AR340" t="n">
        <v>-379</v>
      </c>
      <c r="AS340" t="n">
        <v>101</v>
      </c>
      <c r="AT340" t="n">
        <v>676</v>
      </c>
      <c r="AU340" t="n">
        <v>196</v>
      </c>
      <c r="AV340" t="n">
        <v>100</v>
      </c>
      <c r="AW340" t="n">
        <v>12.4</v>
      </c>
      <c r="AX340" t="n">
        <v>8.4</v>
      </c>
      <c r="AY340" t="n">
        <v>0.4</v>
      </c>
      <c r="AZ340" t="n">
        <v>80.2</v>
      </c>
      <c r="BA340" t="n">
        <v>84.7</v>
      </c>
      <c r="BB340" t="n">
        <v>92.90000000000001</v>
      </c>
      <c r="BC340" t="n">
        <v>93.5</v>
      </c>
      <c r="BD340" t="n">
        <v>7.1</v>
      </c>
      <c r="BE340" t="n">
        <v>6.5</v>
      </c>
      <c r="BF340" t="n">
        <v>100</v>
      </c>
      <c r="BG340" t="n">
        <v>12.4</v>
      </c>
      <c r="BH340" t="n">
        <v>8.4</v>
      </c>
      <c r="BI340" t="n">
        <v>0.4</v>
      </c>
      <c r="BJ340" t="n">
        <v>80.2</v>
      </c>
      <c r="BK340" t="n">
        <v>84.7</v>
      </c>
      <c r="BL340" t="n">
        <v>92.90000000000001</v>
      </c>
      <c r="BM340" t="n">
        <v>93.5</v>
      </c>
      <c r="BN340" t="n">
        <v>7.1</v>
      </c>
      <c r="BO340" t="n">
        <v>6.5</v>
      </c>
      <c r="BP340" t="n">
        <v>0</v>
      </c>
      <c r="BQ340" t="n">
        <v>0</v>
      </c>
      <c r="BR340" t="n">
        <v>0</v>
      </c>
      <c r="BS340" t="n">
        <v>0</v>
      </c>
      <c r="BT340" t="n">
        <v>0</v>
      </c>
      <c r="BU340" t="n">
        <v>0</v>
      </c>
      <c r="BV340" t="n">
        <v>0</v>
      </c>
      <c r="BW340" t="n">
        <v>0</v>
      </c>
      <c r="BX340" t="n">
        <v>0</v>
      </c>
      <c r="BY340" t="n">
        <v>0</v>
      </c>
      <c r="BZ340" t="n">
        <v>32</v>
      </c>
      <c r="CA340" t="n">
        <v>3</v>
      </c>
      <c r="CB340" t="n">
        <v>3</v>
      </c>
      <c r="CC340" t="n">
        <v>1</v>
      </c>
      <c r="CD340" t="n">
        <v>18</v>
      </c>
      <c r="CE340" t="n">
        <v>20</v>
      </c>
      <c r="CF340" t="n">
        <v>21</v>
      </c>
      <c r="CG340" t="n">
        <v>24</v>
      </c>
      <c r="CH340" t="n">
        <v>32</v>
      </c>
      <c r="CI340" t="n">
        <v>3</v>
      </c>
      <c r="CJ340" t="n">
        <v>3</v>
      </c>
      <c r="CK340" t="n">
        <v>1</v>
      </c>
      <c r="CL340" t="n">
        <v>18</v>
      </c>
      <c r="CM340" t="n">
        <v>20</v>
      </c>
      <c r="CN340" t="n">
        <v>21</v>
      </c>
      <c r="CO340" t="n">
        <v>24</v>
      </c>
      <c r="CP340" t="n">
        <v>0</v>
      </c>
      <c r="CQ340" t="n">
        <v>0</v>
      </c>
      <c r="CR340" t="n">
        <v>0</v>
      </c>
      <c r="CS340" t="n">
        <v>0</v>
      </c>
      <c r="CT340" t="n">
        <v>0</v>
      </c>
      <c r="CU340" t="n">
        <v>0</v>
      </c>
      <c r="CV340" t="n">
        <v>0</v>
      </c>
      <c r="CW340" t="n">
        <v>0</v>
      </c>
      <c r="CX340" t="n">
        <v>68.3</v>
      </c>
      <c r="CY340" t="n">
        <v>62.9</v>
      </c>
      <c r="CZ340" t="n">
        <v>80.8</v>
      </c>
      <c r="DA340" t="n">
        <v>78.90000000000001</v>
      </c>
      <c r="DB340" t="n">
        <v>67.90000000000001</v>
      </c>
      <c r="DC340" t="n">
        <v>62.3</v>
      </c>
      <c r="DD340" t="n">
        <v>77.7</v>
      </c>
      <c r="DE340" t="n">
        <v>75</v>
      </c>
      <c r="DF340" t="n">
        <v>68.3</v>
      </c>
      <c r="DG340" t="n">
        <v>62.9</v>
      </c>
      <c r="DH340" t="n">
        <v>80.8</v>
      </c>
      <c r="DI340" t="n">
        <v>78.90000000000001</v>
      </c>
      <c r="DJ340" t="n">
        <v>67.90000000000001</v>
      </c>
      <c r="DK340" t="n">
        <v>62.3</v>
      </c>
      <c r="DL340" t="n">
        <v>77.7</v>
      </c>
      <c r="DM340" t="n">
        <v>75</v>
      </c>
      <c r="DN340" t="n">
        <v>0</v>
      </c>
      <c r="DO340" t="n">
        <v>0</v>
      </c>
      <c r="DP340" t="n">
        <v>0</v>
      </c>
      <c r="DQ340" t="n">
        <v>0</v>
      </c>
      <c r="DR340" t="n">
        <v>0</v>
      </c>
      <c r="DS340" t="n">
        <v>0</v>
      </c>
      <c r="DT340" t="n">
        <v>0</v>
      </c>
      <c r="DU340" t="n">
        <v>0</v>
      </c>
      <c r="DV340" t="inlineStr">
        <is>
          <t>Megawatt Hours (MWh)</t>
        </is>
      </c>
    </row>
    <row r="341">
      <c r="A341" t="inlineStr">
        <is>
          <t>PJM.PECO_month_on_dap - NODAL EXCHANGE</t>
        </is>
      </c>
      <c r="B341" t="n">
        <v>230110</v>
      </c>
      <c r="C341" s="1" t="n">
        <v>44936</v>
      </c>
      <c r="D341" t="inlineStr">
        <is>
          <t>064EUY</t>
        </is>
      </c>
      <c r="E341" t="inlineStr">
        <is>
          <t>NODX</t>
        </is>
      </c>
      <c r="F341" t="inlineStr">
        <is>
          <t>01</t>
        </is>
      </c>
      <c r="G341" t="inlineStr">
        <is>
          <t xml:space="preserve">064 </t>
        </is>
      </c>
      <c r="H341" t="n">
        <v>57589</v>
      </c>
      <c r="I341" s="17" t="n">
        <v>1430</v>
      </c>
      <c r="J341" s="17" t="n">
        <v>1675</v>
      </c>
      <c r="K341" t="n">
        <v>880</v>
      </c>
      <c r="L341" t="n">
        <v>53108</v>
      </c>
      <c r="M341" t="n">
        <v>53073</v>
      </c>
      <c r="N341" t="n">
        <v>55418</v>
      </c>
      <c r="O341" t="n">
        <v>55628</v>
      </c>
      <c r="P341" t="n">
        <v>2171</v>
      </c>
      <c r="Q341" t="n">
        <v>1961</v>
      </c>
      <c r="R341" t="n">
        <v>57589</v>
      </c>
      <c r="S341" t="n">
        <v>1430</v>
      </c>
      <c r="T341" t="n">
        <v>1675</v>
      </c>
      <c r="U341" t="n">
        <v>880</v>
      </c>
      <c r="V341" t="n">
        <v>53108</v>
      </c>
      <c r="W341" t="n">
        <v>53073</v>
      </c>
      <c r="X341" t="n">
        <v>55418</v>
      </c>
      <c r="Y341" t="n">
        <v>55628</v>
      </c>
      <c r="Z341" t="n">
        <v>2171</v>
      </c>
      <c r="AA341" t="n">
        <v>1961</v>
      </c>
      <c r="AB341" t="n">
        <v>0</v>
      </c>
      <c r="AC341" t="n">
        <v>0</v>
      </c>
      <c r="AD341" t="n">
        <v>0</v>
      </c>
      <c r="AE341" t="n">
        <v>0</v>
      </c>
      <c r="AF341" t="n">
        <v>0</v>
      </c>
      <c r="AG341" t="n">
        <v>0</v>
      </c>
      <c r="AH341" t="n">
        <v>0</v>
      </c>
      <c r="AI341" t="n">
        <v>0</v>
      </c>
      <c r="AJ341" t="n">
        <v>0</v>
      </c>
      <c r="AK341" t="n">
        <v>0</v>
      </c>
      <c r="AL341" t="n">
        <v>-3708</v>
      </c>
      <c r="AM341" t="n">
        <v>-35</v>
      </c>
      <c r="AN341" t="n">
        <v>175</v>
      </c>
      <c r="AO341" t="n">
        <v>330</v>
      </c>
      <c r="AP341" t="n">
        <v>-3771</v>
      </c>
      <c r="AQ341" t="n">
        <v>-4051</v>
      </c>
      <c r="AR341" t="n">
        <v>-3476</v>
      </c>
      <c r="AS341" t="n">
        <v>-3546</v>
      </c>
      <c r="AT341" t="n">
        <v>-232</v>
      </c>
      <c r="AU341" t="n">
        <v>-162</v>
      </c>
      <c r="AV341" t="n">
        <v>100</v>
      </c>
      <c r="AW341" t="n">
        <v>2.5</v>
      </c>
      <c r="AX341" t="n">
        <v>2.9</v>
      </c>
      <c r="AY341" t="n">
        <v>1.5</v>
      </c>
      <c r="AZ341" t="n">
        <v>92.2</v>
      </c>
      <c r="BA341" t="n">
        <v>92.2</v>
      </c>
      <c r="BB341" t="n">
        <v>96.2</v>
      </c>
      <c r="BC341" t="n">
        <v>96.59999999999999</v>
      </c>
      <c r="BD341" t="n">
        <v>3.8</v>
      </c>
      <c r="BE341" t="n">
        <v>3.4</v>
      </c>
      <c r="BF341" t="n">
        <v>100</v>
      </c>
      <c r="BG341" t="n">
        <v>2.5</v>
      </c>
      <c r="BH341" t="n">
        <v>2.9</v>
      </c>
      <c r="BI341" t="n">
        <v>1.5</v>
      </c>
      <c r="BJ341" t="n">
        <v>92.2</v>
      </c>
      <c r="BK341" t="n">
        <v>92.2</v>
      </c>
      <c r="BL341" t="n">
        <v>96.2</v>
      </c>
      <c r="BM341" t="n">
        <v>96.59999999999999</v>
      </c>
      <c r="BN341" t="n">
        <v>3.8</v>
      </c>
      <c r="BO341" t="n">
        <v>3.4</v>
      </c>
      <c r="BP341" t="n">
        <v>0</v>
      </c>
      <c r="BQ341" t="n">
        <v>0</v>
      </c>
      <c r="BR341" t="n">
        <v>0</v>
      </c>
      <c r="BS341" t="n">
        <v>0</v>
      </c>
      <c r="BT341" t="n">
        <v>0</v>
      </c>
      <c r="BU341" t="n">
        <v>0</v>
      </c>
      <c r="BV341" t="n">
        <v>0</v>
      </c>
      <c r="BW341" t="n">
        <v>0</v>
      </c>
      <c r="BX341" t="n">
        <v>0</v>
      </c>
      <c r="BY341" t="n">
        <v>0</v>
      </c>
      <c r="BZ341" t="n">
        <v>29</v>
      </c>
      <c r="CA341" t="n">
        <v>2</v>
      </c>
      <c r="CB341" t="n">
        <v>3</v>
      </c>
      <c r="CC341" t="n">
        <v>4</v>
      </c>
      <c r="CD341" t="n">
        <v>21</v>
      </c>
      <c r="CE341" t="n">
        <v>17</v>
      </c>
      <c r="CF341" t="n">
        <v>25</v>
      </c>
      <c r="CG341" t="n">
        <v>22</v>
      </c>
      <c r="CH341" t="n">
        <v>29</v>
      </c>
      <c r="CI341" t="n">
        <v>2</v>
      </c>
      <c r="CJ341" t="n">
        <v>3</v>
      </c>
      <c r="CK341" t="n">
        <v>4</v>
      </c>
      <c r="CL341" t="n">
        <v>21</v>
      </c>
      <c r="CM341" t="n">
        <v>17</v>
      </c>
      <c r="CN341" t="n">
        <v>25</v>
      </c>
      <c r="CO341" t="n">
        <v>22</v>
      </c>
      <c r="CP341" t="n">
        <v>0</v>
      </c>
      <c r="CQ341" t="n">
        <v>0</v>
      </c>
      <c r="CR341" t="n">
        <v>0</v>
      </c>
      <c r="CS341" t="n">
        <v>0</v>
      </c>
      <c r="CT341" t="n">
        <v>0</v>
      </c>
      <c r="CU341" t="n">
        <v>0</v>
      </c>
      <c r="CV341" t="n">
        <v>0</v>
      </c>
      <c r="CW341" t="n">
        <v>0</v>
      </c>
      <c r="CX341" t="n">
        <v>65.7</v>
      </c>
      <c r="CY341" t="n">
        <v>81.3</v>
      </c>
      <c r="CZ341" t="n">
        <v>79.59999999999999</v>
      </c>
      <c r="DA341" t="n">
        <v>89.3</v>
      </c>
      <c r="DB341" t="n">
        <v>62.1</v>
      </c>
      <c r="DC341" t="n">
        <v>76.5</v>
      </c>
      <c r="DD341" t="n">
        <v>73.3</v>
      </c>
      <c r="DE341" t="n">
        <v>81.90000000000001</v>
      </c>
      <c r="DF341" t="n">
        <v>65.7</v>
      </c>
      <c r="DG341" t="n">
        <v>81.3</v>
      </c>
      <c r="DH341" t="n">
        <v>79.59999999999999</v>
      </c>
      <c r="DI341" t="n">
        <v>89.3</v>
      </c>
      <c r="DJ341" t="n">
        <v>62.1</v>
      </c>
      <c r="DK341" t="n">
        <v>76.5</v>
      </c>
      <c r="DL341" t="n">
        <v>73.3</v>
      </c>
      <c r="DM341" t="n">
        <v>81.90000000000001</v>
      </c>
      <c r="DN341" t="n">
        <v>0</v>
      </c>
      <c r="DO341" t="n">
        <v>0</v>
      </c>
      <c r="DP341" t="n">
        <v>0</v>
      </c>
      <c r="DQ341" t="n">
        <v>0</v>
      </c>
      <c r="DR341" t="n">
        <v>0</v>
      </c>
      <c r="DS341" t="n">
        <v>0</v>
      </c>
      <c r="DT341" t="n">
        <v>0</v>
      </c>
      <c r="DU341" t="n">
        <v>0</v>
      </c>
      <c r="DV341" t="inlineStr">
        <is>
          <t>Megawatt Hours (MWh)</t>
        </is>
      </c>
    </row>
    <row r="342">
      <c r="A342" t="inlineStr">
        <is>
          <t>PJM.PECO_month_on_dap - NODAL EXCHANGE</t>
        </is>
      </c>
      <c r="B342" t="n">
        <v>230103</v>
      </c>
      <c r="C342" s="1" t="n">
        <v>44929</v>
      </c>
      <c r="D342" t="inlineStr">
        <is>
          <t>064EUY</t>
        </is>
      </c>
      <c r="E342" t="inlineStr">
        <is>
          <t>NODX</t>
        </is>
      </c>
      <c r="F342" t="inlineStr">
        <is>
          <t>01</t>
        </is>
      </c>
      <c r="G342" t="inlineStr">
        <is>
          <t xml:space="preserve">064 </t>
        </is>
      </c>
      <c r="H342" t="n">
        <v>61297</v>
      </c>
      <c r="I342" s="17" t="n">
        <v>1465</v>
      </c>
      <c r="J342" s="17" t="n">
        <v>1500</v>
      </c>
      <c r="K342" t="n">
        <v>550</v>
      </c>
      <c r="L342" t="n">
        <v>56879</v>
      </c>
      <c r="M342" t="n">
        <v>57124</v>
      </c>
      <c r="N342" t="n">
        <v>58894</v>
      </c>
      <c r="O342" t="n">
        <v>59174</v>
      </c>
      <c r="P342" t="n">
        <v>2403</v>
      </c>
      <c r="Q342" t="n">
        <v>2123</v>
      </c>
      <c r="R342" t="n">
        <v>61297</v>
      </c>
      <c r="S342" t="n">
        <v>1465</v>
      </c>
      <c r="T342" t="n">
        <v>1500</v>
      </c>
      <c r="U342" t="n">
        <v>550</v>
      </c>
      <c r="V342" t="n">
        <v>56879</v>
      </c>
      <c r="W342" t="n">
        <v>57124</v>
      </c>
      <c r="X342" t="n">
        <v>58894</v>
      </c>
      <c r="Y342" t="n">
        <v>59174</v>
      </c>
      <c r="Z342" t="n">
        <v>2403</v>
      </c>
      <c r="AA342" t="n">
        <v>2123</v>
      </c>
      <c r="AB342" t="n">
        <v>0</v>
      </c>
      <c r="AC342" t="n">
        <v>0</v>
      </c>
      <c r="AD342" t="n">
        <v>0</v>
      </c>
      <c r="AE342" t="n">
        <v>0</v>
      </c>
      <c r="AF342" t="n">
        <v>0</v>
      </c>
      <c r="AG342" t="n">
        <v>0</v>
      </c>
      <c r="AH342" t="n">
        <v>0</v>
      </c>
      <c r="AI342" t="n">
        <v>0</v>
      </c>
      <c r="AJ342" t="n">
        <v>0</v>
      </c>
      <c r="AK342" t="n">
        <v>0</v>
      </c>
      <c r="AL342" t="n">
        <v>1775</v>
      </c>
      <c r="AM342" t="n">
        <v>-75</v>
      </c>
      <c r="AN342" t="n">
        <v>50</v>
      </c>
      <c r="AO342" t="n">
        <v>-100</v>
      </c>
      <c r="AP342" t="n">
        <v>1950</v>
      </c>
      <c r="AQ342" t="n">
        <v>1825</v>
      </c>
      <c r="AR342" t="n">
        <v>1775</v>
      </c>
      <c r="AS342" t="n">
        <v>1775</v>
      </c>
      <c r="AT342" t="n">
        <v>0</v>
      </c>
      <c r="AU342" t="n">
        <v>0</v>
      </c>
      <c r="AV342" t="n">
        <v>100</v>
      </c>
      <c r="AW342" t="n">
        <v>2.4</v>
      </c>
      <c r="AX342" t="n">
        <v>2.4</v>
      </c>
      <c r="AY342" t="n">
        <v>0.9</v>
      </c>
      <c r="AZ342" t="n">
        <v>92.8</v>
      </c>
      <c r="BA342" t="n">
        <v>93.2</v>
      </c>
      <c r="BB342" t="n">
        <v>96.09999999999999</v>
      </c>
      <c r="BC342" t="n">
        <v>96.5</v>
      </c>
      <c r="BD342" t="n">
        <v>3.9</v>
      </c>
      <c r="BE342" t="n">
        <v>3.5</v>
      </c>
      <c r="BF342" t="n">
        <v>100</v>
      </c>
      <c r="BG342" t="n">
        <v>2.4</v>
      </c>
      <c r="BH342" t="n">
        <v>2.4</v>
      </c>
      <c r="BI342" t="n">
        <v>0.9</v>
      </c>
      <c r="BJ342" t="n">
        <v>92.8</v>
      </c>
      <c r="BK342" t="n">
        <v>93.2</v>
      </c>
      <c r="BL342" t="n">
        <v>96.09999999999999</v>
      </c>
      <c r="BM342" t="n">
        <v>96.5</v>
      </c>
      <c r="BN342" t="n">
        <v>3.9</v>
      </c>
      <c r="BO342" t="n">
        <v>3.5</v>
      </c>
      <c r="BP342" t="n">
        <v>0</v>
      </c>
      <c r="BQ342" t="n">
        <v>0</v>
      </c>
      <c r="BR342" t="n">
        <v>0</v>
      </c>
      <c r="BS342" t="n">
        <v>0</v>
      </c>
      <c r="BT342" t="n">
        <v>0</v>
      </c>
      <c r="BU342" t="n">
        <v>0</v>
      </c>
      <c r="BV342" t="n">
        <v>0</v>
      </c>
      <c r="BW342" t="n">
        <v>0</v>
      </c>
      <c r="BX342" t="n">
        <v>0</v>
      </c>
      <c r="BY342" t="n">
        <v>0</v>
      </c>
      <c r="BZ342" t="n">
        <v>30</v>
      </c>
      <c r="CA342" t="n">
        <v>1</v>
      </c>
      <c r="CB342" t="n">
        <v>4</v>
      </c>
      <c r="CC342" t="n">
        <v>4</v>
      </c>
      <c r="CD342" t="n">
        <v>21</v>
      </c>
      <c r="CE342" t="n">
        <v>19</v>
      </c>
      <c r="CF342" t="n">
        <v>25</v>
      </c>
      <c r="CG342" t="n">
        <v>24</v>
      </c>
      <c r="CH342" t="n">
        <v>30</v>
      </c>
      <c r="CI342" t="n">
        <v>1</v>
      </c>
      <c r="CJ342" t="n">
        <v>4</v>
      </c>
      <c r="CK342" t="n">
        <v>4</v>
      </c>
      <c r="CL342" t="n">
        <v>21</v>
      </c>
      <c r="CM342" t="n">
        <v>19</v>
      </c>
      <c r="CN342" t="n">
        <v>25</v>
      </c>
      <c r="CO342" t="n">
        <v>24</v>
      </c>
      <c r="CP342" t="n">
        <v>0</v>
      </c>
      <c r="CQ342" t="n">
        <v>0</v>
      </c>
      <c r="CR342" t="n">
        <v>0</v>
      </c>
      <c r="CS342" t="n">
        <v>0</v>
      </c>
      <c r="CT342" t="n">
        <v>0</v>
      </c>
      <c r="CU342" t="n">
        <v>0</v>
      </c>
      <c r="CV342" t="n">
        <v>0</v>
      </c>
      <c r="CW342" t="n">
        <v>0</v>
      </c>
      <c r="CX342" t="n">
        <v>67.40000000000001</v>
      </c>
      <c r="CY342" t="n">
        <v>81.3</v>
      </c>
      <c r="CZ342" t="n">
        <v>80</v>
      </c>
      <c r="DA342" t="n">
        <v>89.7</v>
      </c>
      <c r="DB342" t="n">
        <v>56.4</v>
      </c>
      <c r="DC342" t="n">
        <v>69.8</v>
      </c>
      <c r="DD342" t="n">
        <v>66.90000000000001</v>
      </c>
      <c r="DE342" t="n">
        <v>74.09999999999999</v>
      </c>
      <c r="DF342" t="n">
        <v>67.40000000000001</v>
      </c>
      <c r="DG342" t="n">
        <v>81.3</v>
      </c>
      <c r="DH342" t="n">
        <v>80</v>
      </c>
      <c r="DI342" t="n">
        <v>89.7</v>
      </c>
      <c r="DJ342" t="n">
        <v>56.4</v>
      </c>
      <c r="DK342" t="n">
        <v>69.8</v>
      </c>
      <c r="DL342" t="n">
        <v>66.90000000000001</v>
      </c>
      <c r="DM342" t="n">
        <v>74.09999999999999</v>
      </c>
      <c r="DN342" t="n">
        <v>0</v>
      </c>
      <c r="DO342" t="n">
        <v>0</v>
      </c>
      <c r="DP342" t="n">
        <v>0</v>
      </c>
      <c r="DQ342" t="n">
        <v>0</v>
      </c>
      <c r="DR342" t="n">
        <v>0</v>
      </c>
      <c r="DS342" t="n">
        <v>0</v>
      </c>
      <c r="DT342" t="n">
        <v>0</v>
      </c>
      <c r="DU342" t="n">
        <v>0</v>
      </c>
      <c r="DV342" t="inlineStr">
        <is>
          <t>Megawatt Hours (MWh)</t>
        </is>
      </c>
    </row>
    <row r="343">
      <c r="A343" t="inlineStr">
        <is>
          <t>PJM.PECO_month_off_dap - NODAL EXCHANGE</t>
        </is>
      </c>
      <c r="B343" t="n">
        <v>230110</v>
      </c>
      <c r="C343" s="1" t="n">
        <v>44936</v>
      </c>
      <c r="D343" t="inlineStr">
        <is>
          <t>064EUZ</t>
        </is>
      </c>
      <c r="E343" t="inlineStr">
        <is>
          <t>NODX</t>
        </is>
      </c>
      <c r="F343" t="inlineStr">
        <is>
          <t>01</t>
        </is>
      </c>
      <c r="G343" t="inlineStr">
        <is>
          <t xml:space="preserve">064 </t>
        </is>
      </c>
      <c r="H343" t="n">
        <v>52879</v>
      </c>
      <c r="I343" s="17" t="n">
        <v>1165</v>
      </c>
      <c r="J343" s="17" t="n">
        <v>1595</v>
      </c>
      <c r="K343" t="n">
        <v>1045</v>
      </c>
      <c r="L343" t="n">
        <v>48438</v>
      </c>
      <c r="M343" t="n">
        <v>48218</v>
      </c>
      <c r="N343" t="n">
        <v>50648</v>
      </c>
      <c r="O343" t="n">
        <v>50858</v>
      </c>
      <c r="P343" t="n">
        <v>2231</v>
      </c>
      <c r="Q343" t="n">
        <v>2021</v>
      </c>
      <c r="R343" t="n">
        <v>52879</v>
      </c>
      <c r="S343" t="n">
        <v>1165</v>
      </c>
      <c r="T343" t="n">
        <v>1595</v>
      </c>
      <c r="U343" t="n">
        <v>1045</v>
      </c>
      <c r="V343" t="n">
        <v>48438</v>
      </c>
      <c r="W343" t="n">
        <v>48218</v>
      </c>
      <c r="X343" t="n">
        <v>50648</v>
      </c>
      <c r="Y343" t="n">
        <v>50858</v>
      </c>
      <c r="Z343" t="n">
        <v>2231</v>
      </c>
      <c r="AA343" t="n">
        <v>2021</v>
      </c>
      <c r="AB343" t="n">
        <v>0</v>
      </c>
      <c r="AC343" t="n">
        <v>0</v>
      </c>
      <c r="AD343" t="n">
        <v>0</v>
      </c>
      <c r="AE343" t="n">
        <v>0</v>
      </c>
      <c r="AF343" t="n">
        <v>0</v>
      </c>
      <c r="AG343" t="n">
        <v>0</v>
      </c>
      <c r="AH343" t="n">
        <v>0</v>
      </c>
      <c r="AI343" t="n">
        <v>0</v>
      </c>
      <c r="AJ343" t="n">
        <v>0</v>
      </c>
      <c r="AK343" t="n">
        <v>0</v>
      </c>
      <c r="AL343" t="n">
        <v>-3636</v>
      </c>
      <c r="AM343" t="n">
        <v>-25</v>
      </c>
      <c r="AN343" t="n">
        <v>-530</v>
      </c>
      <c r="AO343" t="n">
        <v>575</v>
      </c>
      <c r="AP343" t="n">
        <v>-4021</v>
      </c>
      <c r="AQ343" t="n">
        <v>-3581</v>
      </c>
      <c r="AR343" t="n">
        <v>-3471</v>
      </c>
      <c r="AS343" t="n">
        <v>-3536</v>
      </c>
      <c r="AT343" t="n">
        <v>-165</v>
      </c>
      <c r="AU343" t="n">
        <v>-100</v>
      </c>
      <c r="AV343" t="n">
        <v>100</v>
      </c>
      <c r="AW343" t="n">
        <v>2.2</v>
      </c>
      <c r="AX343" t="n">
        <v>3</v>
      </c>
      <c r="AY343" t="n">
        <v>2</v>
      </c>
      <c r="AZ343" t="n">
        <v>91.59999999999999</v>
      </c>
      <c r="BA343" t="n">
        <v>91.2</v>
      </c>
      <c r="BB343" t="n">
        <v>95.8</v>
      </c>
      <c r="BC343" t="n">
        <v>96.2</v>
      </c>
      <c r="BD343" t="n">
        <v>4.2</v>
      </c>
      <c r="BE343" t="n">
        <v>3.8</v>
      </c>
      <c r="BF343" t="n">
        <v>100</v>
      </c>
      <c r="BG343" t="n">
        <v>2.2</v>
      </c>
      <c r="BH343" t="n">
        <v>3</v>
      </c>
      <c r="BI343" t="n">
        <v>2</v>
      </c>
      <c r="BJ343" t="n">
        <v>91.59999999999999</v>
      </c>
      <c r="BK343" t="n">
        <v>91.2</v>
      </c>
      <c r="BL343" t="n">
        <v>95.8</v>
      </c>
      <c r="BM343" t="n">
        <v>96.2</v>
      </c>
      <c r="BN343" t="n">
        <v>4.2</v>
      </c>
      <c r="BO343" t="n">
        <v>3.8</v>
      </c>
      <c r="BP343" t="n">
        <v>0</v>
      </c>
      <c r="BQ343" t="n">
        <v>0</v>
      </c>
      <c r="BR343" t="n">
        <v>0</v>
      </c>
      <c r="BS343" t="n">
        <v>0</v>
      </c>
      <c r="BT343" t="n">
        <v>0</v>
      </c>
      <c r="BU343" t="n">
        <v>0</v>
      </c>
      <c r="BV343" t="n">
        <v>0</v>
      </c>
      <c r="BW343" t="n">
        <v>0</v>
      </c>
      <c r="BX343" t="n">
        <v>0</v>
      </c>
      <c r="BY343" t="n">
        <v>0</v>
      </c>
      <c r="BZ343" t="n">
        <v>29</v>
      </c>
      <c r="CA343" t="n">
        <v>2</v>
      </c>
      <c r="CB343" t="n">
        <v>3</v>
      </c>
      <c r="CC343" t="n">
        <v>3</v>
      </c>
      <c r="CD343" t="n">
        <v>21</v>
      </c>
      <c r="CE343" t="n">
        <v>17</v>
      </c>
      <c r="CF343" t="n">
        <v>24</v>
      </c>
      <c r="CG343" t="n">
        <v>22</v>
      </c>
      <c r="CH343" t="n">
        <v>29</v>
      </c>
      <c r="CI343" t="n">
        <v>2</v>
      </c>
      <c r="CJ343" t="n">
        <v>3</v>
      </c>
      <c r="CK343" t="n">
        <v>3</v>
      </c>
      <c r="CL343" t="n">
        <v>21</v>
      </c>
      <c r="CM343" t="n">
        <v>17</v>
      </c>
      <c r="CN343" t="n">
        <v>24</v>
      </c>
      <c r="CO343" t="n">
        <v>22</v>
      </c>
      <c r="CP343" t="n">
        <v>0</v>
      </c>
      <c r="CQ343" t="n">
        <v>0</v>
      </c>
      <c r="CR343" t="n">
        <v>0</v>
      </c>
      <c r="CS343" t="n">
        <v>0</v>
      </c>
      <c r="CT343" t="n">
        <v>0</v>
      </c>
      <c r="CU343" t="n">
        <v>0</v>
      </c>
      <c r="CV343" t="n">
        <v>0</v>
      </c>
      <c r="CW343" t="n">
        <v>0</v>
      </c>
      <c r="CX343" t="n">
        <v>65</v>
      </c>
      <c r="CY343" t="n">
        <v>80.3</v>
      </c>
      <c r="CZ343" t="n">
        <v>78.5</v>
      </c>
      <c r="DA343" t="n">
        <v>88.40000000000001</v>
      </c>
      <c r="DB343" t="n">
        <v>61.6</v>
      </c>
      <c r="DC343" t="n">
        <v>75.40000000000001</v>
      </c>
      <c r="DD343" t="n">
        <v>71.40000000000001</v>
      </c>
      <c r="DE343" t="n">
        <v>80.5</v>
      </c>
      <c r="DF343" t="n">
        <v>65</v>
      </c>
      <c r="DG343" t="n">
        <v>80.3</v>
      </c>
      <c r="DH343" t="n">
        <v>78.5</v>
      </c>
      <c r="DI343" t="n">
        <v>88.40000000000001</v>
      </c>
      <c r="DJ343" t="n">
        <v>61.6</v>
      </c>
      <c r="DK343" t="n">
        <v>75.40000000000001</v>
      </c>
      <c r="DL343" t="n">
        <v>71.40000000000001</v>
      </c>
      <c r="DM343" t="n">
        <v>80.5</v>
      </c>
      <c r="DN343" t="n">
        <v>0</v>
      </c>
      <c r="DO343" t="n">
        <v>0</v>
      </c>
      <c r="DP343" t="n">
        <v>0</v>
      </c>
      <c r="DQ343" t="n">
        <v>0</v>
      </c>
      <c r="DR343" t="n">
        <v>0</v>
      </c>
      <c r="DS343" t="n">
        <v>0</v>
      </c>
      <c r="DT343" t="n">
        <v>0</v>
      </c>
      <c r="DU343" t="n">
        <v>0</v>
      </c>
      <c r="DV343" t="inlineStr">
        <is>
          <t>Megawatt Hours (MWh)</t>
        </is>
      </c>
    </row>
    <row r="344">
      <c r="A344" t="inlineStr">
        <is>
          <t>PJM.PECO_month_off_dap - NODAL EXCHANGE</t>
        </is>
      </c>
      <c r="B344" t="n">
        <v>230103</v>
      </c>
      <c r="C344" s="1" t="n">
        <v>44929</v>
      </c>
      <c r="D344" t="inlineStr">
        <is>
          <t>064EUZ</t>
        </is>
      </c>
      <c r="E344" t="inlineStr">
        <is>
          <t>NODX</t>
        </is>
      </c>
      <c r="F344" t="inlineStr">
        <is>
          <t>01</t>
        </is>
      </c>
      <c r="G344" t="inlineStr">
        <is>
          <t xml:space="preserve">064 </t>
        </is>
      </c>
      <c r="H344" t="n">
        <v>56515</v>
      </c>
      <c r="I344" s="17" t="n">
        <v>1190</v>
      </c>
      <c r="J344" s="17" t="n">
        <v>2125</v>
      </c>
      <c r="K344" t="n">
        <v>470</v>
      </c>
      <c r="L344" t="n">
        <v>52459</v>
      </c>
      <c r="M344" t="n">
        <v>51799</v>
      </c>
      <c r="N344" t="n">
        <v>54119</v>
      </c>
      <c r="O344" t="n">
        <v>54394</v>
      </c>
      <c r="P344" t="n">
        <v>2396</v>
      </c>
      <c r="Q344" t="n">
        <v>2121</v>
      </c>
      <c r="R344" t="n">
        <v>56515</v>
      </c>
      <c r="S344" t="n">
        <v>1190</v>
      </c>
      <c r="T344" t="n">
        <v>2125</v>
      </c>
      <c r="U344" t="n">
        <v>470</v>
      </c>
      <c r="V344" t="n">
        <v>52459</v>
      </c>
      <c r="W344" t="n">
        <v>51799</v>
      </c>
      <c r="X344" t="n">
        <v>54119</v>
      </c>
      <c r="Y344" t="n">
        <v>54394</v>
      </c>
      <c r="Z344" t="n">
        <v>2396</v>
      </c>
      <c r="AA344" t="n">
        <v>2121</v>
      </c>
      <c r="AB344" t="n">
        <v>0</v>
      </c>
      <c r="AC344" t="n">
        <v>0</v>
      </c>
      <c r="AD344" t="n">
        <v>0</v>
      </c>
      <c r="AE344" t="n">
        <v>0</v>
      </c>
      <c r="AF344" t="n">
        <v>0</v>
      </c>
      <c r="AG344" t="n">
        <v>0</v>
      </c>
      <c r="AH344" t="n">
        <v>0</v>
      </c>
      <c r="AI344" t="n">
        <v>0</v>
      </c>
      <c r="AJ344" t="n">
        <v>0</v>
      </c>
      <c r="AK344" t="n">
        <v>0</v>
      </c>
      <c r="AL344" t="n">
        <v>1740</v>
      </c>
      <c r="AM344" t="n">
        <v>0</v>
      </c>
      <c r="AN344" t="n">
        <v>125</v>
      </c>
      <c r="AO344" t="n">
        <v>-300</v>
      </c>
      <c r="AP344" t="n">
        <v>2040</v>
      </c>
      <c r="AQ344" t="n">
        <v>1915</v>
      </c>
      <c r="AR344" t="n">
        <v>1740</v>
      </c>
      <c r="AS344" t="n">
        <v>1740</v>
      </c>
      <c r="AT344" t="n">
        <v>0</v>
      </c>
      <c r="AU344" t="n">
        <v>0</v>
      </c>
      <c r="AV344" t="n">
        <v>100</v>
      </c>
      <c r="AW344" t="n">
        <v>2.1</v>
      </c>
      <c r="AX344" t="n">
        <v>3.8</v>
      </c>
      <c r="AY344" t="n">
        <v>0.8</v>
      </c>
      <c r="AZ344" t="n">
        <v>92.8</v>
      </c>
      <c r="BA344" t="n">
        <v>91.7</v>
      </c>
      <c r="BB344" t="n">
        <v>95.8</v>
      </c>
      <c r="BC344" t="n">
        <v>96.2</v>
      </c>
      <c r="BD344" t="n">
        <v>4.2</v>
      </c>
      <c r="BE344" t="n">
        <v>3.8</v>
      </c>
      <c r="BF344" t="n">
        <v>100</v>
      </c>
      <c r="BG344" t="n">
        <v>2.1</v>
      </c>
      <c r="BH344" t="n">
        <v>3.8</v>
      </c>
      <c r="BI344" t="n">
        <v>0.8</v>
      </c>
      <c r="BJ344" t="n">
        <v>92.8</v>
      </c>
      <c r="BK344" t="n">
        <v>91.7</v>
      </c>
      <c r="BL344" t="n">
        <v>95.8</v>
      </c>
      <c r="BM344" t="n">
        <v>96.2</v>
      </c>
      <c r="BN344" t="n">
        <v>4.2</v>
      </c>
      <c r="BO344" t="n">
        <v>3.8</v>
      </c>
      <c r="BP344" t="n">
        <v>0</v>
      </c>
      <c r="BQ344" t="n">
        <v>0</v>
      </c>
      <c r="BR344" t="n">
        <v>0</v>
      </c>
      <c r="BS344" t="n">
        <v>0</v>
      </c>
      <c r="BT344" t="n">
        <v>0</v>
      </c>
      <c r="BU344" t="n">
        <v>0</v>
      </c>
      <c r="BV344" t="n">
        <v>0</v>
      </c>
      <c r="BW344" t="n">
        <v>0</v>
      </c>
      <c r="BX344" t="n">
        <v>0</v>
      </c>
      <c r="BY344" t="n">
        <v>0</v>
      </c>
      <c r="BZ344" t="n">
        <v>30</v>
      </c>
      <c r="CA344" t="n">
        <v>1</v>
      </c>
      <c r="CB344" t="n">
        <v>4</v>
      </c>
      <c r="CC344" t="n">
        <v>3</v>
      </c>
      <c r="CD344" t="n">
        <v>21</v>
      </c>
      <c r="CE344" t="n">
        <v>18</v>
      </c>
      <c r="CF344" t="n">
        <v>24</v>
      </c>
      <c r="CG344" t="n">
        <v>23</v>
      </c>
      <c r="CH344" t="n">
        <v>30</v>
      </c>
      <c r="CI344" t="n">
        <v>1</v>
      </c>
      <c r="CJ344" t="n">
        <v>4</v>
      </c>
      <c r="CK344" t="n">
        <v>3</v>
      </c>
      <c r="CL344" t="n">
        <v>21</v>
      </c>
      <c r="CM344" t="n">
        <v>18</v>
      </c>
      <c r="CN344" t="n">
        <v>24</v>
      </c>
      <c r="CO344" t="n">
        <v>23</v>
      </c>
      <c r="CP344" t="n">
        <v>0</v>
      </c>
      <c r="CQ344" t="n">
        <v>0</v>
      </c>
      <c r="CR344" t="n">
        <v>0</v>
      </c>
      <c r="CS344" t="n">
        <v>0</v>
      </c>
      <c r="CT344" t="n">
        <v>0</v>
      </c>
      <c r="CU344" t="n">
        <v>0</v>
      </c>
      <c r="CV344" t="n">
        <v>0</v>
      </c>
      <c r="CW344" t="n">
        <v>0</v>
      </c>
      <c r="CX344" t="n">
        <v>68.5</v>
      </c>
      <c r="CY344" t="n">
        <v>79.2</v>
      </c>
      <c r="CZ344" t="n">
        <v>79.8</v>
      </c>
      <c r="DA344" t="n">
        <v>88.40000000000001</v>
      </c>
      <c r="DB344" t="n">
        <v>59.5</v>
      </c>
      <c r="DC344" t="n">
        <v>66.59999999999999</v>
      </c>
      <c r="DD344" t="n">
        <v>67.59999999999999</v>
      </c>
      <c r="DE344" t="n">
        <v>72.59999999999999</v>
      </c>
      <c r="DF344" t="n">
        <v>68.5</v>
      </c>
      <c r="DG344" t="n">
        <v>79.2</v>
      </c>
      <c r="DH344" t="n">
        <v>79.8</v>
      </c>
      <c r="DI344" t="n">
        <v>88.40000000000001</v>
      </c>
      <c r="DJ344" t="n">
        <v>59.5</v>
      </c>
      <c r="DK344" t="n">
        <v>66.59999999999999</v>
      </c>
      <c r="DL344" t="n">
        <v>67.59999999999999</v>
      </c>
      <c r="DM344" t="n">
        <v>72.59999999999999</v>
      </c>
      <c r="DN344" t="n">
        <v>0</v>
      </c>
      <c r="DO344" t="n">
        <v>0</v>
      </c>
      <c r="DP344" t="n">
        <v>0</v>
      </c>
      <c r="DQ344" t="n">
        <v>0</v>
      </c>
      <c r="DR344" t="n">
        <v>0</v>
      </c>
      <c r="DS344" t="n">
        <v>0</v>
      </c>
      <c r="DT344" t="n">
        <v>0</v>
      </c>
      <c r="DU344" t="n">
        <v>0</v>
      </c>
      <c r="DV344" t="inlineStr">
        <is>
          <t>Megawatt Hours (MWh)</t>
        </is>
      </c>
    </row>
    <row r="345">
      <c r="A345" t="inlineStr">
        <is>
          <t>PJM.PEPCO_month_on_dap - NODAL EXCHANGE</t>
        </is>
      </c>
      <c r="B345" t="n">
        <v>230110</v>
      </c>
      <c r="C345" s="1" t="n">
        <v>44936</v>
      </c>
      <c r="D345" t="inlineStr">
        <is>
          <t>064EVG</t>
        </is>
      </c>
      <c r="E345" t="inlineStr">
        <is>
          <t>NODX</t>
        </is>
      </c>
      <c r="F345" t="inlineStr">
        <is>
          <t>01</t>
        </is>
      </c>
      <c r="G345" t="inlineStr">
        <is>
          <t xml:space="preserve">064 </t>
        </is>
      </c>
      <c r="H345" t="n">
        <v>18397</v>
      </c>
      <c r="I345" s="17" t="n">
        <v>0</v>
      </c>
      <c r="J345" s="17" t="n">
        <v>1451</v>
      </c>
      <c r="K345" t="n">
        <v>50</v>
      </c>
      <c r="L345" t="n">
        <v>15135</v>
      </c>
      <c r="M345" t="n">
        <v>15059</v>
      </c>
      <c r="N345" t="n">
        <v>15185</v>
      </c>
      <c r="O345" t="n">
        <v>16560</v>
      </c>
      <c r="P345" t="n">
        <v>3212</v>
      </c>
      <c r="Q345" t="n">
        <v>1837</v>
      </c>
      <c r="R345" t="n">
        <v>18397</v>
      </c>
      <c r="S345" t="n">
        <v>0</v>
      </c>
      <c r="T345" t="n">
        <v>1451</v>
      </c>
      <c r="U345" t="n">
        <v>50</v>
      </c>
      <c r="V345" t="n">
        <v>15135</v>
      </c>
      <c r="W345" t="n">
        <v>15059</v>
      </c>
      <c r="X345" t="n">
        <v>15185</v>
      </c>
      <c r="Y345" t="n">
        <v>16560</v>
      </c>
      <c r="Z345" t="n">
        <v>3212</v>
      </c>
      <c r="AA345" t="n">
        <v>1837</v>
      </c>
      <c r="AB345" t="n">
        <v>0</v>
      </c>
      <c r="AC345" t="n">
        <v>0</v>
      </c>
      <c r="AD345" t="n">
        <v>0</v>
      </c>
      <c r="AE345" t="n">
        <v>0</v>
      </c>
      <c r="AF345" t="n">
        <v>0</v>
      </c>
      <c r="AG345" t="n">
        <v>0</v>
      </c>
      <c r="AH345" t="n">
        <v>0</v>
      </c>
      <c r="AI345" t="n">
        <v>0</v>
      </c>
      <c r="AJ345" t="n">
        <v>0</v>
      </c>
      <c r="AK345" t="n">
        <v>0</v>
      </c>
      <c r="AL345" t="n">
        <v>-1015</v>
      </c>
      <c r="AM345" t="n">
        <v>0</v>
      </c>
      <c r="AN345" t="n">
        <v>-10</v>
      </c>
      <c r="AO345" t="n">
        <v>0</v>
      </c>
      <c r="AP345" t="n">
        <v>-987</v>
      </c>
      <c r="AQ345" t="n">
        <v>-1027</v>
      </c>
      <c r="AR345" t="n">
        <v>-987</v>
      </c>
      <c r="AS345" t="n">
        <v>-1037</v>
      </c>
      <c r="AT345" t="n">
        <v>-28</v>
      </c>
      <c r="AU345" t="n">
        <v>22</v>
      </c>
      <c r="AV345" t="n">
        <v>100</v>
      </c>
      <c r="AW345" t="n">
        <v>0</v>
      </c>
      <c r="AX345" t="n">
        <v>7.9</v>
      </c>
      <c r="AY345" t="n">
        <v>0.3</v>
      </c>
      <c r="AZ345" t="n">
        <v>82.3</v>
      </c>
      <c r="BA345" t="n">
        <v>81.90000000000001</v>
      </c>
      <c r="BB345" t="n">
        <v>82.5</v>
      </c>
      <c r="BC345" t="n">
        <v>90</v>
      </c>
      <c r="BD345" t="n">
        <v>17.5</v>
      </c>
      <c r="BE345" t="n">
        <v>10</v>
      </c>
      <c r="BF345" t="n">
        <v>100</v>
      </c>
      <c r="BG345" t="n">
        <v>0</v>
      </c>
      <c r="BH345" t="n">
        <v>7.9</v>
      </c>
      <c r="BI345" t="n">
        <v>0.3</v>
      </c>
      <c r="BJ345" t="n">
        <v>82.3</v>
      </c>
      <c r="BK345" t="n">
        <v>81.90000000000001</v>
      </c>
      <c r="BL345" t="n">
        <v>82.5</v>
      </c>
      <c r="BM345" t="n">
        <v>90</v>
      </c>
      <c r="BN345" t="n">
        <v>17.5</v>
      </c>
      <c r="BO345" t="n">
        <v>10</v>
      </c>
      <c r="BP345" t="n">
        <v>0</v>
      </c>
      <c r="BQ345" t="n">
        <v>0</v>
      </c>
      <c r="BR345" t="n">
        <v>0</v>
      </c>
      <c r="BS345" t="n">
        <v>0</v>
      </c>
      <c r="BT345" t="n">
        <v>0</v>
      </c>
      <c r="BU345" t="n">
        <v>0</v>
      </c>
      <c r="BV345" t="n">
        <v>0</v>
      </c>
      <c r="BW345" t="n">
        <v>0</v>
      </c>
      <c r="BX345" t="n">
        <v>0</v>
      </c>
      <c r="BY345" t="n">
        <v>0</v>
      </c>
      <c r="BZ345" t="n">
        <v>20</v>
      </c>
      <c r="CA345" t="n">
        <v>0</v>
      </c>
      <c r="CB345" t="n">
        <v>2</v>
      </c>
      <c r="CC345" t="n">
        <v>1</v>
      </c>
      <c r="CD345" t="n">
        <v>16</v>
      </c>
      <c r="CE345" t="n">
        <v>10</v>
      </c>
      <c r="CF345" t="n">
        <v>17</v>
      </c>
      <c r="CG345" t="n">
        <v>12</v>
      </c>
      <c r="CH345" t="n">
        <v>20</v>
      </c>
      <c r="CI345" t="n">
        <v>0</v>
      </c>
      <c r="CJ345" t="n">
        <v>2</v>
      </c>
      <c r="CK345" t="n">
        <v>1</v>
      </c>
      <c r="CL345" t="n">
        <v>16</v>
      </c>
      <c r="CM345" t="n">
        <v>10</v>
      </c>
      <c r="CN345" t="n">
        <v>17</v>
      </c>
      <c r="CO345" t="n">
        <v>12</v>
      </c>
      <c r="CP345" t="n">
        <v>0</v>
      </c>
      <c r="CQ345" t="n">
        <v>0</v>
      </c>
      <c r="CR345" t="n">
        <v>0</v>
      </c>
      <c r="CS345" t="n">
        <v>0</v>
      </c>
      <c r="CT345" t="n">
        <v>0</v>
      </c>
      <c r="CU345" t="n">
        <v>0</v>
      </c>
      <c r="CV345" t="n">
        <v>0</v>
      </c>
      <c r="CW345" t="n">
        <v>0</v>
      </c>
      <c r="CX345" t="n">
        <v>59.8</v>
      </c>
      <c r="CY345" t="n">
        <v>66.7</v>
      </c>
      <c r="CZ345" t="n">
        <v>74.09999999999999</v>
      </c>
      <c r="DA345" t="n">
        <v>85.59999999999999</v>
      </c>
      <c r="DB345" t="n">
        <v>54</v>
      </c>
      <c r="DC345" t="n">
        <v>64.09999999999999</v>
      </c>
      <c r="DD345" t="n">
        <v>67.59999999999999</v>
      </c>
      <c r="DE345" t="n">
        <v>79.40000000000001</v>
      </c>
      <c r="DF345" t="n">
        <v>59.8</v>
      </c>
      <c r="DG345" t="n">
        <v>66.7</v>
      </c>
      <c r="DH345" t="n">
        <v>74.09999999999999</v>
      </c>
      <c r="DI345" t="n">
        <v>85.59999999999999</v>
      </c>
      <c r="DJ345" t="n">
        <v>54</v>
      </c>
      <c r="DK345" t="n">
        <v>64.09999999999999</v>
      </c>
      <c r="DL345" t="n">
        <v>67.59999999999999</v>
      </c>
      <c r="DM345" t="n">
        <v>79.40000000000001</v>
      </c>
      <c r="DN345" t="n">
        <v>0</v>
      </c>
      <c r="DO345" t="n">
        <v>0</v>
      </c>
      <c r="DP345" t="n">
        <v>0</v>
      </c>
      <c r="DQ345" t="n">
        <v>0</v>
      </c>
      <c r="DR345" t="n">
        <v>0</v>
      </c>
      <c r="DS345" t="n">
        <v>0</v>
      </c>
      <c r="DT345" t="n">
        <v>0</v>
      </c>
      <c r="DU345" t="n">
        <v>0</v>
      </c>
      <c r="DV345" t="inlineStr">
        <is>
          <t>Megawatt Hours (MWh)</t>
        </is>
      </c>
    </row>
    <row r="346">
      <c r="A346" t="inlineStr">
        <is>
          <t>PJM.PEPCO_month_on_dap - NODAL EXCHANGE</t>
        </is>
      </c>
      <c r="B346" t="n">
        <v>230103</v>
      </c>
      <c r="C346" s="1" t="n">
        <v>44929</v>
      </c>
      <c r="D346" t="inlineStr">
        <is>
          <t>064EVG</t>
        </is>
      </c>
      <c r="E346" t="inlineStr">
        <is>
          <t>NODX</t>
        </is>
      </c>
      <c r="F346" t="inlineStr">
        <is>
          <t>01</t>
        </is>
      </c>
      <c r="G346" t="inlineStr">
        <is>
          <t xml:space="preserve">064 </t>
        </is>
      </c>
      <c r="H346" t="n">
        <v>19412</v>
      </c>
      <c r="I346" s="17" t="n">
        <v>0</v>
      </c>
      <c r="J346" s="17" t="n">
        <v>1461</v>
      </c>
      <c r="K346" t="n">
        <v>50</v>
      </c>
      <c r="L346" t="n">
        <v>16122</v>
      </c>
      <c r="M346" t="n">
        <v>16086</v>
      </c>
      <c r="N346" t="n">
        <v>16172</v>
      </c>
      <c r="O346" t="n">
        <v>17597</v>
      </c>
      <c r="P346" t="n">
        <v>3240</v>
      </c>
      <c r="Q346" t="n">
        <v>1815</v>
      </c>
      <c r="R346" t="n">
        <v>19412</v>
      </c>
      <c r="S346" t="n">
        <v>0</v>
      </c>
      <c r="T346" t="n">
        <v>1461</v>
      </c>
      <c r="U346" t="n">
        <v>50</v>
      </c>
      <c r="V346" t="n">
        <v>16122</v>
      </c>
      <c r="W346" t="n">
        <v>16086</v>
      </c>
      <c r="X346" t="n">
        <v>16172</v>
      </c>
      <c r="Y346" t="n">
        <v>17597</v>
      </c>
      <c r="Z346" t="n">
        <v>3240</v>
      </c>
      <c r="AA346" t="n">
        <v>1815</v>
      </c>
      <c r="AB346" t="n">
        <v>0</v>
      </c>
      <c r="AC346" t="n">
        <v>0</v>
      </c>
      <c r="AD346" t="n">
        <v>0</v>
      </c>
      <c r="AE346" t="n">
        <v>0</v>
      </c>
      <c r="AF346" t="n">
        <v>0</v>
      </c>
      <c r="AG346" t="n">
        <v>0</v>
      </c>
      <c r="AH346" t="n">
        <v>0</v>
      </c>
      <c r="AI346" t="n">
        <v>0</v>
      </c>
      <c r="AJ346" t="n">
        <v>0</v>
      </c>
      <c r="AK346" t="n">
        <v>0</v>
      </c>
      <c r="AL346" t="n">
        <v>0</v>
      </c>
      <c r="AM346" t="n">
        <v>0</v>
      </c>
      <c r="AN346" t="n">
        <v>0</v>
      </c>
      <c r="AO346" t="n">
        <v>0</v>
      </c>
      <c r="AP346" t="n">
        <v>-20</v>
      </c>
      <c r="AQ346" t="n">
        <v>0</v>
      </c>
      <c r="AR346" t="n">
        <v>-20</v>
      </c>
      <c r="AS346" t="n">
        <v>0</v>
      </c>
      <c r="AT346" t="n">
        <v>20</v>
      </c>
      <c r="AU346" t="n">
        <v>0</v>
      </c>
      <c r="AV346" t="n">
        <v>100</v>
      </c>
      <c r="AW346" t="n">
        <v>0</v>
      </c>
      <c r="AX346" t="n">
        <v>7.5</v>
      </c>
      <c r="AY346" t="n">
        <v>0.3</v>
      </c>
      <c r="AZ346" t="n">
        <v>83.09999999999999</v>
      </c>
      <c r="BA346" t="n">
        <v>82.90000000000001</v>
      </c>
      <c r="BB346" t="n">
        <v>83.3</v>
      </c>
      <c r="BC346" t="n">
        <v>90.7</v>
      </c>
      <c r="BD346" t="n">
        <v>16.7</v>
      </c>
      <c r="BE346" t="n">
        <v>9.300000000000001</v>
      </c>
      <c r="BF346" t="n">
        <v>100</v>
      </c>
      <c r="BG346" t="n">
        <v>0</v>
      </c>
      <c r="BH346" t="n">
        <v>7.5</v>
      </c>
      <c r="BI346" t="n">
        <v>0.3</v>
      </c>
      <c r="BJ346" t="n">
        <v>83.09999999999999</v>
      </c>
      <c r="BK346" t="n">
        <v>82.90000000000001</v>
      </c>
      <c r="BL346" t="n">
        <v>83.3</v>
      </c>
      <c r="BM346" t="n">
        <v>90.7</v>
      </c>
      <c r="BN346" t="n">
        <v>16.7</v>
      </c>
      <c r="BO346" t="n">
        <v>9.300000000000001</v>
      </c>
      <c r="BP346" t="n">
        <v>0</v>
      </c>
      <c r="BQ346" t="n">
        <v>0</v>
      </c>
      <c r="BR346" t="n">
        <v>0</v>
      </c>
      <c r="BS346" t="n">
        <v>0</v>
      </c>
      <c r="BT346" t="n">
        <v>0</v>
      </c>
      <c r="BU346" t="n">
        <v>0</v>
      </c>
      <c r="BV346" t="n">
        <v>0</v>
      </c>
      <c r="BW346" t="n">
        <v>0</v>
      </c>
      <c r="BX346" t="n">
        <v>0</v>
      </c>
      <c r="BY346" t="n">
        <v>0</v>
      </c>
      <c r="BZ346" t="n">
        <v>21</v>
      </c>
      <c r="CA346" t="n">
        <v>0</v>
      </c>
      <c r="CB346" t="n">
        <v>2</v>
      </c>
      <c r="CC346" t="n">
        <v>1</v>
      </c>
      <c r="CD346" t="n">
        <v>16</v>
      </c>
      <c r="CE346" t="n">
        <v>11</v>
      </c>
      <c r="CF346" t="n">
        <v>17</v>
      </c>
      <c r="CG346" t="n">
        <v>13</v>
      </c>
      <c r="CH346" t="n">
        <v>21</v>
      </c>
      <c r="CI346" t="n">
        <v>0</v>
      </c>
      <c r="CJ346" t="n">
        <v>2</v>
      </c>
      <c r="CK346" t="n">
        <v>1</v>
      </c>
      <c r="CL346" t="n">
        <v>16</v>
      </c>
      <c r="CM346" t="n">
        <v>11</v>
      </c>
      <c r="CN346" t="n">
        <v>17</v>
      </c>
      <c r="CO346" t="n">
        <v>13</v>
      </c>
      <c r="CP346" t="n">
        <v>0</v>
      </c>
      <c r="CQ346" t="n">
        <v>0</v>
      </c>
      <c r="CR346" t="n">
        <v>0</v>
      </c>
      <c r="CS346" t="n">
        <v>0</v>
      </c>
      <c r="CT346" t="n">
        <v>0</v>
      </c>
      <c r="CU346" t="n">
        <v>0</v>
      </c>
      <c r="CV346" t="n">
        <v>0</v>
      </c>
      <c r="CW346" t="n">
        <v>0</v>
      </c>
      <c r="CX346" t="n">
        <v>60.6</v>
      </c>
      <c r="CY346" t="n">
        <v>66.5</v>
      </c>
      <c r="CZ346" t="n">
        <v>74.7</v>
      </c>
      <c r="DA346" t="n">
        <v>86.2</v>
      </c>
      <c r="DB346" t="n">
        <v>54.6</v>
      </c>
      <c r="DC346" t="n">
        <v>64.09999999999999</v>
      </c>
      <c r="DD346" t="n">
        <v>68</v>
      </c>
      <c r="DE346" t="n">
        <v>79.7</v>
      </c>
      <c r="DF346" t="n">
        <v>60.6</v>
      </c>
      <c r="DG346" t="n">
        <v>66.5</v>
      </c>
      <c r="DH346" t="n">
        <v>74.7</v>
      </c>
      <c r="DI346" t="n">
        <v>86.2</v>
      </c>
      <c r="DJ346" t="n">
        <v>54.6</v>
      </c>
      <c r="DK346" t="n">
        <v>64.09999999999999</v>
      </c>
      <c r="DL346" t="n">
        <v>68</v>
      </c>
      <c r="DM346" t="n">
        <v>79.7</v>
      </c>
      <c r="DN346" t="n">
        <v>0</v>
      </c>
      <c r="DO346" t="n">
        <v>0</v>
      </c>
      <c r="DP346" t="n">
        <v>0</v>
      </c>
      <c r="DQ346" t="n">
        <v>0</v>
      </c>
      <c r="DR346" t="n">
        <v>0</v>
      </c>
      <c r="DS346" t="n">
        <v>0</v>
      </c>
      <c r="DT346" t="n">
        <v>0</v>
      </c>
      <c r="DU346" t="n">
        <v>0</v>
      </c>
      <c r="DV346" t="inlineStr">
        <is>
          <t>Megawatt Hours (MWh)</t>
        </is>
      </c>
    </row>
    <row r="347">
      <c r="A347" t="inlineStr">
        <is>
          <t>PJM.PEPCO_month_off_dap - NODAL EXCHANGE</t>
        </is>
      </c>
      <c r="B347" t="n">
        <v>230110</v>
      </c>
      <c r="C347" s="1" t="n">
        <v>44936</v>
      </c>
      <c r="D347" t="inlineStr">
        <is>
          <t>064EVH</t>
        </is>
      </c>
      <c r="E347" t="inlineStr">
        <is>
          <t>NODX</t>
        </is>
      </c>
      <c r="F347" t="inlineStr">
        <is>
          <t>01</t>
        </is>
      </c>
      <c r="G347" t="inlineStr">
        <is>
          <t xml:space="preserve">064 </t>
        </is>
      </c>
      <c r="H347" t="n">
        <v>17506</v>
      </c>
      <c r="I347" s="17" t="n">
        <v>0</v>
      </c>
      <c r="J347" s="17" t="n">
        <v>1351</v>
      </c>
      <c r="K347" t="n">
        <v>50</v>
      </c>
      <c r="L347" t="n">
        <v>14652</v>
      </c>
      <c r="M347" t="n">
        <v>14591</v>
      </c>
      <c r="N347" t="n">
        <v>14702</v>
      </c>
      <c r="O347" t="n">
        <v>15992</v>
      </c>
      <c r="P347" t="n">
        <v>2804</v>
      </c>
      <c r="Q347" t="n">
        <v>1514</v>
      </c>
      <c r="R347" t="n">
        <v>17506</v>
      </c>
      <c r="S347" t="n">
        <v>0</v>
      </c>
      <c r="T347" t="n">
        <v>1351</v>
      </c>
      <c r="U347" t="n">
        <v>50</v>
      </c>
      <c r="V347" t="n">
        <v>14652</v>
      </c>
      <c r="W347" t="n">
        <v>14591</v>
      </c>
      <c r="X347" t="n">
        <v>14702</v>
      </c>
      <c r="Y347" t="n">
        <v>15992</v>
      </c>
      <c r="Z347" t="n">
        <v>2804</v>
      </c>
      <c r="AA347" t="n">
        <v>1514</v>
      </c>
      <c r="AB347" t="n">
        <v>0</v>
      </c>
      <c r="AC347" t="n">
        <v>0</v>
      </c>
      <c r="AD347" t="n">
        <v>0</v>
      </c>
      <c r="AE347" t="n">
        <v>0</v>
      </c>
      <c r="AF347" t="n">
        <v>0</v>
      </c>
      <c r="AG347" t="n">
        <v>0</v>
      </c>
      <c r="AH347" t="n">
        <v>0</v>
      </c>
      <c r="AI347" t="n">
        <v>0</v>
      </c>
      <c r="AJ347" t="n">
        <v>0</v>
      </c>
      <c r="AK347" t="n">
        <v>0</v>
      </c>
      <c r="AL347" t="n">
        <v>-1000</v>
      </c>
      <c r="AM347" t="n">
        <v>0</v>
      </c>
      <c r="AN347" t="n">
        <v>15</v>
      </c>
      <c r="AO347" t="n">
        <v>-25</v>
      </c>
      <c r="AP347" t="n">
        <v>-1000</v>
      </c>
      <c r="AQ347" t="n">
        <v>-1055</v>
      </c>
      <c r="AR347" t="n">
        <v>-1025</v>
      </c>
      <c r="AS347" t="n">
        <v>-1065</v>
      </c>
      <c r="AT347" t="n">
        <v>25</v>
      </c>
      <c r="AU347" t="n">
        <v>65</v>
      </c>
      <c r="AV347" t="n">
        <v>100</v>
      </c>
      <c r="AW347" t="n">
        <v>0</v>
      </c>
      <c r="AX347" t="n">
        <v>7.7</v>
      </c>
      <c r="AY347" t="n">
        <v>0.3</v>
      </c>
      <c r="AZ347" t="n">
        <v>83.7</v>
      </c>
      <c r="BA347" t="n">
        <v>83.3</v>
      </c>
      <c r="BB347" t="n">
        <v>84</v>
      </c>
      <c r="BC347" t="n">
        <v>91.40000000000001</v>
      </c>
      <c r="BD347" t="n">
        <v>16</v>
      </c>
      <c r="BE347" t="n">
        <v>8.6</v>
      </c>
      <c r="BF347" t="n">
        <v>100</v>
      </c>
      <c r="BG347" t="n">
        <v>0</v>
      </c>
      <c r="BH347" t="n">
        <v>7.7</v>
      </c>
      <c r="BI347" t="n">
        <v>0.3</v>
      </c>
      <c r="BJ347" t="n">
        <v>83.7</v>
      </c>
      <c r="BK347" t="n">
        <v>83.3</v>
      </c>
      <c r="BL347" t="n">
        <v>84</v>
      </c>
      <c r="BM347" t="n">
        <v>91.40000000000001</v>
      </c>
      <c r="BN347" t="n">
        <v>16</v>
      </c>
      <c r="BO347" t="n">
        <v>8.6</v>
      </c>
      <c r="BP347" t="n">
        <v>0</v>
      </c>
      <c r="BQ347" t="n">
        <v>0</v>
      </c>
      <c r="BR347" t="n">
        <v>0</v>
      </c>
      <c r="BS347" t="n">
        <v>0</v>
      </c>
      <c r="BT347" t="n">
        <v>0</v>
      </c>
      <c r="BU347" t="n">
        <v>0</v>
      </c>
      <c r="BV347" t="n">
        <v>0</v>
      </c>
      <c r="BW347" t="n">
        <v>0</v>
      </c>
      <c r="BX347" t="n">
        <v>0</v>
      </c>
      <c r="BY347" t="n">
        <v>0</v>
      </c>
      <c r="BZ347" t="n">
        <v>20</v>
      </c>
      <c r="CA347" t="n">
        <v>0</v>
      </c>
      <c r="CB347" t="n">
        <v>2</v>
      </c>
      <c r="CC347" t="n">
        <v>1</v>
      </c>
      <c r="CD347" t="n">
        <v>16</v>
      </c>
      <c r="CE347" t="n">
        <v>10</v>
      </c>
      <c r="CF347" t="n">
        <v>17</v>
      </c>
      <c r="CG347" t="n">
        <v>12</v>
      </c>
      <c r="CH347" t="n">
        <v>20</v>
      </c>
      <c r="CI347" t="n">
        <v>0</v>
      </c>
      <c r="CJ347" t="n">
        <v>2</v>
      </c>
      <c r="CK347" t="n">
        <v>1</v>
      </c>
      <c r="CL347" t="n">
        <v>16</v>
      </c>
      <c r="CM347" t="n">
        <v>10</v>
      </c>
      <c r="CN347" t="n">
        <v>17</v>
      </c>
      <c r="CO347" t="n">
        <v>12</v>
      </c>
      <c r="CP347" t="n">
        <v>0</v>
      </c>
      <c r="CQ347" t="n">
        <v>0</v>
      </c>
      <c r="CR347" t="n">
        <v>0</v>
      </c>
      <c r="CS347" t="n">
        <v>0</v>
      </c>
      <c r="CT347" t="n">
        <v>0</v>
      </c>
      <c r="CU347" t="n">
        <v>0</v>
      </c>
      <c r="CV347" t="n">
        <v>0</v>
      </c>
      <c r="CW347" t="n">
        <v>0</v>
      </c>
      <c r="CX347" t="n">
        <v>60.9</v>
      </c>
      <c r="CY347" t="n">
        <v>72</v>
      </c>
      <c r="CZ347" t="n">
        <v>75.59999999999999</v>
      </c>
      <c r="DA347" t="n">
        <v>87.5</v>
      </c>
      <c r="DB347" t="n">
        <v>59.2</v>
      </c>
      <c r="DC347" t="n">
        <v>70.3</v>
      </c>
      <c r="DD347" t="n">
        <v>72</v>
      </c>
      <c r="DE347" t="n">
        <v>83.40000000000001</v>
      </c>
      <c r="DF347" t="n">
        <v>60.9</v>
      </c>
      <c r="DG347" t="n">
        <v>72</v>
      </c>
      <c r="DH347" t="n">
        <v>75.59999999999999</v>
      </c>
      <c r="DI347" t="n">
        <v>87.5</v>
      </c>
      <c r="DJ347" t="n">
        <v>59.2</v>
      </c>
      <c r="DK347" t="n">
        <v>70.3</v>
      </c>
      <c r="DL347" t="n">
        <v>72</v>
      </c>
      <c r="DM347" t="n">
        <v>83.40000000000001</v>
      </c>
      <c r="DN347" t="n">
        <v>0</v>
      </c>
      <c r="DO347" t="n">
        <v>0</v>
      </c>
      <c r="DP347" t="n">
        <v>0</v>
      </c>
      <c r="DQ347" t="n">
        <v>0</v>
      </c>
      <c r="DR347" t="n">
        <v>0</v>
      </c>
      <c r="DS347" t="n">
        <v>0</v>
      </c>
      <c r="DT347" t="n">
        <v>0</v>
      </c>
      <c r="DU347" t="n">
        <v>0</v>
      </c>
      <c r="DV347" t="inlineStr">
        <is>
          <t>Megawatt Hours (MWh)</t>
        </is>
      </c>
    </row>
    <row r="348">
      <c r="A348" t="inlineStr">
        <is>
          <t>PJM.PEPCO_month_off_dap - NODAL EXCHANGE</t>
        </is>
      </c>
      <c r="B348" t="n">
        <v>230103</v>
      </c>
      <c r="C348" s="1" t="n">
        <v>44929</v>
      </c>
      <c r="D348" t="inlineStr">
        <is>
          <t>064EVH</t>
        </is>
      </c>
      <c r="E348" t="inlineStr">
        <is>
          <t>NODX</t>
        </is>
      </c>
      <c r="F348" t="inlineStr">
        <is>
          <t>01</t>
        </is>
      </c>
      <c r="G348" t="inlineStr">
        <is>
          <t xml:space="preserve">064 </t>
        </is>
      </c>
      <c r="H348" t="n">
        <v>18506</v>
      </c>
      <c r="I348" s="17" t="n">
        <v>0</v>
      </c>
      <c r="J348" s="17" t="n">
        <v>1336</v>
      </c>
      <c r="K348" t="n">
        <v>75</v>
      </c>
      <c r="L348" t="n">
        <v>15652</v>
      </c>
      <c r="M348" t="n">
        <v>15646</v>
      </c>
      <c r="N348" t="n">
        <v>15727</v>
      </c>
      <c r="O348" t="n">
        <v>17057</v>
      </c>
      <c r="P348" t="n">
        <v>2779</v>
      </c>
      <c r="Q348" t="n">
        <v>1449</v>
      </c>
      <c r="R348" t="n">
        <v>18506</v>
      </c>
      <c r="S348" t="n">
        <v>0</v>
      </c>
      <c r="T348" t="n">
        <v>1336</v>
      </c>
      <c r="U348" t="n">
        <v>75</v>
      </c>
      <c r="V348" t="n">
        <v>15652</v>
      </c>
      <c r="W348" t="n">
        <v>15646</v>
      </c>
      <c r="X348" t="n">
        <v>15727</v>
      </c>
      <c r="Y348" t="n">
        <v>17057</v>
      </c>
      <c r="Z348" t="n">
        <v>2779</v>
      </c>
      <c r="AA348" t="n">
        <v>1449</v>
      </c>
      <c r="AB348" t="n">
        <v>0</v>
      </c>
      <c r="AC348" t="n">
        <v>0</v>
      </c>
      <c r="AD348" t="n">
        <v>0</v>
      </c>
      <c r="AE348" t="n">
        <v>0</v>
      </c>
      <c r="AF348" t="n">
        <v>0</v>
      </c>
      <c r="AG348" t="n">
        <v>0</v>
      </c>
      <c r="AH348" t="n">
        <v>0</v>
      </c>
      <c r="AI348" t="n">
        <v>0</v>
      </c>
      <c r="AJ348" t="n">
        <v>0</v>
      </c>
      <c r="AK348" t="n">
        <v>0</v>
      </c>
      <c r="AL348" t="n">
        <v>0</v>
      </c>
      <c r="AM348" t="n">
        <v>0</v>
      </c>
      <c r="AN348" t="n">
        <v>0</v>
      </c>
      <c r="AO348" t="n">
        <v>0</v>
      </c>
      <c r="AP348" t="n">
        <v>-20</v>
      </c>
      <c r="AQ348" t="n">
        <v>0</v>
      </c>
      <c r="AR348" t="n">
        <v>-20</v>
      </c>
      <c r="AS348" t="n">
        <v>0</v>
      </c>
      <c r="AT348" t="n">
        <v>20</v>
      </c>
      <c r="AU348" t="n">
        <v>0</v>
      </c>
      <c r="AV348" t="n">
        <v>100</v>
      </c>
      <c r="AW348" t="n">
        <v>0</v>
      </c>
      <c r="AX348" t="n">
        <v>7.2</v>
      </c>
      <c r="AY348" t="n">
        <v>0.4</v>
      </c>
      <c r="AZ348" t="n">
        <v>84.59999999999999</v>
      </c>
      <c r="BA348" t="n">
        <v>84.5</v>
      </c>
      <c r="BB348" t="n">
        <v>85</v>
      </c>
      <c r="BC348" t="n">
        <v>92.2</v>
      </c>
      <c r="BD348" t="n">
        <v>15</v>
      </c>
      <c r="BE348" t="n">
        <v>7.8</v>
      </c>
      <c r="BF348" t="n">
        <v>100</v>
      </c>
      <c r="BG348" t="n">
        <v>0</v>
      </c>
      <c r="BH348" t="n">
        <v>7.2</v>
      </c>
      <c r="BI348" t="n">
        <v>0.4</v>
      </c>
      <c r="BJ348" t="n">
        <v>84.59999999999999</v>
      </c>
      <c r="BK348" t="n">
        <v>84.5</v>
      </c>
      <c r="BL348" t="n">
        <v>85</v>
      </c>
      <c r="BM348" t="n">
        <v>92.2</v>
      </c>
      <c r="BN348" t="n">
        <v>15</v>
      </c>
      <c r="BO348" t="n">
        <v>7.8</v>
      </c>
      <c r="BP348" t="n">
        <v>0</v>
      </c>
      <c r="BQ348" t="n">
        <v>0</v>
      </c>
      <c r="BR348" t="n">
        <v>0</v>
      </c>
      <c r="BS348" t="n">
        <v>0</v>
      </c>
      <c r="BT348" t="n">
        <v>0</v>
      </c>
      <c r="BU348" t="n">
        <v>0</v>
      </c>
      <c r="BV348" t="n">
        <v>0</v>
      </c>
      <c r="BW348" t="n">
        <v>0</v>
      </c>
      <c r="BX348" t="n">
        <v>0</v>
      </c>
      <c r="BY348" t="n">
        <v>0</v>
      </c>
      <c r="BZ348" t="n">
        <v>21</v>
      </c>
      <c r="CA348" t="n">
        <v>0</v>
      </c>
      <c r="CB348" t="n">
        <v>2</v>
      </c>
      <c r="CC348" t="n">
        <v>2</v>
      </c>
      <c r="CD348" t="n">
        <v>16</v>
      </c>
      <c r="CE348" t="n">
        <v>11</v>
      </c>
      <c r="CF348" t="n">
        <v>18</v>
      </c>
      <c r="CG348" t="n">
        <v>13</v>
      </c>
      <c r="CH348" t="n">
        <v>21</v>
      </c>
      <c r="CI348" t="n">
        <v>0</v>
      </c>
      <c r="CJ348" t="n">
        <v>2</v>
      </c>
      <c r="CK348" t="n">
        <v>2</v>
      </c>
      <c r="CL348" t="n">
        <v>16</v>
      </c>
      <c r="CM348" t="n">
        <v>11</v>
      </c>
      <c r="CN348" t="n">
        <v>18</v>
      </c>
      <c r="CO348" t="n">
        <v>13</v>
      </c>
      <c r="CP348" t="n">
        <v>0</v>
      </c>
      <c r="CQ348" t="n">
        <v>0</v>
      </c>
      <c r="CR348" t="n">
        <v>0</v>
      </c>
      <c r="CS348" t="n">
        <v>0</v>
      </c>
      <c r="CT348" t="n">
        <v>0</v>
      </c>
      <c r="CU348" t="n">
        <v>0</v>
      </c>
      <c r="CV348" t="n">
        <v>0</v>
      </c>
      <c r="CW348" t="n">
        <v>0</v>
      </c>
      <c r="CX348" t="n">
        <v>61.8</v>
      </c>
      <c r="CY348" t="n">
        <v>71.8</v>
      </c>
      <c r="CZ348" t="n">
        <v>76.3</v>
      </c>
      <c r="DA348" t="n">
        <v>87.7</v>
      </c>
      <c r="DB348" t="n">
        <v>59.6</v>
      </c>
      <c r="DC348" t="n">
        <v>70.3</v>
      </c>
      <c r="DD348" t="n">
        <v>72.40000000000001</v>
      </c>
      <c r="DE348" t="n">
        <v>83.59999999999999</v>
      </c>
      <c r="DF348" t="n">
        <v>61.8</v>
      </c>
      <c r="DG348" t="n">
        <v>71.8</v>
      </c>
      <c r="DH348" t="n">
        <v>76.3</v>
      </c>
      <c r="DI348" t="n">
        <v>87.7</v>
      </c>
      <c r="DJ348" t="n">
        <v>59.6</v>
      </c>
      <c r="DK348" t="n">
        <v>70.3</v>
      </c>
      <c r="DL348" t="n">
        <v>72.40000000000001</v>
      </c>
      <c r="DM348" t="n">
        <v>83.59999999999999</v>
      </c>
      <c r="DN348" t="n">
        <v>0</v>
      </c>
      <c r="DO348" t="n">
        <v>0</v>
      </c>
      <c r="DP348" t="n">
        <v>0</v>
      </c>
      <c r="DQ348" t="n">
        <v>0</v>
      </c>
      <c r="DR348" t="n">
        <v>0</v>
      </c>
      <c r="DS348" t="n">
        <v>0</v>
      </c>
      <c r="DT348" t="n">
        <v>0</v>
      </c>
      <c r="DU348" t="n">
        <v>0</v>
      </c>
      <c r="DV348" t="inlineStr">
        <is>
          <t>Megawatt Hours (MWh)</t>
        </is>
      </c>
    </row>
    <row r="349">
      <c r="A349" t="inlineStr">
        <is>
          <t>PJM.PPL_month_on_dap - NODAL EXCHANGE</t>
        </is>
      </c>
      <c r="B349" t="n">
        <v>230110</v>
      </c>
      <c r="C349" s="1" t="n">
        <v>44936</v>
      </c>
      <c r="D349" t="inlineStr">
        <is>
          <t>064EWU</t>
        </is>
      </c>
      <c r="E349" t="inlineStr">
        <is>
          <t>NODX</t>
        </is>
      </c>
      <c r="F349" t="inlineStr">
        <is>
          <t>01</t>
        </is>
      </c>
      <c r="G349" t="inlineStr">
        <is>
          <t xml:space="preserve">064 </t>
        </is>
      </c>
      <c r="H349" t="n">
        <v>35776</v>
      </c>
      <c r="I349" s="17" t="n">
        <v>3003</v>
      </c>
      <c r="J349" s="17" t="n">
        <v>1455</v>
      </c>
      <c r="K349" t="n">
        <v>240</v>
      </c>
      <c r="L349" t="n">
        <v>29340</v>
      </c>
      <c r="M349" t="n">
        <v>31698</v>
      </c>
      <c r="N349" t="n">
        <v>32583</v>
      </c>
      <c r="O349" t="n">
        <v>33393</v>
      </c>
      <c r="P349" t="n">
        <v>3193</v>
      </c>
      <c r="Q349" t="n">
        <v>2383</v>
      </c>
      <c r="R349" t="n">
        <v>35776</v>
      </c>
      <c r="S349" t="n">
        <v>3003</v>
      </c>
      <c r="T349" t="n">
        <v>1455</v>
      </c>
      <c r="U349" t="n">
        <v>240</v>
      </c>
      <c r="V349" t="n">
        <v>29340</v>
      </c>
      <c r="W349" t="n">
        <v>31698</v>
      </c>
      <c r="X349" t="n">
        <v>32583</v>
      </c>
      <c r="Y349" t="n">
        <v>33393</v>
      </c>
      <c r="Z349" t="n">
        <v>3193</v>
      </c>
      <c r="AA349" t="n">
        <v>2383</v>
      </c>
      <c r="AB349" t="n">
        <v>0</v>
      </c>
      <c r="AC349" t="n">
        <v>0</v>
      </c>
      <c r="AD349" t="n">
        <v>0</v>
      </c>
      <c r="AE349" t="n">
        <v>0</v>
      </c>
      <c r="AF349" t="n">
        <v>0</v>
      </c>
      <c r="AG349" t="n">
        <v>0</v>
      </c>
      <c r="AH349" t="n">
        <v>0</v>
      </c>
      <c r="AI349" t="n">
        <v>0</v>
      </c>
      <c r="AJ349" t="n">
        <v>0</v>
      </c>
      <c r="AK349" t="n">
        <v>0</v>
      </c>
      <c r="AL349" t="n">
        <v>-2504</v>
      </c>
      <c r="AM349" t="n">
        <v>-235</v>
      </c>
      <c r="AN349" t="n">
        <v>10</v>
      </c>
      <c r="AO349" t="n">
        <v>-30</v>
      </c>
      <c r="AP349" t="n">
        <v>-2808</v>
      </c>
      <c r="AQ349" t="n">
        <v>-2338</v>
      </c>
      <c r="AR349" t="n">
        <v>-3073</v>
      </c>
      <c r="AS349" t="n">
        <v>-2358</v>
      </c>
      <c r="AT349" t="n">
        <v>569</v>
      </c>
      <c r="AU349" t="n">
        <v>-146</v>
      </c>
      <c r="AV349" t="n">
        <v>100</v>
      </c>
      <c r="AW349" t="n">
        <v>8.4</v>
      </c>
      <c r="AX349" t="n">
        <v>4.1</v>
      </c>
      <c r="AY349" t="n">
        <v>0.7</v>
      </c>
      <c r="AZ349" t="n">
        <v>82</v>
      </c>
      <c r="BA349" t="n">
        <v>88.59999999999999</v>
      </c>
      <c r="BB349" t="n">
        <v>91.09999999999999</v>
      </c>
      <c r="BC349" t="n">
        <v>93.3</v>
      </c>
      <c r="BD349" t="n">
        <v>8.9</v>
      </c>
      <c r="BE349" t="n">
        <v>6.7</v>
      </c>
      <c r="BF349" t="n">
        <v>100</v>
      </c>
      <c r="BG349" t="n">
        <v>8.4</v>
      </c>
      <c r="BH349" t="n">
        <v>4.1</v>
      </c>
      <c r="BI349" t="n">
        <v>0.7</v>
      </c>
      <c r="BJ349" t="n">
        <v>82</v>
      </c>
      <c r="BK349" t="n">
        <v>88.59999999999999</v>
      </c>
      <c r="BL349" t="n">
        <v>91.09999999999999</v>
      </c>
      <c r="BM349" t="n">
        <v>93.3</v>
      </c>
      <c r="BN349" t="n">
        <v>8.9</v>
      </c>
      <c r="BO349" t="n">
        <v>6.7</v>
      </c>
      <c r="BP349" t="n">
        <v>0</v>
      </c>
      <c r="BQ349" t="n">
        <v>0</v>
      </c>
      <c r="BR349" t="n">
        <v>0</v>
      </c>
      <c r="BS349" t="n">
        <v>0</v>
      </c>
      <c r="BT349" t="n">
        <v>0</v>
      </c>
      <c r="BU349" t="n">
        <v>0</v>
      </c>
      <c r="BV349" t="n">
        <v>0</v>
      </c>
      <c r="BW349" t="n">
        <v>0</v>
      </c>
      <c r="BX349" t="n">
        <v>0</v>
      </c>
      <c r="BY349" t="n">
        <v>0</v>
      </c>
      <c r="BZ349" t="n">
        <v>29</v>
      </c>
      <c r="CA349" t="n">
        <v>2</v>
      </c>
      <c r="CB349" t="n">
        <v>2</v>
      </c>
      <c r="CC349" t="n">
        <v>1</v>
      </c>
      <c r="CD349" t="n">
        <v>22</v>
      </c>
      <c r="CE349" t="n">
        <v>18</v>
      </c>
      <c r="CF349" t="n">
        <v>25</v>
      </c>
      <c r="CG349" t="n">
        <v>20</v>
      </c>
      <c r="CH349" t="n">
        <v>29</v>
      </c>
      <c r="CI349" t="n">
        <v>2</v>
      </c>
      <c r="CJ349" t="n">
        <v>2</v>
      </c>
      <c r="CK349" t="n">
        <v>1</v>
      </c>
      <c r="CL349" t="n">
        <v>22</v>
      </c>
      <c r="CM349" t="n">
        <v>18</v>
      </c>
      <c r="CN349" t="n">
        <v>25</v>
      </c>
      <c r="CO349" t="n">
        <v>20</v>
      </c>
      <c r="CP349" t="n">
        <v>0</v>
      </c>
      <c r="CQ349" t="n">
        <v>0</v>
      </c>
      <c r="CR349" t="n">
        <v>0</v>
      </c>
      <c r="CS349" t="n">
        <v>0</v>
      </c>
      <c r="CT349" t="n">
        <v>0</v>
      </c>
      <c r="CU349" t="n">
        <v>0</v>
      </c>
      <c r="CV349" t="n">
        <v>0</v>
      </c>
      <c r="CW349" t="n">
        <v>0</v>
      </c>
      <c r="CX349" t="n">
        <v>35.4</v>
      </c>
      <c r="CY349" t="n">
        <v>54.2</v>
      </c>
      <c r="CZ349" t="n">
        <v>57.3</v>
      </c>
      <c r="DA349" t="n">
        <v>75.2</v>
      </c>
      <c r="DB349" t="n">
        <v>31</v>
      </c>
      <c r="DC349" t="n">
        <v>39</v>
      </c>
      <c r="DD349" t="n">
        <v>48.1</v>
      </c>
      <c r="DE349" t="n">
        <v>55.4</v>
      </c>
      <c r="DF349" t="n">
        <v>35.4</v>
      </c>
      <c r="DG349" t="n">
        <v>54.2</v>
      </c>
      <c r="DH349" t="n">
        <v>57.3</v>
      </c>
      <c r="DI349" t="n">
        <v>75.2</v>
      </c>
      <c r="DJ349" t="n">
        <v>31</v>
      </c>
      <c r="DK349" t="n">
        <v>39</v>
      </c>
      <c r="DL349" t="n">
        <v>48.1</v>
      </c>
      <c r="DM349" t="n">
        <v>55.4</v>
      </c>
      <c r="DN349" t="n">
        <v>0</v>
      </c>
      <c r="DO349" t="n">
        <v>0</v>
      </c>
      <c r="DP349" t="n">
        <v>0</v>
      </c>
      <c r="DQ349" t="n">
        <v>0</v>
      </c>
      <c r="DR349" t="n">
        <v>0</v>
      </c>
      <c r="DS349" t="n">
        <v>0</v>
      </c>
      <c r="DT349" t="n">
        <v>0</v>
      </c>
      <c r="DU349" t="n">
        <v>0</v>
      </c>
      <c r="DV349" t="inlineStr">
        <is>
          <t>Megawatt Hours (MWh)</t>
        </is>
      </c>
    </row>
    <row r="350">
      <c r="A350" t="inlineStr">
        <is>
          <t>PJM.PPL_month_on_dap - NODAL EXCHANGE</t>
        </is>
      </c>
      <c r="B350" t="n">
        <v>230103</v>
      </c>
      <c r="C350" s="1" t="n">
        <v>44929</v>
      </c>
      <c r="D350" t="inlineStr">
        <is>
          <t>064EWU</t>
        </is>
      </c>
      <c r="E350" t="inlineStr">
        <is>
          <t>NODX</t>
        </is>
      </c>
      <c r="F350" t="inlineStr">
        <is>
          <t>01</t>
        </is>
      </c>
      <c r="G350" t="inlineStr">
        <is>
          <t xml:space="preserve">064 </t>
        </is>
      </c>
      <c r="H350" t="n">
        <v>38280</v>
      </c>
      <c r="I350" s="17" t="n">
        <v>3238</v>
      </c>
      <c r="J350" s="17" t="n">
        <v>1445</v>
      </c>
      <c r="K350" t="n">
        <v>270</v>
      </c>
      <c r="L350" t="n">
        <v>32148</v>
      </c>
      <c r="M350" t="n">
        <v>34036</v>
      </c>
      <c r="N350" t="n">
        <v>35656</v>
      </c>
      <c r="O350" t="n">
        <v>35751</v>
      </c>
      <c r="P350" t="n">
        <v>2624</v>
      </c>
      <c r="Q350" t="n">
        <v>2529</v>
      </c>
      <c r="R350" t="n">
        <v>38280</v>
      </c>
      <c r="S350" t="n">
        <v>3238</v>
      </c>
      <c r="T350" t="n">
        <v>1445</v>
      </c>
      <c r="U350" t="n">
        <v>270</v>
      </c>
      <c r="V350" t="n">
        <v>32148</v>
      </c>
      <c r="W350" t="n">
        <v>34036</v>
      </c>
      <c r="X350" t="n">
        <v>35656</v>
      </c>
      <c r="Y350" t="n">
        <v>35751</v>
      </c>
      <c r="Z350" t="n">
        <v>2624</v>
      </c>
      <c r="AA350" t="n">
        <v>2529</v>
      </c>
      <c r="AB350" t="n">
        <v>0</v>
      </c>
      <c r="AC350" t="n">
        <v>0</v>
      </c>
      <c r="AD350" t="n">
        <v>0</v>
      </c>
      <c r="AE350" t="n">
        <v>0</v>
      </c>
      <c r="AF350" t="n">
        <v>0</v>
      </c>
      <c r="AG350" t="n">
        <v>0</v>
      </c>
      <c r="AH350" t="n">
        <v>0</v>
      </c>
      <c r="AI350" t="n">
        <v>0</v>
      </c>
      <c r="AJ350" t="n">
        <v>0</v>
      </c>
      <c r="AK350" t="n">
        <v>0</v>
      </c>
      <c r="AL350" t="n">
        <v>87</v>
      </c>
      <c r="AM350" t="n">
        <v>0</v>
      </c>
      <c r="AN350" t="n">
        <v>300</v>
      </c>
      <c r="AO350" t="n">
        <v>-225</v>
      </c>
      <c r="AP350" t="n">
        <v>392</v>
      </c>
      <c r="AQ350" t="n">
        <v>92</v>
      </c>
      <c r="AR350" t="n">
        <v>167</v>
      </c>
      <c r="AS350" t="n">
        <v>167</v>
      </c>
      <c r="AT350" t="n">
        <v>-80</v>
      </c>
      <c r="AU350" t="n">
        <v>-80</v>
      </c>
      <c r="AV350" t="n">
        <v>100</v>
      </c>
      <c r="AW350" t="n">
        <v>8.5</v>
      </c>
      <c r="AX350" t="n">
        <v>3.8</v>
      </c>
      <c r="AY350" t="n">
        <v>0.7</v>
      </c>
      <c r="AZ350" t="n">
        <v>84</v>
      </c>
      <c r="BA350" t="n">
        <v>88.90000000000001</v>
      </c>
      <c r="BB350" t="n">
        <v>93.09999999999999</v>
      </c>
      <c r="BC350" t="n">
        <v>93.40000000000001</v>
      </c>
      <c r="BD350" t="n">
        <v>6.9</v>
      </c>
      <c r="BE350" t="n">
        <v>6.6</v>
      </c>
      <c r="BF350" t="n">
        <v>100</v>
      </c>
      <c r="BG350" t="n">
        <v>8.5</v>
      </c>
      <c r="BH350" t="n">
        <v>3.8</v>
      </c>
      <c r="BI350" t="n">
        <v>0.7</v>
      </c>
      <c r="BJ350" t="n">
        <v>84</v>
      </c>
      <c r="BK350" t="n">
        <v>88.90000000000001</v>
      </c>
      <c r="BL350" t="n">
        <v>93.09999999999999</v>
      </c>
      <c r="BM350" t="n">
        <v>93.40000000000001</v>
      </c>
      <c r="BN350" t="n">
        <v>6.9</v>
      </c>
      <c r="BO350" t="n">
        <v>6.6</v>
      </c>
      <c r="BP350" t="n">
        <v>0</v>
      </c>
      <c r="BQ350" t="n">
        <v>0</v>
      </c>
      <c r="BR350" t="n">
        <v>0</v>
      </c>
      <c r="BS350" t="n">
        <v>0</v>
      </c>
      <c r="BT350" t="n">
        <v>0</v>
      </c>
      <c r="BU350" t="n">
        <v>0</v>
      </c>
      <c r="BV350" t="n">
        <v>0</v>
      </c>
      <c r="BW350" t="n">
        <v>0</v>
      </c>
      <c r="BX350" t="n">
        <v>0</v>
      </c>
      <c r="BY350" t="n">
        <v>0</v>
      </c>
      <c r="BZ350" t="n">
        <v>34</v>
      </c>
      <c r="CA350" t="n">
        <v>2</v>
      </c>
      <c r="CB350" t="n">
        <v>3</v>
      </c>
      <c r="CC350" t="n">
        <v>2</v>
      </c>
      <c r="CD350" t="n">
        <v>25</v>
      </c>
      <c r="CE350" t="n">
        <v>20</v>
      </c>
      <c r="CF350" t="n">
        <v>29</v>
      </c>
      <c r="CG350" t="n">
        <v>23</v>
      </c>
      <c r="CH350" t="n">
        <v>34</v>
      </c>
      <c r="CI350" t="n">
        <v>2</v>
      </c>
      <c r="CJ350" t="n">
        <v>3</v>
      </c>
      <c r="CK350" t="n">
        <v>2</v>
      </c>
      <c r="CL350" t="n">
        <v>25</v>
      </c>
      <c r="CM350" t="n">
        <v>20</v>
      </c>
      <c r="CN350" t="n">
        <v>29</v>
      </c>
      <c r="CO350" t="n">
        <v>23</v>
      </c>
      <c r="CP350" t="n">
        <v>0</v>
      </c>
      <c r="CQ350" t="n">
        <v>0</v>
      </c>
      <c r="CR350" t="n">
        <v>0</v>
      </c>
      <c r="CS350" t="n">
        <v>0</v>
      </c>
      <c r="CT350" t="n">
        <v>0</v>
      </c>
      <c r="CU350" t="n">
        <v>0</v>
      </c>
      <c r="CV350" t="n">
        <v>0</v>
      </c>
      <c r="CW350" t="n">
        <v>0</v>
      </c>
      <c r="CX350" t="n">
        <v>35.6</v>
      </c>
      <c r="CY350" t="n">
        <v>53.2</v>
      </c>
      <c r="CZ350" t="n">
        <v>57</v>
      </c>
      <c r="DA350" t="n">
        <v>74.7</v>
      </c>
      <c r="DB350" t="n">
        <v>30.1</v>
      </c>
      <c r="DC350" t="n">
        <v>39</v>
      </c>
      <c r="DD350" t="n">
        <v>47.7</v>
      </c>
      <c r="DE350" t="n">
        <v>53.2</v>
      </c>
      <c r="DF350" t="n">
        <v>35.6</v>
      </c>
      <c r="DG350" t="n">
        <v>53.2</v>
      </c>
      <c r="DH350" t="n">
        <v>57</v>
      </c>
      <c r="DI350" t="n">
        <v>74.7</v>
      </c>
      <c r="DJ350" t="n">
        <v>30.1</v>
      </c>
      <c r="DK350" t="n">
        <v>39</v>
      </c>
      <c r="DL350" t="n">
        <v>47.7</v>
      </c>
      <c r="DM350" t="n">
        <v>53.2</v>
      </c>
      <c r="DN350" t="n">
        <v>0</v>
      </c>
      <c r="DO350" t="n">
        <v>0</v>
      </c>
      <c r="DP350" t="n">
        <v>0</v>
      </c>
      <c r="DQ350" t="n">
        <v>0</v>
      </c>
      <c r="DR350" t="n">
        <v>0</v>
      </c>
      <c r="DS350" t="n">
        <v>0</v>
      </c>
      <c r="DT350" t="n">
        <v>0</v>
      </c>
      <c r="DU350" t="n">
        <v>0</v>
      </c>
      <c r="DV350" t="inlineStr">
        <is>
          <t>Megawatt Hours (MWh)</t>
        </is>
      </c>
    </row>
    <row r="351">
      <c r="A351" t="inlineStr">
        <is>
          <t>PJM.PPL_month_off_dap - NODAL EXCHANGE</t>
        </is>
      </c>
      <c r="B351" t="n">
        <v>230110</v>
      </c>
      <c r="C351" s="1" t="n">
        <v>44936</v>
      </c>
      <c r="D351" t="inlineStr">
        <is>
          <t>064EWV</t>
        </is>
      </c>
      <c r="E351" t="inlineStr">
        <is>
          <t>NODX</t>
        </is>
      </c>
      <c r="F351" t="inlineStr">
        <is>
          <t>01</t>
        </is>
      </c>
      <c r="G351" t="inlineStr">
        <is>
          <t xml:space="preserve">064 </t>
        </is>
      </c>
      <c r="H351" t="n">
        <v>35764</v>
      </c>
      <c r="I351" s="17" t="n">
        <v>2838</v>
      </c>
      <c r="J351" s="17" t="n">
        <v>1033</v>
      </c>
      <c r="K351" t="n">
        <v>360</v>
      </c>
      <c r="L351" t="n">
        <v>29389</v>
      </c>
      <c r="M351" t="n">
        <v>32069</v>
      </c>
      <c r="N351" t="n">
        <v>32587</v>
      </c>
      <c r="O351" t="n">
        <v>33462</v>
      </c>
      <c r="P351" t="n">
        <v>3177</v>
      </c>
      <c r="Q351" t="n">
        <v>2302</v>
      </c>
      <c r="R351" t="n">
        <v>35764</v>
      </c>
      <c r="S351" t="n">
        <v>2838</v>
      </c>
      <c r="T351" t="n">
        <v>1033</v>
      </c>
      <c r="U351" t="n">
        <v>360</v>
      </c>
      <c r="V351" t="n">
        <v>29389</v>
      </c>
      <c r="W351" t="n">
        <v>32069</v>
      </c>
      <c r="X351" t="n">
        <v>32587</v>
      </c>
      <c r="Y351" t="n">
        <v>33462</v>
      </c>
      <c r="Z351" t="n">
        <v>3177</v>
      </c>
      <c r="AA351" t="n">
        <v>2302</v>
      </c>
      <c r="AB351" t="n">
        <v>0</v>
      </c>
      <c r="AC351" t="n">
        <v>0</v>
      </c>
      <c r="AD351" t="n">
        <v>0</v>
      </c>
      <c r="AE351" t="n">
        <v>0</v>
      </c>
      <c r="AF351" t="n">
        <v>0</v>
      </c>
      <c r="AG351" t="n">
        <v>0</v>
      </c>
      <c r="AH351" t="n">
        <v>0</v>
      </c>
      <c r="AI351" t="n">
        <v>0</v>
      </c>
      <c r="AJ351" t="n">
        <v>0</v>
      </c>
      <c r="AK351" t="n">
        <v>0</v>
      </c>
      <c r="AL351" t="n">
        <v>-2250</v>
      </c>
      <c r="AM351" t="n">
        <v>-235</v>
      </c>
      <c r="AN351" t="n">
        <v>-95</v>
      </c>
      <c r="AO351" t="n">
        <v>-30</v>
      </c>
      <c r="AP351" t="n">
        <v>-2585</v>
      </c>
      <c r="AQ351" t="n">
        <v>-1940</v>
      </c>
      <c r="AR351" t="n">
        <v>-2850</v>
      </c>
      <c r="AS351" t="n">
        <v>-2065</v>
      </c>
      <c r="AT351" t="n">
        <v>600</v>
      </c>
      <c r="AU351" t="n">
        <v>-185</v>
      </c>
      <c r="AV351" t="n">
        <v>100</v>
      </c>
      <c r="AW351" t="n">
        <v>7.9</v>
      </c>
      <c r="AX351" t="n">
        <v>2.9</v>
      </c>
      <c r="AY351" t="n">
        <v>1</v>
      </c>
      <c r="AZ351" t="n">
        <v>82.2</v>
      </c>
      <c r="BA351" t="n">
        <v>89.7</v>
      </c>
      <c r="BB351" t="n">
        <v>91.09999999999999</v>
      </c>
      <c r="BC351" t="n">
        <v>93.59999999999999</v>
      </c>
      <c r="BD351" t="n">
        <v>8.9</v>
      </c>
      <c r="BE351" t="n">
        <v>6.4</v>
      </c>
      <c r="BF351" t="n">
        <v>100</v>
      </c>
      <c r="BG351" t="n">
        <v>7.9</v>
      </c>
      <c r="BH351" t="n">
        <v>2.9</v>
      </c>
      <c r="BI351" t="n">
        <v>1</v>
      </c>
      <c r="BJ351" t="n">
        <v>82.2</v>
      </c>
      <c r="BK351" t="n">
        <v>89.7</v>
      </c>
      <c r="BL351" t="n">
        <v>91.09999999999999</v>
      </c>
      <c r="BM351" t="n">
        <v>93.59999999999999</v>
      </c>
      <c r="BN351" t="n">
        <v>8.9</v>
      </c>
      <c r="BO351" t="n">
        <v>6.4</v>
      </c>
      <c r="BP351" t="n">
        <v>0</v>
      </c>
      <c r="BQ351" t="n">
        <v>0</v>
      </c>
      <c r="BR351" t="n">
        <v>0</v>
      </c>
      <c r="BS351" t="n">
        <v>0</v>
      </c>
      <c r="BT351" t="n">
        <v>0</v>
      </c>
      <c r="BU351" t="n">
        <v>0</v>
      </c>
      <c r="BV351" t="n">
        <v>0</v>
      </c>
      <c r="BW351" t="n">
        <v>0</v>
      </c>
      <c r="BX351" t="n">
        <v>0</v>
      </c>
      <c r="BY351" t="n">
        <v>0</v>
      </c>
      <c r="BZ351" t="n">
        <v>28</v>
      </c>
      <c r="CA351" t="n">
        <v>2</v>
      </c>
      <c r="CB351" t="n">
        <v>2</v>
      </c>
      <c r="CC351" t="n">
        <v>2</v>
      </c>
      <c r="CD351" t="n">
        <v>21</v>
      </c>
      <c r="CE351" t="n">
        <v>18</v>
      </c>
      <c r="CF351" t="n">
        <v>25</v>
      </c>
      <c r="CG351" t="n">
        <v>20</v>
      </c>
      <c r="CH351" t="n">
        <v>28</v>
      </c>
      <c r="CI351" t="n">
        <v>2</v>
      </c>
      <c r="CJ351" t="n">
        <v>2</v>
      </c>
      <c r="CK351" t="n">
        <v>2</v>
      </c>
      <c r="CL351" t="n">
        <v>21</v>
      </c>
      <c r="CM351" t="n">
        <v>18</v>
      </c>
      <c r="CN351" t="n">
        <v>25</v>
      </c>
      <c r="CO351" t="n">
        <v>20</v>
      </c>
      <c r="CP351" t="n">
        <v>0</v>
      </c>
      <c r="CQ351" t="n">
        <v>0</v>
      </c>
      <c r="CR351" t="n">
        <v>0</v>
      </c>
      <c r="CS351" t="n">
        <v>0</v>
      </c>
      <c r="CT351" t="n">
        <v>0</v>
      </c>
      <c r="CU351" t="n">
        <v>0</v>
      </c>
      <c r="CV351" t="n">
        <v>0</v>
      </c>
      <c r="CW351" t="n">
        <v>0</v>
      </c>
      <c r="CX351" t="n">
        <v>36.6</v>
      </c>
      <c r="CY351" t="n">
        <v>51.2</v>
      </c>
      <c r="CZ351" t="n">
        <v>59.2</v>
      </c>
      <c r="DA351" t="n">
        <v>75.7</v>
      </c>
      <c r="DB351" t="n">
        <v>29.1</v>
      </c>
      <c r="DC351" t="n">
        <v>38.2</v>
      </c>
      <c r="DD351" t="n">
        <v>46.5</v>
      </c>
      <c r="DE351" t="n">
        <v>54.1</v>
      </c>
      <c r="DF351" t="n">
        <v>36.6</v>
      </c>
      <c r="DG351" t="n">
        <v>51.2</v>
      </c>
      <c r="DH351" t="n">
        <v>59.2</v>
      </c>
      <c r="DI351" t="n">
        <v>75.7</v>
      </c>
      <c r="DJ351" t="n">
        <v>29.1</v>
      </c>
      <c r="DK351" t="n">
        <v>38.2</v>
      </c>
      <c r="DL351" t="n">
        <v>46.5</v>
      </c>
      <c r="DM351" t="n">
        <v>54.1</v>
      </c>
      <c r="DN351" t="n">
        <v>0</v>
      </c>
      <c r="DO351" t="n">
        <v>0</v>
      </c>
      <c r="DP351" t="n">
        <v>0</v>
      </c>
      <c r="DQ351" t="n">
        <v>0</v>
      </c>
      <c r="DR351" t="n">
        <v>0</v>
      </c>
      <c r="DS351" t="n">
        <v>0</v>
      </c>
      <c r="DT351" t="n">
        <v>0</v>
      </c>
      <c r="DU351" t="n">
        <v>0</v>
      </c>
      <c r="DV351" t="inlineStr">
        <is>
          <t>Megawatt Hours (MWh)</t>
        </is>
      </c>
    </row>
    <row r="352">
      <c r="A352" t="inlineStr">
        <is>
          <t>PJM.PPL_month_off_dap - NODAL EXCHANGE</t>
        </is>
      </c>
      <c r="B352" t="n">
        <v>230103</v>
      </c>
      <c r="C352" s="1" t="n">
        <v>44929</v>
      </c>
      <c r="D352" t="inlineStr">
        <is>
          <t>064EWV</t>
        </is>
      </c>
      <c r="E352" t="inlineStr">
        <is>
          <t>NODX</t>
        </is>
      </c>
      <c r="F352" t="inlineStr">
        <is>
          <t>01</t>
        </is>
      </c>
      <c r="G352" t="inlineStr">
        <is>
          <t xml:space="preserve">064 </t>
        </is>
      </c>
      <c r="H352" t="n">
        <v>38014</v>
      </c>
      <c r="I352" s="17" t="n">
        <v>3073</v>
      </c>
      <c r="J352" s="17" t="n">
        <v>1128</v>
      </c>
      <c r="K352" t="n">
        <v>390</v>
      </c>
      <c r="L352" t="n">
        <v>31974</v>
      </c>
      <c r="M352" t="n">
        <v>34009</v>
      </c>
      <c r="N352" t="n">
        <v>35437</v>
      </c>
      <c r="O352" t="n">
        <v>35527</v>
      </c>
      <c r="P352" t="n">
        <v>2577</v>
      </c>
      <c r="Q352" t="n">
        <v>2487</v>
      </c>
      <c r="R352" t="n">
        <v>38014</v>
      </c>
      <c r="S352" t="n">
        <v>3073</v>
      </c>
      <c r="T352" t="n">
        <v>1128</v>
      </c>
      <c r="U352" t="n">
        <v>390</v>
      </c>
      <c r="V352" t="n">
        <v>31974</v>
      </c>
      <c r="W352" t="n">
        <v>34009</v>
      </c>
      <c r="X352" t="n">
        <v>35437</v>
      </c>
      <c r="Y352" t="n">
        <v>35527</v>
      </c>
      <c r="Z352" t="n">
        <v>2577</v>
      </c>
      <c r="AA352" t="n">
        <v>2487</v>
      </c>
      <c r="AB352" t="n">
        <v>0</v>
      </c>
      <c r="AC352" t="n">
        <v>0</v>
      </c>
      <c r="AD352" t="n">
        <v>0</v>
      </c>
      <c r="AE352" t="n">
        <v>0</v>
      </c>
      <c r="AF352" t="n">
        <v>0</v>
      </c>
      <c r="AG352" t="n">
        <v>0</v>
      </c>
      <c r="AH352" t="n">
        <v>0</v>
      </c>
      <c r="AI352" t="n">
        <v>0</v>
      </c>
      <c r="AJ352" t="n">
        <v>0</v>
      </c>
      <c r="AK352" t="n">
        <v>0</v>
      </c>
      <c r="AL352" t="n">
        <v>219</v>
      </c>
      <c r="AM352" t="n">
        <v>0</v>
      </c>
      <c r="AN352" t="n">
        <v>300</v>
      </c>
      <c r="AO352" t="n">
        <v>-240</v>
      </c>
      <c r="AP352" t="n">
        <v>484</v>
      </c>
      <c r="AQ352" t="n">
        <v>184</v>
      </c>
      <c r="AR352" t="n">
        <v>244</v>
      </c>
      <c r="AS352" t="n">
        <v>244</v>
      </c>
      <c r="AT352" t="n">
        <v>-25</v>
      </c>
      <c r="AU352" t="n">
        <v>-25</v>
      </c>
      <c r="AV352" t="n">
        <v>100</v>
      </c>
      <c r="AW352" t="n">
        <v>8.1</v>
      </c>
      <c r="AX352" t="n">
        <v>3</v>
      </c>
      <c r="AY352" t="n">
        <v>1</v>
      </c>
      <c r="AZ352" t="n">
        <v>84.09999999999999</v>
      </c>
      <c r="BA352" t="n">
        <v>89.5</v>
      </c>
      <c r="BB352" t="n">
        <v>93.2</v>
      </c>
      <c r="BC352" t="n">
        <v>93.5</v>
      </c>
      <c r="BD352" t="n">
        <v>6.8</v>
      </c>
      <c r="BE352" t="n">
        <v>6.5</v>
      </c>
      <c r="BF352" t="n">
        <v>100</v>
      </c>
      <c r="BG352" t="n">
        <v>8.1</v>
      </c>
      <c r="BH352" t="n">
        <v>3</v>
      </c>
      <c r="BI352" t="n">
        <v>1</v>
      </c>
      <c r="BJ352" t="n">
        <v>84.09999999999999</v>
      </c>
      <c r="BK352" t="n">
        <v>89.5</v>
      </c>
      <c r="BL352" t="n">
        <v>93.2</v>
      </c>
      <c r="BM352" t="n">
        <v>93.5</v>
      </c>
      <c r="BN352" t="n">
        <v>6.8</v>
      </c>
      <c r="BO352" t="n">
        <v>6.5</v>
      </c>
      <c r="BP352" t="n">
        <v>0</v>
      </c>
      <c r="BQ352" t="n">
        <v>0</v>
      </c>
      <c r="BR352" t="n">
        <v>0</v>
      </c>
      <c r="BS352" t="n">
        <v>0</v>
      </c>
      <c r="BT352" t="n">
        <v>0</v>
      </c>
      <c r="BU352" t="n">
        <v>0</v>
      </c>
      <c r="BV352" t="n">
        <v>0</v>
      </c>
      <c r="BW352" t="n">
        <v>0</v>
      </c>
      <c r="BX352" t="n">
        <v>0</v>
      </c>
      <c r="BY352" t="n">
        <v>0</v>
      </c>
      <c r="BZ352" t="n">
        <v>34</v>
      </c>
      <c r="CA352" t="n">
        <v>2</v>
      </c>
      <c r="CB352" t="n">
        <v>3</v>
      </c>
      <c r="CC352" t="n">
        <v>2</v>
      </c>
      <c r="CD352" t="n">
        <v>25</v>
      </c>
      <c r="CE352" t="n">
        <v>20</v>
      </c>
      <c r="CF352" t="n">
        <v>29</v>
      </c>
      <c r="CG352" t="n">
        <v>23</v>
      </c>
      <c r="CH352" t="n">
        <v>34</v>
      </c>
      <c r="CI352" t="n">
        <v>2</v>
      </c>
      <c r="CJ352" t="n">
        <v>3</v>
      </c>
      <c r="CK352" t="n">
        <v>2</v>
      </c>
      <c r="CL352" t="n">
        <v>25</v>
      </c>
      <c r="CM352" t="n">
        <v>20</v>
      </c>
      <c r="CN352" t="n">
        <v>29</v>
      </c>
      <c r="CO352" t="n">
        <v>23</v>
      </c>
      <c r="CP352" t="n">
        <v>0</v>
      </c>
      <c r="CQ352" t="n">
        <v>0</v>
      </c>
      <c r="CR352" t="n">
        <v>0</v>
      </c>
      <c r="CS352" t="n">
        <v>0</v>
      </c>
      <c r="CT352" t="n">
        <v>0</v>
      </c>
      <c r="CU352" t="n">
        <v>0</v>
      </c>
      <c r="CV352" t="n">
        <v>0</v>
      </c>
      <c r="CW352" t="n">
        <v>0</v>
      </c>
      <c r="CX352" t="n">
        <v>36.5</v>
      </c>
      <c r="CY352" t="n">
        <v>49.7</v>
      </c>
      <c r="CZ352" t="n">
        <v>58.7</v>
      </c>
      <c r="DA352" t="n">
        <v>74.2</v>
      </c>
      <c r="DB352" t="n">
        <v>28.3</v>
      </c>
      <c r="DC352" t="n">
        <v>37.5</v>
      </c>
      <c r="DD352" t="n">
        <v>46.2</v>
      </c>
      <c r="DE352" t="n">
        <v>53.3</v>
      </c>
      <c r="DF352" t="n">
        <v>36.5</v>
      </c>
      <c r="DG352" t="n">
        <v>49.7</v>
      </c>
      <c r="DH352" t="n">
        <v>58.7</v>
      </c>
      <c r="DI352" t="n">
        <v>74.2</v>
      </c>
      <c r="DJ352" t="n">
        <v>28.3</v>
      </c>
      <c r="DK352" t="n">
        <v>37.5</v>
      </c>
      <c r="DL352" t="n">
        <v>46.2</v>
      </c>
      <c r="DM352" t="n">
        <v>53.3</v>
      </c>
      <c r="DN352" t="n">
        <v>0</v>
      </c>
      <c r="DO352" t="n">
        <v>0</v>
      </c>
      <c r="DP352" t="n">
        <v>0</v>
      </c>
      <c r="DQ352" t="n">
        <v>0</v>
      </c>
      <c r="DR352" t="n">
        <v>0</v>
      </c>
      <c r="DS352" t="n">
        <v>0</v>
      </c>
      <c r="DT352" t="n">
        <v>0</v>
      </c>
      <c r="DU352" t="n">
        <v>0</v>
      </c>
      <c r="DV352" t="inlineStr">
        <is>
          <t>Megawatt Hours (MWh)</t>
        </is>
      </c>
    </row>
    <row r="353">
      <c r="A353" t="inlineStr">
        <is>
          <t>PJM.PSEG_month_on_dap - NODAL EXCHANGE</t>
        </is>
      </c>
      <c r="B353" t="n">
        <v>230110</v>
      </c>
      <c r="C353" s="1" t="n">
        <v>44936</v>
      </c>
      <c r="D353" t="inlineStr">
        <is>
          <t>064EXE</t>
        </is>
      </c>
      <c r="E353" t="inlineStr">
        <is>
          <t>NODX</t>
        </is>
      </c>
      <c r="F353" t="inlineStr">
        <is>
          <t>01</t>
        </is>
      </c>
      <c r="G353" t="inlineStr">
        <is>
          <t xml:space="preserve">064 </t>
        </is>
      </c>
      <c r="H353" t="n">
        <v>46602</v>
      </c>
      <c r="I353" s="17" t="n">
        <v>7304</v>
      </c>
      <c r="J353" s="17" t="n">
        <v>680</v>
      </c>
      <c r="K353" t="n">
        <v>280</v>
      </c>
      <c r="L353" t="n">
        <v>31112</v>
      </c>
      <c r="M353" t="n">
        <v>38677</v>
      </c>
      <c r="N353" t="n">
        <v>38696</v>
      </c>
      <c r="O353" t="n">
        <v>39637</v>
      </c>
      <c r="P353" t="n">
        <v>7906</v>
      </c>
      <c r="Q353" t="n">
        <v>6965</v>
      </c>
      <c r="R353" t="n">
        <v>46602</v>
      </c>
      <c r="S353" t="n">
        <v>7304</v>
      </c>
      <c r="T353" t="n">
        <v>680</v>
      </c>
      <c r="U353" t="n">
        <v>280</v>
      </c>
      <c r="V353" t="n">
        <v>31112</v>
      </c>
      <c r="W353" t="n">
        <v>38677</v>
      </c>
      <c r="X353" t="n">
        <v>38696</v>
      </c>
      <c r="Y353" t="n">
        <v>39637</v>
      </c>
      <c r="Z353" t="n">
        <v>7906</v>
      </c>
      <c r="AA353" t="n">
        <v>6965</v>
      </c>
      <c r="AB353" t="n">
        <v>0</v>
      </c>
      <c r="AC353" t="n">
        <v>0</v>
      </c>
      <c r="AD353" t="n">
        <v>0</v>
      </c>
      <c r="AE353" t="n">
        <v>0</v>
      </c>
      <c r="AF353" t="n">
        <v>0</v>
      </c>
      <c r="AG353" t="n">
        <v>0</v>
      </c>
      <c r="AH353" t="n">
        <v>0</v>
      </c>
      <c r="AI353" t="n">
        <v>0</v>
      </c>
      <c r="AJ353" t="n">
        <v>0</v>
      </c>
      <c r="AK353" t="n">
        <v>0</v>
      </c>
      <c r="AL353" t="n">
        <v>-1793</v>
      </c>
      <c r="AM353" t="n">
        <v>-700</v>
      </c>
      <c r="AN353" t="n">
        <v>-40</v>
      </c>
      <c r="AO353" t="n">
        <v>-35</v>
      </c>
      <c r="AP353" t="n">
        <v>-3547</v>
      </c>
      <c r="AQ353" t="n">
        <v>-3608</v>
      </c>
      <c r="AR353" t="n">
        <v>-4282</v>
      </c>
      <c r="AS353" t="n">
        <v>-3683</v>
      </c>
      <c r="AT353" t="n">
        <v>2489</v>
      </c>
      <c r="AU353" t="n">
        <v>1890</v>
      </c>
      <c r="AV353" t="n">
        <v>100</v>
      </c>
      <c r="AW353" t="n">
        <v>15.7</v>
      </c>
      <c r="AX353" t="n">
        <v>1.5</v>
      </c>
      <c r="AY353" t="n">
        <v>0.6</v>
      </c>
      <c r="AZ353" t="n">
        <v>66.8</v>
      </c>
      <c r="BA353" t="n">
        <v>83</v>
      </c>
      <c r="BB353" t="n">
        <v>83</v>
      </c>
      <c r="BC353" t="n">
        <v>85.09999999999999</v>
      </c>
      <c r="BD353" t="n">
        <v>17</v>
      </c>
      <c r="BE353" t="n">
        <v>14.9</v>
      </c>
      <c r="BF353" t="n">
        <v>100</v>
      </c>
      <c r="BG353" t="n">
        <v>15.7</v>
      </c>
      <c r="BH353" t="n">
        <v>1.5</v>
      </c>
      <c r="BI353" t="n">
        <v>0.6</v>
      </c>
      <c r="BJ353" t="n">
        <v>66.8</v>
      </c>
      <c r="BK353" t="n">
        <v>83</v>
      </c>
      <c r="BL353" t="n">
        <v>83</v>
      </c>
      <c r="BM353" t="n">
        <v>85.09999999999999</v>
      </c>
      <c r="BN353" t="n">
        <v>17</v>
      </c>
      <c r="BO353" t="n">
        <v>14.9</v>
      </c>
      <c r="BP353" t="n">
        <v>0</v>
      </c>
      <c r="BQ353" t="n">
        <v>0</v>
      </c>
      <c r="BR353" t="n">
        <v>0</v>
      </c>
      <c r="BS353" t="n">
        <v>0</v>
      </c>
      <c r="BT353" t="n">
        <v>0</v>
      </c>
      <c r="BU353" t="n">
        <v>0</v>
      </c>
      <c r="BV353" t="n">
        <v>0</v>
      </c>
      <c r="BW353" t="n">
        <v>0</v>
      </c>
      <c r="BX353" t="n">
        <v>0</v>
      </c>
      <c r="BY353" t="n">
        <v>0</v>
      </c>
      <c r="BZ353" t="n">
        <v>31</v>
      </c>
      <c r="CA353" t="n">
        <v>4</v>
      </c>
      <c r="CB353" t="n">
        <v>2</v>
      </c>
      <c r="CC353" t="n">
        <v>2</v>
      </c>
      <c r="CD353" t="n">
        <v>24</v>
      </c>
      <c r="CE353" t="n">
        <v>12</v>
      </c>
      <c r="CF353" t="n">
        <v>29</v>
      </c>
      <c r="CG353" t="n">
        <v>15</v>
      </c>
      <c r="CH353" t="n">
        <v>31</v>
      </c>
      <c r="CI353" t="n">
        <v>4</v>
      </c>
      <c r="CJ353" t="n">
        <v>2</v>
      </c>
      <c r="CK353" t="n">
        <v>2</v>
      </c>
      <c r="CL353" t="n">
        <v>24</v>
      </c>
      <c r="CM353" t="n">
        <v>12</v>
      </c>
      <c r="CN353" t="n">
        <v>29</v>
      </c>
      <c r="CO353" t="n">
        <v>15</v>
      </c>
      <c r="CP353" t="n">
        <v>0</v>
      </c>
      <c r="CQ353" t="n">
        <v>0</v>
      </c>
      <c r="CR353" t="n">
        <v>0</v>
      </c>
      <c r="CS353" t="n">
        <v>0</v>
      </c>
      <c r="CT353" t="n">
        <v>0</v>
      </c>
      <c r="CU353" t="n">
        <v>0</v>
      </c>
      <c r="CV353" t="n">
        <v>0</v>
      </c>
      <c r="CW353" t="n">
        <v>0</v>
      </c>
      <c r="CX353" t="n">
        <v>43.1</v>
      </c>
      <c r="CY353" t="n">
        <v>61.8</v>
      </c>
      <c r="CZ353" t="n">
        <v>60.2</v>
      </c>
      <c r="DA353" t="n">
        <v>79.8</v>
      </c>
      <c r="DB353" t="n">
        <v>40.3</v>
      </c>
      <c r="DC353" t="n">
        <v>55.2</v>
      </c>
      <c r="DD353" t="n">
        <v>53.4</v>
      </c>
      <c r="DE353" t="n">
        <v>63.5</v>
      </c>
      <c r="DF353" t="n">
        <v>43.1</v>
      </c>
      <c r="DG353" t="n">
        <v>61.8</v>
      </c>
      <c r="DH353" t="n">
        <v>60.2</v>
      </c>
      <c r="DI353" t="n">
        <v>79.8</v>
      </c>
      <c r="DJ353" t="n">
        <v>40.3</v>
      </c>
      <c r="DK353" t="n">
        <v>55.2</v>
      </c>
      <c r="DL353" t="n">
        <v>53.4</v>
      </c>
      <c r="DM353" t="n">
        <v>63.5</v>
      </c>
      <c r="DN353" t="n">
        <v>0</v>
      </c>
      <c r="DO353" t="n">
        <v>0</v>
      </c>
      <c r="DP353" t="n">
        <v>0</v>
      </c>
      <c r="DQ353" t="n">
        <v>0</v>
      </c>
      <c r="DR353" t="n">
        <v>0</v>
      </c>
      <c r="DS353" t="n">
        <v>0</v>
      </c>
      <c r="DT353" t="n">
        <v>0</v>
      </c>
      <c r="DU353" t="n">
        <v>0</v>
      </c>
      <c r="DV353" t="inlineStr">
        <is>
          <t>Megawatt Hours (MWh)</t>
        </is>
      </c>
    </row>
    <row r="354">
      <c r="A354" t="inlineStr">
        <is>
          <t>PJM.PSEG_month_on_dap - NODAL EXCHANGE</t>
        </is>
      </c>
      <c r="B354" t="n">
        <v>230103</v>
      </c>
      <c r="C354" s="1" t="n">
        <v>44929</v>
      </c>
      <c r="D354" t="inlineStr">
        <is>
          <t>064EXE</t>
        </is>
      </c>
      <c r="E354" t="inlineStr">
        <is>
          <t>NODX</t>
        </is>
      </c>
      <c r="F354" t="inlineStr">
        <is>
          <t>01</t>
        </is>
      </c>
      <c r="G354" t="inlineStr">
        <is>
          <t xml:space="preserve">064 </t>
        </is>
      </c>
      <c r="H354" t="n">
        <v>48395</v>
      </c>
      <c r="I354" s="17" t="n">
        <v>8004</v>
      </c>
      <c r="J354" s="17" t="n">
        <v>720</v>
      </c>
      <c r="K354" t="n">
        <v>315</v>
      </c>
      <c r="L354" t="n">
        <v>34659</v>
      </c>
      <c r="M354" t="n">
        <v>42285</v>
      </c>
      <c r="N354" t="n">
        <v>42978</v>
      </c>
      <c r="O354" t="n">
        <v>43320</v>
      </c>
      <c r="P354" t="n">
        <v>5417</v>
      </c>
      <c r="Q354" t="n">
        <v>5075</v>
      </c>
      <c r="R354" t="n">
        <v>48395</v>
      </c>
      <c r="S354" t="n">
        <v>8004</v>
      </c>
      <c r="T354" t="n">
        <v>720</v>
      </c>
      <c r="U354" t="n">
        <v>315</v>
      </c>
      <c r="V354" t="n">
        <v>34659</v>
      </c>
      <c r="W354" t="n">
        <v>42285</v>
      </c>
      <c r="X354" t="n">
        <v>42978</v>
      </c>
      <c r="Y354" t="n">
        <v>43320</v>
      </c>
      <c r="Z354" t="n">
        <v>5417</v>
      </c>
      <c r="AA354" t="n">
        <v>5075</v>
      </c>
      <c r="AB354" t="n">
        <v>0</v>
      </c>
      <c r="AC354" t="n">
        <v>0</v>
      </c>
      <c r="AD354" t="n">
        <v>0</v>
      </c>
      <c r="AE354" t="n">
        <v>0</v>
      </c>
      <c r="AF354" t="n">
        <v>0</v>
      </c>
      <c r="AG354" t="n">
        <v>0</v>
      </c>
      <c r="AH354" t="n">
        <v>0</v>
      </c>
      <c r="AI354" t="n">
        <v>0</v>
      </c>
      <c r="AJ354" t="n">
        <v>0</v>
      </c>
      <c r="AK354" t="n">
        <v>0</v>
      </c>
      <c r="AL354" t="n">
        <v>75</v>
      </c>
      <c r="AM354" t="n">
        <v>75</v>
      </c>
      <c r="AN354" t="n">
        <v>0</v>
      </c>
      <c r="AO354" t="n">
        <v>0</v>
      </c>
      <c r="AP354" t="n">
        <v>0</v>
      </c>
      <c r="AQ354" t="n">
        <v>75</v>
      </c>
      <c r="AR354" t="n">
        <v>75</v>
      </c>
      <c r="AS354" t="n">
        <v>75</v>
      </c>
      <c r="AT354" t="n">
        <v>0</v>
      </c>
      <c r="AU354" t="n">
        <v>0</v>
      </c>
      <c r="AV354" t="n">
        <v>100</v>
      </c>
      <c r="AW354" t="n">
        <v>16.5</v>
      </c>
      <c r="AX354" t="n">
        <v>1.5</v>
      </c>
      <c r="AY354" t="n">
        <v>0.7</v>
      </c>
      <c r="AZ354" t="n">
        <v>71.59999999999999</v>
      </c>
      <c r="BA354" t="n">
        <v>87.40000000000001</v>
      </c>
      <c r="BB354" t="n">
        <v>88.8</v>
      </c>
      <c r="BC354" t="n">
        <v>89.5</v>
      </c>
      <c r="BD354" t="n">
        <v>11.2</v>
      </c>
      <c r="BE354" t="n">
        <v>10.5</v>
      </c>
      <c r="BF354" t="n">
        <v>100</v>
      </c>
      <c r="BG354" t="n">
        <v>16.5</v>
      </c>
      <c r="BH354" t="n">
        <v>1.5</v>
      </c>
      <c r="BI354" t="n">
        <v>0.7</v>
      </c>
      <c r="BJ354" t="n">
        <v>71.59999999999999</v>
      </c>
      <c r="BK354" t="n">
        <v>87.40000000000001</v>
      </c>
      <c r="BL354" t="n">
        <v>88.8</v>
      </c>
      <c r="BM354" t="n">
        <v>89.5</v>
      </c>
      <c r="BN354" t="n">
        <v>11.2</v>
      </c>
      <c r="BO354" t="n">
        <v>10.5</v>
      </c>
      <c r="BP354" t="n">
        <v>0</v>
      </c>
      <c r="BQ354" t="n">
        <v>0</v>
      </c>
      <c r="BR354" t="n">
        <v>0</v>
      </c>
      <c r="BS354" t="n">
        <v>0</v>
      </c>
      <c r="BT354" t="n">
        <v>0</v>
      </c>
      <c r="BU354" t="n">
        <v>0</v>
      </c>
      <c r="BV354" t="n">
        <v>0</v>
      </c>
      <c r="BW354" t="n">
        <v>0</v>
      </c>
      <c r="BX354" t="n">
        <v>0</v>
      </c>
      <c r="BY354" t="n">
        <v>0</v>
      </c>
      <c r="BZ354" t="n">
        <v>34</v>
      </c>
      <c r="CA354" t="n">
        <v>4</v>
      </c>
      <c r="CB354" t="n">
        <v>2</v>
      </c>
      <c r="CC354" t="n">
        <v>2</v>
      </c>
      <c r="CD354" t="n">
        <v>26</v>
      </c>
      <c r="CE354" t="n">
        <v>14</v>
      </c>
      <c r="CF354" t="n">
        <v>31</v>
      </c>
      <c r="CG354" t="n">
        <v>17</v>
      </c>
      <c r="CH354" t="n">
        <v>34</v>
      </c>
      <c r="CI354" t="n">
        <v>4</v>
      </c>
      <c r="CJ354" t="n">
        <v>2</v>
      </c>
      <c r="CK354" t="n">
        <v>2</v>
      </c>
      <c r="CL354" t="n">
        <v>26</v>
      </c>
      <c r="CM354" t="n">
        <v>14</v>
      </c>
      <c r="CN354" t="n">
        <v>31</v>
      </c>
      <c r="CO354" t="n">
        <v>17</v>
      </c>
      <c r="CP354" t="n">
        <v>0</v>
      </c>
      <c r="CQ354" t="n">
        <v>0</v>
      </c>
      <c r="CR354" t="n">
        <v>0</v>
      </c>
      <c r="CS354" t="n">
        <v>0</v>
      </c>
      <c r="CT354" t="n">
        <v>0</v>
      </c>
      <c r="CU354" t="n">
        <v>0</v>
      </c>
      <c r="CV354" t="n">
        <v>0</v>
      </c>
      <c r="CW354" t="n">
        <v>0</v>
      </c>
      <c r="CX354" t="n">
        <v>46.6</v>
      </c>
      <c r="CY354" t="n">
        <v>66.40000000000001</v>
      </c>
      <c r="CZ354" t="n">
        <v>64.40000000000001</v>
      </c>
      <c r="DA354" t="n">
        <v>83.8</v>
      </c>
      <c r="DB354" t="n">
        <v>42</v>
      </c>
      <c r="DC354" t="n">
        <v>64.59999999999999</v>
      </c>
      <c r="DD354" t="n">
        <v>59.5</v>
      </c>
      <c r="DE354" t="n">
        <v>73.40000000000001</v>
      </c>
      <c r="DF354" t="n">
        <v>46.6</v>
      </c>
      <c r="DG354" t="n">
        <v>66.40000000000001</v>
      </c>
      <c r="DH354" t="n">
        <v>64.40000000000001</v>
      </c>
      <c r="DI354" t="n">
        <v>83.8</v>
      </c>
      <c r="DJ354" t="n">
        <v>42</v>
      </c>
      <c r="DK354" t="n">
        <v>64.59999999999999</v>
      </c>
      <c r="DL354" t="n">
        <v>59.5</v>
      </c>
      <c r="DM354" t="n">
        <v>73.40000000000001</v>
      </c>
      <c r="DN354" t="n">
        <v>0</v>
      </c>
      <c r="DO354" t="n">
        <v>0</v>
      </c>
      <c r="DP354" t="n">
        <v>0</v>
      </c>
      <c r="DQ354" t="n">
        <v>0</v>
      </c>
      <c r="DR354" t="n">
        <v>0</v>
      </c>
      <c r="DS354" t="n">
        <v>0</v>
      </c>
      <c r="DT354" t="n">
        <v>0</v>
      </c>
      <c r="DU354" t="n">
        <v>0</v>
      </c>
      <c r="DV354" t="inlineStr">
        <is>
          <t>Megawatt Hours (MWh)</t>
        </is>
      </c>
    </row>
    <row r="355">
      <c r="A355" t="inlineStr">
        <is>
          <t>PJM.PSEG_month_off_dap - NODAL EXCHANGE</t>
        </is>
      </c>
      <c r="B355" t="n">
        <v>230110</v>
      </c>
      <c r="C355" s="1" t="n">
        <v>44936</v>
      </c>
      <c r="D355" t="inlineStr">
        <is>
          <t>064EXF</t>
        </is>
      </c>
      <c r="E355" t="inlineStr">
        <is>
          <t>NODX</t>
        </is>
      </c>
      <c r="F355" t="inlineStr">
        <is>
          <t>01</t>
        </is>
      </c>
      <c r="G355" t="inlineStr">
        <is>
          <t xml:space="preserve">064 </t>
        </is>
      </c>
      <c r="H355" t="n">
        <v>40959</v>
      </c>
      <c r="I355" s="17" t="n">
        <v>7124</v>
      </c>
      <c r="J355" s="17" t="n">
        <v>1284</v>
      </c>
      <c r="K355" t="n">
        <v>105</v>
      </c>
      <c r="L355" t="n">
        <v>27757</v>
      </c>
      <c r="M355" t="n">
        <v>34396</v>
      </c>
      <c r="N355" t="n">
        <v>34986</v>
      </c>
      <c r="O355" t="n">
        <v>35785</v>
      </c>
      <c r="P355" t="n">
        <v>5973</v>
      </c>
      <c r="Q355" t="n">
        <v>5174</v>
      </c>
      <c r="R355" t="n">
        <v>40959</v>
      </c>
      <c r="S355" t="n">
        <v>7124</v>
      </c>
      <c r="T355" t="n">
        <v>1284</v>
      </c>
      <c r="U355" t="n">
        <v>105</v>
      </c>
      <c r="V355" t="n">
        <v>27757</v>
      </c>
      <c r="W355" t="n">
        <v>34396</v>
      </c>
      <c r="X355" t="n">
        <v>34986</v>
      </c>
      <c r="Y355" t="n">
        <v>35785</v>
      </c>
      <c r="Z355" t="n">
        <v>5973</v>
      </c>
      <c r="AA355" t="n">
        <v>5174</v>
      </c>
      <c r="AB355" t="n">
        <v>0</v>
      </c>
      <c r="AC355" t="n">
        <v>0</v>
      </c>
      <c r="AD355" t="n">
        <v>0</v>
      </c>
      <c r="AE355" t="n">
        <v>0</v>
      </c>
      <c r="AF355" t="n">
        <v>0</v>
      </c>
      <c r="AG355" t="n">
        <v>0</v>
      </c>
      <c r="AH355" t="n">
        <v>0</v>
      </c>
      <c r="AI355" t="n">
        <v>0</v>
      </c>
      <c r="AJ355" t="n">
        <v>0</v>
      </c>
      <c r="AK355" t="n">
        <v>0</v>
      </c>
      <c r="AL355" t="n">
        <v>-1218</v>
      </c>
      <c r="AM355" t="n">
        <v>-1152</v>
      </c>
      <c r="AN355" t="n">
        <v>-205</v>
      </c>
      <c r="AO355" t="n">
        <v>35</v>
      </c>
      <c r="AP355" t="n">
        <v>-2319</v>
      </c>
      <c r="AQ355" t="n">
        <v>-2754</v>
      </c>
      <c r="AR355" t="n">
        <v>-3436</v>
      </c>
      <c r="AS355" t="n">
        <v>-2924</v>
      </c>
      <c r="AT355" t="n">
        <v>2218</v>
      </c>
      <c r="AU355" t="n">
        <v>1706</v>
      </c>
      <c r="AV355" t="n">
        <v>100</v>
      </c>
      <c r="AW355" t="n">
        <v>17.4</v>
      </c>
      <c r="AX355" t="n">
        <v>3.1</v>
      </c>
      <c r="AY355" t="n">
        <v>0.3</v>
      </c>
      <c r="AZ355" t="n">
        <v>67.8</v>
      </c>
      <c r="BA355" t="n">
        <v>84</v>
      </c>
      <c r="BB355" t="n">
        <v>85.40000000000001</v>
      </c>
      <c r="BC355" t="n">
        <v>87.40000000000001</v>
      </c>
      <c r="BD355" t="n">
        <v>14.6</v>
      </c>
      <c r="BE355" t="n">
        <v>12.6</v>
      </c>
      <c r="BF355" t="n">
        <v>100</v>
      </c>
      <c r="BG355" t="n">
        <v>17.4</v>
      </c>
      <c r="BH355" t="n">
        <v>3.1</v>
      </c>
      <c r="BI355" t="n">
        <v>0.3</v>
      </c>
      <c r="BJ355" t="n">
        <v>67.8</v>
      </c>
      <c r="BK355" t="n">
        <v>84</v>
      </c>
      <c r="BL355" t="n">
        <v>85.40000000000001</v>
      </c>
      <c r="BM355" t="n">
        <v>87.40000000000001</v>
      </c>
      <c r="BN355" t="n">
        <v>14.6</v>
      </c>
      <c r="BO355" t="n">
        <v>12.6</v>
      </c>
      <c r="BP355" t="n">
        <v>0</v>
      </c>
      <c r="BQ355" t="n">
        <v>0</v>
      </c>
      <c r="BR355" t="n">
        <v>0</v>
      </c>
      <c r="BS355" t="n">
        <v>0</v>
      </c>
      <c r="BT355" t="n">
        <v>0</v>
      </c>
      <c r="BU355" t="n">
        <v>0</v>
      </c>
      <c r="BV355" t="n">
        <v>0</v>
      </c>
      <c r="BW355" t="n">
        <v>0</v>
      </c>
      <c r="BX355" t="n">
        <v>0</v>
      </c>
      <c r="BY355" t="n">
        <v>0</v>
      </c>
      <c r="BZ355" t="n">
        <v>30</v>
      </c>
      <c r="CA355" t="n">
        <v>4</v>
      </c>
      <c r="CB355" t="n">
        <v>2</v>
      </c>
      <c r="CC355" t="n">
        <v>2</v>
      </c>
      <c r="CD355" t="n">
        <v>23</v>
      </c>
      <c r="CE355" t="n">
        <v>13</v>
      </c>
      <c r="CF355" t="n">
        <v>28</v>
      </c>
      <c r="CG355" t="n">
        <v>16</v>
      </c>
      <c r="CH355" t="n">
        <v>30</v>
      </c>
      <c r="CI355" t="n">
        <v>4</v>
      </c>
      <c r="CJ355" t="n">
        <v>2</v>
      </c>
      <c r="CK355" t="n">
        <v>2</v>
      </c>
      <c r="CL355" t="n">
        <v>23</v>
      </c>
      <c r="CM355" t="n">
        <v>13</v>
      </c>
      <c r="CN355" t="n">
        <v>28</v>
      </c>
      <c r="CO355" t="n">
        <v>16</v>
      </c>
      <c r="CP355" t="n">
        <v>0</v>
      </c>
      <c r="CQ355" t="n">
        <v>0</v>
      </c>
      <c r="CR355" t="n">
        <v>0</v>
      </c>
      <c r="CS355" t="n">
        <v>0</v>
      </c>
      <c r="CT355" t="n">
        <v>0</v>
      </c>
      <c r="CU355" t="n">
        <v>0</v>
      </c>
      <c r="CV355" t="n">
        <v>0</v>
      </c>
      <c r="CW355" t="n">
        <v>0</v>
      </c>
      <c r="CX355" t="n">
        <v>45</v>
      </c>
      <c r="CY355" t="n">
        <v>70.8</v>
      </c>
      <c r="CZ355" t="n">
        <v>60.8</v>
      </c>
      <c r="DA355" t="n">
        <v>84.3</v>
      </c>
      <c r="DB355" t="n">
        <v>45</v>
      </c>
      <c r="DC355" t="n">
        <v>65.7</v>
      </c>
      <c r="DD355" t="n">
        <v>59.8</v>
      </c>
      <c r="DE355" t="n">
        <v>75.8</v>
      </c>
      <c r="DF355" t="n">
        <v>45</v>
      </c>
      <c r="DG355" t="n">
        <v>70.8</v>
      </c>
      <c r="DH355" t="n">
        <v>60.8</v>
      </c>
      <c r="DI355" t="n">
        <v>84.3</v>
      </c>
      <c r="DJ355" t="n">
        <v>45</v>
      </c>
      <c r="DK355" t="n">
        <v>65.7</v>
      </c>
      <c r="DL355" t="n">
        <v>59.8</v>
      </c>
      <c r="DM355" t="n">
        <v>75.8</v>
      </c>
      <c r="DN355" t="n">
        <v>0</v>
      </c>
      <c r="DO355" t="n">
        <v>0</v>
      </c>
      <c r="DP355" t="n">
        <v>0</v>
      </c>
      <c r="DQ355" t="n">
        <v>0</v>
      </c>
      <c r="DR355" t="n">
        <v>0</v>
      </c>
      <c r="DS355" t="n">
        <v>0</v>
      </c>
      <c r="DT355" t="n">
        <v>0</v>
      </c>
      <c r="DU355" t="n">
        <v>0</v>
      </c>
      <c r="DV355" t="inlineStr">
        <is>
          <t>Megawatt Hours (MWh)</t>
        </is>
      </c>
    </row>
    <row r="356">
      <c r="A356" t="inlineStr">
        <is>
          <t>PJM.PSEG_month_off_dap - NODAL EXCHANGE</t>
        </is>
      </c>
      <c r="B356" t="n">
        <v>230103</v>
      </c>
      <c r="C356" s="1" t="n">
        <v>44929</v>
      </c>
      <c r="D356" t="inlineStr">
        <is>
          <t>064EXF</t>
        </is>
      </c>
      <c r="E356" t="inlineStr">
        <is>
          <t>NODX</t>
        </is>
      </c>
      <c r="F356" t="inlineStr">
        <is>
          <t>01</t>
        </is>
      </c>
      <c r="G356" t="inlineStr">
        <is>
          <t xml:space="preserve">064 </t>
        </is>
      </c>
      <c r="H356" t="n">
        <v>42177</v>
      </c>
      <c r="I356" s="17" t="n">
        <v>8276</v>
      </c>
      <c r="J356" s="17" t="n">
        <v>1489</v>
      </c>
      <c r="K356" t="n">
        <v>70</v>
      </c>
      <c r="L356" t="n">
        <v>30076</v>
      </c>
      <c r="M356" t="n">
        <v>37150</v>
      </c>
      <c r="N356" t="n">
        <v>38422</v>
      </c>
      <c r="O356" t="n">
        <v>38709</v>
      </c>
      <c r="P356" t="n">
        <v>3755</v>
      </c>
      <c r="Q356" t="n">
        <v>3468</v>
      </c>
      <c r="R356" t="n">
        <v>42177</v>
      </c>
      <c r="S356" t="n">
        <v>8276</v>
      </c>
      <c r="T356" t="n">
        <v>1489</v>
      </c>
      <c r="U356" t="n">
        <v>70</v>
      </c>
      <c r="V356" t="n">
        <v>30076</v>
      </c>
      <c r="W356" t="n">
        <v>37150</v>
      </c>
      <c r="X356" t="n">
        <v>38422</v>
      </c>
      <c r="Y356" t="n">
        <v>38709</v>
      </c>
      <c r="Z356" t="n">
        <v>3755</v>
      </c>
      <c r="AA356" t="n">
        <v>3468</v>
      </c>
      <c r="AB356" t="n">
        <v>0</v>
      </c>
      <c r="AC356" t="n">
        <v>0</v>
      </c>
      <c r="AD356" t="n">
        <v>0</v>
      </c>
      <c r="AE356" t="n">
        <v>0</v>
      </c>
      <c r="AF356" t="n">
        <v>0</v>
      </c>
      <c r="AG356" t="n">
        <v>0</v>
      </c>
      <c r="AH356" t="n">
        <v>0</v>
      </c>
      <c r="AI356" t="n">
        <v>0</v>
      </c>
      <c r="AJ356" t="n">
        <v>0</v>
      </c>
      <c r="AK356" t="n">
        <v>0</v>
      </c>
      <c r="AL356" t="n">
        <v>0</v>
      </c>
      <c r="AM356" t="n">
        <v>0</v>
      </c>
      <c r="AN356" t="n">
        <v>0</v>
      </c>
      <c r="AO356" t="n">
        <v>0</v>
      </c>
      <c r="AP356" t="n">
        <v>0</v>
      </c>
      <c r="AQ356" t="n">
        <v>0</v>
      </c>
      <c r="AR356" t="n">
        <v>0</v>
      </c>
      <c r="AS356" t="n">
        <v>0</v>
      </c>
      <c r="AT356" t="n">
        <v>0</v>
      </c>
      <c r="AU356" t="n">
        <v>0</v>
      </c>
      <c r="AV356" t="n">
        <v>100</v>
      </c>
      <c r="AW356" t="n">
        <v>19.6</v>
      </c>
      <c r="AX356" t="n">
        <v>3.5</v>
      </c>
      <c r="AY356" t="n">
        <v>0.2</v>
      </c>
      <c r="AZ356" t="n">
        <v>71.3</v>
      </c>
      <c r="BA356" t="n">
        <v>88.09999999999999</v>
      </c>
      <c r="BB356" t="n">
        <v>91.09999999999999</v>
      </c>
      <c r="BC356" t="n">
        <v>91.8</v>
      </c>
      <c r="BD356" t="n">
        <v>8.9</v>
      </c>
      <c r="BE356" t="n">
        <v>8.199999999999999</v>
      </c>
      <c r="BF356" t="n">
        <v>100</v>
      </c>
      <c r="BG356" t="n">
        <v>19.6</v>
      </c>
      <c r="BH356" t="n">
        <v>3.5</v>
      </c>
      <c r="BI356" t="n">
        <v>0.2</v>
      </c>
      <c r="BJ356" t="n">
        <v>71.3</v>
      </c>
      <c r="BK356" t="n">
        <v>88.09999999999999</v>
      </c>
      <c r="BL356" t="n">
        <v>91.09999999999999</v>
      </c>
      <c r="BM356" t="n">
        <v>91.8</v>
      </c>
      <c r="BN356" t="n">
        <v>8.9</v>
      </c>
      <c r="BO356" t="n">
        <v>8.199999999999999</v>
      </c>
      <c r="BP356" t="n">
        <v>0</v>
      </c>
      <c r="BQ356" t="n">
        <v>0</v>
      </c>
      <c r="BR356" t="n">
        <v>0</v>
      </c>
      <c r="BS356" t="n">
        <v>0</v>
      </c>
      <c r="BT356" t="n">
        <v>0</v>
      </c>
      <c r="BU356" t="n">
        <v>0</v>
      </c>
      <c r="BV356" t="n">
        <v>0</v>
      </c>
      <c r="BW356" t="n">
        <v>0</v>
      </c>
      <c r="BX356" t="n">
        <v>0</v>
      </c>
      <c r="BY356" t="n">
        <v>0</v>
      </c>
      <c r="BZ356" t="n">
        <v>33</v>
      </c>
      <c r="CA356" t="n">
        <v>4</v>
      </c>
      <c r="CB356" t="n">
        <v>2</v>
      </c>
      <c r="CC356" t="n">
        <v>1</v>
      </c>
      <c r="CD356" t="n">
        <v>25</v>
      </c>
      <c r="CE356" t="n">
        <v>16</v>
      </c>
      <c r="CF356" t="n">
        <v>30</v>
      </c>
      <c r="CG356" t="n">
        <v>18</v>
      </c>
      <c r="CH356" t="n">
        <v>33</v>
      </c>
      <c r="CI356" t="n">
        <v>4</v>
      </c>
      <c r="CJ356" t="n">
        <v>2</v>
      </c>
      <c r="CK356" t="n">
        <v>1</v>
      </c>
      <c r="CL356" t="n">
        <v>25</v>
      </c>
      <c r="CM356" t="n">
        <v>16</v>
      </c>
      <c r="CN356" t="n">
        <v>30</v>
      </c>
      <c r="CO356" t="n">
        <v>18</v>
      </c>
      <c r="CP356" t="n">
        <v>0</v>
      </c>
      <c r="CQ356" t="n">
        <v>0</v>
      </c>
      <c r="CR356" t="n">
        <v>0</v>
      </c>
      <c r="CS356" t="n">
        <v>0</v>
      </c>
      <c r="CT356" t="n">
        <v>0</v>
      </c>
      <c r="CU356" t="n">
        <v>0</v>
      </c>
      <c r="CV356" t="n">
        <v>0</v>
      </c>
      <c r="CW356" t="n">
        <v>0</v>
      </c>
      <c r="CX356" t="n">
        <v>45.7</v>
      </c>
      <c r="CY356" t="n">
        <v>73.90000000000001</v>
      </c>
      <c r="CZ356" t="n">
        <v>65.09999999999999</v>
      </c>
      <c r="DA356" t="n">
        <v>88.40000000000001</v>
      </c>
      <c r="DB356" t="n">
        <v>45.7</v>
      </c>
      <c r="DC356" t="n">
        <v>69.7</v>
      </c>
      <c r="DD356" t="n">
        <v>61.9</v>
      </c>
      <c r="DE356" t="n">
        <v>77.8</v>
      </c>
      <c r="DF356" t="n">
        <v>45.7</v>
      </c>
      <c r="DG356" t="n">
        <v>73.90000000000001</v>
      </c>
      <c r="DH356" t="n">
        <v>65.09999999999999</v>
      </c>
      <c r="DI356" t="n">
        <v>88.40000000000001</v>
      </c>
      <c r="DJ356" t="n">
        <v>45.7</v>
      </c>
      <c r="DK356" t="n">
        <v>69.7</v>
      </c>
      <c r="DL356" t="n">
        <v>61.9</v>
      </c>
      <c r="DM356" t="n">
        <v>77.8</v>
      </c>
      <c r="DN356" t="n">
        <v>0</v>
      </c>
      <c r="DO356" t="n">
        <v>0</v>
      </c>
      <c r="DP356" t="n">
        <v>0</v>
      </c>
      <c r="DQ356" t="n">
        <v>0</v>
      </c>
      <c r="DR356" t="n">
        <v>0</v>
      </c>
      <c r="DS356" t="n">
        <v>0</v>
      </c>
      <c r="DT356" t="n">
        <v>0</v>
      </c>
      <c r="DU356" t="n">
        <v>0</v>
      </c>
      <c r="DV356" t="inlineStr">
        <is>
          <t>Megawatt Hours (MWh)</t>
        </is>
      </c>
    </row>
    <row r="357">
      <c r="A357" t="inlineStr">
        <is>
          <t>PJM.WESTERN HUB_month_on_dap - NODAL EXCHANGE</t>
        </is>
      </c>
      <c r="B357" t="n">
        <v>230110</v>
      </c>
      <c r="C357" s="1" t="n">
        <v>44936</v>
      </c>
      <c r="D357" t="inlineStr">
        <is>
          <t>064FHK</t>
        </is>
      </c>
      <c r="E357" t="inlineStr">
        <is>
          <t>NODX</t>
        </is>
      </c>
      <c r="F357" t="inlineStr">
        <is>
          <t>01</t>
        </is>
      </c>
      <c r="G357" t="inlineStr">
        <is>
          <t xml:space="preserve">064 </t>
        </is>
      </c>
      <c r="H357" t="n">
        <v>192332</v>
      </c>
      <c r="I357" s="17" t="n">
        <v>6112</v>
      </c>
      <c r="J357" s="17" t="n">
        <v>20863</v>
      </c>
      <c r="K357" t="n">
        <v>1225</v>
      </c>
      <c r="L357" t="n">
        <v>134436</v>
      </c>
      <c r="M357" t="n">
        <v>119680</v>
      </c>
      <c r="N357" t="n">
        <v>141773</v>
      </c>
      <c r="O357" t="n">
        <v>141768</v>
      </c>
      <c r="P357" t="n">
        <v>50559</v>
      </c>
      <c r="Q357" t="n">
        <v>50564</v>
      </c>
      <c r="R357" t="n">
        <v>192332</v>
      </c>
      <c r="S357" t="n">
        <v>6112</v>
      </c>
      <c r="T357" t="n">
        <v>20863</v>
      </c>
      <c r="U357" t="n">
        <v>1225</v>
      </c>
      <c r="V357" t="n">
        <v>134436</v>
      </c>
      <c r="W357" t="n">
        <v>119680</v>
      </c>
      <c r="X357" t="n">
        <v>141773</v>
      </c>
      <c r="Y357" t="n">
        <v>141768</v>
      </c>
      <c r="Z357" t="n">
        <v>50559</v>
      </c>
      <c r="AA357" t="n">
        <v>50564</v>
      </c>
      <c r="AB357" t="n">
        <v>0</v>
      </c>
      <c r="AC357" t="n">
        <v>0</v>
      </c>
      <c r="AD357" t="n">
        <v>0</v>
      </c>
      <c r="AE357" t="n">
        <v>0</v>
      </c>
      <c r="AF357" t="n">
        <v>0</v>
      </c>
      <c r="AG357" t="n">
        <v>0</v>
      </c>
      <c r="AH357" t="n">
        <v>0</v>
      </c>
      <c r="AI357" t="n">
        <v>0</v>
      </c>
      <c r="AJ357" t="n">
        <v>0</v>
      </c>
      <c r="AK357" t="n">
        <v>0</v>
      </c>
      <c r="AL357" t="n">
        <v>-8623</v>
      </c>
      <c r="AM357" t="n">
        <v>-435</v>
      </c>
      <c r="AN357" t="n">
        <v>-1053</v>
      </c>
      <c r="AO357" t="n">
        <v>425</v>
      </c>
      <c r="AP357" t="n">
        <v>-5145</v>
      </c>
      <c r="AQ357" t="n">
        <v>-4562</v>
      </c>
      <c r="AR357" t="n">
        <v>-5155</v>
      </c>
      <c r="AS357" t="n">
        <v>-5190</v>
      </c>
      <c r="AT357" t="n">
        <v>-3468</v>
      </c>
      <c r="AU357" t="n">
        <v>-3433</v>
      </c>
      <c r="AV357" t="n">
        <v>100</v>
      </c>
      <c r="AW357" t="n">
        <v>3.2</v>
      </c>
      <c r="AX357" t="n">
        <v>10.8</v>
      </c>
      <c r="AY357" t="n">
        <v>0.6</v>
      </c>
      <c r="AZ357" t="n">
        <v>69.90000000000001</v>
      </c>
      <c r="BA357" t="n">
        <v>62.2</v>
      </c>
      <c r="BB357" t="n">
        <v>73.7</v>
      </c>
      <c r="BC357" t="n">
        <v>73.7</v>
      </c>
      <c r="BD357" t="n">
        <v>26.3</v>
      </c>
      <c r="BE357" t="n">
        <v>26.3</v>
      </c>
      <c r="BF357" t="n">
        <v>100</v>
      </c>
      <c r="BG357" t="n">
        <v>3.2</v>
      </c>
      <c r="BH357" t="n">
        <v>10.8</v>
      </c>
      <c r="BI357" t="n">
        <v>0.6</v>
      </c>
      <c r="BJ357" t="n">
        <v>69.90000000000001</v>
      </c>
      <c r="BK357" t="n">
        <v>62.2</v>
      </c>
      <c r="BL357" t="n">
        <v>73.7</v>
      </c>
      <c r="BM357" t="n">
        <v>73.7</v>
      </c>
      <c r="BN357" t="n">
        <v>26.3</v>
      </c>
      <c r="BO357" t="n">
        <v>26.3</v>
      </c>
      <c r="BP357" t="n">
        <v>0</v>
      </c>
      <c r="BQ357" t="n">
        <v>0</v>
      </c>
      <c r="BR357" t="n">
        <v>0</v>
      </c>
      <c r="BS357" t="n">
        <v>0</v>
      </c>
      <c r="BT357" t="n">
        <v>0</v>
      </c>
      <c r="BU357" t="n">
        <v>0</v>
      </c>
      <c r="BV357" t="n">
        <v>0</v>
      </c>
      <c r="BW357" t="n">
        <v>0</v>
      </c>
      <c r="BX357" t="n">
        <v>0</v>
      </c>
      <c r="BY357" t="n">
        <v>0</v>
      </c>
      <c r="BZ357" t="n">
        <v>46</v>
      </c>
      <c r="CA357" t="n">
        <v>2</v>
      </c>
      <c r="CB357" t="n">
        <v>6</v>
      </c>
      <c r="CC357" t="n">
        <v>3</v>
      </c>
      <c r="CD357" t="n">
        <v>33</v>
      </c>
      <c r="CE357" t="n">
        <v>36</v>
      </c>
      <c r="CF357" t="n">
        <v>37</v>
      </c>
      <c r="CG357" t="n">
        <v>43</v>
      </c>
      <c r="CH357" t="n">
        <v>46</v>
      </c>
      <c r="CI357" t="n">
        <v>2</v>
      </c>
      <c r="CJ357" t="n">
        <v>6</v>
      </c>
      <c r="CK357" t="n">
        <v>3</v>
      </c>
      <c r="CL357" t="n">
        <v>33</v>
      </c>
      <c r="CM357" t="n">
        <v>36</v>
      </c>
      <c r="CN357" t="n">
        <v>37</v>
      </c>
      <c r="CO357" t="n">
        <v>43</v>
      </c>
      <c r="CP357" t="n">
        <v>0</v>
      </c>
      <c r="CQ357" t="n">
        <v>0</v>
      </c>
      <c r="CR357" t="n">
        <v>0</v>
      </c>
      <c r="CS357" t="n">
        <v>0</v>
      </c>
      <c r="CT357" t="n">
        <v>0</v>
      </c>
      <c r="CU357" t="n">
        <v>0</v>
      </c>
      <c r="CV357" t="n">
        <v>0</v>
      </c>
      <c r="CW357" t="n">
        <v>0</v>
      </c>
      <c r="CX357" t="n">
        <v>36.6</v>
      </c>
      <c r="CY357" t="n">
        <v>27.7</v>
      </c>
      <c r="CZ357" t="n">
        <v>52.8</v>
      </c>
      <c r="DA357" t="n">
        <v>45</v>
      </c>
      <c r="DB357" t="n">
        <v>26.7</v>
      </c>
      <c r="DC357" t="n">
        <v>25.9</v>
      </c>
      <c r="DD357" t="n">
        <v>37.1</v>
      </c>
      <c r="DE357" t="n">
        <v>35.7</v>
      </c>
      <c r="DF357" t="n">
        <v>36.6</v>
      </c>
      <c r="DG357" t="n">
        <v>27.7</v>
      </c>
      <c r="DH357" t="n">
        <v>52.8</v>
      </c>
      <c r="DI357" t="n">
        <v>45</v>
      </c>
      <c r="DJ357" t="n">
        <v>26.7</v>
      </c>
      <c r="DK357" t="n">
        <v>25.9</v>
      </c>
      <c r="DL357" t="n">
        <v>37.1</v>
      </c>
      <c r="DM357" t="n">
        <v>35.7</v>
      </c>
      <c r="DN357" t="n">
        <v>0</v>
      </c>
      <c r="DO357" t="n">
        <v>0</v>
      </c>
      <c r="DP357" t="n">
        <v>0</v>
      </c>
      <c r="DQ357" t="n">
        <v>0</v>
      </c>
      <c r="DR357" t="n">
        <v>0</v>
      </c>
      <c r="DS357" t="n">
        <v>0</v>
      </c>
      <c r="DT357" t="n">
        <v>0</v>
      </c>
      <c r="DU357" t="n">
        <v>0</v>
      </c>
      <c r="DV357" t="inlineStr">
        <is>
          <t>Megawatt Hours (MWh)</t>
        </is>
      </c>
    </row>
    <row r="358">
      <c r="A358" t="inlineStr">
        <is>
          <t>PJM.WESTERN HUB_month_on_dap - NODAL EXCHANGE</t>
        </is>
      </c>
      <c r="B358" t="n">
        <v>230103</v>
      </c>
      <c r="C358" s="1" t="n">
        <v>44929</v>
      </c>
      <c r="D358" t="inlineStr">
        <is>
          <t>064FHK</t>
        </is>
      </c>
      <c r="E358" t="inlineStr">
        <is>
          <t>NODX</t>
        </is>
      </c>
      <c r="F358" t="inlineStr">
        <is>
          <t>01</t>
        </is>
      </c>
      <c r="G358" t="inlineStr">
        <is>
          <t xml:space="preserve">064 </t>
        </is>
      </c>
      <c r="H358" t="n">
        <v>200955</v>
      </c>
      <c r="I358" s="17" t="n">
        <v>6547</v>
      </c>
      <c r="J358" s="17" t="n">
        <v>21916</v>
      </c>
      <c r="K358" t="n">
        <v>800</v>
      </c>
      <c r="L358" t="n">
        <v>139581</v>
      </c>
      <c r="M358" t="n">
        <v>124242</v>
      </c>
      <c r="N358" t="n">
        <v>146928</v>
      </c>
      <c r="O358" t="n">
        <v>146958</v>
      </c>
      <c r="P358" t="n">
        <v>54027</v>
      </c>
      <c r="Q358" t="n">
        <v>53997</v>
      </c>
      <c r="R358" t="n">
        <v>200955</v>
      </c>
      <c r="S358" t="n">
        <v>6547</v>
      </c>
      <c r="T358" t="n">
        <v>21916</v>
      </c>
      <c r="U358" t="n">
        <v>800</v>
      </c>
      <c r="V358" t="n">
        <v>139581</v>
      </c>
      <c r="W358" t="n">
        <v>124242</v>
      </c>
      <c r="X358" t="n">
        <v>146928</v>
      </c>
      <c r="Y358" t="n">
        <v>146958</v>
      </c>
      <c r="Z358" t="n">
        <v>54027</v>
      </c>
      <c r="AA358" t="n">
        <v>53997</v>
      </c>
      <c r="AB358" t="n">
        <v>0</v>
      </c>
      <c r="AC358" t="n">
        <v>0</v>
      </c>
      <c r="AD358" t="n">
        <v>0</v>
      </c>
      <c r="AE358" t="n">
        <v>0</v>
      </c>
      <c r="AF358" t="n">
        <v>0</v>
      </c>
      <c r="AG358" t="n">
        <v>0</v>
      </c>
      <c r="AH358" t="n">
        <v>0</v>
      </c>
      <c r="AI358" t="n">
        <v>0</v>
      </c>
      <c r="AJ358" t="n">
        <v>0</v>
      </c>
      <c r="AK358" t="n">
        <v>0</v>
      </c>
      <c r="AL358" t="n">
        <v>1909</v>
      </c>
      <c r="AM358" t="n">
        <v>25</v>
      </c>
      <c r="AN358" t="n">
        <v>-225</v>
      </c>
      <c r="AO358" t="n">
        <v>175</v>
      </c>
      <c r="AP358" t="n">
        <v>883</v>
      </c>
      <c r="AQ358" t="n">
        <v>1133</v>
      </c>
      <c r="AR358" t="n">
        <v>1083</v>
      </c>
      <c r="AS358" t="n">
        <v>1083</v>
      </c>
      <c r="AT358" t="n">
        <v>826</v>
      </c>
      <c r="AU358" t="n">
        <v>826</v>
      </c>
      <c r="AV358" t="n">
        <v>100</v>
      </c>
      <c r="AW358" t="n">
        <v>3.3</v>
      </c>
      <c r="AX358" t="n">
        <v>10.9</v>
      </c>
      <c r="AY358" t="n">
        <v>0.4</v>
      </c>
      <c r="AZ358" t="n">
        <v>69.5</v>
      </c>
      <c r="BA358" t="n">
        <v>61.8</v>
      </c>
      <c r="BB358" t="n">
        <v>73.09999999999999</v>
      </c>
      <c r="BC358" t="n">
        <v>73.09999999999999</v>
      </c>
      <c r="BD358" t="n">
        <v>26.9</v>
      </c>
      <c r="BE358" t="n">
        <v>26.9</v>
      </c>
      <c r="BF358" t="n">
        <v>100</v>
      </c>
      <c r="BG358" t="n">
        <v>3.3</v>
      </c>
      <c r="BH358" t="n">
        <v>10.9</v>
      </c>
      <c r="BI358" t="n">
        <v>0.4</v>
      </c>
      <c r="BJ358" t="n">
        <v>69.5</v>
      </c>
      <c r="BK358" t="n">
        <v>61.8</v>
      </c>
      <c r="BL358" t="n">
        <v>73.09999999999999</v>
      </c>
      <c r="BM358" t="n">
        <v>73.09999999999999</v>
      </c>
      <c r="BN358" t="n">
        <v>26.9</v>
      </c>
      <c r="BO358" t="n">
        <v>26.9</v>
      </c>
      <c r="BP358" t="n">
        <v>0</v>
      </c>
      <c r="BQ358" t="n">
        <v>0</v>
      </c>
      <c r="BR358" t="n">
        <v>0</v>
      </c>
      <c r="BS358" t="n">
        <v>0</v>
      </c>
      <c r="BT358" t="n">
        <v>0</v>
      </c>
      <c r="BU358" t="n">
        <v>0</v>
      </c>
      <c r="BV358" t="n">
        <v>0</v>
      </c>
      <c r="BW358" t="n">
        <v>0</v>
      </c>
      <c r="BX358" t="n">
        <v>0</v>
      </c>
      <c r="BY358" t="n">
        <v>0</v>
      </c>
      <c r="BZ358" t="n">
        <v>48</v>
      </c>
      <c r="CA358" t="n">
        <v>3</v>
      </c>
      <c r="CB358" t="n">
        <v>6</v>
      </c>
      <c r="CC358" t="n">
        <v>2</v>
      </c>
      <c r="CD358" t="n">
        <v>34</v>
      </c>
      <c r="CE358" t="n">
        <v>36</v>
      </c>
      <c r="CF358" t="n">
        <v>38</v>
      </c>
      <c r="CG358" t="n">
        <v>43</v>
      </c>
      <c r="CH358" t="n">
        <v>48</v>
      </c>
      <c r="CI358" t="n">
        <v>3</v>
      </c>
      <c r="CJ358" t="n">
        <v>6</v>
      </c>
      <c r="CK358" t="n">
        <v>2</v>
      </c>
      <c r="CL358" t="n">
        <v>34</v>
      </c>
      <c r="CM358" t="n">
        <v>36</v>
      </c>
      <c r="CN358" t="n">
        <v>38</v>
      </c>
      <c r="CO358" t="n">
        <v>43</v>
      </c>
      <c r="CP358" t="n">
        <v>0</v>
      </c>
      <c r="CQ358" t="n">
        <v>0</v>
      </c>
      <c r="CR358" t="n">
        <v>0</v>
      </c>
      <c r="CS358" t="n">
        <v>0</v>
      </c>
      <c r="CT358" t="n">
        <v>0</v>
      </c>
      <c r="CU358" t="n">
        <v>0</v>
      </c>
      <c r="CV358" t="n">
        <v>0</v>
      </c>
      <c r="CW358" t="n">
        <v>0</v>
      </c>
      <c r="CX358" t="n">
        <v>35</v>
      </c>
      <c r="CY358" t="n">
        <v>27.9</v>
      </c>
      <c r="CZ358" t="n">
        <v>51.9</v>
      </c>
      <c r="DA358" t="n">
        <v>44.5</v>
      </c>
      <c r="DB358" t="n">
        <v>25.6</v>
      </c>
      <c r="DC358" t="n">
        <v>25.9</v>
      </c>
      <c r="DD358" t="n">
        <v>36.7</v>
      </c>
      <c r="DE358" t="n">
        <v>35.4</v>
      </c>
      <c r="DF358" t="n">
        <v>35</v>
      </c>
      <c r="DG358" t="n">
        <v>27.9</v>
      </c>
      <c r="DH358" t="n">
        <v>51.9</v>
      </c>
      <c r="DI358" t="n">
        <v>44.5</v>
      </c>
      <c r="DJ358" t="n">
        <v>25.6</v>
      </c>
      <c r="DK358" t="n">
        <v>25.9</v>
      </c>
      <c r="DL358" t="n">
        <v>36.7</v>
      </c>
      <c r="DM358" t="n">
        <v>35.4</v>
      </c>
      <c r="DN358" t="n">
        <v>0</v>
      </c>
      <c r="DO358" t="n">
        <v>0</v>
      </c>
      <c r="DP358" t="n">
        <v>0</v>
      </c>
      <c r="DQ358" t="n">
        <v>0</v>
      </c>
      <c r="DR358" t="n">
        <v>0</v>
      </c>
      <c r="DS358" t="n">
        <v>0</v>
      </c>
      <c r="DT358" t="n">
        <v>0</v>
      </c>
      <c r="DU358" t="n">
        <v>0</v>
      </c>
      <c r="DV358" t="inlineStr">
        <is>
          <t>Megawatt Hours (MWh)</t>
        </is>
      </c>
    </row>
    <row r="359">
      <c r="A359" t="inlineStr">
        <is>
          <t>PJM.WESTERN HUB_month_off_dap - NODAL EXCHANGE</t>
        </is>
      </c>
      <c r="B359" t="n">
        <v>230110</v>
      </c>
      <c r="C359" s="1" t="n">
        <v>44936</v>
      </c>
      <c r="D359" t="inlineStr">
        <is>
          <t>064FHL</t>
        </is>
      </c>
      <c r="E359" t="inlineStr">
        <is>
          <t>NODX</t>
        </is>
      </c>
      <c r="F359" t="inlineStr">
        <is>
          <t>01</t>
        </is>
      </c>
      <c r="G359" t="inlineStr">
        <is>
          <t xml:space="preserve">064 </t>
        </is>
      </c>
      <c r="H359" t="n">
        <v>177027</v>
      </c>
      <c r="I359" s="17" t="n">
        <v>5393</v>
      </c>
      <c r="J359" s="17" t="n">
        <v>17852</v>
      </c>
      <c r="K359" t="n">
        <v>610</v>
      </c>
      <c r="L359" t="n">
        <v>127453</v>
      </c>
      <c r="M359" t="n">
        <v>114949</v>
      </c>
      <c r="N359" t="n">
        <v>133456</v>
      </c>
      <c r="O359" t="n">
        <v>133411</v>
      </c>
      <c r="P359" t="n">
        <v>43571</v>
      </c>
      <c r="Q359" t="n">
        <v>43616</v>
      </c>
      <c r="R359" t="n">
        <v>177027</v>
      </c>
      <c r="S359" t="n">
        <v>5393</v>
      </c>
      <c r="T359" t="n">
        <v>17852</v>
      </c>
      <c r="U359" t="n">
        <v>610</v>
      </c>
      <c r="V359" t="n">
        <v>127453</v>
      </c>
      <c r="W359" t="n">
        <v>114949</v>
      </c>
      <c r="X359" t="n">
        <v>133456</v>
      </c>
      <c r="Y359" t="n">
        <v>133411</v>
      </c>
      <c r="Z359" t="n">
        <v>43571</v>
      </c>
      <c r="AA359" t="n">
        <v>43616</v>
      </c>
      <c r="AB359" t="n">
        <v>0</v>
      </c>
      <c r="AC359" t="n">
        <v>0</v>
      </c>
      <c r="AD359" t="n">
        <v>0</v>
      </c>
      <c r="AE359" t="n">
        <v>0</v>
      </c>
      <c r="AF359" t="n">
        <v>0</v>
      </c>
      <c r="AG359" t="n">
        <v>0</v>
      </c>
      <c r="AH359" t="n">
        <v>0</v>
      </c>
      <c r="AI359" t="n">
        <v>0</v>
      </c>
      <c r="AJ359" t="n">
        <v>0</v>
      </c>
      <c r="AK359" t="n">
        <v>0</v>
      </c>
      <c r="AL359" t="n">
        <v>-8119</v>
      </c>
      <c r="AM359" t="n">
        <v>-1150</v>
      </c>
      <c r="AN359" t="n">
        <v>-1527</v>
      </c>
      <c r="AO359" t="n">
        <v>415</v>
      </c>
      <c r="AP359" t="n">
        <v>-4162</v>
      </c>
      <c r="AQ359" t="n">
        <v>-3800</v>
      </c>
      <c r="AR359" t="n">
        <v>-4897</v>
      </c>
      <c r="AS359" t="n">
        <v>-4912</v>
      </c>
      <c r="AT359" t="n">
        <v>-3222</v>
      </c>
      <c r="AU359" t="n">
        <v>-3207</v>
      </c>
      <c r="AV359" t="n">
        <v>100</v>
      </c>
      <c r="AW359" t="n">
        <v>3</v>
      </c>
      <c r="AX359" t="n">
        <v>10.1</v>
      </c>
      <c r="AY359" t="n">
        <v>0.3</v>
      </c>
      <c r="AZ359" t="n">
        <v>72</v>
      </c>
      <c r="BA359" t="n">
        <v>64.90000000000001</v>
      </c>
      <c r="BB359" t="n">
        <v>75.40000000000001</v>
      </c>
      <c r="BC359" t="n">
        <v>75.40000000000001</v>
      </c>
      <c r="BD359" t="n">
        <v>24.6</v>
      </c>
      <c r="BE359" t="n">
        <v>24.6</v>
      </c>
      <c r="BF359" t="n">
        <v>100</v>
      </c>
      <c r="BG359" t="n">
        <v>3</v>
      </c>
      <c r="BH359" t="n">
        <v>10.1</v>
      </c>
      <c r="BI359" t="n">
        <v>0.3</v>
      </c>
      <c r="BJ359" t="n">
        <v>72</v>
      </c>
      <c r="BK359" t="n">
        <v>64.90000000000001</v>
      </c>
      <c r="BL359" t="n">
        <v>75.40000000000001</v>
      </c>
      <c r="BM359" t="n">
        <v>75.40000000000001</v>
      </c>
      <c r="BN359" t="n">
        <v>24.6</v>
      </c>
      <c r="BO359" t="n">
        <v>24.6</v>
      </c>
      <c r="BP359" t="n">
        <v>0</v>
      </c>
      <c r="BQ359" t="n">
        <v>0</v>
      </c>
      <c r="BR359" t="n">
        <v>0</v>
      </c>
      <c r="BS359" t="n">
        <v>0</v>
      </c>
      <c r="BT359" t="n">
        <v>0</v>
      </c>
      <c r="BU359" t="n">
        <v>0</v>
      </c>
      <c r="BV359" t="n">
        <v>0</v>
      </c>
      <c r="BW359" t="n">
        <v>0</v>
      </c>
      <c r="BX359" t="n">
        <v>0</v>
      </c>
      <c r="BY359" t="n">
        <v>0</v>
      </c>
      <c r="BZ359" t="n">
        <v>44</v>
      </c>
      <c r="CA359" t="n">
        <v>2</v>
      </c>
      <c r="CB359" t="n">
        <v>6</v>
      </c>
      <c r="CC359" t="n">
        <v>2</v>
      </c>
      <c r="CD359" t="n">
        <v>32</v>
      </c>
      <c r="CE359" t="n">
        <v>33</v>
      </c>
      <c r="CF359" t="n">
        <v>35</v>
      </c>
      <c r="CG359" t="n">
        <v>40</v>
      </c>
      <c r="CH359" t="n">
        <v>44</v>
      </c>
      <c r="CI359" t="n">
        <v>2</v>
      </c>
      <c r="CJ359" t="n">
        <v>6</v>
      </c>
      <c r="CK359" t="n">
        <v>2</v>
      </c>
      <c r="CL359" t="n">
        <v>32</v>
      </c>
      <c r="CM359" t="n">
        <v>33</v>
      </c>
      <c r="CN359" t="n">
        <v>35</v>
      </c>
      <c r="CO359" t="n">
        <v>40</v>
      </c>
      <c r="CP359" t="n">
        <v>0</v>
      </c>
      <c r="CQ359" t="n">
        <v>0</v>
      </c>
      <c r="CR359" t="n">
        <v>0</v>
      </c>
      <c r="CS359" t="n">
        <v>0</v>
      </c>
      <c r="CT359" t="n">
        <v>0</v>
      </c>
      <c r="CU359" t="n">
        <v>0</v>
      </c>
      <c r="CV359" t="n">
        <v>0</v>
      </c>
      <c r="CW359" t="n">
        <v>0</v>
      </c>
      <c r="CX359" t="n">
        <v>37.2</v>
      </c>
      <c r="CY359" t="n">
        <v>28.7</v>
      </c>
      <c r="CZ359" t="n">
        <v>55.2</v>
      </c>
      <c r="DA359" t="n">
        <v>46.7</v>
      </c>
      <c r="DB359" t="n">
        <v>28.1</v>
      </c>
      <c r="DC359" t="n">
        <v>26.9</v>
      </c>
      <c r="DD359" t="n">
        <v>40</v>
      </c>
      <c r="DE359" t="n">
        <v>35.2</v>
      </c>
      <c r="DF359" t="n">
        <v>37.2</v>
      </c>
      <c r="DG359" t="n">
        <v>28.7</v>
      </c>
      <c r="DH359" t="n">
        <v>55.2</v>
      </c>
      <c r="DI359" t="n">
        <v>46.7</v>
      </c>
      <c r="DJ359" t="n">
        <v>28.1</v>
      </c>
      <c r="DK359" t="n">
        <v>26.9</v>
      </c>
      <c r="DL359" t="n">
        <v>40</v>
      </c>
      <c r="DM359" t="n">
        <v>35.2</v>
      </c>
      <c r="DN359" t="n">
        <v>0</v>
      </c>
      <c r="DO359" t="n">
        <v>0</v>
      </c>
      <c r="DP359" t="n">
        <v>0</v>
      </c>
      <c r="DQ359" t="n">
        <v>0</v>
      </c>
      <c r="DR359" t="n">
        <v>0</v>
      </c>
      <c r="DS359" t="n">
        <v>0</v>
      </c>
      <c r="DT359" t="n">
        <v>0</v>
      </c>
      <c r="DU359" t="n">
        <v>0</v>
      </c>
      <c r="DV359" t="inlineStr">
        <is>
          <t>Megawatt Hours (MWh)</t>
        </is>
      </c>
    </row>
    <row r="360">
      <c r="A360" t="inlineStr">
        <is>
          <t>PJM.WESTERN HUB_month_off_dap - NODAL EXCHANGE</t>
        </is>
      </c>
      <c r="B360" t="n">
        <v>230103</v>
      </c>
      <c r="C360" s="1" t="n">
        <v>44929</v>
      </c>
      <c r="D360" t="inlineStr">
        <is>
          <t>064FHL</t>
        </is>
      </c>
      <c r="E360" t="inlineStr">
        <is>
          <t>NODX</t>
        </is>
      </c>
      <c r="F360" t="inlineStr">
        <is>
          <t>01</t>
        </is>
      </c>
      <c r="G360" t="inlineStr">
        <is>
          <t xml:space="preserve">064 </t>
        </is>
      </c>
      <c r="H360" t="n">
        <v>185146</v>
      </c>
      <c r="I360" s="17" t="n">
        <v>6543</v>
      </c>
      <c r="J360" s="17" t="n">
        <v>19379</v>
      </c>
      <c r="K360" t="n">
        <v>195</v>
      </c>
      <c r="L360" t="n">
        <v>131615</v>
      </c>
      <c r="M360" t="n">
        <v>118749</v>
      </c>
      <c r="N360" t="n">
        <v>138353</v>
      </c>
      <c r="O360" t="n">
        <v>138323</v>
      </c>
      <c r="P360" t="n">
        <v>46793</v>
      </c>
      <c r="Q360" t="n">
        <v>46823</v>
      </c>
      <c r="R360" t="n">
        <v>185146</v>
      </c>
      <c r="S360" t="n">
        <v>6543</v>
      </c>
      <c r="T360" t="n">
        <v>19379</v>
      </c>
      <c r="U360" t="n">
        <v>195</v>
      </c>
      <c r="V360" t="n">
        <v>131615</v>
      </c>
      <c r="W360" t="n">
        <v>118749</v>
      </c>
      <c r="X360" t="n">
        <v>138353</v>
      </c>
      <c r="Y360" t="n">
        <v>138323</v>
      </c>
      <c r="Z360" t="n">
        <v>46793</v>
      </c>
      <c r="AA360" t="n">
        <v>46823</v>
      </c>
      <c r="AB360" t="n">
        <v>0</v>
      </c>
      <c r="AC360" t="n">
        <v>0</v>
      </c>
      <c r="AD360" t="n">
        <v>0</v>
      </c>
      <c r="AE360" t="n">
        <v>0</v>
      </c>
      <c r="AF360" t="n">
        <v>0</v>
      </c>
      <c r="AG360" t="n">
        <v>0</v>
      </c>
      <c r="AH360" t="n">
        <v>0</v>
      </c>
      <c r="AI360" t="n">
        <v>0</v>
      </c>
      <c r="AJ360" t="n">
        <v>0</v>
      </c>
      <c r="AK360" t="n">
        <v>0</v>
      </c>
      <c r="AL360" t="n">
        <v>1512</v>
      </c>
      <c r="AM360" t="n">
        <v>25</v>
      </c>
      <c r="AN360" t="n">
        <v>-300</v>
      </c>
      <c r="AO360" t="n">
        <v>20</v>
      </c>
      <c r="AP360" t="n">
        <v>627</v>
      </c>
      <c r="AQ360" t="n">
        <v>952</v>
      </c>
      <c r="AR360" t="n">
        <v>672</v>
      </c>
      <c r="AS360" t="n">
        <v>672</v>
      </c>
      <c r="AT360" t="n">
        <v>840</v>
      </c>
      <c r="AU360" t="n">
        <v>840</v>
      </c>
      <c r="AV360" t="n">
        <v>100</v>
      </c>
      <c r="AW360" t="n">
        <v>3.5</v>
      </c>
      <c r="AX360" t="n">
        <v>10.5</v>
      </c>
      <c r="AY360" t="n">
        <v>0.1</v>
      </c>
      <c r="AZ360" t="n">
        <v>71.09999999999999</v>
      </c>
      <c r="BA360" t="n">
        <v>64.09999999999999</v>
      </c>
      <c r="BB360" t="n">
        <v>74.7</v>
      </c>
      <c r="BC360" t="n">
        <v>74.7</v>
      </c>
      <c r="BD360" t="n">
        <v>25.3</v>
      </c>
      <c r="BE360" t="n">
        <v>25.3</v>
      </c>
      <c r="BF360" t="n">
        <v>100</v>
      </c>
      <c r="BG360" t="n">
        <v>3.5</v>
      </c>
      <c r="BH360" t="n">
        <v>10.5</v>
      </c>
      <c r="BI360" t="n">
        <v>0.1</v>
      </c>
      <c r="BJ360" t="n">
        <v>71.09999999999999</v>
      </c>
      <c r="BK360" t="n">
        <v>64.09999999999999</v>
      </c>
      <c r="BL360" t="n">
        <v>74.7</v>
      </c>
      <c r="BM360" t="n">
        <v>74.7</v>
      </c>
      <c r="BN360" t="n">
        <v>25.3</v>
      </c>
      <c r="BO360" t="n">
        <v>25.3</v>
      </c>
      <c r="BP360" t="n">
        <v>0</v>
      </c>
      <c r="BQ360" t="n">
        <v>0</v>
      </c>
      <c r="BR360" t="n">
        <v>0</v>
      </c>
      <c r="BS360" t="n">
        <v>0</v>
      </c>
      <c r="BT360" t="n">
        <v>0</v>
      </c>
      <c r="BU360" t="n">
        <v>0</v>
      </c>
      <c r="BV360" t="n">
        <v>0</v>
      </c>
      <c r="BW360" t="n">
        <v>0</v>
      </c>
      <c r="BX360" t="n">
        <v>0</v>
      </c>
      <c r="BY360" t="n">
        <v>0</v>
      </c>
      <c r="BZ360" t="n">
        <v>46</v>
      </c>
      <c r="CA360" t="n">
        <v>3</v>
      </c>
      <c r="CB360" t="n">
        <v>6</v>
      </c>
      <c r="CC360" t="n">
        <v>2</v>
      </c>
      <c r="CD360" t="n">
        <v>33</v>
      </c>
      <c r="CE360" t="n">
        <v>34</v>
      </c>
      <c r="CF360" t="n">
        <v>36</v>
      </c>
      <c r="CG360" t="n">
        <v>42</v>
      </c>
      <c r="CH360" t="n">
        <v>46</v>
      </c>
      <c r="CI360" t="n">
        <v>3</v>
      </c>
      <c r="CJ360" t="n">
        <v>6</v>
      </c>
      <c r="CK360" t="n">
        <v>2</v>
      </c>
      <c r="CL360" t="n">
        <v>33</v>
      </c>
      <c r="CM360" t="n">
        <v>34</v>
      </c>
      <c r="CN360" t="n">
        <v>36</v>
      </c>
      <c r="CO360" t="n">
        <v>42</v>
      </c>
      <c r="CP360" t="n">
        <v>0</v>
      </c>
      <c r="CQ360" t="n">
        <v>0</v>
      </c>
      <c r="CR360" t="n">
        <v>0</v>
      </c>
      <c r="CS360" t="n">
        <v>0</v>
      </c>
      <c r="CT360" t="n">
        <v>0</v>
      </c>
      <c r="CU360" t="n">
        <v>0</v>
      </c>
      <c r="CV360" t="n">
        <v>0</v>
      </c>
      <c r="CW360" t="n">
        <v>0</v>
      </c>
      <c r="CX360" t="n">
        <v>34.9</v>
      </c>
      <c r="CY360" t="n">
        <v>29</v>
      </c>
      <c r="CZ360" t="n">
        <v>53.6</v>
      </c>
      <c r="DA360" t="n">
        <v>46.8</v>
      </c>
      <c r="DB360" t="n">
        <v>28.3</v>
      </c>
      <c r="DC360" t="n">
        <v>26.6</v>
      </c>
      <c r="DD360" t="n">
        <v>38.6</v>
      </c>
      <c r="DE360" t="n">
        <v>34.9</v>
      </c>
      <c r="DF360" t="n">
        <v>34.9</v>
      </c>
      <c r="DG360" t="n">
        <v>29</v>
      </c>
      <c r="DH360" t="n">
        <v>53.6</v>
      </c>
      <c r="DI360" t="n">
        <v>46.8</v>
      </c>
      <c r="DJ360" t="n">
        <v>28.3</v>
      </c>
      <c r="DK360" t="n">
        <v>26.6</v>
      </c>
      <c r="DL360" t="n">
        <v>38.6</v>
      </c>
      <c r="DM360" t="n">
        <v>34.9</v>
      </c>
      <c r="DN360" t="n">
        <v>0</v>
      </c>
      <c r="DO360" t="n">
        <v>0</v>
      </c>
      <c r="DP360" t="n">
        <v>0</v>
      </c>
      <c r="DQ360" t="n">
        <v>0</v>
      </c>
      <c r="DR360" t="n">
        <v>0</v>
      </c>
      <c r="DS360" t="n">
        <v>0</v>
      </c>
      <c r="DT360" t="n">
        <v>0</v>
      </c>
      <c r="DU360" t="n">
        <v>0</v>
      </c>
      <c r="DV360" t="inlineStr">
        <is>
          <t>Megawatt Hours (MWh)</t>
        </is>
      </c>
    </row>
    <row r="361">
      <c r="A361" t="inlineStr">
        <is>
          <t>PJM.AEP-DAYTON HUB_mo_on_rtp - NODAL EXCHANGE</t>
        </is>
      </c>
      <c r="B361" t="n">
        <v>230110</v>
      </c>
      <c r="C361" s="1" t="n">
        <v>44936</v>
      </c>
      <c r="D361" t="inlineStr">
        <is>
          <t>064FKA</t>
        </is>
      </c>
      <c r="E361" t="inlineStr">
        <is>
          <t>NODX</t>
        </is>
      </c>
      <c r="F361" t="inlineStr">
        <is>
          <t>01</t>
        </is>
      </c>
      <c r="G361" t="inlineStr">
        <is>
          <t xml:space="preserve">064 </t>
        </is>
      </c>
      <c r="H361" t="n">
        <v>48517</v>
      </c>
      <c r="I361" s="17" t="n">
        <v>5</v>
      </c>
      <c r="J361" s="17" t="n">
        <v>450</v>
      </c>
      <c r="K361" t="n">
        <v>105</v>
      </c>
      <c r="L361" t="n">
        <v>42352</v>
      </c>
      <c r="M361" t="n">
        <v>41512</v>
      </c>
      <c r="N361" t="n">
        <v>42462</v>
      </c>
      <c r="O361" t="n">
        <v>42067</v>
      </c>
      <c r="P361" t="n">
        <v>6055</v>
      </c>
      <c r="Q361" t="n">
        <v>6450</v>
      </c>
      <c r="R361" t="n">
        <v>48517</v>
      </c>
      <c r="S361" t="n">
        <v>5</v>
      </c>
      <c r="T361" t="n">
        <v>450</v>
      </c>
      <c r="U361" t="n">
        <v>105</v>
      </c>
      <c r="V361" t="n">
        <v>42352</v>
      </c>
      <c r="W361" t="n">
        <v>41512</v>
      </c>
      <c r="X361" t="n">
        <v>42462</v>
      </c>
      <c r="Y361" t="n">
        <v>42067</v>
      </c>
      <c r="Z361" t="n">
        <v>6055</v>
      </c>
      <c r="AA361" t="n">
        <v>6450</v>
      </c>
      <c r="AB361" t="n">
        <v>0</v>
      </c>
      <c r="AC361" t="n">
        <v>0</v>
      </c>
      <c r="AD361" t="n">
        <v>0</v>
      </c>
      <c r="AE361" t="n">
        <v>0</v>
      </c>
      <c r="AF361" t="n">
        <v>0</v>
      </c>
      <c r="AG361" t="n">
        <v>0</v>
      </c>
      <c r="AH361" t="n">
        <v>0</v>
      </c>
      <c r="AI361" t="n">
        <v>0</v>
      </c>
      <c r="AJ361" t="n">
        <v>0</v>
      </c>
      <c r="AK361" t="n">
        <v>0</v>
      </c>
      <c r="AL361" t="n">
        <v>-1726</v>
      </c>
      <c r="AM361" t="n">
        <v>5</v>
      </c>
      <c r="AN361" t="n">
        <v>-530</v>
      </c>
      <c r="AO361" t="n">
        <v>-5</v>
      </c>
      <c r="AP361" t="n">
        <v>-1186</v>
      </c>
      <c r="AQ361" t="n">
        <v>-706</v>
      </c>
      <c r="AR361" t="n">
        <v>-1186</v>
      </c>
      <c r="AS361" t="n">
        <v>-1241</v>
      </c>
      <c r="AT361" t="n">
        <v>-540</v>
      </c>
      <c r="AU361" t="n">
        <v>-485</v>
      </c>
      <c r="AV361" t="n">
        <v>100</v>
      </c>
      <c r="AW361" t="n">
        <v>0</v>
      </c>
      <c r="AX361" t="n">
        <v>0.9</v>
      </c>
      <c r="AY361" t="n">
        <v>0.2</v>
      </c>
      <c r="AZ361" t="n">
        <v>87.3</v>
      </c>
      <c r="BA361" t="n">
        <v>85.59999999999999</v>
      </c>
      <c r="BB361" t="n">
        <v>87.5</v>
      </c>
      <c r="BC361" t="n">
        <v>86.7</v>
      </c>
      <c r="BD361" t="n">
        <v>12.5</v>
      </c>
      <c r="BE361" t="n">
        <v>13.3</v>
      </c>
      <c r="BF361" t="n">
        <v>100</v>
      </c>
      <c r="BG361" t="n">
        <v>0</v>
      </c>
      <c r="BH361" t="n">
        <v>0.9</v>
      </c>
      <c r="BI361" t="n">
        <v>0.2</v>
      </c>
      <c r="BJ361" t="n">
        <v>87.3</v>
      </c>
      <c r="BK361" t="n">
        <v>85.59999999999999</v>
      </c>
      <c r="BL361" t="n">
        <v>87.5</v>
      </c>
      <c r="BM361" t="n">
        <v>86.7</v>
      </c>
      <c r="BN361" t="n">
        <v>12.5</v>
      </c>
      <c r="BO361" t="n">
        <v>13.3</v>
      </c>
      <c r="BP361" t="n">
        <v>0</v>
      </c>
      <c r="BQ361" t="n">
        <v>0</v>
      </c>
      <c r="BR361" t="n">
        <v>0</v>
      </c>
      <c r="BS361" t="n">
        <v>0</v>
      </c>
      <c r="BT361" t="n">
        <v>0</v>
      </c>
      <c r="BU361" t="n">
        <v>0</v>
      </c>
      <c r="BV361" t="n">
        <v>0</v>
      </c>
      <c r="BW361" t="n">
        <v>0</v>
      </c>
      <c r="BX361" t="n">
        <v>0</v>
      </c>
      <c r="BY361" t="n">
        <v>0</v>
      </c>
      <c r="BZ361" t="n">
        <v>31</v>
      </c>
      <c r="CA361" t="n">
        <v>1</v>
      </c>
      <c r="CB361" t="n">
        <v>1</v>
      </c>
      <c r="CC361" t="n">
        <v>2</v>
      </c>
      <c r="CD361" t="n">
        <v>25</v>
      </c>
      <c r="CE361" t="n">
        <v>25</v>
      </c>
      <c r="CF361" t="n">
        <v>27</v>
      </c>
      <c r="CG361" t="n">
        <v>28</v>
      </c>
      <c r="CH361" t="n">
        <v>31</v>
      </c>
      <c r="CI361" t="n">
        <v>1</v>
      </c>
      <c r="CJ361" t="n">
        <v>1</v>
      </c>
      <c r="CK361" t="n">
        <v>2</v>
      </c>
      <c r="CL361" t="n">
        <v>25</v>
      </c>
      <c r="CM361" t="n">
        <v>25</v>
      </c>
      <c r="CN361" t="n">
        <v>27</v>
      </c>
      <c r="CO361" t="n">
        <v>28</v>
      </c>
      <c r="CP361" t="n">
        <v>0</v>
      </c>
      <c r="CQ361" t="n">
        <v>0</v>
      </c>
      <c r="CR361" t="n">
        <v>0</v>
      </c>
      <c r="CS361" t="n">
        <v>0</v>
      </c>
      <c r="CT361" t="n">
        <v>0</v>
      </c>
      <c r="CU361" t="n">
        <v>0</v>
      </c>
      <c r="CV361" t="n">
        <v>0</v>
      </c>
      <c r="CW361" t="n">
        <v>0</v>
      </c>
      <c r="CX361" t="n">
        <v>54.1</v>
      </c>
      <c r="CY361" t="n">
        <v>36.6</v>
      </c>
      <c r="CZ361" t="n">
        <v>73.09999999999999</v>
      </c>
      <c r="DA361" t="n">
        <v>58</v>
      </c>
      <c r="DB361" t="n">
        <v>46.5</v>
      </c>
      <c r="DC361" t="n">
        <v>32.2</v>
      </c>
      <c r="DD361" t="n">
        <v>55</v>
      </c>
      <c r="DE361" t="n">
        <v>47.6</v>
      </c>
      <c r="DF361" t="n">
        <v>54.1</v>
      </c>
      <c r="DG361" t="n">
        <v>36.6</v>
      </c>
      <c r="DH361" t="n">
        <v>73.09999999999999</v>
      </c>
      <c r="DI361" t="n">
        <v>58</v>
      </c>
      <c r="DJ361" t="n">
        <v>46.5</v>
      </c>
      <c r="DK361" t="n">
        <v>32.2</v>
      </c>
      <c r="DL361" t="n">
        <v>55</v>
      </c>
      <c r="DM361" t="n">
        <v>47.6</v>
      </c>
      <c r="DN361" t="n">
        <v>0</v>
      </c>
      <c r="DO361" t="n">
        <v>0</v>
      </c>
      <c r="DP361" t="n">
        <v>0</v>
      </c>
      <c r="DQ361" t="n">
        <v>0</v>
      </c>
      <c r="DR361" t="n">
        <v>0</v>
      </c>
      <c r="DS361" t="n">
        <v>0</v>
      </c>
      <c r="DT361" t="n">
        <v>0</v>
      </c>
      <c r="DU361" t="n">
        <v>0</v>
      </c>
      <c r="DV361" t="inlineStr">
        <is>
          <t>Megawatt Hours (MWh)</t>
        </is>
      </c>
    </row>
    <row r="362">
      <c r="A362" t="inlineStr">
        <is>
          <t>PJM.AEP-DAYTON HUB_mo_on_rtp - NODAL EXCHANGE</t>
        </is>
      </c>
      <c r="B362" t="n">
        <v>230103</v>
      </c>
      <c r="C362" s="1" t="n">
        <v>44929</v>
      </c>
      <c r="D362" t="inlineStr">
        <is>
          <t>064FKA</t>
        </is>
      </c>
      <c r="E362" t="inlineStr">
        <is>
          <t>NODX</t>
        </is>
      </c>
      <c r="F362" t="inlineStr">
        <is>
          <t>01</t>
        </is>
      </c>
      <c r="G362" t="inlineStr">
        <is>
          <t xml:space="preserve">064 </t>
        </is>
      </c>
      <c r="H362" t="n">
        <v>50243</v>
      </c>
      <c r="I362" s="17" t="n">
        <v>0</v>
      </c>
      <c r="J362" s="17" t="n">
        <v>980</v>
      </c>
      <c r="K362" t="n">
        <v>110</v>
      </c>
      <c r="L362" t="n">
        <v>43538</v>
      </c>
      <c r="M362" t="n">
        <v>42218</v>
      </c>
      <c r="N362" t="n">
        <v>43648</v>
      </c>
      <c r="O362" t="n">
        <v>43308</v>
      </c>
      <c r="P362" t="n">
        <v>6595</v>
      </c>
      <c r="Q362" t="n">
        <v>6935</v>
      </c>
      <c r="R362" t="n">
        <v>50243</v>
      </c>
      <c r="S362" t="n">
        <v>0</v>
      </c>
      <c r="T362" t="n">
        <v>980</v>
      </c>
      <c r="U362" t="n">
        <v>110</v>
      </c>
      <c r="V362" t="n">
        <v>43538</v>
      </c>
      <c r="W362" t="n">
        <v>42218</v>
      </c>
      <c r="X362" t="n">
        <v>43648</v>
      </c>
      <c r="Y362" t="n">
        <v>43308</v>
      </c>
      <c r="Z362" t="n">
        <v>6595</v>
      </c>
      <c r="AA362" t="n">
        <v>6935</v>
      </c>
      <c r="AB362" t="n">
        <v>0</v>
      </c>
      <c r="AC362" t="n">
        <v>0</v>
      </c>
      <c r="AD362" t="n">
        <v>0</v>
      </c>
      <c r="AE362" t="n">
        <v>0</v>
      </c>
      <c r="AF362" t="n">
        <v>0</v>
      </c>
      <c r="AG362" t="n">
        <v>0</v>
      </c>
      <c r="AH362" t="n">
        <v>0</v>
      </c>
      <c r="AI362" t="n">
        <v>0</v>
      </c>
      <c r="AJ362" t="n">
        <v>0</v>
      </c>
      <c r="AK362" t="n">
        <v>0</v>
      </c>
      <c r="AL362" t="n">
        <v>-40</v>
      </c>
      <c r="AM362" t="n">
        <v>0</v>
      </c>
      <c r="AN362" t="n">
        <v>-200</v>
      </c>
      <c r="AO362" t="n">
        <v>40</v>
      </c>
      <c r="AP362" t="n">
        <v>-10</v>
      </c>
      <c r="AQ362" t="n">
        <v>190</v>
      </c>
      <c r="AR362" t="n">
        <v>30</v>
      </c>
      <c r="AS362" t="n">
        <v>30</v>
      </c>
      <c r="AT362" t="n">
        <v>-70</v>
      </c>
      <c r="AU362" t="n">
        <v>-70</v>
      </c>
      <c r="AV362" t="n">
        <v>100</v>
      </c>
      <c r="AW362" t="n">
        <v>0</v>
      </c>
      <c r="AX362" t="n">
        <v>2</v>
      </c>
      <c r="AY362" t="n">
        <v>0.2</v>
      </c>
      <c r="AZ362" t="n">
        <v>86.7</v>
      </c>
      <c r="BA362" t="n">
        <v>84</v>
      </c>
      <c r="BB362" t="n">
        <v>86.90000000000001</v>
      </c>
      <c r="BC362" t="n">
        <v>86.2</v>
      </c>
      <c r="BD362" t="n">
        <v>13.1</v>
      </c>
      <c r="BE362" t="n">
        <v>13.8</v>
      </c>
      <c r="BF362" t="n">
        <v>100</v>
      </c>
      <c r="BG362" t="n">
        <v>0</v>
      </c>
      <c r="BH362" t="n">
        <v>2</v>
      </c>
      <c r="BI362" t="n">
        <v>0.2</v>
      </c>
      <c r="BJ362" t="n">
        <v>86.7</v>
      </c>
      <c r="BK362" t="n">
        <v>84</v>
      </c>
      <c r="BL362" t="n">
        <v>86.90000000000001</v>
      </c>
      <c r="BM362" t="n">
        <v>86.2</v>
      </c>
      <c r="BN362" t="n">
        <v>13.1</v>
      </c>
      <c r="BO362" t="n">
        <v>13.8</v>
      </c>
      <c r="BP362" t="n">
        <v>0</v>
      </c>
      <c r="BQ362" t="n">
        <v>0</v>
      </c>
      <c r="BR362" t="n">
        <v>0</v>
      </c>
      <c r="BS362" t="n">
        <v>0</v>
      </c>
      <c r="BT362" t="n">
        <v>0</v>
      </c>
      <c r="BU362" t="n">
        <v>0</v>
      </c>
      <c r="BV362" t="n">
        <v>0</v>
      </c>
      <c r="BW362" t="n">
        <v>0</v>
      </c>
      <c r="BX362" t="n">
        <v>0</v>
      </c>
      <c r="BY362" t="n">
        <v>0</v>
      </c>
      <c r="BZ362" t="n">
        <v>32</v>
      </c>
      <c r="CA362" t="n">
        <v>0</v>
      </c>
      <c r="CB362" t="n">
        <v>4</v>
      </c>
      <c r="CC362" t="n">
        <v>2</v>
      </c>
      <c r="CD362" t="n">
        <v>27</v>
      </c>
      <c r="CE362" t="n">
        <v>26</v>
      </c>
      <c r="CF362" t="n">
        <v>29</v>
      </c>
      <c r="CG362" t="n">
        <v>30</v>
      </c>
      <c r="CH362" t="n">
        <v>32</v>
      </c>
      <c r="CI362" t="n">
        <v>0</v>
      </c>
      <c r="CJ362" t="n">
        <v>4</v>
      </c>
      <c r="CK362" t="n">
        <v>2</v>
      </c>
      <c r="CL362" t="n">
        <v>27</v>
      </c>
      <c r="CM362" t="n">
        <v>26</v>
      </c>
      <c r="CN362" t="n">
        <v>29</v>
      </c>
      <c r="CO362" t="n">
        <v>30</v>
      </c>
      <c r="CP362" t="n">
        <v>0</v>
      </c>
      <c r="CQ362" t="n">
        <v>0</v>
      </c>
      <c r="CR362" t="n">
        <v>0</v>
      </c>
      <c r="CS362" t="n">
        <v>0</v>
      </c>
      <c r="CT362" t="n">
        <v>0</v>
      </c>
      <c r="CU362" t="n">
        <v>0</v>
      </c>
      <c r="CV362" t="n">
        <v>0</v>
      </c>
      <c r="CW362" t="n">
        <v>0</v>
      </c>
      <c r="CX362" t="n">
        <v>52.1</v>
      </c>
      <c r="CY362" t="n">
        <v>35.7</v>
      </c>
      <c r="CZ362" t="n">
        <v>71</v>
      </c>
      <c r="DA362" t="n">
        <v>56.5</v>
      </c>
      <c r="DB362" t="n">
        <v>43.3</v>
      </c>
      <c r="DC362" t="n">
        <v>31.3</v>
      </c>
      <c r="DD362" t="n">
        <v>52.2</v>
      </c>
      <c r="DE362" t="n">
        <v>45.4</v>
      </c>
      <c r="DF362" t="n">
        <v>52.1</v>
      </c>
      <c r="DG362" t="n">
        <v>35.7</v>
      </c>
      <c r="DH362" t="n">
        <v>71</v>
      </c>
      <c r="DI362" t="n">
        <v>56.5</v>
      </c>
      <c r="DJ362" t="n">
        <v>43.3</v>
      </c>
      <c r="DK362" t="n">
        <v>31.3</v>
      </c>
      <c r="DL362" t="n">
        <v>52.2</v>
      </c>
      <c r="DM362" t="n">
        <v>45.4</v>
      </c>
      <c r="DN362" t="n">
        <v>0</v>
      </c>
      <c r="DO362" t="n">
        <v>0</v>
      </c>
      <c r="DP362" t="n">
        <v>0</v>
      </c>
      <c r="DQ362" t="n">
        <v>0</v>
      </c>
      <c r="DR362" t="n">
        <v>0</v>
      </c>
      <c r="DS362" t="n">
        <v>0</v>
      </c>
      <c r="DT362" t="n">
        <v>0</v>
      </c>
      <c r="DU362" t="n">
        <v>0</v>
      </c>
      <c r="DV362" t="inlineStr">
        <is>
          <t>Megawatt Hours (MWh)</t>
        </is>
      </c>
    </row>
    <row r="363">
      <c r="A363" t="inlineStr">
        <is>
          <t>PJM.AEP-DAYTON HUB_mo_off_rtp - NODAL EXCHANGE</t>
        </is>
      </c>
      <c r="B363" t="n">
        <v>230110</v>
      </c>
      <c r="C363" s="1" t="n">
        <v>44936</v>
      </c>
      <c r="D363" t="inlineStr">
        <is>
          <t>064FKB</t>
        </is>
      </c>
      <c r="E363" t="inlineStr">
        <is>
          <t>NODX</t>
        </is>
      </c>
      <c r="F363" t="inlineStr">
        <is>
          <t>01</t>
        </is>
      </c>
      <c r="G363" t="inlineStr">
        <is>
          <t xml:space="preserve">064 </t>
        </is>
      </c>
      <c r="H363" t="n">
        <v>50771</v>
      </c>
      <c r="I363" s="17" t="n">
        <v>0</v>
      </c>
      <c r="J363" s="17" t="n">
        <v>345</v>
      </c>
      <c r="K363" t="n">
        <v>525</v>
      </c>
      <c r="L363" t="n">
        <v>42767</v>
      </c>
      <c r="M363" t="n">
        <v>41917</v>
      </c>
      <c r="N363" t="n">
        <v>43292</v>
      </c>
      <c r="O363" t="n">
        <v>42787</v>
      </c>
      <c r="P363" t="n">
        <v>7479</v>
      </c>
      <c r="Q363" t="n">
        <v>7984</v>
      </c>
      <c r="R363" t="n">
        <v>50771</v>
      </c>
      <c r="S363" t="n">
        <v>0</v>
      </c>
      <c r="T363" t="n">
        <v>345</v>
      </c>
      <c r="U363" t="n">
        <v>525</v>
      </c>
      <c r="V363" t="n">
        <v>42767</v>
      </c>
      <c r="W363" t="n">
        <v>41917</v>
      </c>
      <c r="X363" t="n">
        <v>43292</v>
      </c>
      <c r="Y363" t="n">
        <v>42787</v>
      </c>
      <c r="Z363" t="n">
        <v>7479</v>
      </c>
      <c r="AA363" t="n">
        <v>7984</v>
      </c>
      <c r="AB363" t="n">
        <v>0</v>
      </c>
      <c r="AC363" t="n">
        <v>0</v>
      </c>
      <c r="AD363" t="n">
        <v>0</v>
      </c>
      <c r="AE363" t="n">
        <v>0</v>
      </c>
      <c r="AF363" t="n">
        <v>0</v>
      </c>
      <c r="AG363" t="n">
        <v>0</v>
      </c>
      <c r="AH363" t="n">
        <v>0</v>
      </c>
      <c r="AI363" t="n">
        <v>0</v>
      </c>
      <c r="AJ363" t="n">
        <v>0</v>
      </c>
      <c r="AK363" t="n">
        <v>0</v>
      </c>
      <c r="AL363" t="n">
        <v>-1714</v>
      </c>
      <c r="AM363" t="n">
        <v>-45</v>
      </c>
      <c r="AN363" t="n">
        <v>-238</v>
      </c>
      <c r="AO363" t="n">
        <v>-50</v>
      </c>
      <c r="AP363" t="n">
        <v>-1364</v>
      </c>
      <c r="AQ363" t="n">
        <v>-1156</v>
      </c>
      <c r="AR363" t="n">
        <v>-1459</v>
      </c>
      <c r="AS363" t="n">
        <v>-1444</v>
      </c>
      <c r="AT363" t="n">
        <v>-255</v>
      </c>
      <c r="AU363" t="n">
        <v>-270</v>
      </c>
      <c r="AV363" t="n">
        <v>100</v>
      </c>
      <c r="AW363" t="n">
        <v>0</v>
      </c>
      <c r="AX363" t="n">
        <v>0.7</v>
      </c>
      <c r="AY363" t="n">
        <v>1</v>
      </c>
      <c r="AZ363" t="n">
        <v>84.2</v>
      </c>
      <c r="BA363" t="n">
        <v>82.59999999999999</v>
      </c>
      <c r="BB363" t="n">
        <v>85.3</v>
      </c>
      <c r="BC363" t="n">
        <v>84.3</v>
      </c>
      <c r="BD363" t="n">
        <v>14.7</v>
      </c>
      <c r="BE363" t="n">
        <v>15.7</v>
      </c>
      <c r="BF363" t="n">
        <v>100</v>
      </c>
      <c r="BG363" t="n">
        <v>0</v>
      </c>
      <c r="BH363" t="n">
        <v>0.7</v>
      </c>
      <c r="BI363" t="n">
        <v>1</v>
      </c>
      <c r="BJ363" t="n">
        <v>84.2</v>
      </c>
      <c r="BK363" t="n">
        <v>82.59999999999999</v>
      </c>
      <c r="BL363" t="n">
        <v>85.3</v>
      </c>
      <c r="BM363" t="n">
        <v>84.3</v>
      </c>
      <c r="BN363" t="n">
        <v>14.7</v>
      </c>
      <c r="BO363" t="n">
        <v>15.7</v>
      </c>
      <c r="BP363" t="n">
        <v>0</v>
      </c>
      <c r="BQ363" t="n">
        <v>0</v>
      </c>
      <c r="BR363" t="n">
        <v>0</v>
      </c>
      <c r="BS363" t="n">
        <v>0</v>
      </c>
      <c r="BT363" t="n">
        <v>0</v>
      </c>
      <c r="BU363" t="n">
        <v>0</v>
      </c>
      <c r="BV363" t="n">
        <v>0</v>
      </c>
      <c r="BW363" t="n">
        <v>0</v>
      </c>
      <c r="BX363" t="n">
        <v>0</v>
      </c>
      <c r="BY363" t="n">
        <v>0</v>
      </c>
      <c r="BZ363" t="n">
        <v>28</v>
      </c>
      <c r="CA363" t="n">
        <v>0</v>
      </c>
      <c r="CB363" t="n">
        <v>2</v>
      </c>
      <c r="CC363" t="n">
        <v>1</v>
      </c>
      <c r="CD363" t="n">
        <v>22</v>
      </c>
      <c r="CE363" t="n">
        <v>24</v>
      </c>
      <c r="CF363" t="n">
        <v>23</v>
      </c>
      <c r="CG363" t="n">
        <v>26</v>
      </c>
      <c r="CH363" t="n">
        <v>28</v>
      </c>
      <c r="CI363" t="n">
        <v>0</v>
      </c>
      <c r="CJ363" t="n">
        <v>2</v>
      </c>
      <c r="CK363" t="n">
        <v>1</v>
      </c>
      <c r="CL363" t="n">
        <v>22</v>
      </c>
      <c r="CM363" t="n">
        <v>24</v>
      </c>
      <c r="CN363" t="n">
        <v>23</v>
      </c>
      <c r="CO363" t="n">
        <v>26</v>
      </c>
      <c r="CP363" t="n">
        <v>0</v>
      </c>
      <c r="CQ363" t="n">
        <v>0</v>
      </c>
      <c r="CR363" t="n">
        <v>0</v>
      </c>
      <c r="CS363" t="n">
        <v>0</v>
      </c>
      <c r="CT363" t="n">
        <v>0</v>
      </c>
      <c r="CU363" t="n">
        <v>0</v>
      </c>
      <c r="CV363" t="n">
        <v>0</v>
      </c>
      <c r="CW363" t="n">
        <v>0</v>
      </c>
      <c r="CX363" t="n">
        <v>52.3</v>
      </c>
      <c r="CY363" t="n">
        <v>33.8</v>
      </c>
      <c r="CZ363" t="n">
        <v>71.40000000000001</v>
      </c>
      <c r="DA363" t="n">
        <v>56.2</v>
      </c>
      <c r="DB363" t="n">
        <v>41</v>
      </c>
      <c r="DC363" t="n">
        <v>29.3</v>
      </c>
      <c r="DD363" t="n">
        <v>47.9</v>
      </c>
      <c r="DE363" t="n">
        <v>40</v>
      </c>
      <c r="DF363" t="n">
        <v>52.3</v>
      </c>
      <c r="DG363" t="n">
        <v>33.8</v>
      </c>
      <c r="DH363" t="n">
        <v>71.40000000000001</v>
      </c>
      <c r="DI363" t="n">
        <v>56.2</v>
      </c>
      <c r="DJ363" t="n">
        <v>41</v>
      </c>
      <c r="DK363" t="n">
        <v>29.3</v>
      </c>
      <c r="DL363" t="n">
        <v>47.9</v>
      </c>
      <c r="DM363" t="n">
        <v>40</v>
      </c>
      <c r="DN363" t="n">
        <v>0</v>
      </c>
      <c r="DO363" t="n">
        <v>0</v>
      </c>
      <c r="DP363" t="n">
        <v>0</v>
      </c>
      <c r="DQ363" t="n">
        <v>0</v>
      </c>
      <c r="DR363" t="n">
        <v>0</v>
      </c>
      <c r="DS363" t="n">
        <v>0</v>
      </c>
      <c r="DT363" t="n">
        <v>0</v>
      </c>
      <c r="DU363" t="n">
        <v>0</v>
      </c>
      <c r="DV363" t="inlineStr">
        <is>
          <t>Megawatt Hours (MWh)</t>
        </is>
      </c>
    </row>
    <row r="364">
      <c r="A364" t="inlineStr">
        <is>
          <t>PJM.AEP-DAYTON HUB_mo_off_rtp - NODAL EXCHANGE</t>
        </is>
      </c>
      <c r="B364" t="n">
        <v>230103</v>
      </c>
      <c r="C364" s="1" t="n">
        <v>44929</v>
      </c>
      <c r="D364" t="inlineStr">
        <is>
          <t>064FKB</t>
        </is>
      </c>
      <c r="E364" t="inlineStr">
        <is>
          <t>NODX</t>
        </is>
      </c>
      <c r="F364" t="inlineStr">
        <is>
          <t>01</t>
        </is>
      </c>
      <c r="G364" t="inlineStr">
        <is>
          <t xml:space="preserve">064 </t>
        </is>
      </c>
      <c r="H364" t="n">
        <v>52485</v>
      </c>
      <c r="I364" s="17" t="n">
        <v>45</v>
      </c>
      <c r="J364" s="17" t="n">
        <v>583</v>
      </c>
      <c r="K364" t="n">
        <v>575</v>
      </c>
      <c r="L364" t="n">
        <v>44131</v>
      </c>
      <c r="M364" t="n">
        <v>43073</v>
      </c>
      <c r="N364" t="n">
        <v>44751</v>
      </c>
      <c r="O364" t="n">
        <v>44231</v>
      </c>
      <c r="P364" t="n">
        <v>7734</v>
      </c>
      <c r="Q364" t="n">
        <v>8254</v>
      </c>
      <c r="R364" t="n">
        <v>52485</v>
      </c>
      <c r="S364" t="n">
        <v>45</v>
      </c>
      <c r="T364" t="n">
        <v>583</v>
      </c>
      <c r="U364" t="n">
        <v>575</v>
      </c>
      <c r="V364" t="n">
        <v>44131</v>
      </c>
      <c r="W364" t="n">
        <v>43073</v>
      </c>
      <c r="X364" t="n">
        <v>44751</v>
      </c>
      <c r="Y364" t="n">
        <v>44231</v>
      </c>
      <c r="Z364" t="n">
        <v>7734</v>
      </c>
      <c r="AA364" t="n">
        <v>8254</v>
      </c>
      <c r="AB364" t="n">
        <v>0</v>
      </c>
      <c r="AC364" t="n">
        <v>0</v>
      </c>
      <c r="AD364" t="n">
        <v>0</v>
      </c>
      <c r="AE364" t="n">
        <v>0</v>
      </c>
      <c r="AF364" t="n">
        <v>0</v>
      </c>
      <c r="AG364" t="n">
        <v>0</v>
      </c>
      <c r="AH364" t="n">
        <v>0</v>
      </c>
      <c r="AI364" t="n">
        <v>0</v>
      </c>
      <c r="AJ364" t="n">
        <v>0</v>
      </c>
      <c r="AK364" t="n">
        <v>0</v>
      </c>
      <c r="AL364" t="n">
        <v>0</v>
      </c>
      <c r="AM364" t="n">
        <v>0</v>
      </c>
      <c r="AN364" t="n">
        <v>-200</v>
      </c>
      <c r="AO364" t="n">
        <v>0</v>
      </c>
      <c r="AP364" t="n">
        <v>-210</v>
      </c>
      <c r="AQ364" t="n">
        <v>-10</v>
      </c>
      <c r="AR364" t="n">
        <v>-210</v>
      </c>
      <c r="AS364" t="n">
        <v>-210</v>
      </c>
      <c r="AT364" t="n">
        <v>210</v>
      </c>
      <c r="AU364" t="n">
        <v>210</v>
      </c>
      <c r="AV364" t="n">
        <v>100</v>
      </c>
      <c r="AW364" t="n">
        <v>0.1</v>
      </c>
      <c r="AX364" t="n">
        <v>1.1</v>
      </c>
      <c r="AY364" t="n">
        <v>1.1</v>
      </c>
      <c r="AZ364" t="n">
        <v>84.09999999999999</v>
      </c>
      <c r="BA364" t="n">
        <v>82.09999999999999</v>
      </c>
      <c r="BB364" t="n">
        <v>85.3</v>
      </c>
      <c r="BC364" t="n">
        <v>84.3</v>
      </c>
      <c r="BD364" t="n">
        <v>14.7</v>
      </c>
      <c r="BE364" t="n">
        <v>15.7</v>
      </c>
      <c r="BF364" t="n">
        <v>100</v>
      </c>
      <c r="BG364" t="n">
        <v>0.1</v>
      </c>
      <c r="BH364" t="n">
        <v>1.1</v>
      </c>
      <c r="BI364" t="n">
        <v>1.1</v>
      </c>
      <c r="BJ364" t="n">
        <v>84.09999999999999</v>
      </c>
      <c r="BK364" t="n">
        <v>82.09999999999999</v>
      </c>
      <c r="BL364" t="n">
        <v>85.3</v>
      </c>
      <c r="BM364" t="n">
        <v>84.3</v>
      </c>
      <c r="BN364" t="n">
        <v>14.7</v>
      </c>
      <c r="BO364" t="n">
        <v>15.7</v>
      </c>
      <c r="BP364" t="n">
        <v>0</v>
      </c>
      <c r="BQ364" t="n">
        <v>0</v>
      </c>
      <c r="BR364" t="n">
        <v>0</v>
      </c>
      <c r="BS364" t="n">
        <v>0</v>
      </c>
      <c r="BT364" t="n">
        <v>0</v>
      </c>
      <c r="BU364" t="n">
        <v>0</v>
      </c>
      <c r="BV364" t="n">
        <v>0</v>
      </c>
      <c r="BW364" t="n">
        <v>0</v>
      </c>
      <c r="BX364" t="n">
        <v>0</v>
      </c>
      <c r="BY364" t="n">
        <v>0</v>
      </c>
      <c r="BZ364" t="n">
        <v>32</v>
      </c>
      <c r="CA364" t="n">
        <v>1</v>
      </c>
      <c r="CB364" t="n">
        <v>4</v>
      </c>
      <c r="CC364" t="n">
        <v>3</v>
      </c>
      <c r="CD364" t="n">
        <v>24</v>
      </c>
      <c r="CE364" t="n">
        <v>26</v>
      </c>
      <c r="CF364" t="n">
        <v>27</v>
      </c>
      <c r="CG364" t="n">
        <v>31</v>
      </c>
      <c r="CH364" t="n">
        <v>32</v>
      </c>
      <c r="CI364" t="n">
        <v>1</v>
      </c>
      <c r="CJ364" t="n">
        <v>4</v>
      </c>
      <c r="CK364" t="n">
        <v>3</v>
      </c>
      <c r="CL364" t="n">
        <v>24</v>
      </c>
      <c r="CM364" t="n">
        <v>26</v>
      </c>
      <c r="CN364" t="n">
        <v>27</v>
      </c>
      <c r="CO364" t="n">
        <v>31</v>
      </c>
      <c r="CP364" t="n">
        <v>0</v>
      </c>
      <c r="CQ364" t="n">
        <v>0</v>
      </c>
      <c r="CR364" t="n">
        <v>0</v>
      </c>
      <c r="CS364" t="n">
        <v>0</v>
      </c>
      <c r="CT364" t="n">
        <v>0</v>
      </c>
      <c r="CU364" t="n">
        <v>0</v>
      </c>
      <c r="CV364" t="n">
        <v>0</v>
      </c>
      <c r="CW364" t="n">
        <v>0</v>
      </c>
      <c r="CX364" t="n">
        <v>51.5</v>
      </c>
      <c r="CY364" t="n">
        <v>32.9</v>
      </c>
      <c r="CZ364" t="n">
        <v>69.7</v>
      </c>
      <c r="DA364" t="n">
        <v>54.4</v>
      </c>
      <c r="DB364" t="n">
        <v>38.3</v>
      </c>
      <c r="DC364" t="n">
        <v>27.7</v>
      </c>
      <c r="DD364" t="n">
        <v>45.7</v>
      </c>
      <c r="DE364" t="n">
        <v>37.5</v>
      </c>
      <c r="DF364" t="n">
        <v>51.5</v>
      </c>
      <c r="DG364" t="n">
        <v>32.9</v>
      </c>
      <c r="DH364" t="n">
        <v>69.7</v>
      </c>
      <c r="DI364" t="n">
        <v>54.4</v>
      </c>
      <c r="DJ364" t="n">
        <v>38.3</v>
      </c>
      <c r="DK364" t="n">
        <v>27.7</v>
      </c>
      <c r="DL364" t="n">
        <v>45.7</v>
      </c>
      <c r="DM364" t="n">
        <v>37.5</v>
      </c>
      <c r="DN364" t="n">
        <v>0</v>
      </c>
      <c r="DO364" t="n">
        <v>0</v>
      </c>
      <c r="DP364" t="n">
        <v>0</v>
      </c>
      <c r="DQ364" t="n">
        <v>0</v>
      </c>
      <c r="DR364" t="n">
        <v>0</v>
      </c>
      <c r="DS364" t="n">
        <v>0</v>
      </c>
      <c r="DT364" t="n">
        <v>0</v>
      </c>
      <c r="DU364" t="n">
        <v>0</v>
      </c>
      <c r="DV364" t="inlineStr">
        <is>
          <t>Megawatt Hours (MWh)</t>
        </is>
      </c>
    </row>
    <row r="365">
      <c r="A365" t="inlineStr">
        <is>
          <t>PJM.N ILLINOIS HUB_mo_on_rtp - NODAL EXCHANGE</t>
        </is>
      </c>
      <c r="B365" t="n">
        <v>230110</v>
      </c>
      <c r="C365" s="1" t="n">
        <v>44936</v>
      </c>
      <c r="D365" t="inlineStr">
        <is>
          <t>064FKC</t>
        </is>
      </c>
      <c r="E365" t="inlineStr">
        <is>
          <t>NODX</t>
        </is>
      </c>
      <c r="F365" t="inlineStr">
        <is>
          <t>01</t>
        </is>
      </c>
      <c r="G365" t="inlineStr">
        <is>
          <t xml:space="preserve">064 </t>
        </is>
      </c>
      <c r="H365" t="n">
        <v>31979</v>
      </c>
      <c r="I365" s="17" t="n">
        <v>0</v>
      </c>
      <c r="J365" s="17" t="n">
        <v>1085</v>
      </c>
      <c r="K365" t="n">
        <v>240</v>
      </c>
      <c r="L365" t="n">
        <v>27455</v>
      </c>
      <c r="M365" t="n">
        <v>26209</v>
      </c>
      <c r="N365" t="n">
        <v>27695</v>
      </c>
      <c r="O365" t="n">
        <v>27534</v>
      </c>
      <c r="P365" t="n">
        <v>4284</v>
      </c>
      <c r="Q365" t="n">
        <v>4445</v>
      </c>
      <c r="R365" t="n">
        <v>31979</v>
      </c>
      <c r="S365" t="n">
        <v>0</v>
      </c>
      <c r="T365" t="n">
        <v>1085</v>
      </c>
      <c r="U365" t="n">
        <v>240</v>
      </c>
      <c r="V365" t="n">
        <v>27455</v>
      </c>
      <c r="W365" t="n">
        <v>26209</v>
      </c>
      <c r="X365" t="n">
        <v>27695</v>
      </c>
      <c r="Y365" t="n">
        <v>27534</v>
      </c>
      <c r="Z365" t="n">
        <v>4284</v>
      </c>
      <c r="AA365" t="n">
        <v>4445</v>
      </c>
      <c r="AB365" t="n">
        <v>0</v>
      </c>
      <c r="AC365" t="n">
        <v>0</v>
      </c>
      <c r="AD365" t="n">
        <v>0</v>
      </c>
      <c r="AE365" t="n">
        <v>0</v>
      </c>
      <c r="AF365" t="n">
        <v>0</v>
      </c>
      <c r="AG365" t="n">
        <v>0</v>
      </c>
      <c r="AH365" t="n">
        <v>0</v>
      </c>
      <c r="AI365" t="n">
        <v>0</v>
      </c>
      <c r="AJ365" t="n">
        <v>0</v>
      </c>
      <c r="AK365" t="n">
        <v>0</v>
      </c>
      <c r="AL365" t="n">
        <v>-1450</v>
      </c>
      <c r="AM365" t="n">
        <v>-25</v>
      </c>
      <c r="AN365" t="n">
        <v>-450</v>
      </c>
      <c r="AO365" t="n">
        <v>-25</v>
      </c>
      <c r="AP365" t="n">
        <v>-1130</v>
      </c>
      <c r="AQ365" t="n">
        <v>-843</v>
      </c>
      <c r="AR365" t="n">
        <v>-1180</v>
      </c>
      <c r="AS365" t="n">
        <v>-1318</v>
      </c>
      <c r="AT365" t="n">
        <v>-270</v>
      </c>
      <c r="AU365" t="n">
        <v>-132</v>
      </c>
      <c r="AV365" t="n">
        <v>100</v>
      </c>
      <c r="AW365" t="n">
        <v>0</v>
      </c>
      <c r="AX365" t="n">
        <v>3.4</v>
      </c>
      <c r="AY365" t="n">
        <v>0.8</v>
      </c>
      <c r="AZ365" t="n">
        <v>85.90000000000001</v>
      </c>
      <c r="BA365" t="n">
        <v>82</v>
      </c>
      <c r="BB365" t="n">
        <v>86.59999999999999</v>
      </c>
      <c r="BC365" t="n">
        <v>86.09999999999999</v>
      </c>
      <c r="BD365" t="n">
        <v>13.4</v>
      </c>
      <c r="BE365" t="n">
        <v>13.9</v>
      </c>
      <c r="BF365" t="n">
        <v>100</v>
      </c>
      <c r="BG365" t="n">
        <v>0</v>
      </c>
      <c r="BH365" t="n">
        <v>3.4</v>
      </c>
      <c r="BI365" t="n">
        <v>0.8</v>
      </c>
      <c r="BJ365" t="n">
        <v>85.90000000000001</v>
      </c>
      <c r="BK365" t="n">
        <v>82</v>
      </c>
      <c r="BL365" t="n">
        <v>86.59999999999999</v>
      </c>
      <c r="BM365" t="n">
        <v>86.09999999999999</v>
      </c>
      <c r="BN365" t="n">
        <v>13.4</v>
      </c>
      <c r="BO365" t="n">
        <v>13.9</v>
      </c>
      <c r="BP365" t="n">
        <v>0</v>
      </c>
      <c r="BQ365" t="n">
        <v>0</v>
      </c>
      <c r="BR365" t="n">
        <v>0</v>
      </c>
      <c r="BS365" t="n">
        <v>0</v>
      </c>
      <c r="BT365" t="n">
        <v>0</v>
      </c>
      <c r="BU365" t="n">
        <v>0</v>
      </c>
      <c r="BV365" t="n">
        <v>0</v>
      </c>
      <c r="BW365" t="n">
        <v>0</v>
      </c>
      <c r="BX365" t="n">
        <v>0</v>
      </c>
      <c r="BY365" t="n">
        <v>0</v>
      </c>
      <c r="BZ365" t="n">
        <v>27</v>
      </c>
      <c r="CA365" t="n">
        <v>0</v>
      </c>
      <c r="CB365" t="n">
        <v>2</v>
      </c>
      <c r="CC365" t="n">
        <v>1</v>
      </c>
      <c r="CD365" t="n">
        <v>22</v>
      </c>
      <c r="CE365" t="n">
        <v>20</v>
      </c>
      <c r="CF365" t="n">
        <v>23</v>
      </c>
      <c r="CG365" t="n">
        <v>22</v>
      </c>
      <c r="CH365" t="n">
        <v>27</v>
      </c>
      <c r="CI365" t="n">
        <v>0</v>
      </c>
      <c r="CJ365" t="n">
        <v>2</v>
      </c>
      <c r="CK365" t="n">
        <v>1</v>
      </c>
      <c r="CL365" t="n">
        <v>22</v>
      </c>
      <c r="CM365" t="n">
        <v>20</v>
      </c>
      <c r="CN365" t="n">
        <v>23</v>
      </c>
      <c r="CO365" t="n">
        <v>22</v>
      </c>
      <c r="CP365" t="n">
        <v>0</v>
      </c>
      <c r="CQ365" t="n">
        <v>0</v>
      </c>
      <c r="CR365" t="n">
        <v>0</v>
      </c>
      <c r="CS365" t="n">
        <v>0</v>
      </c>
      <c r="CT365" t="n">
        <v>0</v>
      </c>
      <c r="CU365" t="n">
        <v>0</v>
      </c>
      <c r="CV365" t="n">
        <v>0</v>
      </c>
      <c r="CW365" t="n">
        <v>0</v>
      </c>
      <c r="CX365" t="n">
        <v>51.5</v>
      </c>
      <c r="CY365" t="n">
        <v>53.3</v>
      </c>
      <c r="CZ365" t="n">
        <v>69.09999999999999</v>
      </c>
      <c r="DA365" t="n">
        <v>65.8</v>
      </c>
      <c r="DB365" t="n">
        <v>41.1</v>
      </c>
      <c r="DC365" t="n">
        <v>47.9</v>
      </c>
      <c r="DD365" t="n">
        <v>53.5</v>
      </c>
      <c r="DE365" t="n">
        <v>55.1</v>
      </c>
      <c r="DF365" t="n">
        <v>51.5</v>
      </c>
      <c r="DG365" t="n">
        <v>53.3</v>
      </c>
      <c r="DH365" t="n">
        <v>69.09999999999999</v>
      </c>
      <c r="DI365" t="n">
        <v>65.8</v>
      </c>
      <c r="DJ365" t="n">
        <v>41.1</v>
      </c>
      <c r="DK365" t="n">
        <v>47.9</v>
      </c>
      <c r="DL365" t="n">
        <v>53.5</v>
      </c>
      <c r="DM365" t="n">
        <v>55.1</v>
      </c>
      <c r="DN365" t="n">
        <v>0</v>
      </c>
      <c r="DO365" t="n">
        <v>0</v>
      </c>
      <c r="DP365" t="n">
        <v>0</v>
      </c>
      <c r="DQ365" t="n">
        <v>0</v>
      </c>
      <c r="DR365" t="n">
        <v>0</v>
      </c>
      <c r="DS365" t="n">
        <v>0</v>
      </c>
      <c r="DT365" t="n">
        <v>0</v>
      </c>
      <c r="DU365" t="n">
        <v>0</v>
      </c>
      <c r="DV365" t="inlineStr">
        <is>
          <t>Megawatt Hours (MWh)</t>
        </is>
      </c>
    </row>
    <row r="366">
      <c r="A366" t="inlineStr">
        <is>
          <t>PJM.N ILLINOIS HUB_mo_on_rtp - NODAL EXCHANGE</t>
        </is>
      </c>
      <c r="B366" t="n">
        <v>230103</v>
      </c>
      <c r="C366" s="1" t="n">
        <v>44929</v>
      </c>
      <c r="D366" t="inlineStr">
        <is>
          <t>064FKC</t>
        </is>
      </c>
      <c r="E366" t="inlineStr">
        <is>
          <t>NODX</t>
        </is>
      </c>
      <c r="F366" t="inlineStr">
        <is>
          <t>01</t>
        </is>
      </c>
      <c r="G366" t="inlineStr">
        <is>
          <t xml:space="preserve">064 </t>
        </is>
      </c>
      <c r="H366" t="n">
        <v>33429</v>
      </c>
      <c r="I366" s="17" t="n">
        <v>25</v>
      </c>
      <c r="J366" s="17" t="n">
        <v>1535</v>
      </c>
      <c r="K366" t="n">
        <v>265</v>
      </c>
      <c r="L366" t="n">
        <v>28585</v>
      </c>
      <c r="M366" t="n">
        <v>27052</v>
      </c>
      <c r="N366" t="n">
        <v>28875</v>
      </c>
      <c r="O366" t="n">
        <v>28852</v>
      </c>
      <c r="P366" t="n">
        <v>4554</v>
      </c>
      <c r="Q366" t="n">
        <v>4577</v>
      </c>
      <c r="R366" t="n">
        <v>33429</v>
      </c>
      <c r="S366" t="n">
        <v>25</v>
      </c>
      <c r="T366" t="n">
        <v>1535</v>
      </c>
      <c r="U366" t="n">
        <v>265</v>
      </c>
      <c r="V366" t="n">
        <v>28585</v>
      </c>
      <c r="W366" t="n">
        <v>27052</v>
      </c>
      <c r="X366" t="n">
        <v>28875</v>
      </c>
      <c r="Y366" t="n">
        <v>28852</v>
      </c>
      <c r="Z366" t="n">
        <v>4554</v>
      </c>
      <c r="AA366" t="n">
        <v>4577</v>
      </c>
      <c r="AB366" t="n">
        <v>0</v>
      </c>
      <c r="AC366" t="n">
        <v>0</v>
      </c>
      <c r="AD366" t="n">
        <v>0</v>
      </c>
      <c r="AE366" t="n">
        <v>0</v>
      </c>
      <c r="AF366" t="n">
        <v>0</v>
      </c>
      <c r="AG366" t="n">
        <v>0</v>
      </c>
      <c r="AH366" t="n">
        <v>0</v>
      </c>
      <c r="AI366" t="n">
        <v>0</v>
      </c>
      <c r="AJ366" t="n">
        <v>0</v>
      </c>
      <c r="AK366" t="n">
        <v>0</v>
      </c>
      <c r="AL366" t="n">
        <v>-120</v>
      </c>
      <c r="AM366" t="n">
        <v>0</v>
      </c>
      <c r="AN366" t="n">
        <v>-50</v>
      </c>
      <c r="AO366" t="n">
        <v>0</v>
      </c>
      <c r="AP366" t="n">
        <v>-100</v>
      </c>
      <c r="AQ366" t="n">
        <v>-50</v>
      </c>
      <c r="AR366" t="n">
        <v>-100</v>
      </c>
      <c r="AS366" t="n">
        <v>-100</v>
      </c>
      <c r="AT366" t="n">
        <v>-20</v>
      </c>
      <c r="AU366" t="n">
        <v>-20</v>
      </c>
      <c r="AV366" t="n">
        <v>100</v>
      </c>
      <c r="AW366" t="n">
        <v>0.1</v>
      </c>
      <c r="AX366" t="n">
        <v>4.6</v>
      </c>
      <c r="AY366" t="n">
        <v>0.8</v>
      </c>
      <c r="AZ366" t="n">
        <v>85.5</v>
      </c>
      <c r="BA366" t="n">
        <v>80.90000000000001</v>
      </c>
      <c r="BB366" t="n">
        <v>86.40000000000001</v>
      </c>
      <c r="BC366" t="n">
        <v>86.3</v>
      </c>
      <c r="BD366" t="n">
        <v>13.6</v>
      </c>
      <c r="BE366" t="n">
        <v>13.7</v>
      </c>
      <c r="BF366" t="n">
        <v>100</v>
      </c>
      <c r="BG366" t="n">
        <v>0.1</v>
      </c>
      <c r="BH366" t="n">
        <v>4.6</v>
      </c>
      <c r="BI366" t="n">
        <v>0.8</v>
      </c>
      <c r="BJ366" t="n">
        <v>85.5</v>
      </c>
      <c r="BK366" t="n">
        <v>80.90000000000001</v>
      </c>
      <c r="BL366" t="n">
        <v>86.40000000000001</v>
      </c>
      <c r="BM366" t="n">
        <v>86.3</v>
      </c>
      <c r="BN366" t="n">
        <v>13.6</v>
      </c>
      <c r="BO366" t="n">
        <v>13.7</v>
      </c>
      <c r="BP366" t="n">
        <v>0</v>
      </c>
      <c r="BQ366" t="n">
        <v>0</v>
      </c>
      <c r="BR366" t="n">
        <v>0</v>
      </c>
      <c r="BS366" t="n">
        <v>0</v>
      </c>
      <c r="BT366" t="n">
        <v>0</v>
      </c>
      <c r="BU366" t="n">
        <v>0</v>
      </c>
      <c r="BV366" t="n">
        <v>0</v>
      </c>
      <c r="BW366" t="n">
        <v>0</v>
      </c>
      <c r="BX366" t="n">
        <v>0</v>
      </c>
      <c r="BY366" t="n">
        <v>0</v>
      </c>
      <c r="BZ366" t="n">
        <v>30</v>
      </c>
      <c r="CA366" t="n">
        <v>1</v>
      </c>
      <c r="CB366" t="n">
        <v>3</v>
      </c>
      <c r="CC366" t="n">
        <v>2</v>
      </c>
      <c r="CD366" t="n">
        <v>24</v>
      </c>
      <c r="CE366" t="n">
        <v>22</v>
      </c>
      <c r="CF366" t="n">
        <v>27</v>
      </c>
      <c r="CG366" t="n">
        <v>25</v>
      </c>
      <c r="CH366" t="n">
        <v>30</v>
      </c>
      <c r="CI366" t="n">
        <v>1</v>
      </c>
      <c r="CJ366" t="n">
        <v>3</v>
      </c>
      <c r="CK366" t="n">
        <v>2</v>
      </c>
      <c r="CL366" t="n">
        <v>24</v>
      </c>
      <c r="CM366" t="n">
        <v>22</v>
      </c>
      <c r="CN366" t="n">
        <v>27</v>
      </c>
      <c r="CO366" t="n">
        <v>25</v>
      </c>
      <c r="CP366" t="n">
        <v>0</v>
      </c>
      <c r="CQ366" t="n">
        <v>0</v>
      </c>
      <c r="CR366" t="n">
        <v>0</v>
      </c>
      <c r="CS366" t="n">
        <v>0</v>
      </c>
      <c r="CT366" t="n">
        <v>0</v>
      </c>
      <c r="CU366" t="n">
        <v>0</v>
      </c>
      <c r="CV366" t="n">
        <v>0</v>
      </c>
      <c r="CW366" t="n">
        <v>0</v>
      </c>
      <c r="CX366" t="n">
        <v>47.2</v>
      </c>
      <c r="CY366" t="n">
        <v>51.3</v>
      </c>
      <c r="CZ366" t="n">
        <v>65.90000000000001</v>
      </c>
      <c r="DA366" t="n">
        <v>65</v>
      </c>
      <c r="DB366" t="n">
        <v>34.9</v>
      </c>
      <c r="DC366" t="n">
        <v>46.1</v>
      </c>
      <c r="DD366" t="n">
        <v>48.2</v>
      </c>
      <c r="DE366" t="n">
        <v>53.3</v>
      </c>
      <c r="DF366" t="n">
        <v>47.2</v>
      </c>
      <c r="DG366" t="n">
        <v>51.3</v>
      </c>
      <c r="DH366" t="n">
        <v>65.90000000000001</v>
      </c>
      <c r="DI366" t="n">
        <v>65</v>
      </c>
      <c r="DJ366" t="n">
        <v>34.9</v>
      </c>
      <c r="DK366" t="n">
        <v>46.1</v>
      </c>
      <c r="DL366" t="n">
        <v>48.2</v>
      </c>
      <c r="DM366" t="n">
        <v>53.3</v>
      </c>
      <c r="DN366" t="n">
        <v>0</v>
      </c>
      <c r="DO366" t="n">
        <v>0</v>
      </c>
      <c r="DP366" t="n">
        <v>0</v>
      </c>
      <c r="DQ366" t="n">
        <v>0</v>
      </c>
      <c r="DR366" t="n">
        <v>0</v>
      </c>
      <c r="DS366" t="n">
        <v>0</v>
      </c>
      <c r="DT366" t="n">
        <v>0</v>
      </c>
      <c r="DU366" t="n">
        <v>0</v>
      </c>
      <c r="DV366" t="inlineStr">
        <is>
          <t>Megawatt Hours (MWh)</t>
        </is>
      </c>
    </row>
    <row r="367">
      <c r="A367" t="inlineStr">
        <is>
          <t>PJM.N ILLINOIS HUB_mo_off_rtp - NODAL EXCHANGE</t>
        </is>
      </c>
      <c r="B367" t="n">
        <v>230110</v>
      </c>
      <c r="C367" s="1" t="n">
        <v>44936</v>
      </c>
      <c r="D367" t="inlineStr">
        <is>
          <t>064FKD</t>
        </is>
      </c>
      <c r="E367" t="inlineStr">
        <is>
          <t>NODX</t>
        </is>
      </c>
      <c r="F367" t="inlineStr">
        <is>
          <t>01</t>
        </is>
      </c>
      <c r="G367" t="inlineStr">
        <is>
          <t xml:space="preserve">064 </t>
        </is>
      </c>
      <c r="H367" t="n">
        <v>31744</v>
      </c>
      <c r="I367" s="17" t="n">
        <v>0</v>
      </c>
      <c r="J367" s="17" t="n">
        <v>1610</v>
      </c>
      <c r="K367" t="n">
        <v>365</v>
      </c>
      <c r="L367" t="n">
        <v>26019</v>
      </c>
      <c r="M367" t="n">
        <v>24429</v>
      </c>
      <c r="N367" t="n">
        <v>26384</v>
      </c>
      <c r="O367" t="n">
        <v>26404</v>
      </c>
      <c r="P367" t="n">
        <v>5360</v>
      </c>
      <c r="Q367" t="n">
        <v>5340</v>
      </c>
      <c r="R367" t="n">
        <v>31744</v>
      </c>
      <c r="S367" t="n">
        <v>0</v>
      </c>
      <c r="T367" t="n">
        <v>1610</v>
      </c>
      <c r="U367" t="n">
        <v>365</v>
      </c>
      <c r="V367" t="n">
        <v>26019</v>
      </c>
      <c r="W367" t="n">
        <v>24429</v>
      </c>
      <c r="X367" t="n">
        <v>26384</v>
      </c>
      <c r="Y367" t="n">
        <v>26404</v>
      </c>
      <c r="Z367" t="n">
        <v>5360</v>
      </c>
      <c r="AA367" t="n">
        <v>5340</v>
      </c>
      <c r="AB367" t="n">
        <v>0</v>
      </c>
      <c r="AC367" t="n">
        <v>0</v>
      </c>
      <c r="AD367" t="n">
        <v>0</v>
      </c>
      <c r="AE367" t="n">
        <v>0</v>
      </c>
      <c r="AF367" t="n">
        <v>0</v>
      </c>
      <c r="AG367" t="n">
        <v>0</v>
      </c>
      <c r="AH367" t="n">
        <v>0</v>
      </c>
      <c r="AI367" t="n">
        <v>0</v>
      </c>
      <c r="AJ367" t="n">
        <v>0</v>
      </c>
      <c r="AK367" t="n">
        <v>0</v>
      </c>
      <c r="AL367" t="n">
        <v>-1514</v>
      </c>
      <c r="AM367" t="n">
        <v>-25</v>
      </c>
      <c r="AN367" t="n">
        <v>-537</v>
      </c>
      <c r="AO367" t="n">
        <v>0</v>
      </c>
      <c r="AP367" t="n">
        <v>-1294</v>
      </c>
      <c r="AQ367" t="n">
        <v>-962</v>
      </c>
      <c r="AR367" t="n">
        <v>-1319</v>
      </c>
      <c r="AS367" t="n">
        <v>-1499</v>
      </c>
      <c r="AT367" t="n">
        <v>-195</v>
      </c>
      <c r="AU367" t="n">
        <v>-15</v>
      </c>
      <c r="AV367" t="n">
        <v>100</v>
      </c>
      <c r="AW367" t="n">
        <v>0</v>
      </c>
      <c r="AX367" t="n">
        <v>5.1</v>
      </c>
      <c r="AY367" t="n">
        <v>1.1</v>
      </c>
      <c r="AZ367" t="n">
        <v>82</v>
      </c>
      <c r="BA367" t="n">
        <v>77</v>
      </c>
      <c r="BB367" t="n">
        <v>83.09999999999999</v>
      </c>
      <c r="BC367" t="n">
        <v>83.2</v>
      </c>
      <c r="BD367" t="n">
        <v>16.9</v>
      </c>
      <c r="BE367" t="n">
        <v>16.8</v>
      </c>
      <c r="BF367" t="n">
        <v>100</v>
      </c>
      <c r="BG367" t="n">
        <v>0</v>
      </c>
      <c r="BH367" t="n">
        <v>5.1</v>
      </c>
      <c r="BI367" t="n">
        <v>1.1</v>
      </c>
      <c r="BJ367" t="n">
        <v>82</v>
      </c>
      <c r="BK367" t="n">
        <v>77</v>
      </c>
      <c r="BL367" t="n">
        <v>83.09999999999999</v>
      </c>
      <c r="BM367" t="n">
        <v>83.2</v>
      </c>
      <c r="BN367" t="n">
        <v>16.9</v>
      </c>
      <c r="BO367" t="n">
        <v>16.8</v>
      </c>
      <c r="BP367" t="n">
        <v>0</v>
      </c>
      <c r="BQ367" t="n">
        <v>0</v>
      </c>
      <c r="BR367" t="n">
        <v>0</v>
      </c>
      <c r="BS367" t="n">
        <v>0</v>
      </c>
      <c r="BT367" t="n">
        <v>0</v>
      </c>
      <c r="BU367" t="n">
        <v>0</v>
      </c>
      <c r="BV367" t="n">
        <v>0</v>
      </c>
      <c r="BW367" t="n">
        <v>0</v>
      </c>
      <c r="BX367" t="n">
        <v>0</v>
      </c>
      <c r="BY367" t="n">
        <v>0</v>
      </c>
      <c r="BZ367" t="n">
        <v>27</v>
      </c>
      <c r="CA367" t="n">
        <v>0</v>
      </c>
      <c r="CB367" t="n">
        <v>2</v>
      </c>
      <c r="CC367" t="n">
        <v>2</v>
      </c>
      <c r="CD367" t="n">
        <v>21</v>
      </c>
      <c r="CE367" t="n">
        <v>22</v>
      </c>
      <c r="CF367" t="n">
        <v>23</v>
      </c>
      <c r="CG367" t="n">
        <v>24</v>
      </c>
      <c r="CH367" t="n">
        <v>27</v>
      </c>
      <c r="CI367" t="n">
        <v>0</v>
      </c>
      <c r="CJ367" t="n">
        <v>2</v>
      </c>
      <c r="CK367" t="n">
        <v>2</v>
      </c>
      <c r="CL367" t="n">
        <v>21</v>
      </c>
      <c r="CM367" t="n">
        <v>22</v>
      </c>
      <c r="CN367" t="n">
        <v>23</v>
      </c>
      <c r="CO367" t="n">
        <v>24</v>
      </c>
      <c r="CP367" t="n">
        <v>0</v>
      </c>
      <c r="CQ367" t="n">
        <v>0</v>
      </c>
      <c r="CR367" t="n">
        <v>0</v>
      </c>
      <c r="CS367" t="n">
        <v>0</v>
      </c>
      <c r="CT367" t="n">
        <v>0</v>
      </c>
      <c r="CU367" t="n">
        <v>0</v>
      </c>
      <c r="CV367" t="n">
        <v>0</v>
      </c>
      <c r="CW367" t="n">
        <v>0</v>
      </c>
      <c r="CX367" t="n">
        <v>49.4</v>
      </c>
      <c r="CY367" t="n">
        <v>48</v>
      </c>
      <c r="CZ367" t="n">
        <v>66.8</v>
      </c>
      <c r="DA367" t="n">
        <v>60.8</v>
      </c>
      <c r="DB367" t="n">
        <v>40.8</v>
      </c>
      <c r="DC367" t="n">
        <v>44.6</v>
      </c>
      <c r="DD367" t="n">
        <v>52.6</v>
      </c>
      <c r="DE367" t="n">
        <v>53.5</v>
      </c>
      <c r="DF367" t="n">
        <v>49.4</v>
      </c>
      <c r="DG367" t="n">
        <v>48</v>
      </c>
      <c r="DH367" t="n">
        <v>66.8</v>
      </c>
      <c r="DI367" t="n">
        <v>60.8</v>
      </c>
      <c r="DJ367" t="n">
        <v>40.8</v>
      </c>
      <c r="DK367" t="n">
        <v>44.6</v>
      </c>
      <c r="DL367" t="n">
        <v>52.6</v>
      </c>
      <c r="DM367" t="n">
        <v>53.5</v>
      </c>
      <c r="DN367" t="n">
        <v>0</v>
      </c>
      <c r="DO367" t="n">
        <v>0</v>
      </c>
      <c r="DP367" t="n">
        <v>0</v>
      </c>
      <c r="DQ367" t="n">
        <v>0</v>
      </c>
      <c r="DR367" t="n">
        <v>0</v>
      </c>
      <c r="DS367" t="n">
        <v>0</v>
      </c>
      <c r="DT367" t="n">
        <v>0</v>
      </c>
      <c r="DU367" t="n">
        <v>0</v>
      </c>
      <c r="DV367" t="inlineStr">
        <is>
          <t>Megawatt Hours (MWh)</t>
        </is>
      </c>
    </row>
    <row r="368">
      <c r="A368" t="inlineStr">
        <is>
          <t>PJM.N ILLINOIS HUB_mo_off_rtp - NODAL EXCHANGE</t>
        </is>
      </c>
      <c r="B368" t="n">
        <v>230103</v>
      </c>
      <c r="C368" s="1" t="n">
        <v>44929</v>
      </c>
      <c r="D368" t="inlineStr">
        <is>
          <t>064FKD</t>
        </is>
      </c>
      <c r="E368" t="inlineStr">
        <is>
          <t>NODX</t>
        </is>
      </c>
      <c r="F368" t="inlineStr">
        <is>
          <t>01</t>
        </is>
      </c>
      <c r="G368" t="inlineStr">
        <is>
          <t xml:space="preserve">064 </t>
        </is>
      </c>
      <c r="H368" t="n">
        <v>33258</v>
      </c>
      <c r="I368" s="17" t="n">
        <v>25</v>
      </c>
      <c r="J368" s="17" t="n">
        <v>2147</v>
      </c>
      <c r="K368" t="n">
        <v>365</v>
      </c>
      <c r="L368" t="n">
        <v>27313</v>
      </c>
      <c r="M368" t="n">
        <v>25391</v>
      </c>
      <c r="N368" t="n">
        <v>27703</v>
      </c>
      <c r="O368" t="n">
        <v>27903</v>
      </c>
      <c r="P368" t="n">
        <v>5555</v>
      </c>
      <c r="Q368" t="n">
        <v>5355</v>
      </c>
      <c r="R368" t="n">
        <v>33258</v>
      </c>
      <c r="S368" t="n">
        <v>25</v>
      </c>
      <c r="T368" t="n">
        <v>2147</v>
      </c>
      <c r="U368" t="n">
        <v>365</v>
      </c>
      <c r="V368" t="n">
        <v>27313</v>
      </c>
      <c r="W368" t="n">
        <v>25391</v>
      </c>
      <c r="X368" t="n">
        <v>27703</v>
      </c>
      <c r="Y368" t="n">
        <v>27903</v>
      </c>
      <c r="Z368" t="n">
        <v>5555</v>
      </c>
      <c r="AA368" t="n">
        <v>5355</v>
      </c>
      <c r="AB368" t="n">
        <v>0</v>
      </c>
      <c r="AC368" t="n">
        <v>0</v>
      </c>
      <c r="AD368" t="n">
        <v>0</v>
      </c>
      <c r="AE368" t="n">
        <v>0</v>
      </c>
      <c r="AF368" t="n">
        <v>0</v>
      </c>
      <c r="AG368" t="n">
        <v>0</v>
      </c>
      <c r="AH368" t="n">
        <v>0</v>
      </c>
      <c r="AI368" t="n">
        <v>0</v>
      </c>
      <c r="AJ368" t="n">
        <v>0</v>
      </c>
      <c r="AK368" t="n">
        <v>0</v>
      </c>
      <c r="AL368" t="n">
        <v>90</v>
      </c>
      <c r="AM368" t="n">
        <v>0</v>
      </c>
      <c r="AN368" t="n">
        <v>0</v>
      </c>
      <c r="AO368" t="n">
        <v>0</v>
      </c>
      <c r="AP368" t="n">
        <v>214</v>
      </c>
      <c r="AQ368" t="n">
        <v>120</v>
      </c>
      <c r="AR368" t="n">
        <v>214</v>
      </c>
      <c r="AS368" t="n">
        <v>120</v>
      </c>
      <c r="AT368" t="n">
        <v>-124</v>
      </c>
      <c r="AU368" t="n">
        <v>-30</v>
      </c>
      <c r="AV368" t="n">
        <v>100</v>
      </c>
      <c r="AW368" t="n">
        <v>0.1</v>
      </c>
      <c r="AX368" t="n">
        <v>6.5</v>
      </c>
      <c r="AY368" t="n">
        <v>1.1</v>
      </c>
      <c r="AZ368" t="n">
        <v>82.09999999999999</v>
      </c>
      <c r="BA368" t="n">
        <v>76.3</v>
      </c>
      <c r="BB368" t="n">
        <v>83.3</v>
      </c>
      <c r="BC368" t="n">
        <v>83.90000000000001</v>
      </c>
      <c r="BD368" t="n">
        <v>16.7</v>
      </c>
      <c r="BE368" t="n">
        <v>16.1</v>
      </c>
      <c r="BF368" t="n">
        <v>100</v>
      </c>
      <c r="BG368" t="n">
        <v>0.1</v>
      </c>
      <c r="BH368" t="n">
        <v>6.5</v>
      </c>
      <c r="BI368" t="n">
        <v>1.1</v>
      </c>
      <c r="BJ368" t="n">
        <v>82.09999999999999</v>
      </c>
      <c r="BK368" t="n">
        <v>76.3</v>
      </c>
      <c r="BL368" t="n">
        <v>83.3</v>
      </c>
      <c r="BM368" t="n">
        <v>83.90000000000001</v>
      </c>
      <c r="BN368" t="n">
        <v>16.7</v>
      </c>
      <c r="BO368" t="n">
        <v>16.1</v>
      </c>
      <c r="BP368" t="n">
        <v>0</v>
      </c>
      <c r="BQ368" t="n">
        <v>0</v>
      </c>
      <c r="BR368" t="n">
        <v>0</v>
      </c>
      <c r="BS368" t="n">
        <v>0</v>
      </c>
      <c r="BT368" t="n">
        <v>0</v>
      </c>
      <c r="BU368" t="n">
        <v>0</v>
      </c>
      <c r="BV368" t="n">
        <v>0</v>
      </c>
      <c r="BW368" t="n">
        <v>0</v>
      </c>
      <c r="BX368" t="n">
        <v>0</v>
      </c>
      <c r="BY368" t="n">
        <v>0</v>
      </c>
      <c r="BZ368" t="n">
        <v>31</v>
      </c>
      <c r="CA368" t="n">
        <v>1</v>
      </c>
      <c r="CB368" t="n">
        <v>3</v>
      </c>
      <c r="CC368" t="n">
        <v>2</v>
      </c>
      <c r="CD368" t="n">
        <v>24</v>
      </c>
      <c r="CE368" t="n">
        <v>24</v>
      </c>
      <c r="CF368" t="n">
        <v>27</v>
      </c>
      <c r="CG368" t="n">
        <v>27</v>
      </c>
      <c r="CH368" t="n">
        <v>31</v>
      </c>
      <c r="CI368" t="n">
        <v>1</v>
      </c>
      <c r="CJ368" t="n">
        <v>3</v>
      </c>
      <c r="CK368" t="n">
        <v>2</v>
      </c>
      <c r="CL368" t="n">
        <v>24</v>
      </c>
      <c r="CM368" t="n">
        <v>24</v>
      </c>
      <c r="CN368" t="n">
        <v>27</v>
      </c>
      <c r="CO368" t="n">
        <v>27</v>
      </c>
      <c r="CP368" t="n">
        <v>0</v>
      </c>
      <c r="CQ368" t="n">
        <v>0</v>
      </c>
      <c r="CR368" t="n">
        <v>0</v>
      </c>
      <c r="CS368" t="n">
        <v>0</v>
      </c>
      <c r="CT368" t="n">
        <v>0</v>
      </c>
      <c r="CU368" t="n">
        <v>0</v>
      </c>
      <c r="CV368" t="n">
        <v>0</v>
      </c>
      <c r="CW368" t="n">
        <v>0</v>
      </c>
      <c r="CX368" t="n">
        <v>44.2</v>
      </c>
      <c r="CY368" t="n">
        <v>47.3</v>
      </c>
      <c r="CZ368" t="n">
        <v>62.3</v>
      </c>
      <c r="DA368" t="n">
        <v>60.5</v>
      </c>
      <c r="DB368" t="n">
        <v>32.8</v>
      </c>
      <c r="DC368" t="n">
        <v>43.7</v>
      </c>
      <c r="DD368" t="n">
        <v>44.6</v>
      </c>
      <c r="DE368" t="n">
        <v>50.7</v>
      </c>
      <c r="DF368" t="n">
        <v>44.2</v>
      </c>
      <c r="DG368" t="n">
        <v>47.3</v>
      </c>
      <c r="DH368" t="n">
        <v>62.3</v>
      </c>
      <c r="DI368" t="n">
        <v>60.5</v>
      </c>
      <c r="DJ368" t="n">
        <v>32.8</v>
      </c>
      <c r="DK368" t="n">
        <v>43.7</v>
      </c>
      <c r="DL368" t="n">
        <v>44.6</v>
      </c>
      <c r="DM368" t="n">
        <v>50.7</v>
      </c>
      <c r="DN368" t="n">
        <v>0</v>
      </c>
      <c r="DO368" t="n">
        <v>0</v>
      </c>
      <c r="DP368" t="n">
        <v>0</v>
      </c>
      <c r="DQ368" t="n">
        <v>0</v>
      </c>
      <c r="DR368" t="n">
        <v>0</v>
      </c>
      <c r="DS368" t="n">
        <v>0</v>
      </c>
      <c r="DT368" t="n">
        <v>0</v>
      </c>
      <c r="DU368" t="n">
        <v>0</v>
      </c>
      <c r="DV368" t="inlineStr">
        <is>
          <t>Megawatt Hours (MWh)</t>
        </is>
      </c>
    </row>
    <row r="369">
      <c r="A369" t="inlineStr">
        <is>
          <t>PJM.WESTERN HUB_month_on_rtp - NODAL EXCHANGE</t>
        </is>
      </c>
      <c r="B369" t="n">
        <v>230110</v>
      </c>
      <c r="C369" s="1" t="n">
        <v>44936</v>
      </c>
      <c r="D369" t="inlineStr">
        <is>
          <t>064FKE</t>
        </is>
      </c>
      <c r="E369" t="inlineStr">
        <is>
          <t>NODX</t>
        </is>
      </c>
      <c r="F369" t="inlineStr">
        <is>
          <t>01</t>
        </is>
      </c>
      <c r="G369" t="inlineStr">
        <is>
          <t xml:space="preserve">064 </t>
        </is>
      </c>
      <c r="H369" t="n">
        <v>192171</v>
      </c>
      <c r="I369" s="17" t="n">
        <v>2085</v>
      </c>
      <c r="J369" s="17" t="n">
        <v>3292</v>
      </c>
      <c r="K369" t="n">
        <v>5180</v>
      </c>
      <c r="L369" t="n">
        <v>142897</v>
      </c>
      <c r="M369" t="n">
        <v>141770</v>
      </c>
      <c r="N369" t="n">
        <v>150162</v>
      </c>
      <c r="O369" t="n">
        <v>150242</v>
      </c>
      <c r="P369" t="n">
        <v>42009</v>
      </c>
      <c r="Q369" t="n">
        <v>41929</v>
      </c>
      <c r="R369" t="n">
        <v>192171</v>
      </c>
      <c r="S369" t="n">
        <v>2085</v>
      </c>
      <c r="T369" t="n">
        <v>3292</v>
      </c>
      <c r="U369" t="n">
        <v>5180</v>
      </c>
      <c r="V369" t="n">
        <v>142897</v>
      </c>
      <c r="W369" t="n">
        <v>141770</v>
      </c>
      <c r="X369" t="n">
        <v>150162</v>
      </c>
      <c r="Y369" t="n">
        <v>150242</v>
      </c>
      <c r="Z369" t="n">
        <v>42009</v>
      </c>
      <c r="AA369" t="n">
        <v>41929</v>
      </c>
      <c r="AB369" t="n">
        <v>0</v>
      </c>
      <c r="AC369" t="n">
        <v>0</v>
      </c>
      <c r="AD369" t="n">
        <v>0</v>
      </c>
      <c r="AE369" t="n">
        <v>0</v>
      </c>
      <c r="AF369" t="n">
        <v>0</v>
      </c>
      <c r="AG369" t="n">
        <v>0</v>
      </c>
      <c r="AH369" t="n">
        <v>0</v>
      </c>
      <c r="AI369" t="n">
        <v>0</v>
      </c>
      <c r="AJ369" t="n">
        <v>0</v>
      </c>
      <c r="AK369" t="n">
        <v>0</v>
      </c>
      <c r="AL369" t="n">
        <v>-3334</v>
      </c>
      <c r="AM369" t="n">
        <v>-2711</v>
      </c>
      <c r="AN369" t="n">
        <v>1015</v>
      </c>
      <c r="AO369" t="n">
        <v>1632</v>
      </c>
      <c r="AP369" t="n">
        <v>-431</v>
      </c>
      <c r="AQ369" t="n">
        <v>-4057</v>
      </c>
      <c r="AR369" t="n">
        <v>-1510</v>
      </c>
      <c r="AS369" t="n">
        <v>-1410</v>
      </c>
      <c r="AT369" t="n">
        <v>-1824</v>
      </c>
      <c r="AU369" t="n">
        <v>-1924</v>
      </c>
      <c r="AV369" t="n">
        <v>100</v>
      </c>
      <c r="AW369" t="n">
        <v>1.1</v>
      </c>
      <c r="AX369" t="n">
        <v>1.7</v>
      </c>
      <c r="AY369" t="n">
        <v>2.7</v>
      </c>
      <c r="AZ369" t="n">
        <v>74.40000000000001</v>
      </c>
      <c r="BA369" t="n">
        <v>73.8</v>
      </c>
      <c r="BB369" t="n">
        <v>78.09999999999999</v>
      </c>
      <c r="BC369" t="n">
        <v>78.2</v>
      </c>
      <c r="BD369" t="n">
        <v>21.9</v>
      </c>
      <c r="BE369" t="n">
        <v>21.8</v>
      </c>
      <c r="BF369" t="n">
        <v>100</v>
      </c>
      <c r="BG369" t="n">
        <v>1.1</v>
      </c>
      <c r="BH369" t="n">
        <v>1.7</v>
      </c>
      <c r="BI369" t="n">
        <v>2.7</v>
      </c>
      <c r="BJ369" t="n">
        <v>74.40000000000001</v>
      </c>
      <c r="BK369" t="n">
        <v>73.8</v>
      </c>
      <c r="BL369" t="n">
        <v>78.09999999999999</v>
      </c>
      <c r="BM369" t="n">
        <v>78.2</v>
      </c>
      <c r="BN369" t="n">
        <v>21.9</v>
      </c>
      <c r="BO369" t="n">
        <v>21.8</v>
      </c>
      <c r="BP369" t="n">
        <v>0</v>
      </c>
      <c r="BQ369" t="n">
        <v>0</v>
      </c>
      <c r="BR369" t="n">
        <v>0</v>
      </c>
      <c r="BS369" t="n">
        <v>0</v>
      </c>
      <c r="BT369" t="n">
        <v>0</v>
      </c>
      <c r="BU369" t="n">
        <v>0</v>
      </c>
      <c r="BV369" t="n">
        <v>0</v>
      </c>
      <c r="BW369" t="n">
        <v>0</v>
      </c>
      <c r="BX369" t="n">
        <v>0</v>
      </c>
      <c r="BY369" t="n">
        <v>0</v>
      </c>
      <c r="BZ369" t="n">
        <v>44</v>
      </c>
      <c r="CA369" t="n">
        <v>4</v>
      </c>
      <c r="CB369" t="n">
        <v>3</v>
      </c>
      <c r="CC369" t="n">
        <v>5</v>
      </c>
      <c r="CD369" t="n">
        <v>29</v>
      </c>
      <c r="CE369" t="n">
        <v>35</v>
      </c>
      <c r="CF369" t="n">
        <v>36</v>
      </c>
      <c r="CG369" t="n">
        <v>41</v>
      </c>
      <c r="CH369" t="n">
        <v>44</v>
      </c>
      <c r="CI369" t="n">
        <v>4</v>
      </c>
      <c r="CJ369" t="n">
        <v>3</v>
      </c>
      <c r="CK369" t="n">
        <v>5</v>
      </c>
      <c r="CL369" t="n">
        <v>29</v>
      </c>
      <c r="CM369" t="n">
        <v>35</v>
      </c>
      <c r="CN369" t="n">
        <v>36</v>
      </c>
      <c r="CO369" t="n">
        <v>41</v>
      </c>
      <c r="CP369" t="n">
        <v>0</v>
      </c>
      <c r="CQ369" t="n">
        <v>0</v>
      </c>
      <c r="CR369" t="n">
        <v>0</v>
      </c>
      <c r="CS369" t="n">
        <v>0</v>
      </c>
      <c r="CT369" t="n">
        <v>0</v>
      </c>
      <c r="CU369" t="n">
        <v>0</v>
      </c>
      <c r="CV369" t="n">
        <v>0</v>
      </c>
      <c r="CW369" t="n">
        <v>0</v>
      </c>
      <c r="CX369" t="n">
        <v>30.8</v>
      </c>
      <c r="CY369" t="n">
        <v>38.5</v>
      </c>
      <c r="CZ369" t="n">
        <v>45.1</v>
      </c>
      <c r="DA369" t="n">
        <v>55</v>
      </c>
      <c r="DB369" t="n">
        <v>18.5</v>
      </c>
      <c r="DC369" t="n">
        <v>31.4</v>
      </c>
      <c r="DD369" t="n">
        <v>28.4</v>
      </c>
      <c r="DE369" t="n">
        <v>37.2</v>
      </c>
      <c r="DF369" t="n">
        <v>30.8</v>
      </c>
      <c r="DG369" t="n">
        <v>38.5</v>
      </c>
      <c r="DH369" t="n">
        <v>45.1</v>
      </c>
      <c r="DI369" t="n">
        <v>55</v>
      </c>
      <c r="DJ369" t="n">
        <v>18.5</v>
      </c>
      <c r="DK369" t="n">
        <v>31.4</v>
      </c>
      <c r="DL369" t="n">
        <v>28.4</v>
      </c>
      <c r="DM369" t="n">
        <v>37.2</v>
      </c>
      <c r="DN369" t="n">
        <v>0</v>
      </c>
      <c r="DO369" t="n">
        <v>0</v>
      </c>
      <c r="DP369" t="n">
        <v>0</v>
      </c>
      <c r="DQ369" t="n">
        <v>0</v>
      </c>
      <c r="DR369" t="n">
        <v>0</v>
      </c>
      <c r="DS369" t="n">
        <v>0</v>
      </c>
      <c r="DT369" t="n">
        <v>0</v>
      </c>
      <c r="DU369" t="n">
        <v>0</v>
      </c>
      <c r="DV369" t="inlineStr">
        <is>
          <t>Megawatt Hours (MWh)</t>
        </is>
      </c>
    </row>
    <row r="370">
      <c r="A370" t="inlineStr">
        <is>
          <t>PJM.WESTERN HUB_month_on_rtp - NODAL EXCHANGE</t>
        </is>
      </c>
      <c r="B370" t="n">
        <v>230103</v>
      </c>
      <c r="C370" s="1" t="n">
        <v>44929</v>
      </c>
      <c r="D370" t="inlineStr">
        <is>
          <t>064FKE</t>
        </is>
      </c>
      <c r="E370" t="inlineStr">
        <is>
          <t>NODX</t>
        </is>
      </c>
      <c r="F370" t="inlineStr">
        <is>
          <t>01</t>
        </is>
      </c>
      <c r="G370" t="inlineStr">
        <is>
          <t xml:space="preserve">064 </t>
        </is>
      </c>
      <c r="H370" t="n">
        <v>195505</v>
      </c>
      <c r="I370" s="17" t="n">
        <v>4796</v>
      </c>
      <c r="J370" s="17" t="n">
        <v>2277</v>
      </c>
      <c r="K370" t="n">
        <v>3548</v>
      </c>
      <c r="L370" t="n">
        <v>143328</v>
      </c>
      <c r="M370" t="n">
        <v>145827</v>
      </c>
      <c r="N370" t="n">
        <v>151672</v>
      </c>
      <c r="O370" t="n">
        <v>151652</v>
      </c>
      <c r="P370" t="n">
        <v>43833</v>
      </c>
      <c r="Q370" t="n">
        <v>43853</v>
      </c>
      <c r="R370" t="n">
        <v>195505</v>
      </c>
      <c r="S370" t="n">
        <v>4796</v>
      </c>
      <c r="T370" t="n">
        <v>2277</v>
      </c>
      <c r="U370" t="n">
        <v>3548</v>
      </c>
      <c r="V370" t="n">
        <v>143328</v>
      </c>
      <c r="W370" t="n">
        <v>145827</v>
      </c>
      <c r="X370" t="n">
        <v>151672</v>
      </c>
      <c r="Y370" t="n">
        <v>151652</v>
      </c>
      <c r="Z370" t="n">
        <v>43833</v>
      </c>
      <c r="AA370" t="n">
        <v>43853</v>
      </c>
      <c r="AB370" t="n">
        <v>0</v>
      </c>
      <c r="AC370" t="n">
        <v>0</v>
      </c>
      <c r="AD370" t="n">
        <v>0</v>
      </c>
      <c r="AE370" t="n">
        <v>0</v>
      </c>
      <c r="AF370" t="n">
        <v>0</v>
      </c>
      <c r="AG370" t="n">
        <v>0</v>
      </c>
      <c r="AH370" t="n">
        <v>0</v>
      </c>
      <c r="AI370" t="n">
        <v>0</v>
      </c>
      <c r="AJ370" t="n">
        <v>0</v>
      </c>
      <c r="AK370" t="n">
        <v>0</v>
      </c>
      <c r="AL370" t="n">
        <v>1013</v>
      </c>
      <c r="AM370" t="n">
        <v>0</v>
      </c>
      <c r="AN370" t="n">
        <v>-375</v>
      </c>
      <c r="AO370" t="n">
        <v>200</v>
      </c>
      <c r="AP370" t="n">
        <v>168</v>
      </c>
      <c r="AQ370" t="n">
        <v>543</v>
      </c>
      <c r="AR370" t="n">
        <v>368</v>
      </c>
      <c r="AS370" t="n">
        <v>368</v>
      </c>
      <c r="AT370" t="n">
        <v>645</v>
      </c>
      <c r="AU370" t="n">
        <v>645</v>
      </c>
      <c r="AV370" t="n">
        <v>100</v>
      </c>
      <c r="AW370" t="n">
        <v>2.5</v>
      </c>
      <c r="AX370" t="n">
        <v>1.2</v>
      </c>
      <c r="AY370" t="n">
        <v>1.8</v>
      </c>
      <c r="AZ370" t="n">
        <v>73.3</v>
      </c>
      <c r="BA370" t="n">
        <v>74.59999999999999</v>
      </c>
      <c r="BB370" t="n">
        <v>77.59999999999999</v>
      </c>
      <c r="BC370" t="n">
        <v>77.59999999999999</v>
      </c>
      <c r="BD370" t="n">
        <v>22.4</v>
      </c>
      <c r="BE370" t="n">
        <v>22.4</v>
      </c>
      <c r="BF370" t="n">
        <v>100</v>
      </c>
      <c r="BG370" t="n">
        <v>2.5</v>
      </c>
      <c r="BH370" t="n">
        <v>1.2</v>
      </c>
      <c r="BI370" t="n">
        <v>1.8</v>
      </c>
      <c r="BJ370" t="n">
        <v>73.3</v>
      </c>
      <c r="BK370" t="n">
        <v>74.59999999999999</v>
      </c>
      <c r="BL370" t="n">
        <v>77.59999999999999</v>
      </c>
      <c r="BM370" t="n">
        <v>77.59999999999999</v>
      </c>
      <c r="BN370" t="n">
        <v>22.4</v>
      </c>
      <c r="BO370" t="n">
        <v>22.4</v>
      </c>
      <c r="BP370" t="n">
        <v>0</v>
      </c>
      <c r="BQ370" t="n">
        <v>0</v>
      </c>
      <c r="BR370" t="n">
        <v>0</v>
      </c>
      <c r="BS370" t="n">
        <v>0</v>
      </c>
      <c r="BT370" t="n">
        <v>0</v>
      </c>
      <c r="BU370" t="n">
        <v>0</v>
      </c>
      <c r="BV370" t="n">
        <v>0</v>
      </c>
      <c r="BW370" t="n">
        <v>0</v>
      </c>
      <c r="BX370" t="n">
        <v>0</v>
      </c>
      <c r="BY370" t="n">
        <v>0</v>
      </c>
      <c r="BZ370" t="n">
        <v>46</v>
      </c>
      <c r="CA370" t="n">
        <v>5</v>
      </c>
      <c r="CB370" t="n">
        <v>4</v>
      </c>
      <c r="CC370" t="n">
        <v>6</v>
      </c>
      <c r="CD370" t="n">
        <v>32</v>
      </c>
      <c r="CE370" t="n">
        <v>37</v>
      </c>
      <c r="CF370" t="n">
        <v>40</v>
      </c>
      <c r="CG370" t="n">
        <v>44</v>
      </c>
      <c r="CH370" t="n">
        <v>46</v>
      </c>
      <c r="CI370" t="n">
        <v>5</v>
      </c>
      <c r="CJ370" t="n">
        <v>4</v>
      </c>
      <c r="CK370" t="n">
        <v>6</v>
      </c>
      <c r="CL370" t="n">
        <v>32</v>
      </c>
      <c r="CM370" t="n">
        <v>37</v>
      </c>
      <c r="CN370" t="n">
        <v>40</v>
      </c>
      <c r="CO370" t="n">
        <v>44</v>
      </c>
      <c r="CP370" t="n">
        <v>0</v>
      </c>
      <c r="CQ370" t="n">
        <v>0</v>
      </c>
      <c r="CR370" t="n">
        <v>0</v>
      </c>
      <c r="CS370" t="n">
        <v>0</v>
      </c>
      <c r="CT370" t="n">
        <v>0</v>
      </c>
      <c r="CU370" t="n">
        <v>0</v>
      </c>
      <c r="CV370" t="n">
        <v>0</v>
      </c>
      <c r="CW370" t="n">
        <v>0</v>
      </c>
      <c r="CX370" t="n">
        <v>29.7</v>
      </c>
      <c r="CY370" t="n">
        <v>38.5</v>
      </c>
      <c r="CZ370" t="n">
        <v>43.7</v>
      </c>
      <c r="DA370" t="n">
        <v>55.4</v>
      </c>
      <c r="DB370" t="n">
        <v>17.5</v>
      </c>
      <c r="DC370" t="n">
        <v>30.4</v>
      </c>
      <c r="DD370" t="n">
        <v>26.7</v>
      </c>
      <c r="DE370" t="n">
        <v>36.3</v>
      </c>
      <c r="DF370" t="n">
        <v>29.7</v>
      </c>
      <c r="DG370" t="n">
        <v>38.5</v>
      </c>
      <c r="DH370" t="n">
        <v>43.7</v>
      </c>
      <c r="DI370" t="n">
        <v>55.4</v>
      </c>
      <c r="DJ370" t="n">
        <v>17.5</v>
      </c>
      <c r="DK370" t="n">
        <v>30.4</v>
      </c>
      <c r="DL370" t="n">
        <v>26.7</v>
      </c>
      <c r="DM370" t="n">
        <v>36.3</v>
      </c>
      <c r="DN370" t="n">
        <v>0</v>
      </c>
      <c r="DO370" t="n">
        <v>0</v>
      </c>
      <c r="DP370" t="n">
        <v>0</v>
      </c>
      <c r="DQ370" t="n">
        <v>0</v>
      </c>
      <c r="DR370" t="n">
        <v>0</v>
      </c>
      <c r="DS370" t="n">
        <v>0</v>
      </c>
      <c r="DT370" t="n">
        <v>0</v>
      </c>
      <c r="DU370" t="n">
        <v>0</v>
      </c>
      <c r="DV370" t="inlineStr">
        <is>
          <t>Megawatt Hours (MWh)</t>
        </is>
      </c>
    </row>
    <row r="371">
      <c r="A371" t="inlineStr">
        <is>
          <t>PJM.WESTERN HUB_month_off_rtp - NODAL EXCHANGE</t>
        </is>
      </c>
      <c r="B371" t="n">
        <v>230110</v>
      </c>
      <c r="C371" s="1" t="n">
        <v>44936</v>
      </c>
      <c r="D371" t="inlineStr">
        <is>
          <t>064FKF</t>
        </is>
      </c>
      <c r="E371" t="inlineStr">
        <is>
          <t>NODX</t>
        </is>
      </c>
      <c r="F371" t="inlineStr">
        <is>
          <t>01</t>
        </is>
      </c>
      <c r="G371" t="inlineStr">
        <is>
          <t xml:space="preserve">064 </t>
        </is>
      </c>
      <c r="H371" t="n">
        <v>169275</v>
      </c>
      <c r="I371" s="17" t="n">
        <v>8126</v>
      </c>
      <c r="J371" s="17" t="n">
        <v>1839</v>
      </c>
      <c r="K371" t="n">
        <v>7300</v>
      </c>
      <c r="L371" t="n">
        <v>120682</v>
      </c>
      <c r="M371" t="n">
        <v>127139</v>
      </c>
      <c r="N371" t="n">
        <v>136108</v>
      </c>
      <c r="O371" t="n">
        <v>136278</v>
      </c>
      <c r="P371" t="n">
        <v>33167</v>
      </c>
      <c r="Q371" t="n">
        <v>32997</v>
      </c>
      <c r="R371" t="n">
        <v>169275</v>
      </c>
      <c r="S371" t="n">
        <v>8126</v>
      </c>
      <c r="T371" t="n">
        <v>1839</v>
      </c>
      <c r="U371" t="n">
        <v>7300</v>
      </c>
      <c r="V371" t="n">
        <v>120682</v>
      </c>
      <c r="W371" t="n">
        <v>127139</v>
      </c>
      <c r="X371" t="n">
        <v>136108</v>
      </c>
      <c r="Y371" t="n">
        <v>136278</v>
      </c>
      <c r="Z371" t="n">
        <v>33167</v>
      </c>
      <c r="AA371" t="n">
        <v>32997</v>
      </c>
      <c r="AB371" t="n">
        <v>0</v>
      </c>
      <c r="AC371" t="n">
        <v>0</v>
      </c>
      <c r="AD371" t="n">
        <v>0</v>
      </c>
      <c r="AE371" t="n">
        <v>0</v>
      </c>
      <c r="AF371" t="n">
        <v>0</v>
      </c>
      <c r="AG371" t="n">
        <v>0</v>
      </c>
      <c r="AH371" t="n">
        <v>0</v>
      </c>
      <c r="AI371" t="n">
        <v>0</v>
      </c>
      <c r="AJ371" t="n">
        <v>0</v>
      </c>
      <c r="AK371" t="n">
        <v>0</v>
      </c>
      <c r="AL371" t="n">
        <v>-3679</v>
      </c>
      <c r="AM371" t="n">
        <v>-450</v>
      </c>
      <c r="AN371" t="n">
        <v>-644</v>
      </c>
      <c r="AO371" t="n">
        <v>-205</v>
      </c>
      <c r="AP371" t="n">
        <v>-1566</v>
      </c>
      <c r="AQ371" t="n">
        <v>-1382</v>
      </c>
      <c r="AR371" t="n">
        <v>-2221</v>
      </c>
      <c r="AS371" t="n">
        <v>-2231</v>
      </c>
      <c r="AT371" t="n">
        <v>-1458</v>
      </c>
      <c r="AU371" t="n">
        <v>-1448</v>
      </c>
      <c r="AV371" t="n">
        <v>100</v>
      </c>
      <c r="AW371" t="n">
        <v>4.8</v>
      </c>
      <c r="AX371" t="n">
        <v>1.1</v>
      </c>
      <c r="AY371" t="n">
        <v>4.3</v>
      </c>
      <c r="AZ371" t="n">
        <v>71.3</v>
      </c>
      <c r="BA371" t="n">
        <v>75.09999999999999</v>
      </c>
      <c r="BB371" t="n">
        <v>80.40000000000001</v>
      </c>
      <c r="BC371" t="n">
        <v>80.5</v>
      </c>
      <c r="BD371" t="n">
        <v>19.6</v>
      </c>
      <c r="BE371" t="n">
        <v>19.5</v>
      </c>
      <c r="BF371" t="n">
        <v>100</v>
      </c>
      <c r="BG371" t="n">
        <v>4.8</v>
      </c>
      <c r="BH371" t="n">
        <v>1.1</v>
      </c>
      <c r="BI371" t="n">
        <v>4.3</v>
      </c>
      <c r="BJ371" t="n">
        <v>71.3</v>
      </c>
      <c r="BK371" t="n">
        <v>75.09999999999999</v>
      </c>
      <c r="BL371" t="n">
        <v>80.40000000000001</v>
      </c>
      <c r="BM371" t="n">
        <v>80.5</v>
      </c>
      <c r="BN371" t="n">
        <v>19.6</v>
      </c>
      <c r="BO371" t="n">
        <v>19.5</v>
      </c>
      <c r="BP371" t="n">
        <v>0</v>
      </c>
      <c r="BQ371" t="n">
        <v>0</v>
      </c>
      <c r="BR371" t="n">
        <v>0</v>
      </c>
      <c r="BS371" t="n">
        <v>0</v>
      </c>
      <c r="BT371" t="n">
        <v>0</v>
      </c>
      <c r="BU371" t="n">
        <v>0</v>
      </c>
      <c r="BV371" t="n">
        <v>0</v>
      </c>
      <c r="BW371" t="n">
        <v>0</v>
      </c>
      <c r="BX371" t="n">
        <v>0</v>
      </c>
      <c r="BY371" t="n">
        <v>0</v>
      </c>
      <c r="BZ371" t="n">
        <v>43</v>
      </c>
      <c r="CA371" t="n">
        <v>4</v>
      </c>
      <c r="CB371" t="n">
        <v>4</v>
      </c>
      <c r="CC371" t="n">
        <v>5</v>
      </c>
      <c r="CD371" t="n">
        <v>31</v>
      </c>
      <c r="CE371" t="n">
        <v>34</v>
      </c>
      <c r="CF371" t="n">
        <v>38</v>
      </c>
      <c r="CG371" t="n">
        <v>40</v>
      </c>
      <c r="CH371" t="n">
        <v>43</v>
      </c>
      <c r="CI371" t="n">
        <v>4</v>
      </c>
      <c r="CJ371" t="n">
        <v>4</v>
      </c>
      <c r="CK371" t="n">
        <v>5</v>
      </c>
      <c r="CL371" t="n">
        <v>31</v>
      </c>
      <c r="CM371" t="n">
        <v>34</v>
      </c>
      <c r="CN371" t="n">
        <v>38</v>
      </c>
      <c r="CO371" t="n">
        <v>40</v>
      </c>
      <c r="CP371" t="n">
        <v>0</v>
      </c>
      <c r="CQ371" t="n">
        <v>0</v>
      </c>
      <c r="CR371" t="n">
        <v>0</v>
      </c>
      <c r="CS371" t="n">
        <v>0</v>
      </c>
      <c r="CT371" t="n">
        <v>0</v>
      </c>
      <c r="CU371" t="n">
        <v>0</v>
      </c>
      <c r="CV371" t="n">
        <v>0</v>
      </c>
      <c r="CW371" t="n">
        <v>0</v>
      </c>
      <c r="CX371" t="n">
        <v>33.3</v>
      </c>
      <c r="CY371" t="n">
        <v>35.3</v>
      </c>
      <c r="CZ371" t="n">
        <v>49.6</v>
      </c>
      <c r="DA371" t="n">
        <v>54.9</v>
      </c>
      <c r="DB371" t="n">
        <v>23.5</v>
      </c>
      <c r="DC371" t="n">
        <v>29.9</v>
      </c>
      <c r="DD371" t="n">
        <v>32.3</v>
      </c>
      <c r="DE371" t="n">
        <v>38.8</v>
      </c>
      <c r="DF371" t="n">
        <v>33.3</v>
      </c>
      <c r="DG371" t="n">
        <v>35.3</v>
      </c>
      <c r="DH371" t="n">
        <v>49.6</v>
      </c>
      <c r="DI371" t="n">
        <v>54.9</v>
      </c>
      <c r="DJ371" t="n">
        <v>23.5</v>
      </c>
      <c r="DK371" t="n">
        <v>29.9</v>
      </c>
      <c r="DL371" t="n">
        <v>32.3</v>
      </c>
      <c r="DM371" t="n">
        <v>38.8</v>
      </c>
      <c r="DN371" t="n">
        <v>0</v>
      </c>
      <c r="DO371" t="n">
        <v>0</v>
      </c>
      <c r="DP371" t="n">
        <v>0</v>
      </c>
      <c r="DQ371" t="n">
        <v>0</v>
      </c>
      <c r="DR371" t="n">
        <v>0</v>
      </c>
      <c r="DS371" t="n">
        <v>0</v>
      </c>
      <c r="DT371" t="n">
        <v>0</v>
      </c>
      <c r="DU371" t="n">
        <v>0</v>
      </c>
      <c r="DV371" t="inlineStr">
        <is>
          <t>Megawatt Hours (MWh)</t>
        </is>
      </c>
    </row>
    <row r="372">
      <c r="A372" t="inlineStr">
        <is>
          <t>PJM.WESTERN HUB_month_off_rtp - NODAL EXCHANGE</t>
        </is>
      </c>
      <c r="B372" t="n">
        <v>230103</v>
      </c>
      <c r="C372" s="1" t="n">
        <v>44929</v>
      </c>
      <c r="D372" t="inlineStr">
        <is>
          <t>064FKF</t>
        </is>
      </c>
      <c r="E372" t="inlineStr">
        <is>
          <t>NODX</t>
        </is>
      </c>
      <c r="F372" t="inlineStr">
        <is>
          <t>01</t>
        </is>
      </c>
      <c r="G372" t="inlineStr">
        <is>
          <t xml:space="preserve">064 </t>
        </is>
      </c>
      <c r="H372" t="n">
        <v>172954</v>
      </c>
      <c r="I372" s="17" t="n">
        <v>8576</v>
      </c>
      <c r="J372" s="17" t="n">
        <v>2483</v>
      </c>
      <c r="K372" t="n">
        <v>7505</v>
      </c>
      <c r="L372" t="n">
        <v>122248</v>
      </c>
      <c r="M372" t="n">
        <v>128521</v>
      </c>
      <c r="N372" t="n">
        <v>138329</v>
      </c>
      <c r="O372" t="n">
        <v>138509</v>
      </c>
      <c r="P372" t="n">
        <v>34625</v>
      </c>
      <c r="Q372" t="n">
        <v>34445</v>
      </c>
      <c r="R372" t="n">
        <v>172954</v>
      </c>
      <c r="S372" t="n">
        <v>8576</v>
      </c>
      <c r="T372" t="n">
        <v>2483</v>
      </c>
      <c r="U372" t="n">
        <v>7505</v>
      </c>
      <c r="V372" t="n">
        <v>122248</v>
      </c>
      <c r="W372" t="n">
        <v>128521</v>
      </c>
      <c r="X372" t="n">
        <v>138329</v>
      </c>
      <c r="Y372" t="n">
        <v>138509</v>
      </c>
      <c r="Z372" t="n">
        <v>34625</v>
      </c>
      <c r="AA372" t="n">
        <v>34445</v>
      </c>
      <c r="AB372" t="n">
        <v>0</v>
      </c>
      <c r="AC372" t="n">
        <v>0</v>
      </c>
      <c r="AD372" t="n">
        <v>0</v>
      </c>
      <c r="AE372" t="n">
        <v>0</v>
      </c>
      <c r="AF372" t="n">
        <v>0</v>
      </c>
      <c r="AG372" t="n">
        <v>0</v>
      </c>
      <c r="AH372" t="n">
        <v>0</v>
      </c>
      <c r="AI372" t="n">
        <v>0</v>
      </c>
      <c r="AJ372" t="n">
        <v>0</v>
      </c>
      <c r="AK372" t="n">
        <v>0</v>
      </c>
      <c r="AL372" t="n">
        <v>1212</v>
      </c>
      <c r="AM372" t="n">
        <v>0</v>
      </c>
      <c r="AN372" t="n">
        <v>-140</v>
      </c>
      <c r="AO372" t="n">
        <v>200</v>
      </c>
      <c r="AP372" t="n">
        <v>810</v>
      </c>
      <c r="AQ372" t="n">
        <v>950</v>
      </c>
      <c r="AR372" t="n">
        <v>1010</v>
      </c>
      <c r="AS372" t="n">
        <v>1010</v>
      </c>
      <c r="AT372" t="n">
        <v>202</v>
      </c>
      <c r="AU372" t="n">
        <v>202</v>
      </c>
      <c r="AV372" t="n">
        <v>100</v>
      </c>
      <c r="AW372" t="n">
        <v>5</v>
      </c>
      <c r="AX372" t="n">
        <v>1.4</v>
      </c>
      <c r="AY372" t="n">
        <v>4.3</v>
      </c>
      <c r="AZ372" t="n">
        <v>70.7</v>
      </c>
      <c r="BA372" t="n">
        <v>74.3</v>
      </c>
      <c r="BB372" t="n">
        <v>80</v>
      </c>
      <c r="BC372" t="n">
        <v>80.09999999999999</v>
      </c>
      <c r="BD372" t="n">
        <v>20</v>
      </c>
      <c r="BE372" t="n">
        <v>19.9</v>
      </c>
      <c r="BF372" t="n">
        <v>100</v>
      </c>
      <c r="BG372" t="n">
        <v>5</v>
      </c>
      <c r="BH372" t="n">
        <v>1.4</v>
      </c>
      <c r="BI372" t="n">
        <v>4.3</v>
      </c>
      <c r="BJ372" t="n">
        <v>70.7</v>
      </c>
      <c r="BK372" t="n">
        <v>74.3</v>
      </c>
      <c r="BL372" t="n">
        <v>80</v>
      </c>
      <c r="BM372" t="n">
        <v>80.09999999999999</v>
      </c>
      <c r="BN372" t="n">
        <v>20</v>
      </c>
      <c r="BO372" t="n">
        <v>19.9</v>
      </c>
      <c r="BP372" t="n">
        <v>0</v>
      </c>
      <c r="BQ372" t="n">
        <v>0</v>
      </c>
      <c r="BR372" t="n">
        <v>0</v>
      </c>
      <c r="BS372" t="n">
        <v>0</v>
      </c>
      <c r="BT372" t="n">
        <v>0</v>
      </c>
      <c r="BU372" t="n">
        <v>0</v>
      </c>
      <c r="BV372" t="n">
        <v>0</v>
      </c>
      <c r="BW372" t="n">
        <v>0</v>
      </c>
      <c r="BX372" t="n">
        <v>0</v>
      </c>
      <c r="BY372" t="n">
        <v>0</v>
      </c>
      <c r="BZ372" t="n">
        <v>44</v>
      </c>
      <c r="CA372" t="n">
        <v>4</v>
      </c>
      <c r="CB372" t="n">
        <v>4</v>
      </c>
      <c r="CC372" t="n">
        <v>5</v>
      </c>
      <c r="CD372" t="n">
        <v>31</v>
      </c>
      <c r="CE372" t="n">
        <v>36</v>
      </c>
      <c r="CF372" t="n">
        <v>38</v>
      </c>
      <c r="CG372" t="n">
        <v>42</v>
      </c>
      <c r="CH372" t="n">
        <v>44</v>
      </c>
      <c r="CI372" t="n">
        <v>4</v>
      </c>
      <c r="CJ372" t="n">
        <v>4</v>
      </c>
      <c r="CK372" t="n">
        <v>5</v>
      </c>
      <c r="CL372" t="n">
        <v>31</v>
      </c>
      <c r="CM372" t="n">
        <v>36</v>
      </c>
      <c r="CN372" t="n">
        <v>38</v>
      </c>
      <c r="CO372" t="n">
        <v>42</v>
      </c>
      <c r="CP372" t="n">
        <v>0</v>
      </c>
      <c r="CQ372" t="n">
        <v>0</v>
      </c>
      <c r="CR372" t="n">
        <v>0</v>
      </c>
      <c r="CS372" t="n">
        <v>0</v>
      </c>
      <c r="CT372" t="n">
        <v>0</v>
      </c>
      <c r="CU372" t="n">
        <v>0</v>
      </c>
      <c r="CV372" t="n">
        <v>0</v>
      </c>
      <c r="CW372" t="n">
        <v>0</v>
      </c>
      <c r="CX372" t="n">
        <v>31.9</v>
      </c>
      <c r="CY372" t="n">
        <v>33.9</v>
      </c>
      <c r="CZ372" t="n">
        <v>47.8</v>
      </c>
      <c r="DA372" t="n">
        <v>53.9</v>
      </c>
      <c r="DB372" t="n">
        <v>22.3</v>
      </c>
      <c r="DC372" t="n">
        <v>28.3</v>
      </c>
      <c r="DD372" t="n">
        <v>30.6</v>
      </c>
      <c r="DE372" t="n">
        <v>36.8</v>
      </c>
      <c r="DF372" t="n">
        <v>31.9</v>
      </c>
      <c r="DG372" t="n">
        <v>33.9</v>
      </c>
      <c r="DH372" t="n">
        <v>47.8</v>
      </c>
      <c r="DI372" t="n">
        <v>53.9</v>
      </c>
      <c r="DJ372" t="n">
        <v>22.3</v>
      </c>
      <c r="DK372" t="n">
        <v>28.3</v>
      </c>
      <c r="DL372" t="n">
        <v>30.6</v>
      </c>
      <c r="DM372" t="n">
        <v>36.8</v>
      </c>
      <c r="DN372" t="n">
        <v>0</v>
      </c>
      <c r="DO372" t="n">
        <v>0</v>
      </c>
      <c r="DP372" t="n">
        <v>0</v>
      </c>
      <c r="DQ372" t="n">
        <v>0</v>
      </c>
      <c r="DR372" t="n">
        <v>0</v>
      </c>
      <c r="DS372" t="n">
        <v>0</v>
      </c>
      <c r="DT372" t="n">
        <v>0</v>
      </c>
      <c r="DU372" t="n">
        <v>0</v>
      </c>
      <c r="DV372" t="inlineStr">
        <is>
          <t>Megawatt Hours (MWh)</t>
        </is>
      </c>
    </row>
    <row r="373">
      <c r="A373" t="inlineStr">
        <is>
          <t>ERCOT.HB_NORTH_month_on_rtp - NODAL EXCHANGE</t>
        </is>
      </c>
      <c r="B373" t="n">
        <v>230110</v>
      </c>
      <c r="C373" s="1" t="n">
        <v>44936</v>
      </c>
      <c r="D373" t="inlineStr">
        <is>
          <t>064FOK</t>
        </is>
      </c>
      <c r="E373" t="inlineStr">
        <is>
          <t>NODX</t>
        </is>
      </c>
      <c r="F373" t="inlineStr">
        <is>
          <t>01</t>
        </is>
      </c>
      <c r="G373" t="inlineStr">
        <is>
          <t xml:space="preserve">064 </t>
        </is>
      </c>
      <c r="H373" t="n">
        <v>106060</v>
      </c>
      <c r="I373" s="17" t="n">
        <v>4975</v>
      </c>
      <c r="J373" s="17" t="n">
        <v>3875</v>
      </c>
      <c r="K373" t="n">
        <v>330</v>
      </c>
      <c r="L373" t="n">
        <v>85460</v>
      </c>
      <c r="M373" t="n">
        <v>86760</v>
      </c>
      <c r="N373" t="n">
        <v>90765</v>
      </c>
      <c r="O373" t="n">
        <v>90965</v>
      </c>
      <c r="P373" t="n">
        <v>15295</v>
      </c>
      <c r="Q373" t="n">
        <v>15095</v>
      </c>
      <c r="R373" t="n">
        <v>106060</v>
      </c>
      <c r="S373" t="n">
        <v>4975</v>
      </c>
      <c r="T373" t="n">
        <v>3875</v>
      </c>
      <c r="U373" t="n">
        <v>330</v>
      </c>
      <c r="V373" t="n">
        <v>85460</v>
      </c>
      <c r="W373" t="n">
        <v>86760</v>
      </c>
      <c r="X373" t="n">
        <v>90765</v>
      </c>
      <c r="Y373" t="n">
        <v>90965</v>
      </c>
      <c r="Z373" t="n">
        <v>15295</v>
      </c>
      <c r="AA373" t="n">
        <v>15095</v>
      </c>
      <c r="AB373" t="n">
        <v>0</v>
      </c>
      <c r="AC373" t="n">
        <v>0</v>
      </c>
      <c r="AD373" t="n">
        <v>0</v>
      </c>
      <c r="AE373" t="n">
        <v>0</v>
      </c>
      <c r="AF373" t="n">
        <v>0</v>
      </c>
      <c r="AG373" t="n">
        <v>0</v>
      </c>
      <c r="AH373" t="n">
        <v>0</v>
      </c>
      <c r="AI373" t="n">
        <v>0</v>
      </c>
      <c r="AJ373" t="n">
        <v>0</v>
      </c>
      <c r="AK373" t="n">
        <v>0</v>
      </c>
      <c r="AL373" t="n">
        <v>4085</v>
      </c>
      <c r="AM373" t="n">
        <v>0</v>
      </c>
      <c r="AN373" t="n">
        <v>1925</v>
      </c>
      <c r="AO373" t="n">
        <v>-175</v>
      </c>
      <c r="AP373" t="n">
        <v>895</v>
      </c>
      <c r="AQ373" t="n">
        <v>-830</v>
      </c>
      <c r="AR373" t="n">
        <v>720</v>
      </c>
      <c r="AS373" t="n">
        <v>920</v>
      </c>
      <c r="AT373" t="n">
        <v>3365</v>
      </c>
      <c r="AU373" t="n">
        <v>3165</v>
      </c>
      <c r="AV373" t="n">
        <v>100</v>
      </c>
      <c r="AW373" t="n">
        <v>4.7</v>
      </c>
      <c r="AX373" t="n">
        <v>3.7</v>
      </c>
      <c r="AY373" t="n">
        <v>0.3</v>
      </c>
      <c r="AZ373" t="n">
        <v>80.59999999999999</v>
      </c>
      <c r="BA373" t="n">
        <v>81.8</v>
      </c>
      <c r="BB373" t="n">
        <v>85.59999999999999</v>
      </c>
      <c r="BC373" t="n">
        <v>85.8</v>
      </c>
      <c r="BD373" t="n">
        <v>14.4</v>
      </c>
      <c r="BE373" t="n">
        <v>14.2</v>
      </c>
      <c r="BF373" t="n">
        <v>100</v>
      </c>
      <c r="BG373" t="n">
        <v>4.7</v>
      </c>
      <c r="BH373" t="n">
        <v>3.7</v>
      </c>
      <c r="BI373" t="n">
        <v>0.3</v>
      </c>
      <c r="BJ373" t="n">
        <v>80.59999999999999</v>
      </c>
      <c r="BK373" t="n">
        <v>81.8</v>
      </c>
      <c r="BL373" t="n">
        <v>85.59999999999999</v>
      </c>
      <c r="BM373" t="n">
        <v>85.8</v>
      </c>
      <c r="BN373" t="n">
        <v>14.4</v>
      </c>
      <c r="BO373" t="n">
        <v>14.2</v>
      </c>
      <c r="BP373" t="n">
        <v>0</v>
      </c>
      <c r="BQ373" t="n">
        <v>0</v>
      </c>
      <c r="BR373" t="n">
        <v>0</v>
      </c>
      <c r="BS373" t="n">
        <v>0</v>
      </c>
      <c r="BT373" t="n">
        <v>0</v>
      </c>
      <c r="BU373" t="n">
        <v>0</v>
      </c>
      <c r="BV373" t="n">
        <v>0</v>
      </c>
      <c r="BW373" t="n">
        <v>0</v>
      </c>
      <c r="BX373" t="n">
        <v>0</v>
      </c>
      <c r="BY373" t="n">
        <v>0</v>
      </c>
      <c r="BZ373" t="n">
        <v>21</v>
      </c>
      <c r="CA373" t="n">
        <v>2</v>
      </c>
      <c r="CB373" t="n">
        <v>2</v>
      </c>
      <c r="CC373" t="n">
        <v>2</v>
      </c>
      <c r="CD373" t="n">
        <v>13</v>
      </c>
      <c r="CE373" t="n">
        <v>14</v>
      </c>
      <c r="CF373" t="n">
        <v>16</v>
      </c>
      <c r="CG373" t="n">
        <v>17</v>
      </c>
      <c r="CH373" t="n">
        <v>21</v>
      </c>
      <c r="CI373" t="n">
        <v>2</v>
      </c>
      <c r="CJ373" t="n">
        <v>2</v>
      </c>
      <c r="CK373" t="n">
        <v>2</v>
      </c>
      <c r="CL373" t="n">
        <v>13</v>
      </c>
      <c r="CM373" t="n">
        <v>14</v>
      </c>
      <c r="CN373" t="n">
        <v>16</v>
      </c>
      <c r="CO373" t="n">
        <v>17</v>
      </c>
      <c r="CP373" t="n">
        <v>0</v>
      </c>
      <c r="CQ373" t="n">
        <v>0</v>
      </c>
      <c r="CR373" t="n">
        <v>0</v>
      </c>
      <c r="CS373" t="n">
        <v>0</v>
      </c>
      <c r="CT373" t="n">
        <v>0</v>
      </c>
      <c r="CU373" t="n">
        <v>0</v>
      </c>
      <c r="CV373" t="n">
        <v>0</v>
      </c>
      <c r="CW373" t="n">
        <v>0</v>
      </c>
      <c r="CX373" t="n">
        <v>59.9</v>
      </c>
      <c r="CY373" t="n">
        <v>67.2</v>
      </c>
      <c r="CZ373" t="n">
        <v>78</v>
      </c>
      <c r="DA373" t="n">
        <v>81.8</v>
      </c>
      <c r="DB373" t="n">
        <v>50</v>
      </c>
      <c r="DC373" t="n">
        <v>47.6</v>
      </c>
      <c r="DD373" t="n">
        <v>57.7</v>
      </c>
      <c r="DE373" t="n">
        <v>59</v>
      </c>
      <c r="DF373" t="n">
        <v>59.9</v>
      </c>
      <c r="DG373" t="n">
        <v>67.2</v>
      </c>
      <c r="DH373" t="n">
        <v>78</v>
      </c>
      <c r="DI373" t="n">
        <v>81.8</v>
      </c>
      <c r="DJ373" t="n">
        <v>50</v>
      </c>
      <c r="DK373" t="n">
        <v>47.6</v>
      </c>
      <c r="DL373" t="n">
        <v>57.7</v>
      </c>
      <c r="DM373" t="n">
        <v>59</v>
      </c>
      <c r="DN373" t="n">
        <v>0</v>
      </c>
      <c r="DO373" t="n">
        <v>0</v>
      </c>
      <c r="DP373" t="n">
        <v>0</v>
      </c>
      <c r="DQ373" t="n">
        <v>0</v>
      </c>
      <c r="DR373" t="n">
        <v>0</v>
      </c>
      <c r="DS373" t="n">
        <v>0</v>
      </c>
      <c r="DT373" t="n">
        <v>0</v>
      </c>
      <c r="DU373" t="n">
        <v>0</v>
      </c>
      <c r="DV373" t="inlineStr">
        <is>
          <t>Megawatt Hours (MWh)</t>
        </is>
      </c>
    </row>
    <row r="374">
      <c r="A374" t="inlineStr">
        <is>
          <t>ERCOT.HB_NORTH_month_on_rtp - NODAL EXCHANGE</t>
        </is>
      </c>
      <c r="B374" t="n">
        <v>230103</v>
      </c>
      <c r="C374" s="1" t="n">
        <v>44929</v>
      </c>
      <c r="D374" t="inlineStr">
        <is>
          <t>064FOK</t>
        </is>
      </c>
      <c r="E374" t="inlineStr">
        <is>
          <t>NODX</t>
        </is>
      </c>
      <c r="F374" t="inlineStr">
        <is>
          <t>01</t>
        </is>
      </c>
      <c r="G374" t="inlineStr">
        <is>
          <t xml:space="preserve">064 </t>
        </is>
      </c>
      <c r="H374" t="n">
        <v>101975</v>
      </c>
      <c r="I374" s="17" t="n">
        <v>4975</v>
      </c>
      <c r="J374" s="17" t="n">
        <v>1950</v>
      </c>
      <c r="K374" t="n">
        <v>505</v>
      </c>
      <c r="L374" t="n">
        <v>84565</v>
      </c>
      <c r="M374" t="n">
        <v>87590</v>
      </c>
      <c r="N374" t="n">
        <v>90045</v>
      </c>
      <c r="O374" t="n">
        <v>90045</v>
      </c>
      <c r="P374" t="n">
        <v>11930</v>
      </c>
      <c r="Q374" t="n">
        <v>11930</v>
      </c>
      <c r="R374" t="n">
        <v>101975</v>
      </c>
      <c r="S374" t="n">
        <v>4975</v>
      </c>
      <c r="T374" t="n">
        <v>1950</v>
      </c>
      <c r="U374" t="n">
        <v>505</v>
      </c>
      <c r="V374" t="n">
        <v>84565</v>
      </c>
      <c r="W374" t="n">
        <v>87590</v>
      </c>
      <c r="X374" t="n">
        <v>90045</v>
      </c>
      <c r="Y374" t="n">
        <v>90045</v>
      </c>
      <c r="Z374" t="n">
        <v>11930</v>
      </c>
      <c r="AA374" t="n">
        <v>11930</v>
      </c>
      <c r="AB374" t="n">
        <v>0</v>
      </c>
      <c r="AC374" t="n">
        <v>0</v>
      </c>
      <c r="AD374" t="n">
        <v>0</v>
      </c>
      <c r="AE374" t="n">
        <v>0</v>
      </c>
      <c r="AF374" t="n">
        <v>0</v>
      </c>
      <c r="AG374" t="n">
        <v>0</v>
      </c>
      <c r="AH374" t="n">
        <v>0</v>
      </c>
      <c r="AI374" t="n">
        <v>0</v>
      </c>
      <c r="AJ374" t="n">
        <v>0</v>
      </c>
      <c r="AK374" t="n">
        <v>0</v>
      </c>
      <c r="AL374" t="n">
        <v>1240</v>
      </c>
      <c r="AM374" t="n">
        <v>0</v>
      </c>
      <c r="AN374" t="n">
        <v>-600</v>
      </c>
      <c r="AO374" t="n">
        <v>100</v>
      </c>
      <c r="AP374" t="n">
        <v>900</v>
      </c>
      <c r="AQ374" t="n">
        <v>1500</v>
      </c>
      <c r="AR374" t="n">
        <v>1000</v>
      </c>
      <c r="AS374" t="n">
        <v>1000</v>
      </c>
      <c r="AT374" t="n">
        <v>240</v>
      </c>
      <c r="AU374" t="n">
        <v>240</v>
      </c>
      <c r="AV374" t="n">
        <v>100</v>
      </c>
      <c r="AW374" t="n">
        <v>4.9</v>
      </c>
      <c r="AX374" t="n">
        <v>1.9</v>
      </c>
      <c r="AY374" t="n">
        <v>0.5</v>
      </c>
      <c r="AZ374" t="n">
        <v>82.90000000000001</v>
      </c>
      <c r="BA374" t="n">
        <v>85.90000000000001</v>
      </c>
      <c r="BB374" t="n">
        <v>88.3</v>
      </c>
      <c r="BC374" t="n">
        <v>88.3</v>
      </c>
      <c r="BD374" t="n">
        <v>11.7</v>
      </c>
      <c r="BE374" t="n">
        <v>11.7</v>
      </c>
      <c r="BF374" t="n">
        <v>100</v>
      </c>
      <c r="BG374" t="n">
        <v>4.9</v>
      </c>
      <c r="BH374" t="n">
        <v>1.9</v>
      </c>
      <c r="BI374" t="n">
        <v>0.5</v>
      </c>
      <c r="BJ374" t="n">
        <v>82.90000000000001</v>
      </c>
      <c r="BK374" t="n">
        <v>85.90000000000001</v>
      </c>
      <c r="BL374" t="n">
        <v>88.3</v>
      </c>
      <c r="BM374" t="n">
        <v>88.3</v>
      </c>
      <c r="BN374" t="n">
        <v>11.7</v>
      </c>
      <c r="BO374" t="n">
        <v>11.7</v>
      </c>
      <c r="BP374" t="n">
        <v>0</v>
      </c>
      <c r="BQ374" t="n">
        <v>0</v>
      </c>
      <c r="BR374" t="n">
        <v>0</v>
      </c>
      <c r="BS374" t="n">
        <v>0</v>
      </c>
      <c r="BT374" t="n">
        <v>0</v>
      </c>
      <c r="BU374" t="n">
        <v>0</v>
      </c>
      <c r="BV374" t="n">
        <v>0</v>
      </c>
      <c r="BW374" t="n">
        <v>0</v>
      </c>
      <c r="BX374" t="n">
        <v>0</v>
      </c>
      <c r="BY374" t="n">
        <v>0</v>
      </c>
      <c r="BZ374" t="n">
        <v>21</v>
      </c>
      <c r="CA374" t="n">
        <v>2</v>
      </c>
      <c r="CB374" t="n">
        <v>2</v>
      </c>
      <c r="CC374" t="n">
        <v>2</v>
      </c>
      <c r="CD374" t="n">
        <v>13</v>
      </c>
      <c r="CE374" t="n">
        <v>14</v>
      </c>
      <c r="CF374" t="n">
        <v>16</v>
      </c>
      <c r="CG374" t="n">
        <v>17</v>
      </c>
      <c r="CH374" t="n">
        <v>21</v>
      </c>
      <c r="CI374" t="n">
        <v>2</v>
      </c>
      <c r="CJ374" t="n">
        <v>2</v>
      </c>
      <c r="CK374" t="n">
        <v>2</v>
      </c>
      <c r="CL374" t="n">
        <v>13</v>
      </c>
      <c r="CM374" t="n">
        <v>14</v>
      </c>
      <c r="CN374" t="n">
        <v>16</v>
      </c>
      <c r="CO374" t="n">
        <v>17</v>
      </c>
      <c r="CP374" t="n">
        <v>0</v>
      </c>
      <c r="CQ374" t="n">
        <v>0</v>
      </c>
      <c r="CR374" t="n">
        <v>0</v>
      </c>
      <c r="CS374" t="n">
        <v>0</v>
      </c>
      <c r="CT374" t="n">
        <v>0</v>
      </c>
      <c r="CU374" t="n">
        <v>0</v>
      </c>
      <c r="CV374" t="n">
        <v>0</v>
      </c>
      <c r="CW374" t="n">
        <v>0</v>
      </c>
      <c r="CX374" t="n">
        <v>62.3</v>
      </c>
      <c r="CY374" t="n">
        <v>69.5</v>
      </c>
      <c r="CZ374" t="n">
        <v>80</v>
      </c>
      <c r="DA374" t="n">
        <v>83</v>
      </c>
      <c r="DB374" t="n">
        <v>43.8</v>
      </c>
      <c r="DC374" t="n">
        <v>44.3</v>
      </c>
      <c r="DD374" t="n">
        <v>51.8</v>
      </c>
      <c r="DE374" t="n">
        <v>52.9</v>
      </c>
      <c r="DF374" t="n">
        <v>62.3</v>
      </c>
      <c r="DG374" t="n">
        <v>69.5</v>
      </c>
      <c r="DH374" t="n">
        <v>80</v>
      </c>
      <c r="DI374" t="n">
        <v>83</v>
      </c>
      <c r="DJ374" t="n">
        <v>43.8</v>
      </c>
      <c r="DK374" t="n">
        <v>44.3</v>
      </c>
      <c r="DL374" t="n">
        <v>51.8</v>
      </c>
      <c r="DM374" t="n">
        <v>52.9</v>
      </c>
      <c r="DN374" t="n">
        <v>0</v>
      </c>
      <c r="DO374" t="n">
        <v>0</v>
      </c>
      <c r="DP374" t="n">
        <v>0</v>
      </c>
      <c r="DQ374" t="n">
        <v>0</v>
      </c>
      <c r="DR374" t="n">
        <v>0</v>
      </c>
      <c r="DS374" t="n">
        <v>0</v>
      </c>
      <c r="DT374" t="n">
        <v>0</v>
      </c>
      <c r="DU374" t="n">
        <v>0</v>
      </c>
      <c r="DV374" t="inlineStr">
        <is>
          <t>Megawatt Hours (MWh)</t>
        </is>
      </c>
    </row>
    <row r="375">
      <c r="A375" t="inlineStr">
        <is>
          <t>ERCOT.HB_NORTH_month_off_rtp - NODAL EXCHANGE</t>
        </is>
      </c>
      <c r="B375" t="n">
        <v>230110</v>
      </c>
      <c r="C375" s="1" t="n">
        <v>44936</v>
      </c>
      <c r="D375" t="inlineStr">
        <is>
          <t>064FOL</t>
        </is>
      </c>
      <c r="E375" t="inlineStr">
        <is>
          <t>NODX</t>
        </is>
      </c>
      <c r="F375" t="inlineStr">
        <is>
          <t>01</t>
        </is>
      </c>
      <c r="G375" t="inlineStr">
        <is>
          <t xml:space="preserve">064 </t>
        </is>
      </c>
      <c r="H375" t="n">
        <v>97820</v>
      </c>
      <c r="I375" s="17" t="n">
        <v>2280</v>
      </c>
      <c r="J375" s="17" t="n">
        <v>7700</v>
      </c>
      <c r="K375" t="n">
        <v>0</v>
      </c>
      <c r="L375" t="n">
        <v>80045</v>
      </c>
      <c r="M375" t="n">
        <v>74620</v>
      </c>
      <c r="N375" t="n">
        <v>82325</v>
      </c>
      <c r="O375" t="n">
        <v>82320</v>
      </c>
      <c r="P375" t="n">
        <v>15495</v>
      </c>
      <c r="Q375" t="n">
        <v>15500</v>
      </c>
      <c r="R375" t="n">
        <v>97820</v>
      </c>
      <c r="S375" t="n">
        <v>2280</v>
      </c>
      <c r="T375" t="n">
        <v>7700</v>
      </c>
      <c r="U375" t="n">
        <v>0</v>
      </c>
      <c r="V375" t="n">
        <v>80045</v>
      </c>
      <c r="W375" t="n">
        <v>74620</v>
      </c>
      <c r="X375" t="n">
        <v>82325</v>
      </c>
      <c r="Y375" t="n">
        <v>82320</v>
      </c>
      <c r="Z375" t="n">
        <v>15495</v>
      </c>
      <c r="AA375" t="n">
        <v>15500</v>
      </c>
      <c r="AB375" t="n">
        <v>0</v>
      </c>
      <c r="AC375" t="n">
        <v>0</v>
      </c>
      <c r="AD375" t="n">
        <v>0</v>
      </c>
      <c r="AE375" t="n">
        <v>0</v>
      </c>
      <c r="AF375" t="n">
        <v>0</v>
      </c>
      <c r="AG375" t="n">
        <v>0</v>
      </c>
      <c r="AH375" t="n">
        <v>0</v>
      </c>
      <c r="AI375" t="n">
        <v>0</v>
      </c>
      <c r="AJ375" t="n">
        <v>0</v>
      </c>
      <c r="AK375" t="n">
        <v>0</v>
      </c>
      <c r="AL375" t="n">
        <v>5180</v>
      </c>
      <c r="AM375" t="n">
        <v>0</v>
      </c>
      <c r="AN375" t="n">
        <v>2750</v>
      </c>
      <c r="AO375" t="n">
        <v>0</v>
      </c>
      <c r="AP375" t="n">
        <v>2410</v>
      </c>
      <c r="AQ375" t="n">
        <v>-340</v>
      </c>
      <c r="AR375" t="n">
        <v>2410</v>
      </c>
      <c r="AS375" t="n">
        <v>2410</v>
      </c>
      <c r="AT375" t="n">
        <v>2770</v>
      </c>
      <c r="AU375" t="n">
        <v>2770</v>
      </c>
      <c r="AV375" t="n">
        <v>100</v>
      </c>
      <c r="AW375" t="n">
        <v>2.3</v>
      </c>
      <c r="AX375" t="n">
        <v>7.9</v>
      </c>
      <c r="AY375" t="n">
        <v>0</v>
      </c>
      <c r="AZ375" t="n">
        <v>81.8</v>
      </c>
      <c r="BA375" t="n">
        <v>76.3</v>
      </c>
      <c r="BB375" t="n">
        <v>84.2</v>
      </c>
      <c r="BC375" t="n">
        <v>84.2</v>
      </c>
      <c r="BD375" t="n">
        <v>15.8</v>
      </c>
      <c r="BE375" t="n">
        <v>15.8</v>
      </c>
      <c r="BF375" t="n">
        <v>100</v>
      </c>
      <c r="BG375" t="n">
        <v>2.3</v>
      </c>
      <c r="BH375" t="n">
        <v>7.9</v>
      </c>
      <c r="BI375" t="n">
        <v>0</v>
      </c>
      <c r="BJ375" t="n">
        <v>81.8</v>
      </c>
      <c r="BK375" t="n">
        <v>76.3</v>
      </c>
      <c r="BL375" t="n">
        <v>84.2</v>
      </c>
      <c r="BM375" t="n">
        <v>84.2</v>
      </c>
      <c r="BN375" t="n">
        <v>15.8</v>
      </c>
      <c r="BO375" t="n">
        <v>15.8</v>
      </c>
      <c r="BP375" t="n">
        <v>0</v>
      </c>
      <c r="BQ375" t="n">
        <v>0</v>
      </c>
      <c r="BR375" t="n">
        <v>0</v>
      </c>
      <c r="BS375" t="n">
        <v>0</v>
      </c>
      <c r="BT375" t="n">
        <v>0</v>
      </c>
      <c r="BU375" t="n">
        <v>0</v>
      </c>
      <c r="BV375" t="n">
        <v>0</v>
      </c>
      <c r="BW375" t="n">
        <v>0</v>
      </c>
      <c r="BX375" t="n">
        <v>0</v>
      </c>
      <c r="BY375" t="n">
        <v>0</v>
      </c>
      <c r="BZ375" t="n">
        <v>20</v>
      </c>
      <c r="CA375" t="n">
        <v>1</v>
      </c>
      <c r="CB375" t="n">
        <v>2</v>
      </c>
      <c r="CC375" t="n">
        <v>0</v>
      </c>
      <c r="CD375" t="n">
        <v>13</v>
      </c>
      <c r="CE375" t="n">
        <v>13</v>
      </c>
      <c r="CF375" t="n">
        <v>14</v>
      </c>
      <c r="CG375" t="n">
        <v>15</v>
      </c>
      <c r="CH375" t="n">
        <v>20</v>
      </c>
      <c r="CI375" t="n">
        <v>1</v>
      </c>
      <c r="CJ375" t="n">
        <v>2</v>
      </c>
      <c r="CK375" t="n">
        <v>0</v>
      </c>
      <c r="CL375" t="n">
        <v>13</v>
      </c>
      <c r="CM375" t="n">
        <v>13</v>
      </c>
      <c r="CN375" t="n">
        <v>14</v>
      </c>
      <c r="CO375" t="n">
        <v>15</v>
      </c>
      <c r="CP375" t="n">
        <v>0</v>
      </c>
      <c r="CQ375" t="n">
        <v>0</v>
      </c>
      <c r="CR375" t="n">
        <v>0</v>
      </c>
      <c r="CS375" t="n">
        <v>0</v>
      </c>
      <c r="CT375" t="n">
        <v>0</v>
      </c>
      <c r="CU375" t="n">
        <v>0</v>
      </c>
      <c r="CV375" t="n">
        <v>0</v>
      </c>
      <c r="CW375" t="n">
        <v>0</v>
      </c>
      <c r="CX375" t="n">
        <v>60.5</v>
      </c>
      <c r="CY375" t="n">
        <v>63.2</v>
      </c>
      <c r="CZ375" t="n">
        <v>76.59999999999999</v>
      </c>
      <c r="DA375" t="n">
        <v>80.5</v>
      </c>
      <c r="DB375" t="n">
        <v>53.2</v>
      </c>
      <c r="DC375" t="n">
        <v>49.7</v>
      </c>
      <c r="DD375" t="n">
        <v>61.5</v>
      </c>
      <c r="DE375" t="n">
        <v>63.4</v>
      </c>
      <c r="DF375" t="n">
        <v>60.5</v>
      </c>
      <c r="DG375" t="n">
        <v>63.2</v>
      </c>
      <c r="DH375" t="n">
        <v>76.59999999999999</v>
      </c>
      <c r="DI375" t="n">
        <v>80.5</v>
      </c>
      <c r="DJ375" t="n">
        <v>53.2</v>
      </c>
      <c r="DK375" t="n">
        <v>49.7</v>
      </c>
      <c r="DL375" t="n">
        <v>61.5</v>
      </c>
      <c r="DM375" t="n">
        <v>63.4</v>
      </c>
      <c r="DN375" t="n">
        <v>0</v>
      </c>
      <c r="DO375" t="n">
        <v>0</v>
      </c>
      <c r="DP375" t="n">
        <v>0</v>
      </c>
      <c r="DQ375" t="n">
        <v>0</v>
      </c>
      <c r="DR375" t="n">
        <v>0</v>
      </c>
      <c r="DS375" t="n">
        <v>0</v>
      </c>
      <c r="DT375" t="n">
        <v>0</v>
      </c>
      <c r="DU375" t="n">
        <v>0</v>
      </c>
      <c r="DV375" t="inlineStr">
        <is>
          <t>Megawatt Hours (MWh)</t>
        </is>
      </c>
    </row>
    <row r="376">
      <c r="A376" t="inlineStr">
        <is>
          <t>ERCOT.HB_NORTH_month_off_rtp - NODAL EXCHANGE</t>
        </is>
      </c>
      <c r="B376" t="n">
        <v>230103</v>
      </c>
      <c r="C376" s="1" t="n">
        <v>44929</v>
      </c>
      <c r="D376" t="inlineStr">
        <is>
          <t>064FOL</t>
        </is>
      </c>
      <c r="E376" t="inlineStr">
        <is>
          <t>NODX</t>
        </is>
      </c>
      <c r="F376" t="inlineStr">
        <is>
          <t>01</t>
        </is>
      </c>
      <c r="G376" t="inlineStr">
        <is>
          <t xml:space="preserve">064 </t>
        </is>
      </c>
      <c r="H376" t="n">
        <v>92640</v>
      </c>
      <c r="I376" s="17" t="n">
        <v>2280</v>
      </c>
      <c r="J376" s="17" t="n">
        <v>4950</v>
      </c>
      <c r="K376" t="n">
        <v>0</v>
      </c>
      <c r="L376" t="n">
        <v>77635</v>
      </c>
      <c r="M376" t="n">
        <v>74960</v>
      </c>
      <c r="N376" t="n">
        <v>79915</v>
      </c>
      <c r="O376" t="n">
        <v>79910</v>
      </c>
      <c r="P376" t="n">
        <v>12725</v>
      </c>
      <c r="Q376" t="n">
        <v>12730</v>
      </c>
      <c r="R376" t="n">
        <v>92640</v>
      </c>
      <c r="S376" t="n">
        <v>2280</v>
      </c>
      <c r="T376" t="n">
        <v>4950</v>
      </c>
      <c r="U376" t="n">
        <v>0</v>
      </c>
      <c r="V376" t="n">
        <v>77635</v>
      </c>
      <c r="W376" t="n">
        <v>74960</v>
      </c>
      <c r="X376" t="n">
        <v>79915</v>
      </c>
      <c r="Y376" t="n">
        <v>79910</v>
      </c>
      <c r="Z376" t="n">
        <v>12725</v>
      </c>
      <c r="AA376" t="n">
        <v>12730</v>
      </c>
      <c r="AB376" t="n">
        <v>0</v>
      </c>
      <c r="AC376" t="n">
        <v>0</v>
      </c>
      <c r="AD376" t="n">
        <v>0</v>
      </c>
      <c r="AE376" t="n">
        <v>0</v>
      </c>
      <c r="AF376" t="n">
        <v>0</v>
      </c>
      <c r="AG376" t="n">
        <v>0</v>
      </c>
      <c r="AH376" t="n">
        <v>0</v>
      </c>
      <c r="AI376" t="n">
        <v>0</v>
      </c>
      <c r="AJ376" t="n">
        <v>0</v>
      </c>
      <c r="AK376" t="n">
        <v>0</v>
      </c>
      <c r="AL376" t="n">
        <v>-600</v>
      </c>
      <c r="AM376" t="n">
        <v>0</v>
      </c>
      <c r="AN376" t="n">
        <v>-600</v>
      </c>
      <c r="AO376" t="n">
        <v>0</v>
      </c>
      <c r="AP376" t="n">
        <v>-600</v>
      </c>
      <c r="AQ376" t="n">
        <v>0</v>
      </c>
      <c r="AR376" t="n">
        <v>-600</v>
      </c>
      <c r="AS376" t="n">
        <v>-600</v>
      </c>
      <c r="AT376" t="n">
        <v>0</v>
      </c>
      <c r="AU376" t="n">
        <v>0</v>
      </c>
      <c r="AV376" t="n">
        <v>100</v>
      </c>
      <c r="AW376" t="n">
        <v>2.5</v>
      </c>
      <c r="AX376" t="n">
        <v>5.3</v>
      </c>
      <c r="AY376" t="n">
        <v>0</v>
      </c>
      <c r="AZ376" t="n">
        <v>83.8</v>
      </c>
      <c r="BA376" t="n">
        <v>80.90000000000001</v>
      </c>
      <c r="BB376" t="n">
        <v>86.3</v>
      </c>
      <c r="BC376" t="n">
        <v>86.3</v>
      </c>
      <c r="BD376" t="n">
        <v>13.7</v>
      </c>
      <c r="BE376" t="n">
        <v>13.7</v>
      </c>
      <c r="BF376" t="n">
        <v>100</v>
      </c>
      <c r="BG376" t="n">
        <v>2.5</v>
      </c>
      <c r="BH376" t="n">
        <v>5.3</v>
      </c>
      <c r="BI376" t="n">
        <v>0</v>
      </c>
      <c r="BJ376" t="n">
        <v>83.8</v>
      </c>
      <c r="BK376" t="n">
        <v>80.90000000000001</v>
      </c>
      <c r="BL376" t="n">
        <v>86.3</v>
      </c>
      <c r="BM376" t="n">
        <v>86.3</v>
      </c>
      <c r="BN376" t="n">
        <v>13.7</v>
      </c>
      <c r="BO376" t="n">
        <v>13.7</v>
      </c>
      <c r="BP376" t="n">
        <v>0</v>
      </c>
      <c r="BQ376" t="n">
        <v>0</v>
      </c>
      <c r="BR376" t="n">
        <v>0</v>
      </c>
      <c r="BS376" t="n">
        <v>0</v>
      </c>
      <c r="BT376" t="n">
        <v>0</v>
      </c>
      <c r="BU376" t="n">
        <v>0</v>
      </c>
      <c r="BV376" t="n">
        <v>0</v>
      </c>
      <c r="BW376" t="n">
        <v>0</v>
      </c>
      <c r="BX376" t="n">
        <v>0</v>
      </c>
      <c r="BY376" t="n">
        <v>0</v>
      </c>
      <c r="BZ376" t="n">
        <v>20</v>
      </c>
      <c r="CA376" t="n">
        <v>1</v>
      </c>
      <c r="CB376" t="n">
        <v>2</v>
      </c>
      <c r="CC376" t="n">
        <v>0</v>
      </c>
      <c r="CD376" t="n">
        <v>13</v>
      </c>
      <c r="CE376" t="n">
        <v>13</v>
      </c>
      <c r="CF376" t="n">
        <v>14</v>
      </c>
      <c r="CG376" t="n">
        <v>15</v>
      </c>
      <c r="CH376" t="n">
        <v>20</v>
      </c>
      <c r="CI376" t="n">
        <v>1</v>
      </c>
      <c r="CJ376" t="n">
        <v>2</v>
      </c>
      <c r="CK376" t="n">
        <v>0</v>
      </c>
      <c r="CL376" t="n">
        <v>13</v>
      </c>
      <c r="CM376" t="n">
        <v>13</v>
      </c>
      <c r="CN376" t="n">
        <v>14</v>
      </c>
      <c r="CO376" t="n">
        <v>15</v>
      </c>
      <c r="CP376" t="n">
        <v>0</v>
      </c>
      <c r="CQ376" t="n">
        <v>0</v>
      </c>
      <c r="CR376" t="n">
        <v>0</v>
      </c>
      <c r="CS376" t="n">
        <v>0</v>
      </c>
      <c r="CT376" t="n">
        <v>0</v>
      </c>
      <c r="CU376" t="n">
        <v>0</v>
      </c>
      <c r="CV376" t="n">
        <v>0</v>
      </c>
      <c r="CW376" t="n">
        <v>0</v>
      </c>
      <c r="CX376" t="n">
        <v>62.3</v>
      </c>
      <c r="CY376" t="n">
        <v>65.59999999999999</v>
      </c>
      <c r="CZ376" t="n">
        <v>79.3</v>
      </c>
      <c r="DA376" t="n">
        <v>81.40000000000001</v>
      </c>
      <c r="DB376" t="n">
        <v>46.8</v>
      </c>
      <c r="DC376" t="n">
        <v>47.7</v>
      </c>
      <c r="DD376" t="n">
        <v>55.5</v>
      </c>
      <c r="DE376" t="n">
        <v>57.6</v>
      </c>
      <c r="DF376" t="n">
        <v>62.3</v>
      </c>
      <c r="DG376" t="n">
        <v>65.59999999999999</v>
      </c>
      <c r="DH376" t="n">
        <v>79.3</v>
      </c>
      <c r="DI376" t="n">
        <v>81.40000000000001</v>
      </c>
      <c r="DJ376" t="n">
        <v>46.8</v>
      </c>
      <c r="DK376" t="n">
        <v>47.7</v>
      </c>
      <c r="DL376" t="n">
        <v>55.5</v>
      </c>
      <c r="DM376" t="n">
        <v>57.6</v>
      </c>
      <c r="DN376" t="n">
        <v>0</v>
      </c>
      <c r="DO376" t="n">
        <v>0</v>
      </c>
      <c r="DP376" t="n">
        <v>0</v>
      </c>
      <c r="DQ376" t="n">
        <v>0</v>
      </c>
      <c r="DR376" t="n">
        <v>0</v>
      </c>
      <c r="DS376" t="n">
        <v>0</v>
      </c>
      <c r="DT376" t="n">
        <v>0</v>
      </c>
      <c r="DU376" t="n">
        <v>0</v>
      </c>
      <c r="DV376" t="inlineStr">
        <is>
          <t>Megawatt Hours (MWh)</t>
        </is>
      </c>
    </row>
    <row r="377">
      <c r="A377" t="inlineStr">
        <is>
          <t>ERCOT North 345KV Hub RT 7x16 - ICE FUTURES ENERGY DIV</t>
        </is>
      </c>
      <c r="B377" t="n">
        <v>230103</v>
      </c>
      <c r="C377" s="1" t="n">
        <v>44929</v>
      </c>
      <c r="D377" t="inlineStr">
        <is>
          <t>064IBM</t>
        </is>
      </c>
      <c r="E377" t="inlineStr">
        <is>
          <t>IFED</t>
        </is>
      </c>
      <c r="F377" t="inlineStr">
        <is>
          <t>01</t>
        </is>
      </c>
      <c r="G377" t="inlineStr">
        <is>
          <t xml:space="preserve">064 </t>
        </is>
      </c>
      <c r="H377" t="n">
        <v>11685</v>
      </c>
      <c r="I377" s="17" t="n">
        <v>1600</v>
      </c>
      <c r="J377" s="17" t="n">
        <v>1665</v>
      </c>
      <c r="K377" t="n">
        <v>125</v>
      </c>
      <c r="L377" t="n">
        <v>9885</v>
      </c>
      <c r="M377" t="n">
        <v>9825</v>
      </c>
      <c r="N377" t="n">
        <v>11610</v>
      </c>
      <c r="O377" t="n">
        <v>11615</v>
      </c>
      <c r="P377" t="n">
        <v>75</v>
      </c>
      <c r="Q377" t="n">
        <v>70</v>
      </c>
      <c r="R377" t="n">
        <v>11685</v>
      </c>
      <c r="S377" t="n">
        <v>1600</v>
      </c>
      <c r="T377" t="n">
        <v>1665</v>
      </c>
      <c r="U377" t="n">
        <v>125</v>
      </c>
      <c r="V377" t="n">
        <v>9885</v>
      </c>
      <c r="W377" t="n">
        <v>9825</v>
      </c>
      <c r="X377" t="n">
        <v>11610</v>
      </c>
      <c r="Y377" t="n">
        <v>11615</v>
      </c>
      <c r="Z377" t="n">
        <v>75</v>
      </c>
      <c r="AA377" t="n">
        <v>70</v>
      </c>
      <c r="AB377" t="n">
        <v>0</v>
      </c>
      <c r="AC377" t="n">
        <v>0</v>
      </c>
      <c r="AD377" t="n">
        <v>0</v>
      </c>
      <c r="AE377" t="n">
        <v>0</v>
      </c>
      <c r="AF377" t="n">
        <v>0</v>
      </c>
      <c r="AG377" t="n">
        <v>0</v>
      </c>
      <c r="AH377" t="n">
        <v>0</v>
      </c>
      <c r="AI377" t="n">
        <v>0</v>
      </c>
      <c r="AJ377" t="n">
        <v>0</v>
      </c>
      <c r="AK377" t="n">
        <v>0</v>
      </c>
      <c r="AL377" t="n">
        <v>50</v>
      </c>
      <c r="AM377" t="n">
        <v>0</v>
      </c>
      <c r="AN377" t="n">
        <v>25</v>
      </c>
      <c r="AO377" t="n">
        <v>0</v>
      </c>
      <c r="AP377" t="n">
        <v>50</v>
      </c>
      <c r="AQ377" t="n">
        <v>25</v>
      </c>
      <c r="AR377" t="n">
        <v>50</v>
      </c>
      <c r="AS377" t="n">
        <v>50</v>
      </c>
      <c r="AT377" t="n">
        <v>0</v>
      </c>
      <c r="AU377" t="n">
        <v>0</v>
      </c>
      <c r="AV377" t="n">
        <v>100</v>
      </c>
      <c r="AW377" t="n">
        <v>13.7</v>
      </c>
      <c r="AX377" t="n">
        <v>14.2</v>
      </c>
      <c r="AY377" t="n">
        <v>1.1</v>
      </c>
      <c r="AZ377" t="n">
        <v>84.59999999999999</v>
      </c>
      <c r="BA377" t="n">
        <v>84.09999999999999</v>
      </c>
      <c r="BB377" t="n">
        <v>99.40000000000001</v>
      </c>
      <c r="BC377" t="n">
        <v>99.40000000000001</v>
      </c>
      <c r="BD377" t="n">
        <v>0.6</v>
      </c>
      <c r="BE377" t="n">
        <v>0.6</v>
      </c>
      <c r="BF377" t="n">
        <v>100</v>
      </c>
      <c r="BG377" t="n">
        <v>13.7</v>
      </c>
      <c r="BH377" t="n">
        <v>14.2</v>
      </c>
      <c r="BI377" t="n">
        <v>1.1</v>
      </c>
      <c r="BJ377" t="n">
        <v>84.59999999999999</v>
      </c>
      <c r="BK377" t="n">
        <v>84.09999999999999</v>
      </c>
      <c r="BL377" t="n">
        <v>99.40000000000001</v>
      </c>
      <c r="BM377" t="n">
        <v>99.40000000000001</v>
      </c>
      <c r="BN377" t="n">
        <v>0.6</v>
      </c>
      <c r="BO377" t="n">
        <v>0.6</v>
      </c>
      <c r="BP377" t="n">
        <v>0</v>
      </c>
      <c r="BQ377" t="n">
        <v>0</v>
      </c>
      <c r="BR377" t="n">
        <v>0</v>
      </c>
      <c r="BS377" t="n">
        <v>0</v>
      </c>
      <c r="BT377" t="n">
        <v>0</v>
      </c>
      <c r="BU377" t="n">
        <v>0</v>
      </c>
      <c r="BV377" t="n">
        <v>0</v>
      </c>
      <c r="BW377" t="n">
        <v>0</v>
      </c>
      <c r="BX377" t="n">
        <v>0</v>
      </c>
      <c r="BY377" t="n">
        <v>0</v>
      </c>
      <c r="BZ377" t="n">
        <v>21</v>
      </c>
      <c r="CA377" t="n">
        <v>1</v>
      </c>
      <c r="CB377" t="n">
        <v>2</v>
      </c>
      <c r="CC377" t="n">
        <v>1</v>
      </c>
      <c r="CD377" t="n">
        <v>12</v>
      </c>
      <c r="CE377" t="n">
        <v>14</v>
      </c>
      <c r="CF377" t="n">
        <v>13</v>
      </c>
      <c r="CG377" t="n">
        <v>17</v>
      </c>
      <c r="CH377" t="n">
        <v>21</v>
      </c>
      <c r="CI377" t="n">
        <v>1</v>
      </c>
      <c r="CJ377" t="n">
        <v>2</v>
      </c>
      <c r="CK377" t="n">
        <v>1</v>
      </c>
      <c r="CL377" t="n">
        <v>12</v>
      </c>
      <c r="CM377" t="n">
        <v>14</v>
      </c>
      <c r="CN377" t="n">
        <v>13</v>
      </c>
      <c r="CO377" t="n">
        <v>17</v>
      </c>
      <c r="CP377" t="n">
        <v>0</v>
      </c>
      <c r="CQ377" t="n">
        <v>0</v>
      </c>
      <c r="CR377" t="n">
        <v>0</v>
      </c>
      <c r="CS377" t="n">
        <v>0</v>
      </c>
      <c r="CT377" t="n">
        <v>0</v>
      </c>
      <c r="CU377" t="n">
        <v>0</v>
      </c>
      <c r="CV377" t="n">
        <v>0</v>
      </c>
      <c r="CW377" t="n">
        <v>0</v>
      </c>
      <c r="CX377" t="n">
        <v>58.9</v>
      </c>
      <c r="CY377" t="n">
        <v>63.5</v>
      </c>
      <c r="CZ377" t="n">
        <v>86.09999999999999</v>
      </c>
      <c r="DA377" t="n">
        <v>92.09999999999999</v>
      </c>
      <c r="DB377" t="n">
        <v>53.7</v>
      </c>
      <c r="DC377" t="n">
        <v>47.3</v>
      </c>
      <c r="DD377" t="n">
        <v>66.7</v>
      </c>
      <c r="DE377" t="n">
        <v>61.7</v>
      </c>
      <c r="DF377" t="n">
        <v>58.9</v>
      </c>
      <c r="DG377" t="n">
        <v>63.5</v>
      </c>
      <c r="DH377" t="n">
        <v>86.09999999999999</v>
      </c>
      <c r="DI377" t="n">
        <v>92.09999999999999</v>
      </c>
      <c r="DJ377" t="n">
        <v>53.7</v>
      </c>
      <c r="DK377" t="n">
        <v>47.3</v>
      </c>
      <c r="DL377" t="n">
        <v>66.7</v>
      </c>
      <c r="DM377" t="n">
        <v>61.7</v>
      </c>
      <c r="DN377" t="n">
        <v>0</v>
      </c>
      <c r="DO377" t="n">
        <v>0</v>
      </c>
      <c r="DP377" t="n">
        <v>0</v>
      </c>
      <c r="DQ377" t="n">
        <v>0</v>
      </c>
      <c r="DR377" t="n">
        <v>0</v>
      </c>
      <c r="DS377" t="n">
        <v>0</v>
      </c>
      <c r="DT377" t="n">
        <v>0</v>
      </c>
      <c r="DU377" t="n">
        <v>0</v>
      </c>
      <c r="DV377" t="inlineStr">
        <is>
          <t>(1MW for about 352 Hours)</t>
        </is>
      </c>
    </row>
    <row r="378">
      <c r="A378" t="inlineStr">
        <is>
          <t>PROPANE ARGUS CIF ARA MINI - ICE FUTURES ENERGY DIV</t>
        </is>
      </c>
      <c r="B378" t="n">
        <v>230110</v>
      </c>
      <c r="C378" s="1" t="n">
        <v>44936</v>
      </c>
      <c r="D378" t="inlineStr">
        <is>
          <t>066391</t>
        </is>
      </c>
      <c r="E378" t="inlineStr">
        <is>
          <t>IFED</t>
        </is>
      </c>
      <c r="F378" t="inlineStr">
        <is>
          <t>01</t>
        </is>
      </c>
      <c r="G378" t="inlineStr">
        <is>
          <t xml:space="preserve">066 </t>
        </is>
      </c>
      <c r="H378" t="n">
        <v>3245</v>
      </c>
      <c r="I378" s="17" t="n">
        <v>790</v>
      </c>
      <c r="J378" s="17" t="n">
        <v>1171</v>
      </c>
      <c r="K378" t="n">
        <v>109</v>
      </c>
      <c r="L378" t="n">
        <v>1407</v>
      </c>
      <c r="M378" t="n">
        <v>1797</v>
      </c>
      <c r="N378" t="n">
        <v>2306</v>
      </c>
      <c r="O378" t="n">
        <v>3077</v>
      </c>
      <c r="P378" t="n">
        <v>939</v>
      </c>
      <c r="Q378" t="n">
        <v>168</v>
      </c>
      <c r="R378" t="n">
        <v>3245</v>
      </c>
      <c r="S378" t="n">
        <v>790</v>
      </c>
      <c r="T378" t="n">
        <v>1171</v>
      </c>
      <c r="U378" t="n">
        <v>109</v>
      </c>
      <c r="V378" t="n">
        <v>1407</v>
      </c>
      <c r="W378" t="n">
        <v>1797</v>
      </c>
      <c r="X378" t="n">
        <v>2306</v>
      </c>
      <c r="Y378" t="n">
        <v>3077</v>
      </c>
      <c r="Z378" t="n">
        <v>939</v>
      </c>
      <c r="AA378" t="n">
        <v>168</v>
      </c>
      <c r="AB378" t="n">
        <v>0</v>
      </c>
      <c r="AC378" t="n">
        <v>0</v>
      </c>
      <c r="AD378" t="n">
        <v>0</v>
      </c>
      <c r="AE378" t="n">
        <v>0</v>
      </c>
      <c r="AF378" t="n">
        <v>0</v>
      </c>
      <c r="AG378" t="n">
        <v>0</v>
      </c>
      <c r="AH378" t="n">
        <v>0</v>
      </c>
      <c r="AI378" t="n">
        <v>0</v>
      </c>
      <c r="AJ378" t="n">
        <v>0</v>
      </c>
      <c r="AK378" t="n">
        <v>0</v>
      </c>
      <c r="AL378" t="n">
        <v>-236</v>
      </c>
      <c r="AM378" t="n">
        <v>-47</v>
      </c>
      <c r="AN378" t="n">
        <v>-159</v>
      </c>
      <c r="AO378" t="n">
        <v>4</v>
      </c>
      <c r="AP378" t="n">
        <v>-67</v>
      </c>
      <c r="AQ378" t="n">
        <v>-18</v>
      </c>
      <c r="AR378" t="n">
        <v>-110</v>
      </c>
      <c r="AS378" t="n">
        <v>-173</v>
      </c>
      <c r="AT378" t="n">
        <v>-126</v>
      </c>
      <c r="AU378" t="n">
        <v>-63</v>
      </c>
      <c r="AV378" t="n">
        <v>100</v>
      </c>
      <c r="AW378" t="n">
        <v>24.3</v>
      </c>
      <c r="AX378" t="n">
        <v>36.1</v>
      </c>
      <c r="AY378" t="n">
        <v>3.4</v>
      </c>
      <c r="AZ378" t="n">
        <v>43.4</v>
      </c>
      <c r="BA378" t="n">
        <v>55.4</v>
      </c>
      <c r="BB378" t="n">
        <v>71.09999999999999</v>
      </c>
      <c r="BC378" t="n">
        <v>94.8</v>
      </c>
      <c r="BD378" t="n">
        <v>28.9</v>
      </c>
      <c r="BE378" t="n">
        <v>5.2</v>
      </c>
      <c r="BF378" t="n">
        <v>100</v>
      </c>
      <c r="BG378" t="n">
        <v>24.3</v>
      </c>
      <c r="BH378" t="n">
        <v>36.1</v>
      </c>
      <c r="BI378" t="n">
        <v>3.4</v>
      </c>
      <c r="BJ378" t="n">
        <v>43.4</v>
      </c>
      <c r="BK378" t="n">
        <v>55.4</v>
      </c>
      <c r="BL378" t="n">
        <v>71.09999999999999</v>
      </c>
      <c r="BM378" t="n">
        <v>94.8</v>
      </c>
      <c r="BN378" t="n">
        <v>28.9</v>
      </c>
      <c r="BO378" t="n">
        <v>5.2</v>
      </c>
      <c r="BP378" t="n">
        <v>0</v>
      </c>
      <c r="BQ378" t="n">
        <v>0</v>
      </c>
      <c r="BR378" t="n">
        <v>0</v>
      </c>
      <c r="BS378" t="n">
        <v>0</v>
      </c>
      <c r="BT378" t="n">
        <v>0</v>
      </c>
      <c r="BU378" t="n">
        <v>0</v>
      </c>
      <c r="BV378" t="n">
        <v>0</v>
      </c>
      <c r="BW378" t="n">
        <v>0</v>
      </c>
      <c r="BX378" t="n">
        <v>0</v>
      </c>
      <c r="BY378" t="n">
        <v>0</v>
      </c>
      <c r="BZ378" t="n">
        <v>20</v>
      </c>
      <c r="CA378" t="n">
        <v>4</v>
      </c>
      <c r="CB378" t="n">
        <v>2</v>
      </c>
      <c r="CC378" t="n">
        <v>3</v>
      </c>
      <c r="CD378" t="n">
        <v>9</v>
      </c>
      <c r="CE378" t="n">
        <v>9</v>
      </c>
      <c r="CF378" t="n">
        <v>13</v>
      </c>
      <c r="CG378" t="n">
        <v>14</v>
      </c>
      <c r="CH378" t="n">
        <v>20</v>
      </c>
      <c r="CI378" t="n">
        <v>4</v>
      </c>
      <c r="CJ378" t="n">
        <v>2</v>
      </c>
      <c r="CK378" t="n">
        <v>3</v>
      </c>
      <c r="CL378" t="n">
        <v>9</v>
      </c>
      <c r="CM378" t="n">
        <v>9</v>
      </c>
      <c r="CN378" t="n">
        <v>13</v>
      </c>
      <c r="CO378" t="n">
        <v>14</v>
      </c>
      <c r="CP378" t="n">
        <v>0</v>
      </c>
      <c r="CQ378" t="n">
        <v>0</v>
      </c>
      <c r="CR378" t="n">
        <v>0</v>
      </c>
      <c r="CS378" t="n">
        <v>0</v>
      </c>
      <c r="CT378" t="n">
        <v>0</v>
      </c>
      <c r="CU378" t="n">
        <v>0</v>
      </c>
      <c r="CV378" t="n">
        <v>0</v>
      </c>
      <c r="CW378" t="n">
        <v>0</v>
      </c>
      <c r="CX378" t="n">
        <v>47.9</v>
      </c>
      <c r="CY378" t="n">
        <v>73.5</v>
      </c>
      <c r="CZ378" t="n">
        <v>65.8</v>
      </c>
      <c r="DA378" t="n">
        <v>87.7</v>
      </c>
      <c r="DB378" t="n">
        <v>46.1</v>
      </c>
      <c r="DC378" t="n">
        <v>70.59999999999999</v>
      </c>
      <c r="DD378" t="n">
        <v>60.6</v>
      </c>
      <c r="DE378" t="n">
        <v>84.5</v>
      </c>
      <c r="DF378" t="n">
        <v>47.9</v>
      </c>
      <c r="DG378" t="n">
        <v>73.5</v>
      </c>
      <c r="DH378" t="n">
        <v>65.8</v>
      </c>
      <c r="DI378" t="n">
        <v>87.7</v>
      </c>
      <c r="DJ378" t="n">
        <v>46.1</v>
      </c>
      <c r="DK378" t="n">
        <v>70.59999999999999</v>
      </c>
      <c r="DL378" t="n">
        <v>60.6</v>
      </c>
      <c r="DM378" t="n">
        <v>84.5</v>
      </c>
      <c r="DN378" t="n">
        <v>0</v>
      </c>
      <c r="DO378" t="n">
        <v>0</v>
      </c>
      <c r="DP378" t="n">
        <v>0</v>
      </c>
      <c r="DQ378" t="n">
        <v>0</v>
      </c>
      <c r="DR378" t="n">
        <v>0</v>
      </c>
      <c r="DS378" t="n">
        <v>0</v>
      </c>
      <c r="DT378" t="n">
        <v>0</v>
      </c>
      <c r="DU378" t="n">
        <v>0</v>
      </c>
      <c r="DV378" t="inlineStr">
        <is>
          <t>100 metric tonnes</t>
        </is>
      </c>
    </row>
    <row r="379">
      <c r="A379" t="inlineStr">
        <is>
          <t>PROPANE ARGUS CIF ARA MINI - ICE FUTURES ENERGY DIV</t>
        </is>
      </c>
      <c r="B379" t="n">
        <v>230103</v>
      </c>
      <c r="C379" s="1" t="n">
        <v>44929</v>
      </c>
      <c r="D379" t="inlineStr">
        <is>
          <t>066391</t>
        </is>
      </c>
      <c r="E379" t="inlineStr">
        <is>
          <t>IFED</t>
        </is>
      </c>
      <c r="F379" t="inlineStr">
        <is>
          <t>01</t>
        </is>
      </c>
      <c r="G379" t="inlineStr">
        <is>
          <t xml:space="preserve">066 </t>
        </is>
      </c>
      <c r="H379" t="n">
        <v>3481</v>
      </c>
      <c r="I379" s="17" t="n">
        <v>837</v>
      </c>
      <c r="J379" s="17" t="n">
        <v>1330</v>
      </c>
      <c r="K379" t="n">
        <v>105</v>
      </c>
      <c r="L379" t="n">
        <v>1474</v>
      </c>
      <c r="M379" t="n">
        <v>1815</v>
      </c>
      <c r="N379" t="n">
        <v>2416</v>
      </c>
      <c r="O379" t="n">
        <v>3250</v>
      </c>
      <c r="P379" t="n">
        <v>1065</v>
      </c>
      <c r="Q379" t="n">
        <v>231</v>
      </c>
      <c r="R379" t="n">
        <v>3481</v>
      </c>
      <c r="S379" t="n">
        <v>837</v>
      </c>
      <c r="T379" t="n">
        <v>1330</v>
      </c>
      <c r="U379" t="n">
        <v>105</v>
      </c>
      <c r="V379" t="n">
        <v>1474</v>
      </c>
      <c r="W379" t="n">
        <v>1815</v>
      </c>
      <c r="X379" t="n">
        <v>2416</v>
      </c>
      <c r="Y379" t="n">
        <v>3250</v>
      </c>
      <c r="Z379" t="n">
        <v>1065</v>
      </c>
      <c r="AA379" t="n">
        <v>231</v>
      </c>
      <c r="AB379" t="n">
        <v>0</v>
      </c>
      <c r="AC379" t="n">
        <v>0</v>
      </c>
      <c r="AD379" t="n">
        <v>0</v>
      </c>
      <c r="AE379" t="n">
        <v>0</v>
      </c>
      <c r="AF379" t="n">
        <v>0</v>
      </c>
      <c r="AG379" t="n">
        <v>0</v>
      </c>
      <c r="AH379" t="n">
        <v>0</v>
      </c>
      <c r="AI379" t="n">
        <v>0</v>
      </c>
      <c r="AJ379" t="n">
        <v>0</v>
      </c>
      <c r="AK379" t="n">
        <v>0</v>
      </c>
      <c r="AV379" t="n">
        <v>100</v>
      </c>
      <c r="AW379" t="n">
        <v>24</v>
      </c>
      <c r="AX379" t="n">
        <v>38.2</v>
      </c>
      <c r="AY379" t="n">
        <v>3</v>
      </c>
      <c r="AZ379" t="n">
        <v>42.3</v>
      </c>
      <c r="BA379" t="n">
        <v>52.1</v>
      </c>
      <c r="BB379" t="n">
        <v>69.40000000000001</v>
      </c>
      <c r="BC379" t="n">
        <v>93.40000000000001</v>
      </c>
      <c r="BD379" t="n">
        <v>30.6</v>
      </c>
      <c r="BE379" t="n">
        <v>6.6</v>
      </c>
      <c r="BF379" t="n">
        <v>100</v>
      </c>
      <c r="BG379" t="n">
        <v>24</v>
      </c>
      <c r="BH379" t="n">
        <v>38.2</v>
      </c>
      <c r="BI379" t="n">
        <v>3</v>
      </c>
      <c r="BJ379" t="n">
        <v>42.3</v>
      </c>
      <c r="BK379" t="n">
        <v>52.1</v>
      </c>
      <c r="BL379" t="n">
        <v>69.40000000000001</v>
      </c>
      <c r="BM379" t="n">
        <v>93.40000000000001</v>
      </c>
      <c r="BN379" t="n">
        <v>30.6</v>
      </c>
      <c r="BO379" t="n">
        <v>6.6</v>
      </c>
      <c r="BP379" t="n">
        <v>0</v>
      </c>
      <c r="BQ379" t="n">
        <v>0</v>
      </c>
      <c r="BR379" t="n">
        <v>0</v>
      </c>
      <c r="BS379" t="n">
        <v>0</v>
      </c>
      <c r="BT379" t="n">
        <v>0</v>
      </c>
      <c r="BU379" t="n">
        <v>0</v>
      </c>
      <c r="BV379" t="n">
        <v>0</v>
      </c>
      <c r="BW379" t="n">
        <v>0</v>
      </c>
      <c r="BX379" t="n">
        <v>0</v>
      </c>
      <c r="BY379" t="n">
        <v>0</v>
      </c>
      <c r="BZ379" t="n">
        <v>20</v>
      </c>
      <c r="CA379" t="n">
        <v>5</v>
      </c>
      <c r="CB379" t="n">
        <v>2</v>
      </c>
      <c r="CC379" t="n">
        <v>3</v>
      </c>
      <c r="CD379" t="n">
        <v>9</v>
      </c>
      <c r="CE379" t="n">
        <v>10</v>
      </c>
      <c r="CF379" t="n">
        <v>14</v>
      </c>
      <c r="CG379" t="n">
        <v>15</v>
      </c>
      <c r="CH379" t="n">
        <v>20</v>
      </c>
      <c r="CI379" t="n">
        <v>5</v>
      </c>
      <c r="CJ379" t="n">
        <v>2</v>
      </c>
      <c r="CK379" t="n">
        <v>3</v>
      </c>
      <c r="CL379" t="n">
        <v>9</v>
      </c>
      <c r="CM379" t="n">
        <v>10</v>
      </c>
      <c r="CN379" t="n">
        <v>14</v>
      </c>
      <c r="CO379" t="n">
        <v>15</v>
      </c>
      <c r="CP379" t="n">
        <v>0</v>
      </c>
      <c r="CQ379" t="n">
        <v>0</v>
      </c>
      <c r="CR379" t="n">
        <v>0</v>
      </c>
      <c r="CS379" t="n">
        <v>0</v>
      </c>
      <c r="CT379" t="n">
        <v>0</v>
      </c>
      <c r="CU379" t="n">
        <v>0</v>
      </c>
      <c r="CV379" t="n">
        <v>0</v>
      </c>
      <c r="CW379" t="n">
        <v>0</v>
      </c>
      <c r="CX379" t="n">
        <v>44.6</v>
      </c>
      <c r="CY379" t="n">
        <v>70.59999999999999</v>
      </c>
      <c r="CZ379" t="n">
        <v>61</v>
      </c>
      <c r="DA379" t="n">
        <v>85.7</v>
      </c>
      <c r="DB379" t="n">
        <v>42.9</v>
      </c>
      <c r="DC379" t="n">
        <v>67.5</v>
      </c>
      <c r="DD379" t="n">
        <v>55.6</v>
      </c>
      <c r="DE379" t="n">
        <v>80.7</v>
      </c>
      <c r="DF379" t="n">
        <v>44.6</v>
      </c>
      <c r="DG379" t="n">
        <v>70.59999999999999</v>
      </c>
      <c r="DH379" t="n">
        <v>61</v>
      </c>
      <c r="DI379" t="n">
        <v>85.7</v>
      </c>
      <c r="DJ379" t="n">
        <v>42.9</v>
      </c>
      <c r="DK379" t="n">
        <v>67.5</v>
      </c>
      <c r="DL379" t="n">
        <v>55.6</v>
      </c>
      <c r="DM379" t="n">
        <v>80.7</v>
      </c>
      <c r="DN379" t="n">
        <v>0</v>
      </c>
      <c r="DO379" t="n">
        <v>0</v>
      </c>
      <c r="DP379" t="n">
        <v>0</v>
      </c>
      <c r="DQ379" t="n">
        <v>0</v>
      </c>
      <c r="DR379" t="n">
        <v>0</v>
      </c>
      <c r="DS379" t="n">
        <v>0</v>
      </c>
      <c r="DT379" t="n">
        <v>0</v>
      </c>
      <c r="DU379" t="n">
        <v>0</v>
      </c>
      <c r="DV379" t="inlineStr">
        <is>
          <t>100 metric tonnes</t>
        </is>
      </c>
    </row>
    <row r="380">
      <c r="A380" t="inlineStr">
        <is>
          <t>PROPANE ARGUS FAR EAST MINI - ICE FUTURES ENERGY DIV</t>
        </is>
      </c>
      <c r="B380" t="n">
        <v>230110</v>
      </c>
      <c r="C380" s="1" t="n">
        <v>44936</v>
      </c>
      <c r="D380" t="inlineStr">
        <is>
          <t>066393</t>
        </is>
      </c>
      <c r="E380" t="inlineStr">
        <is>
          <t>IFED</t>
        </is>
      </c>
      <c r="F380" t="inlineStr">
        <is>
          <t>01</t>
        </is>
      </c>
      <c r="G380" t="inlineStr">
        <is>
          <t xml:space="preserve">066 </t>
        </is>
      </c>
      <c r="H380" t="n">
        <v>2059</v>
      </c>
      <c r="I380" s="17" t="n">
        <v>621</v>
      </c>
      <c r="J380" s="17" t="n">
        <v>674</v>
      </c>
      <c r="K380" t="n">
        <v>216</v>
      </c>
      <c r="L380" t="n">
        <v>643</v>
      </c>
      <c r="M380" t="n">
        <v>885</v>
      </c>
      <c r="N380" t="n">
        <v>1480</v>
      </c>
      <c r="O380" t="n">
        <v>1775</v>
      </c>
      <c r="P380" t="n">
        <v>579</v>
      </c>
      <c r="Q380" t="n">
        <v>284</v>
      </c>
      <c r="R380" t="n">
        <v>2059</v>
      </c>
      <c r="S380" t="n">
        <v>621</v>
      </c>
      <c r="T380" t="n">
        <v>674</v>
      </c>
      <c r="U380" t="n">
        <v>216</v>
      </c>
      <c r="V380" t="n">
        <v>643</v>
      </c>
      <c r="W380" t="n">
        <v>885</v>
      </c>
      <c r="X380" t="n">
        <v>1480</v>
      </c>
      <c r="Y380" t="n">
        <v>1775</v>
      </c>
      <c r="Z380" t="n">
        <v>579</v>
      </c>
      <c r="AA380" t="n">
        <v>284</v>
      </c>
      <c r="AB380" t="n">
        <v>0</v>
      </c>
      <c r="AC380" t="n">
        <v>0</v>
      </c>
      <c r="AD380" t="n">
        <v>0</v>
      </c>
      <c r="AE380" t="n">
        <v>0</v>
      </c>
      <c r="AF380" t="n">
        <v>0</v>
      </c>
      <c r="AG380" t="n">
        <v>0</v>
      </c>
      <c r="AH380" t="n">
        <v>0</v>
      </c>
      <c r="AI380" t="n">
        <v>0</v>
      </c>
      <c r="AJ380" t="n">
        <v>0</v>
      </c>
      <c r="AK380" t="n">
        <v>0</v>
      </c>
      <c r="AL380" t="n">
        <v>-819</v>
      </c>
      <c r="AM380" t="n">
        <v>-85</v>
      </c>
      <c r="AN380" t="n">
        <v>-18</v>
      </c>
      <c r="AO380" t="n">
        <v>-159</v>
      </c>
      <c r="AP380" t="n">
        <v>-430</v>
      </c>
      <c r="AQ380" t="n">
        <v>-434</v>
      </c>
      <c r="AR380" t="n">
        <v>-674</v>
      </c>
      <c r="AS380" t="n">
        <v>-611</v>
      </c>
      <c r="AT380" t="n">
        <v>-145</v>
      </c>
      <c r="AU380" t="n">
        <v>-208</v>
      </c>
      <c r="AV380" t="n">
        <v>100</v>
      </c>
      <c r="AW380" t="n">
        <v>30.2</v>
      </c>
      <c r="AX380" t="n">
        <v>32.7</v>
      </c>
      <c r="AY380" t="n">
        <v>10.5</v>
      </c>
      <c r="AZ380" t="n">
        <v>31.2</v>
      </c>
      <c r="BA380" t="n">
        <v>43</v>
      </c>
      <c r="BB380" t="n">
        <v>71.90000000000001</v>
      </c>
      <c r="BC380" t="n">
        <v>86.2</v>
      </c>
      <c r="BD380" t="n">
        <v>28.1</v>
      </c>
      <c r="BE380" t="n">
        <v>13.8</v>
      </c>
      <c r="BF380" t="n">
        <v>100</v>
      </c>
      <c r="BG380" t="n">
        <v>30.2</v>
      </c>
      <c r="BH380" t="n">
        <v>32.7</v>
      </c>
      <c r="BI380" t="n">
        <v>10.5</v>
      </c>
      <c r="BJ380" t="n">
        <v>31.2</v>
      </c>
      <c r="BK380" t="n">
        <v>43</v>
      </c>
      <c r="BL380" t="n">
        <v>71.90000000000001</v>
      </c>
      <c r="BM380" t="n">
        <v>86.2</v>
      </c>
      <c r="BN380" t="n">
        <v>28.1</v>
      </c>
      <c r="BO380" t="n">
        <v>13.8</v>
      </c>
      <c r="BP380" t="n">
        <v>0</v>
      </c>
      <c r="BQ380" t="n">
        <v>0</v>
      </c>
      <c r="BR380" t="n">
        <v>0</v>
      </c>
      <c r="BS380" t="n">
        <v>0</v>
      </c>
      <c r="BT380" t="n">
        <v>0</v>
      </c>
      <c r="BU380" t="n">
        <v>0</v>
      </c>
      <c r="BV380" t="n">
        <v>0</v>
      </c>
      <c r="BW380" t="n">
        <v>0</v>
      </c>
      <c r="BX380" t="n">
        <v>0</v>
      </c>
      <c r="BY380" t="n">
        <v>0</v>
      </c>
      <c r="BZ380" t="n">
        <v>26</v>
      </c>
      <c r="CA380" t="n">
        <v>6</v>
      </c>
      <c r="CB380" t="n">
        <v>5</v>
      </c>
      <c r="CC380" t="n">
        <v>7</v>
      </c>
      <c r="CD380" t="n">
        <v>11</v>
      </c>
      <c r="CE380" t="n">
        <v>6</v>
      </c>
      <c r="CF380" t="n">
        <v>22</v>
      </c>
      <c r="CG380" t="n">
        <v>14</v>
      </c>
      <c r="CH380" t="n">
        <v>26</v>
      </c>
      <c r="CI380" t="n">
        <v>6</v>
      </c>
      <c r="CJ380" t="n">
        <v>5</v>
      </c>
      <c r="CK380" t="n">
        <v>7</v>
      </c>
      <c r="CL380" t="n">
        <v>11</v>
      </c>
      <c r="CM380" t="n">
        <v>6</v>
      </c>
      <c r="CN380" t="n">
        <v>22</v>
      </c>
      <c r="CO380" t="n">
        <v>14</v>
      </c>
      <c r="CP380" t="n">
        <v>0</v>
      </c>
      <c r="CQ380" t="n">
        <v>0</v>
      </c>
      <c r="CR380" t="n">
        <v>0</v>
      </c>
      <c r="CS380" t="n">
        <v>0</v>
      </c>
      <c r="CT380" t="n">
        <v>0</v>
      </c>
      <c r="CU380" t="n">
        <v>0</v>
      </c>
      <c r="CV380" t="n">
        <v>0</v>
      </c>
      <c r="CW380" t="n">
        <v>0</v>
      </c>
      <c r="CX380" t="n">
        <v>29.2</v>
      </c>
      <c r="CY380" t="n">
        <v>57.6</v>
      </c>
      <c r="CZ380" t="n">
        <v>47.5</v>
      </c>
      <c r="DA380" t="n">
        <v>78.7</v>
      </c>
      <c r="DB380" t="n">
        <v>28.2</v>
      </c>
      <c r="DC380" t="n">
        <v>52.5</v>
      </c>
      <c r="DD380" t="n">
        <v>45.2</v>
      </c>
      <c r="DE380" t="n">
        <v>71.2</v>
      </c>
      <c r="DF380" t="n">
        <v>29.2</v>
      </c>
      <c r="DG380" t="n">
        <v>57.6</v>
      </c>
      <c r="DH380" t="n">
        <v>47.5</v>
      </c>
      <c r="DI380" t="n">
        <v>78.7</v>
      </c>
      <c r="DJ380" t="n">
        <v>28.2</v>
      </c>
      <c r="DK380" t="n">
        <v>52.5</v>
      </c>
      <c r="DL380" t="n">
        <v>45.2</v>
      </c>
      <c r="DM380" t="n">
        <v>71.2</v>
      </c>
      <c r="DN380" t="n">
        <v>0</v>
      </c>
      <c r="DO380" t="n">
        <v>0</v>
      </c>
      <c r="DP380" t="n">
        <v>0</v>
      </c>
      <c r="DQ380" t="n">
        <v>0</v>
      </c>
      <c r="DR380" t="n">
        <v>0</v>
      </c>
      <c r="DS380" t="n">
        <v>0</v>
      </c>
      <c r="DT380" t="n">
        <v>0</v>
      </c>
      <c r="DU380" t="n">
        <v>0</v>
      </c>
      <c r="DV380" t="inlineStr">
        <is>
          <t>100  metric tonnes</t>
        </is>
      </c>
    </row>
    <row r="381">
      <c r="A381" t="inlineStr">
        <is>
          <t>PROPANE ARGUS FAR EAST MINI - ICE FUTURES ENERGY DIV</t>
        </is>
      </c>
      <c r="B381" t="n">
        <v>230103</v>
      </c>
      <c r="C381" s="1" t="n">
        <v>44929</v>
      </c>
      <c r="D381" t="inlineStr">
        <is>
          <t>066393</t>
        </is>
      </c>
      <c r="E381" t="inlineStr">
        <is>
          <t>IFED</t>
        </is>
      </c>
      <c r="F381" t="inlineStr">
        <is>
          <t>01</t>
        </is>
      </c>
      <c r="G381" t="inlineStr">
        <is>
          <t xml:space="preserve">066 </t>
        </is>
      </c>
      <c r="H381" t="n">
        <v>2878</v>
      </c>
      <c r="I381" s="17" t="n">
        <v>706</v>
      </c>
      <c r="J381" s="17" t="n">
        <v>692</v>
      </c>
      <c r="K381" t="n">
        <v>375</v>
      </c>
      <c r="L381" t="n">
        <v>1073</v>
      </c>
      <c r="M381" t="n">
        <v>1319</v>
      </c>
      <c r="N381" t="n">
        <v>2154</v>
      </c>
      <c r="O381" t="n">
        <v>2386</v>
      </c>
      <c r="P381" t="n">
        <v>724</v>
      </c>
      <c r="Q381" t="n">
        <v>492</v>
      </c>
      <c r="R381" t="n">
        <v>2878</v>
      </c>
      <c r="S381" t="n">
        <v>706</v>
      </c>
      <c r="T381" t="n">
        <v>692</v>
      </c>
      <c r="U381" t="n">
        <v>375</v>
      </c>
      <c r="V381" t="n">
        <v>1073</v>
      </c>
      <c r="W381" t="n">
        <v>1319</v>
      </c>
      <c r="X381" t="n">
        <v>2154</v>
      </c>
      <c r="Y381" t="n">
        <v>2386</v>
      </c>
      <c r="Z381" t="n">
        <v>724</v>
      </c>
      <c r="AA381" t="n">
        <v>492</v>
      </c>
      <c r="AB381" t="n">
        <v>0</v>
      </c>
      <c r="AC381" t="n">
        <v>0</v>
      </c>
      <c r="AD381" t="n">
        <v>0</v>
      </c>
      <c r="AE381" t="n">
        <v>0</v>
      </c>
      <c r="AF381" t="n">
        <v>0</v>
      </c>
      <c r="AG381" t="n">
        <v>0</v>
      </c>
      <c r="AH381" t="n">
        <v>0</v>
      </c>
      <c r="AI381" t="n">
        <v>0</v>
      </c>
      <c r="AJ381" t="n">
        <v>0</v>
      </c>
      <c r="AK381" t="n">
        <v>0</v>
      </c>
      <c r="AL381" t="n">
        <v>33</v>
      </c>
      <c r="AM381" t="n">
        <v>-176</v>
      </c>
      <c r="AN381" t="n">
        <v>49</v>
      </c>
      <c r="AO381" t="n">
        <v>-64</v>
      </c>
      <c r="AP381" t="n">
        <v>23</v>
      </c>
      <c r="AQ381" t="n">
        <v>-66</v>
      </c>
      <c r="AR381" t="n">
        <v>-217</v>
      </c>
      <c r="AS381" t="n">
        <v>-81</v>
      </c>
      <c r="AT381" t="n">
        <v>250</v>
      </c>
      <c r="AU381" t="n">
        <v>114</v>
      </c>
      <c r="AV381" t="n">
        <v>100</v>
      </c>
      <c r="AW381" t="n">
        <v>24.5</v>
      </c>
      <c r="AX381" t="n">
        <v>24</v>
      </c>
      <c r="AY381" t="n">
        <v>13</v>
      </c>
      <c r="AZ381" t="n">
        <v>37.3</v>
      </c>
      <c r="BA381" t="n">
        <v>45.8</v>
      </c>
      <c r="BB381" t="n">
        <v>74.8</v>
      </c>
      <c r="BC381" t="n">
        <v>82.90000000000001</v>
      </c>
      <c r="BD381" t="n">
        <v>25.2</v>
      </c>
      <c r="BE381" t="n">
        <v>17.1</v>
      </c>
      <c r="BF381" t="n">
        <v>100</v>
      </c>
      <c r="BG381" t="n">
        <v>24.5</v>
      </c>
      <c r="BH381" t="n">
        <v>24</v>
      </c>
      <c r="BI381" t="n">
        <v>13</v>
      </c>
      <c r="BJ381" t="n">
        <v>37.3</v>
      </c>
      <c r="BK381" t="n">
        <v>45.8</v>
      </c>
      <c r="BL381" t="n">
        <v>74.8</v>
      </c>
      <c r="BM381" t="n">
        <v>82.90000000000001</v>
      </c>
      <c r="BN381" t="n">
        <v>25.2</v>
      </c>
      <c r="BO381" t="n">
        <v>17.1</v>
      </c>
      <c r="BP381" t="n">
        <v>0</v>
      </c>
      <c r="BQ381" t="n">
        <v>0</v>
      </c>
      <c r="BR381" t="n">
        <v>0</v>
      </c>
      <c r="BS381" t="n">
        <v>0</v>
      </c>
      <c r="BT381" t="n">
        <v>0</v>
      </c>
      <c r="BU381" t="n">
        <v>0</v>
      </c>
      <c r="BV381" t="n">
        <v>0</v>
      </c>
      <c r="BW381" t="n">
        <v>0</v>
      </c>
      <c r="BX381" t="n">
        <v>0</v>
      </c>
      <c r="BY381" t="n">
        <v>0</v>
      </c>
      <c r="BZ381" t="n">
        <v>34</v>
      </c>
      <c r="CA381" t="n">
        <v>8</v>
      </c>
      <c r="CB381" t="n">
        <v>7</v>
      </c>
      <c r="CC381" t="n">
        <v>7</v>
      </c>
      <c r="CD381" t="n">
        <v>15</v>
      </c>
      <c r="CE381" t="n">
        <v>10</v>
      </c>
      <c r="CF381" t="n">
        <v>26</v>
      </c>
      <c r="CG381" t="n">
        <v>21</v>
      </c>
      <c r="CH381" t="n">
        <v>34</v>
      </c>
      <c r="CI381" t="n">
        <v>8</v>
      </c>
      <c r="CJ381" t="n">
        <v>7</v>
      </c>
      <c r="CK381" t="n">
        <v>7</v>
      </c>
      <c r="CL381" t="n">
        <v>15</v>
      </c>
      <c r="CM381" t="n">
        <v>10</v>
      </c>
      <c r="CN381" t="n">
        <v>26</v>
      </c>
      <c r="CO381" t="n">
        <v>21</v>
      </c>
      <c r="CP381" t="n">
        <v>0</v>
      </c>
      <c r="CQ381" t="n">
        <v>0</v>
      </c>
      <c r="CR381" t="n">
        <v>0</v>
      </c>
      <c r="CS381" t="n">
        <v>0</v>
      </c>
      <c r="CT381" t="n">
        <v>0</v>
      </c>
      <c r="CU381" t="n">
        <v>0</v>
      </c>
      <c r="CV381" t="n">
        <v>0</v>
      </c>
      <c r="CW381" t="n">
        <v>0</v>
      </c>
      <c r="CX381" t="n">
        <v>27.1</v>
      </c>
      <c r="CY381" t="n">
        <v>46</v>
      </c>
      <c r="CZ381" t="n">
        <v>46.1</v>
      </c>
      <c r="DA381" t="n">
        <v>63.2</v>
      </c>
      <c r="DB381" t="n">
        <v>24.5</v>
      </c>
      <c r="DC381" t="n">
        <v>40.8</v>
      </c>
      <c r="DD381" t="n">
        <v>38.4</v>
      </c>
      <c r="DE381" t="n">
        <v>55.1</v>
      </c>
      <c r="DF381" t="n">
        <v>27.1</v>
      </c>
      <c r="DG381" t="n">
        <v>46</v>
      </c>
      <c r="DH381" t="n">
        <v>46.1</v>
      </c>
      <c r="DI381" t="n">
        <v>63.2</v>
      </c>
      <c r="DJ381" t="n">
        <v>24.5</v>
      </c>
      <c r="DK381" t="n">
        <v>40.8</v>
      </c>
      <c r="DL381" t="n">
        <v>38.4</v>
      </c>
      <c r="DM381" t="n">
        <v>55.1</v>
      </c>
      <c r="DN381" t="n">
        <v>0</v>
      </c>
      <c r="DO381" t="n">
        <v>0</v>
      </c>
      <c r="DP381" t="n">
        <v>0</v>
      </c>
      <c r="DQ381" t="n">
        <v>0</v>
      </c>
      <c r="DR381" t="n">
        <v>0</v>
      </c>
      <c r="DS381" t="n">
        <v>0</v>
      </c>
      <c r="DT381" t="n">
        <v>0</v>
      </c>
      <c r="DU381" t="n">
        <v>0</v>
      </c>
      <c r="DV381" t="inlineStr">
        <is>
          <t>100  metric tonnes</t>
        </is>
      </c>
    </row>
    <row r="382">
      <c r="A382" t="inlineStr">
        <is>
          <t>PROPANE,OPIS MT BELV TET BALMO - ICE FUTURES ENERGY DIV</t>
        </is>
      </c>
      <c r="B382" t="n">
        <v>230103</v>
      </c>
      <c r="C382" s="1" t="n">
        <v>44929</v>
      </c>
      <c r="D382" t="inlineStr">
        <is>
          <t>06639Z</t>
        </is>
      </c>
      <c r="E382" t="inlineStr">
        <is>
          <t>IFED</t>
        </is>
      </c>
      <c r="F382" t="inlineStr">
        <is>
          <t>01</t>
        </is>
      </c>
      <c r="G382" t="inlineStr">
        <is>
          <t xml:space="preserve">066 </t>
        </is>
      </c>
      <c r="H382" t="n">
        <v>1865</v>
      </c>
      <c r="I382" s="17" t="n">
        <v>637</v>
      </c>
      <c r="J382" s="17" t="n">
        <v>286</v>
      </c>
      <c r="K382" t="n">
        <v>345</v>
      </c>
      <c r="L382" t="n">
        <v>866</v>
      </c>
      <c r="M382" t="n">
        <v>1147</v>
      </c>
      <c r="N382" t="n">
        <v>1848</v>
      </c>
      <c r="O382" t="n">
        <v>1778</v>
      </c>
      <c r="P382" t="n">
        <v>17</v>
      </c>
      <c r="Q382" t="n">
        <v>87</v>
      </c>
      <c r="R382" t="n">
        <v>1865</v>
      </c>
      <c r="S382" t="n">
        <v>637</v>
      </c>
      <c r="T382" t="n">
        <v>286</v>
      </c>
      <c r="U382" t="n">
        <v>345</v>
      </c>
      <c r="V382" t="n">
        <v>866</v>
      </c>
      <c r="W382" t="n">
        <v>1147</v>
      </c>
      <c r="X382" t="n">
        <v>1848</v>
      </c>
      <c r="Y382" t="n">
        <v>1778</v>
      </c>
      <c r="Z382" t="n">
        <v>17</v>
      </c>
      <c r="AA382" t="n">
        <v>87</v>
      </c>
      <c r="AB382" t="n">
        <v>0</v>
      </c>
      <c r="AC382" t="n">
        <v>0</v>
      </c>
      <c r="AD382" t="n">
        <v>0</v>
      </c>
      <c r="AE382" t="n">
        <v>0</v>
      </c>
      <c r="AF382" t="n">
        <v>0</v>
      </c>
      <c r="AG382" t="n">
        <v>0</v>
      </c>
      <c r="AH382" t="n">
        <v>0</v>
      </c>
      <c r="AI382" t="n">
        <v>0</v>
      </c>
      <c r="AJ382" t="n">
        <v>0</v>
      </c>
      <c r="AK382" t="n">
        <v>0</v>
      </c>
      <c r="AL382" t="n">
        <v>385</v>
      </c>
      <c r="AM382" t="n">
        <v>25</v>
      </c>
      <c r="AN382" t="n">
        <v>-125</v>
      </c>
      <c r="AO382" t="n">
        <v>125</v>
      </c>
      <c r="AP382" t="n">
        <v>235</v>
      </c>
      <c r="AQ382" t="n">
        <v>355</v>
      </c>
      <c r="AR382" t="n">
        <v>385</v>
      </c>
      <c r="AS382" t="n">
        <v>355</v>
      </c>
      <c r="AT382" t="n">
        <v>0</v>
      </c>
      <c r="AU382" t="n">
        <v>30</v>
      </c>
      <c r="AV382" t="n">
        <v>100</v>
      </c>
      <c r="AW382" t="n">
        <v>34.2</v>
      </c>
      <c r="AX382" t="n">
        <v>15.3</v>
      </c>
      <c r="AY382" t="n">
        <v>18.5</v>
      </c>
      <c r="AZ382" t="n">
        <v>46.4</v>
      </c>
      <c r="BA382" t="n">
        <v>61.5</v>
      </c>
      <c r="BB382" t="n">
        <v>99.09999999999999</v>
      </c>
      <c r="BC382" t="n">
        <v>95.3</v>
      </c>
      <c r="BD382" t="n">
        <v>0.9</v>
      </c>
      <c r="BE382" t="n">
        <v>4.7</v>
      </c>
      <c r="BF382" t="n">
        <v>100</v>
      </c>
      <c r="BG382" t="n">
        <v>34.2</v>
      </c>
      <c r="BH382" t="n">
        <v>15.3</v>
      </c>
      <c r="BI382" t="n">
        <v>18.5</v>
      </c>
      <c r="BJ382" t="n">
        <v>46.4</v>
      </c>
      <c r="BK382" t="n">
        <v>61.5</v>
      </c>
      <c r="BL382" t="n">
        <v>99.09999999999999</v>
      </c>
      <c r="BM382" t="n">
        <v>95.3</v>
      </c>
      <c r="BN382" t="n">
        <v>0.9</v>
      </c>
      <c r="BO382" t="n">
        <v>4.7</v>
      </c>
      <c r="BP382" t="n">
        <v>0</v>
      </c>
      <c r="BQ382" t="n">
        <v>0</v>
      </c>
      <c r="BR382" t="n">
        <v>0</v>
      </c>
      <c r="BS382" t="n">
        <v>0</v>
      </c>
      <c r="BT382" t="n">
        <v>0</v>
      </c>
      <c r="BU382" t="n">
        <v>0</v>
      </c>
      <c r="BV382" t="n">
        <v>0</v>
      </c>
      <c r="BW382" t="n">
        <v>0</v>
      </c>
      <c r="BX382" t="n">
        <v>0</v>
      </c>
      <c r="BY382" t="n">
        <v>0</v>
      </c>
      <c r="BZ382" t="n">
        <v>24</v>
      </c>
      <c r="CA382" t="n">
        <v>5</v>
      </c>
      <c r="CB382" t="n">
        <v>2</v>
      </c>
      <c r="CC382" t="n">
        <v>1</v>
      </c>
      <c r="CD382" t="n">
        <v>11</v>
      </c>
      <c r="CE382" t="n">
        <v>10</v>
      </c>
      <c r="CF382" t="n">
        <v>17</v>
      </c>
      <c r="CG382" t="n">
        <v>12</v>
      </c>
      <c r="CH382" t="n">
        <v>24</v>
      </c>
      <c r="CI382" t="n">
        <v>5</v>
      </c>
      <c r="CJ382" t="n">
        <v>2</v>
      </c>
      <c r="CK382" t="n">
        <v>1</v>
      </c>
      <c r="CL382" t="n">
        <v>11</v>
      </c>
      <c r="CM382" t="n">
        <v>10</v>
      </c>
      <c r="CN382" t="n">
        <v>17</v>
      </c>
      <c r="CO382" t="n">
        <v>12</v>
      </c>
      <c r="CP382" t="n">
        <v>0</v>
      </c>
      <c r="CQ382" t="n">
        <v>0</v>
      </c>
      <c r="CR382" t="n">
        <v>0</v>
      </c>
      <c r="CS382" t="n">
        <v>0</v>
      </c>
      <c r="CT382" t="n">
        <v>0</v>
      </c>
      <c r="CU382" t="n">
        <v>0</v>
      </c>
      <c r="CV382" t="n">
        <v>0</v>
      </c>
      <c r="CW382" t="n">
        <v>0</v>
      </c>
      <c r="CX382" t="n">
        <v>64.59999999999999</v>
      </c>
      <c r="CY382" t="n">
        <v>67.8</v>
      </c>
      <c r="CZ382" t="n">
        <v>82.40000000000001</v>
      </c>
      <c r="DA382" t="n">
        <v>88.59999999999999</v>
      </c>
      <c r="DB382" t="n">
        <v>48.3</v>
      </c>
      <c r="DC382" t="n">
        <v>48.5</v>
      </c>
      <c r="DD382" t="n">
        <v>62.5</v>
      </c>
      <c r="DE382" t="n">
        <v>66.90000000000001</v>
      </c>
      <c r="DF382" t="n">
        <v>64.59999999999999</v>
      </c>
      <c r="DG382" t="n">
        <v>67.8</v>
      </c>
      <c r="DH382" t="n">
        <v>82.40000000000001</v>
      </c>
      <c r="DI382" t="n">
        <v>88.59999999999999</v>
      </c>
      <c r="DJ382" t="n">
        <v>48.3</v>
      </c>
      <c r="DK382" t="n">
        <v>48.5</v>
      </c>
      <c r="DL382" t="n">
        <v>62.5</v>
      </c>
      <c r="DM382" t="n">
        <v>66.90000000000001</v>
      </c>
      <c r="DN382" t="n">
        <v>0</v>
      </c>
      <c r="DO382" t="n">
        <v>0</v>
      </c>
      <c r="DP382" t="n">
        <v>0</v>
      </c>
      <c r="DQ382" t="n">
        <v>0</v>
      </c>
      <c r="DR382" t="n">
        <v>0</v>
      </c>
      <c r="DS382" t="n">
        <v>0</v>
      </c>
      <c r="DT382" t="n">
        <v>0</v>
      </c>
      <c r="DU382" t="n">
        <v>0</v>
      </c>
      <c r="DV382" t="inlineStr">
        <is>
          <t>42000 gallons(1000 barrels)</t>
        </is>
      </c>
    </row>
    <row r="383">
      <c r="A383" t="inlineStr">
        <is>
          <t>ARGUS FAR EAST PROPANE - ICE FUTURES ENERGY DIV</t>
        </is>
      </c>
      <c r="B383" t="n">
        <v>230110</v>
      </c>
      <c r="C383" s="1" t="n">
        <v>44936</v>
      </c>
      <c r="D383" t="inlineStr">
        <is>
          <t>066413</t>
        </is>
      </c>
      <c r="E383" t="inlineStr">
        <is>
          <t>IFED</t>
        </is>
      </c>
      <c r="F383" t="inlineStr">
        <is>
          <t>01</t>
        </is>
      </c>
      <c r="G383" t="inlineStr">
        <is>
          <t xml:space="preserve">066 </t>
        </is>
      </c>
      <c r="H383" t="n">
        <v>7510</v>
      </c>
      <c r="I383" s="17" t="n">
        <v>808</v>
      </c>
      <c r="J383" s="17" t="n">
        <v>546</v>
      </c>
      <c r="K383" t="n">
        <v>1149</v>
      </c>
      <c r="L383" t="n">
        <v>4715</v>
      </c>
      <c r="M383" t="n">
        <v>5000</v>
      </c>
      <c r="N383" t="n">
        <v>6672</v>
      </c>
      <c r="O383" t="n">
        <v>6695</v>
      </c>
      <c r="P383" t="n">
        <v>838</v>
      </c>
      <c r="Q383" t="n">
        <v>815</v>
      </c>
      <c r="R383" t="n">
        <v>7510</v>
      </c>
      <c r="S383" t="n">
        <v>808</v>
      </c>
      <c r="T383" t="n">
        <v>546</v>
      </c>
      <c r="U383" t="n">
        <v>1149</v>
      </c>
      <c r="V383" t="n">
        <v>4715</v>
      </c>
      <c r="W383" t="n">
        <v>5000</v>
      </c>
      <c r="X383" t="n">
        <v>6672</v>
      </c>
      <c r="Y383" t="n">
        <v>6695</v>
      </c>
      <c r="Z383" t="n">
        <v>838</v>
      </c>
      <c r="AA383" t="n">
        <v>815</v>
      </c>
      <c r="AB383" t="n">
        <v>0</v>
      </c>
      <c r="AC383" t="n">
        <v>0</v>
      </c>
      <c r="AD383" t="n">
        <v>0</v>
      </c>
      <c r="AE383" t="n">
        <v>0</v>
      </c>
      <c r="AF383" t="n">
        <v>0</v>
      </c>
      <c r="AG383" t="n">
        <v>0</v>
      </c>
      <c r="AH383" t="n">
        <v>0</v>
      </c>
      <c r="AI383" t="n">
        <v>0</v>
      </c>
      <c r="AJ383" t="n">
        <v>0</v>
      </c>
      <c r="AK383" t="n">
        <v>0</v>
      </c>
      <c r="AL383" t="n">
        <v>-871</v>
      </c>
      <c r="AM383" t="n">
        <v>-213</v>
      </c>
      <c r="AN383" t="n">
        <v>-162</v>
      </c>
      <c r="AO383" t="n">
        <v>55</v>
      </c>
      <c r="AP383" t="n">
        <v>-302</v>
      </c>
      <c r="AQ383" t="n">
        <v>-575</v>
      </c>
      <c r="AR383" t="n">
        <v>-460</v>
      </c>
      <c r="AS383" t="n">
        <v>-682</v>
      </c>
      <c r="AT383" t="n">
        <v>-411</v>
      </c>
      <c r="AU383" t="n">
        <v>-189</v>
      </c>
      <c r="AV383" t="n">
        <v>100</v>
      </c>
      <c r="AW383" t="n">
        <v>10.8</v>
      </c>
      <c r="AX383" t="n">
        <v>7.3</v>
      </c>
      <c r="AY383" t="n">
        <v>15.3</v>
      </c>
      <c r="AZ383" t="n">
        <v>62.8</v>
      </c>
      <c r="BA383" t="n">
        <v>66.59999999999999</v>
      </c>
      <c r="BB383" t="n">
        <v>88.8</v>
      </c>
      <c r="BC383" t="n">
        <v>89.09999999999999</v>
      </c>
      <c r="BD383" t="n">
        <v>11.2</v>
      </c>
      <c r="BE383" t="n">
        <v>10.9</v>
      </c>
      <c r="BF383" t="n">
        <v>100</v>
      </c>
      <c r="BG383" t="n">
        <v>10.8</v>
      </c>
      <c r="BH383" t="n">
        <v>7.3</v>
      </c>
      <c r="BI383" t="n">
        <v>15.3</v>
      </c>
      <c r="BJ383" t="n">
        <v>62.8</v>
      </c>
      <c r="BK383" t="n">
        <v>66.59999999999999</v>
      </c>
      <c r="BL383" t="n">
        <v>88.8</v>
      </c>
      <c r="BM383" t="n">
        <v>89.09999999999999</v>
      </c>
      <c r="BN383" t="n">
        <v>11.2</v>
      </c>
      <c r="BO383" t="n">
        <v>10.9</v>
      </c>
      <c r="BP383" t="n">
        <v>0</v>
      </c>
      <c r="BQ383" t="n">
        <v>0</v>
      </c>
      <c r="BR383" t="n">
        <v>0</v>
      </c>
      <c r="BS383" t="n">
        <v>0</v>
      </c>
      <c r="BT383" t="n">
        <v>0</v>
      </c>
      <c r="BU383" t="n">
        <v>0</v>
      </c>
      <c r="BV383" t="n">
        <v>0</v>
      </c>
      <c r="BW383" t="n">
        <v>0</v>
      </c>
      <c r="BX383" t="n">
        <v>0</v>
      </c>
      <c r="BY383" t="n">
        <v>0</v>
      </c>
      <c r="BZ383" t="n">
        <v>51</v>
      </c>
      <c r="CA383" t="n">
        <v>6</v>
      </c>
      <c r="CB383" t="n">
        <v>8</v>
      </c>
      <c r="CC383" t="n">
        <v>13</v>
      </c>
      <c r="CD383" t="n">
        <v>25</v>
      </c>
      <c r="CE383" t="n">
        <v>31</v>
      </c>
      <c r="CF383" t="n">
        <v>39</v>
      </c>
      <c r="CG383" t="n">
        <v>46</v>
      </c>
      <c r="CH383" t="n">
        <v>51</v>
      </c>
      <c r="CI383" t="n">
        <v>6</v>
      </c>
      <c r="CJ383" t="n">
        <v>8</v>
      </c>
      <c r="CK383" t="n">
        <v>13</v>
      </c>
      <c r="CL383" t="n">
        <v>25</v>
      </c>
      <c r="CM383" t="n">
        <v>31</v>
      </c>
      <c r="CN383" t="n">
        <v>39</v>
      </c>
      <c r="CO383" t="n">
        <v>46</v>
      </c>
      <c r="CP383" t="n">
        <v>0</v>
      </c>
      <c r="CQ383" t="n">
        <v>0</v>
      </c>
      <c r="CR383" t="n">
        <v>0</v>
      </c>
      <c r="CS383" t="n">
        <v>0</v>
      </c>
      <c r="CT383" t="n">
        <v>0</v>
      </c>
      <c r="CU383" t="n">
        <v>0</v>
      </c>
      <c r="CV383" t="n">
        <v>0</v>
      </c>
      <c r="CW383" t="n">
        <v>0</v>
      </c>
      <c r="CX383" t="n">
        <v>40.7</v>
      </c>
      <c r="CY383" t="n">
        <v>31.9</v>
      </c>
      <c r="CZ383" t="n">
        <v>56.4</v>
      </c>
      <c r="DA383" t="n">
        <v>47.3</v>
      </c>
      <c r="DB383" t="n">
        <v>34.9</v>
      </c>
      <c r="DC383" t="n">
        <v>31</v>
      </c>
      <c r="DD383" t="n">
        <v>46.8</v>
      </c>
      <c r="DE383" t="n">
        <v>41.3</v>
      </c>
      <c r="DF383" t="n">
        <v>40.7</v>
      </c>
      <c r="DG383" t="n">
        <v>31.9</v>
      </c>
      <c r="DH383" t="n">
        <v>56.4</v>
      </c>
      <c r="DI383" t="n">
        <v>47.3</v>
      </c>
      <c r="DJ383" t="n">
        <v>34.9</v>
      </c>
      <c r="DK383" t="n">
        <v>31</v>
      </c>
      <c r="DL383" t="n">
        <v>46.8</v>
      </c>
      <c r="DM383" t="n">
        <v>41.3</v>
      </c>
      <c r="DN383" t="n">
        <v>0</v>
      </c>
      <c r="DO383" t="n">
        <v>0</v>
      </c>
      <c r="DP383" t="n">
        <v>0</v>
      </c>
      <c r="DQ383" t="n">
        <v>0</v>
      </c>
      <c r="DR383" t="n">
        <v>0</v>
      </c>
      <c r="DS383" t="n">
        <v>0</v>
      </c>
      <c r="DT383" t="n">
        <v>0</v>
      </c>
      <c r="DU383" t="n">
        <v>0</v>
      </c>
      <c r="DV383" t="inlineStr">
        <is>
          <t>1000  metric tonnes</t>
        </is>
      </c>
    </row>
    <row r="384">
      <c r="A384" t="inlineStr">
        <is>
          <t>ARGUS FAR EAST PROPANE - ICE FUTURES ENERGY DIV</t>
        </is>
      </c>
      <c r="B384" t="n">
        <v>230103</v>
      </c>
      <c r="C384" s="1" t="n">
        <v>44929</v>
      </c>
      <c r="D384" t="inlineStr">
        <is>
          <t>066413</t>
        </is>
      </c>
      <c r="E384" t="inlineStr">
        <is>
          <t>IFED</t>
        </is>
      </c>
      <c r="F384" t="inlineStr">
        <is>
          <t>01</t>
        </is>
      </c>
      <c r="G384" t="inlineStr">
        <is>
          <t xml:space="preserve">066 </t>
        </is>
      </c>
      <c r="H384" t="n">
        <v>8381</v>
      </c>
      <c r="I384" s="17" t="n">
        <v>1021</v>
      </c>
      <c r="J384" s="17" t="n">
        <v>708</v>
      </c>
      <c r="K384" t="n">
        <v>1094</v>
      </c>
      <c r="L384" t="n">
        <v>5017</v>
      </c>
      <c r="M384" t="n">
        <v>5575</v>
      </c>
      <c r="N384" t="n">
        <v>7132</v>
      </c>
      <c r="O384" t="n">
        <v>7377</v>
      </c>
      <c r="P384" t="n">
        <v>1249</v>
      </c>
      <c r="Q384" t="n">
        <v>1004</v>
      </c>
      <c r="R384" t="n">
        <v>8381</v>
      </c>
      <c r="S384" t="n">
        <v>1021</v>
      </c>
      <c r="T384" t="n">
        <v>708</v>
      </c>
      <c r="U384" t="n">
        <v>1094</v>
      </c>
      <c r="V384" t="n">
        <v>5017</v>
      </c>
      <c r="W384" t="n">
        <v>5575</v>
      </c>
      <c r="X384" t="n">
        <v>7132</v>
      </c>
      <c r="Y384" t="n">
        <v>7377</v>
      </c>
      <c r="Z384" t="n">
        <v>1249</v>
      </c>
      <c r="AA384" t="n">
        <v>1004</v>
      </c>
      <c r="AB384" t="n">
        <v>0</v>
      </c>
      <c r="AC384" t="n">
        <v>0</v>
      </c>
      <c r="AD384" t="n">
        <v>0</v>
      </c>
      <c r="AE384" t="n">
        <v>0</v>
      </c>
      <c r="AF384" t="n">
        <v>0</v>
      </c>
      <c r="AG384" t="n">
        <v>0</v>
      </c>
      <c r="AH384" t="n">
        <v>0</v>
      </c>
      <c r="AI384" t="n">
        <v>0</v>
      </c>
      <c r="AJ384" t="n">
        <v>0</v>
      </c>
      <c r="AK384" t="n">
        <v>0</v>
      </c>
      <c r="AL384" t="n">
        <v>120</v>
      </c>
      <c r="AM384" t="n">
        <v>101</v>
      </c>
      <c r="AN384" t="n">
        <v>0</v>
      </c>
      <c r="AO384" t="n">
        <v>-75</v>
      </c>
      <c r="AP384" t="n">
        <v>-244</v>
      </c>
      <c r="AQ384" t="n">
        <v>3</v>
      </c>
      <c r="AR384" t="n">
        <v>-218</v>
      </c>
      <c r="AS384" t="n">
        <v>-72</v>
      </c>
      <c r="AT384" t="n">
        <v>338</v>
      </c>
      <c r="AU384" t="n">
        <v>192</v>
      </c>
      <c r="AV384" t="n">
        <v>100</v>
      </c>
      <c r="AW384" t="n">
        <v>12.2</v>
      </c>
      <c r="AX384" t="n">
        <v>8.4</v>
      </c>
      <c r="AY384" t="n">
        <v>13.1</v>
      </c>
      <c r="AZ384" t="n">
        <v>59.9</v>
      </c>
      <c r="BA384" t="n">
        <v>66.5</v>
      </c>
      <c r="BB384" t="n">
        <v>85.09999999999999</v>
      </c>
      <c r="BC384" t="n">
        <v>88</v>
      </c>
      <c r="BD384" t="n">
        <v>14.9</v>
      </c>
      <c r="BE384" t="n">
        <v>12</v>
      </c>
      <c r="BF384" t="n">
        <v>100</v>
      </c>
      <c r="BG384" t="n">
        <v>12.2</v>
      </c>
      <c r="BH384" t="n">
        <v>8.4</v>
      </c>
      <c r="BI384" t="n">
        <v>13.1</v>
      </c>
      <c r="BJ384" t="n">
        <v>59.9</v>
      </c>
      <c r="BK384" t="n">
        <v>66.5</v>
      </c>
      <c r="BL384" t="n">
        <v>85.09999999999999</v>
      </c>
      <c r="BM384" t="n">
        <v>88</v>
      </c>
      <c r="BN384" t="n">
        <v>14.9</v>
      </c>
      <c r="BO384" t="n">
        <v>12</v>
      </c>
      <c r="BP384" t="n">
        <v>0</v>
      </c>
      <c r="BQ384" t="n">
        <v>0</v>
      </c>
      <c r="BR384" t="n">
        <v>0</v>
      </c>
      <c r="BS384" t="n">
        <v>0</v>
      </c>
      <c r="BT384" t="n">
        <v>0</v>
      </c>
      <c r="BU384" t="n">
        <v>0</v>
      </c>
      <c r="BV384" t="n">
        <v>0</v>
      </c>
      <c r="BW384" t="n">
        <v>0</v>
      </c>
      <c r="BX384" t="n">
        <v>0</v>
      </c>
      <c r="BY384" t="n">
        <v>0</v>
      </c>
      <c r="BZ384" t="n">
        <v>52</v>
      </c>
      <c r="CA384" t="n">
        <v>9</v>
      </c>
      <c r="CB384" t="n">
        <v>8</v>
      </c>
      <c r="CC384" t="n">
        <v>13</v>
      </c>
      <c r="CD384" t="n">
        <v>28</v>
      </c>
      <c r="CE384" t="n">
        <v>31</v>
      </c>
      <c r="CF384" t="n">
        <v>43</v>
      </c>
      <c r="CG384" t="n">
        <v>46</v>
      </c>
      <c r="CH384" t="n">
        <v>52</v>
      </c>
      <c r="CI384" t="n">
        <v>9</v>
      </c>
      <c r="CJ384" t="n">
        <v>8</v>
      </c>
      <c r="CK384" t="n">
        <v>13</v>
      </c>
      <c r="CL384" t="n">
        <v>28</v>
      </c>
      <c r="CM384" t="n">
        <v>31</v>
      </c>
      <c r="CN384" t="n">
        <v>43</v>
      </c>
      <c r="CO384" t="n">
        <v>46</v>
      </c>
      <c r="CP384" t="n">
        <v>0</v>
      </c>
      <c r="CQ384" t="n">
        <v>0</v>
      </c>
      <c r="CR384" t="n">
        <v>0</v>
      </c>
      <c r="CS384" t="n">
        <v>0</v>
      </c>
      <c r="CT384" t="n">
        <v>0</v>
      </c>
      <c r="CU384" t="n">
        <v>0</v>
      </c>
      <c r="CV384" t="n">
        <v>0</v>
      </c>
      <c r="CW384" t="n">
        <v>0</v>
      </c>
      <c r="CX384" t="n">
        <v>35.5</v>
      </c>
      <c r="CY384" t="n">
        <v>30.6</v>
      </c>
      <c r="CZ384" t="n">
        <v>51.6</v>
      </c>
      <c r="DA384" t="n">
        <v>47.5</v>
      </c>
      <c r="DB384" t="n">
        <v>33.6</v>
      </c>
      <c r="DC384" t="n">
        <v>30</v>
      </c>
      <c r="DD384" t="n">
        <v>43.1</v>
      </c>
      <c r="DE384" t="n">
        <v>42.5</v>
      </c>
      <c r="DF384" t="n">
        <v>35.5</v>
      </c>
      <c r="DG384" t="n">
        <v>30.6</v>
      </c>
      <c r="DH384" t="n">
        <v>51.6</v>
      </c>
      <c r="DI384" t="n">
        <v>47.5</v>
      </c>
      <c r="DJ384" t="n">
        <v>33.6</v>
      </c>
      <c r="DK384" t="n">
        <v>30</v>
      </c>
      <c r="DL384" t="n">
        <v>43.1</v>
      </c>
      <c r="DM384" t="n">
        <v>42.5</v>
      </c>
      <c r="DN384" t="n">
        <v>0</v>
      </c>
      <c r="DO384" t="n">
        <v>0</v>
      </c>
      <c r="DP384" t="n">
        <v>0</v>
      </c>
      <c r="DQ384" t="n">
        <v>0</v>
      </c>
      <c r="DR384" t="n">
        <v>0</v>
      </c>
      <c r="DS384" t="n">
        <v>0</v>
      </c>
      <c r="DT384" t="n">
        <v>0</v>
      </c>
      <c r="DU384" t="n">
        <v>0</v>
      </c>
      <c r="DV384" t="inlineStr">
        <is>
          <t>1000  metric tonnes</t>
        </is>
      </c>
    </row>
    <row r="385">
      <c r="A385" t="inlineStr">
        <is>
          <t>ETHANE, MT. BELV-ENTERPRISE - ICE FUTURES ENERGY DIV</t>
        </is>
      </c>
      <c r="B385" t="n">
        <v>230110</v>
      </c>
      <c r="C385" s="1" t="n">
        <v>44936</v>
      </c>
      <c r="D385" t="inlineStr">
        <is>
          <t>066416</t>
        </is>
      </c>
      <c r="E385" t="inlineStr">
        <is>
          <t>IFED</t>
        </is>
      </c>
      <c r="F385" t="inlineStr">
        <is>
          <t>01</t>
        </is>
      </c>
      <c r="G385" t="inlineStr">
        <is>
          <t xml:space="preserve">066 </t>
        </is>
      </c>
      <c r="H385" t="n">
        <v>21575</v>
      </c>
      <c r="I385" s="17" t="n">
        <v>7266</v>
      </c>
      <c r="J385" s="17" t="n">
        <v>374</v>
      </c>
      <c r="K385" t="n">
        <v>1242</v>
      </c>
      <c r="L385" t="n">
        <v>12945</v>
      </c>
      <c r="M385" t="n">
        <v>19847</v>
      </c>
      <c r="N385" t="n">
        <v>21453</v>
      </c>
      <c r="O385" t="n">
        <v>21463</v>
      </c>
      <c r="P385" t="n">
        <v>122</v>
      </c>
      <c r="Q385" t="n">
        <v>112</v>
      </c>
      <c r="R385" t="n">
        <v>21575</v>
      </c>
      <c r="S385" t="n">
        <v>7266</v>
      </c>
      <c r="T385" t="n">
        <v>374</v>
      </c>
      <c r="U385" t="n">
        <v>1242</v>
      </c>
      <c r="V385" t="n">
        <v>12945</v>
      </c>
      <c r="W385" t="n">
        <v>19847</v>
      </c>
      <c r="X385" t="n">
        <v>21453</v>
      </c>
      <c r="Y385" t="n">
        <v>21463</v>
      </c>
      <c r="Z385" t="n">
        <v>122</v>
      </c>
      <c r="AA385" t="n">
        <v>112</v>
      </c>
      <c r="AB385" t="n">
        <v>0</v>
      </c>
      <c r="AC385" t="n">
        <v>0</v>
      </c>
      <c r="AD385" t="n">
        <v>0</v>
      </c>
      <c r="AE385" t="n">
        <v>0</v>
      </c>
      <c r="AF385" t="n">
        <v>0</v>
      </c>
      <c r="AG385" t="n">
        <v>0</v>
      </c>
      <c r="AH385" t="n">
        <v>0</v>
      </c>
      <c r="AI385" t="n">
        <v>0</v>
      </c>
      <c r="AJ385" t="n">
        <v>0</v>
      </c>
      <c r="AK385" t="n">
        <v>0</v>
      </c>
      <c r="AL385" t="n">
        <v>-4266</v>
      </c>
      <c r="AM385" t="n">
        <v>-682</v>
      </c>
      <c r="AN385" t="n">
        <v>125</v>
      </c>
      <c r="AO385" t="n">
        <v>-340</v>
      </c>
      <c r="AP385" t="n">
        <v>-3330</v>
      </c>
      <c r="AQ385" t="n">
        <v>-3970</v>
      </c>
      <c r="AR385" t="n">
        <v>-4352</v>
      </c>
      <c r="AS385" t="n">
        <v>-4185</v>
      </c>
      <c r="AT385" t="n">
        <v>86</v>
      </c>
      <c r="AU385" t="n">
        <v>-81</v>
      </c>
      <c r="AV385" t="n">
        <v>100</v>
      </c>
      <c r="AW385" t="n">
        <v>33.7</v>
      </c>
      <c r="AX385" t="n">
        <v>1.7</v>
      </c>
      <c r="AY385" t="n">
        <v>5.8</v>
      </c>
      <c r="AZ385" t="n">
        <v>60</v>
      </c>
      <c r="BA385" t="n">
        <v>92</v>
      </c>
      <c r="BB385" t="n">
        <v>99.40000000000001</v>
      </c>
      <c r="BC385" t="n">
        <v>99.5</v>
      </c>
      <c r="BD385" t="n">
        <v>0.6</v>
      </c>
      <c r="BE385" t="n">
        <v>0.5</v>
      </c>
      <c r="BF385" t="n">
        <v>100</v>
      </c>
      <c r="BG385" t="n">
        <v>33.7</v>
      </c>
      <c r="BH385" t="n">
        <v>1.7</v>
      </c>
      <c r="BI385" t="n">
        <v>5.8</v>
      </c>
      <c r="BJ385" t="n">
        <v>60</v>
      </c>
      <c r="BK385" t="n">
        <v>92</v>
      </c>
      <c r="BL385" t="n">
        <v>99.40000000000001</v>
      </c>
      <c r="BM385" t="n">
        <v>99.5</v>
      </c>
      <c r="BN385" t="n">
        <v>0.6</v>
      </c>
      <c r="BO385" t="n">
        <v>0.5</v>
      </c>
      <c r="BP385" t="n">
        <v>0</v>
      </c>
      <c r="BQ385" t="n">
        <v>0</v>
      </c>
      <c r="BR385" t="n">
        <v>0</v>
      </c>
      <c r="BS385" t="n">
        <v>0</v>
      </c>
      <c r="BT385" t="n">
        <v>0</v>
      </c>
      <c r="BU385" t="n">
        <v>0</v>
      </c>
      <c r="BV385" t="n">
        <v>0</v>
      </c>
      <c r="BW385" t="n">
        <v>0</v>
      </c>
      <c r="BX385" t="n">
        <v>0</v>
      </c>
      <c r="BY385" t="n">
        <v>0</v>
      </c>
      <c r="BZ385" t="n">
        <v>45</v>
      </c>
      <c r="CA385" t="n">
        <v>3</v>
      </c>
      <c r="CB385" t="n">
        <v>5</v>
      </c>
      <c r="CC385" t="n">
        <v>5</v>
      </c>
      <c r="CD385" t="n">
        <v>32</v>
      </c>
      <c r="CE385" t="n">
        <v>32</v>
      </c>
      <c r="CF385" t="n">
        <v>37</v>
      </c>
      <c r="CG385" t="n">
        <v>40</v>
      </c>
      <c r="CH385" t="n">
        <v>45</v>
      </c>
      <c r="CI385" t="n">
        <v>3</v>
      </c>
      <c r="CJ385" t="n">
        <v>5</v>
      </c>
      <c r="CK385" t="n">
        <v>5</v>
      </c>
      <c r="CL385" t="n">
        <v>32</v>
      </c>
      <c r="CM385" t="n">
        <v>32</v>
      </c>
      <c r="CN385" t="n">
        <v>37</v>
      </c>
      <c r="CO385" t="n">
        <v>40</v>
      </c>
      <c r="CP385" t="n">
        <v>0</v>
      </c>
      <c r="CQ385" t="n">
        <v>0</v>
      </c>
      <c r="CR385" t="n">
        <v>0</v>
      </c>
      <c r="CS385" t="n">
        <v>0</v>
      </c>
      <c r="CT385" t="n">
        <v>0</v>
      </c>
      <c r="CU385" t="n">
        <v>0</v>
      </c>
      <c r="CV385" t="n">
        <v>0</v>
      </c>
      <c r="CW385" t="n">
        <v>0</v>
      </c>
      <c r="CX385" t="n">
        <v>58.6</v>
      </c>
      <c r="CY385" t="n">
        <v>37.2</v>
      </c>
      <c r="CZ385" t="n">
        <v>72.90000000000001</v>
      </c>
      <c r="DA385" t="n">
        <v>56.9</v>
      </c>
      <c r="DB385" t="n">
        <v>41</v>
      </c>
      <c r="DC385" t="n">
        <v>20</v>
      </c>
      <c r="DD385" t="n">
        <v>45.6</v>
      </c>
      <c r="DE385" t="n">
        <v>33.5</v>
      </c>
      <c r="DF385" t="n">
        <v>58.6</v>
      </c>
      <c r="DG385" t="n">
        <v>37.2</v>
      </c>
      <c r="DH385" t="n">
        <v>72.90000000000001</v>
      </c>
      <c r="DI385" t="n">
        <v>56.9</v>
      </c>
      <c r="DJ385" t="n">
        <v>41</v>
      </c>
      <c r="DK385" t="n">
        <v>20</v>
      </c>
      <c r="DL385" t="n">
        <v>45.6</v>
      </c>
      <c r="DM385" t="n">
        <v>33.5</v>
      </c>
      <c r="DN385" t="n">
        <v>0</v>
      </c>
      <c r="DO385" t="n">
        <v>0</v>
      </c>
      <c r="DP385" t="n">
        <v>0</v>
      </c>
      <c r="DQ385" t="n">
        <v>0</v>
      </c>
      <c r="DR385" t="n">
        <v>0</v>
      </c>
      <c r="DS385" t="n">
        <v>0</v>
      </c>
      <c r="DT385" t="n">
        <v>0</v>
      </c>
      <c r="DU385" t="n">
        <v>0</v>
      </c>
      <c r="DV385" t="inlineStr">
        <is>
          <t>42000 gallons(1000 barrels)</t>
        </is>
      </c>
    </row>
    <row r="386">
      <c r="A386" t="inlineStr">
        <is>
          <t>ETHANE, MT. BELV-ENTERPRISE - ICE FUTURES ENERGY DIV</t>
        </is>
      </c>
      <c r="B386" t="n">
        <v>230103</v>
      </c>
      <c r="C386" s="1" t="n">
        <v>44929</v>
      </c>
      <c r="D386" t="inlineStr">
        <is>
          <t>066416</t>
        </is>
      </c>
      <c r="E386" t="inlineStr">
        <is>
          <t>IFED</t>
        </is>
      </c>
      <c r="F386" t="inlineStr">
        <is>
          <t>01</t>
        </is>
      </c>
      <c r="G386" t="inlineStr">
        <is>
          <t xml:space="preserve">066 </t>
        </is>
      </c>
      <c r="H386" t="n">
        <v>25841</v>
      </c>
      <c r="I386" s="17" t="n">
        <v>7948</v>
      </c>
      <c r="J386" s="17" t="n">
        <v>249</v>
      </c>
      <c r="K386" t="n">
        <v>1582</v>
      </c>
      <c r="L386" t="n">
        <v>16275</v>
      </c>
      <c r="M386" t="n">
        <v>23817</v>
      </c>
      <c r="N386" t="n">
        <v>25805</v>
      </c>
      <c r="O386" t="n">
        <v>25648</v>
      </c>
      <c r="P386" t="n">
        <v>36</v>
      </c>
      <c r="Q386" t="n">
        <v>193</v>
      </c>
      <c r="R386" t="n">
        <v>25841</v>
      </c>
      <c r="S386" t="n">
        <v>7948</v>
      </c>
      <c r="T386" t="n">
        <v>249</v>
      </c>
      <c r="U386" t="n">
        <v>1582</v>
      </c>
      <c r="V386" t="n">
        <v>16275</v>
      </c>
      <c r="W386" t="n">
        <v>23817</v>
      </c>
      <c r="X386" t="n">
        <v>25805</v>
      </c>
      <c r="Y386" t="n">
        <v>25648</v>
      </c>
      <c r="Z386" t="n">
        <v>36</v>
      </c>
      <c r="AA386" t="n">
        <v>193</v>
      </c>
      <c r="AB386" t="n">
        <v>0</v>
      </c>
      <c r="AC386" t="n">
        <v>0</v>
      </c>
      <c r="AD386" t="n">
        <v>0</v>
      </c>
      <c r="AE386" t="n">
        <v>0</v>
      </c>
      <c r="AF386" t="n">
        <v>0</v>
      </c>
      <c r="AG386" t="n">
        <v>0</v>
      </c>
      <c r="AH386" t="n">
        <v>0</v>
      </c>
      <c r="AI386" t="n">
        <v>0</v>
      </c>
      <c r="AJ386" t="n">
        <v>0</v>
      </c>
      <c r="AK386" t="n">
        <v>0</v>
      </c>
      <c r="AL386" t="n">
        <v>477</v>
      </c>
      <c r="AM386" t="n">
        <v>500</v>
      </c>
      <c r="AN386" t="n">
        <v>65</v>
      </c>
      <c r="AO386" t="n">
        <v>15</v>
      </c>
      <c r="AP386" t="n">
        <v>-38</v>
      </c>
      <c r="AQ386" t="n">
        <v>354</v>
      </c>
      <c r="AR386" t="n">
        <v>477</v>
      </c>
      <c r="AS386" t="n">
        <v>434</v>
      </c>
      <c r="AT386" t="n">
        <v>0</v>
      </c>
      <c r="AU386" t="n">
        <v>43</v>
      </c>
      <c r="AV386" t="n">
        <v>100</v>
      </c>
      <c r="AW386" t="n">
        <v>30.8</v>
      </c>
      <c r="AX386" t="n">
        <v>1</v>
      </c>
      <c r="AY386" t="n">
        <v>6.1</v>
      </c>
      <c r="AZ386" t="n">
        <v>63</v>
      </c>
      <c r="BA386" t="n">
        <v>92.2</v>
      </c>
      <c r="BB386" t="n">
        <v>99.90000000000001</v>
      </c>
      <c r="BC386" t="n">
        <v>99.3</v>
      </c>
      <c r="BD386" t="n">
        <v>0.1</v>
      </c>
      <c r="BE386" t="n">
        <v>0.7</v>
      </c>
      <c r="BF386" t="n">
        <v>100</v>
      </c>
      <c r="BG386" t="n">
        <v>30.8</v>
      </c>
      <c r="BH386" t="n">
        <v>1</v>
      </c>
      <c r="BI386" t="n">
        <v>6.1</v>
      </c>
      <c r="BJ386" t="n">
        <v>63</v>
      </c>
      <c r="BK386" t="n">
        <v>92.2</v>
      </c>
      <c r="BL386" t="n">
        <v>99.90000000000001</v>
      </c>
      <c r="BM386" t="n">
        <v>99.3</v>
      </c>
      <c r="BN386" t="n">
        <v>0.1</v>
      </c>
      <c r="BO386" t="n">
        <v>0.7</v>
      </c>
      <c r="BP386" t="n">
        <v>0</v>
      </c>
      <c r="BQ386" t="n">
        <v>0</v>
      </c>
      <c r="BR386" t="n">
        <v>0</v>
      </c>
      <c r="BS386" t="n">
        <v>0</v>
      </c>
      <c r="BT386" t="n">
        <v>0</v>
      </c>
      <c r="BU386" t="n">
        <v>0</v>
      </c>
      <c r="BV386" t="n">
        <v>0</v>
      </c>
      <c r="BW386" t="n">
        <v>0</v>
      </c>
      <c r="BX386" t="n">
        <v>0</v>
      </c>
      <c r="BY386" t="n">
        <v>0</v>
      </c>
      <c r="BZ386" t="n">
        <v>53</v>
      </c>
      <c r="CA386" t="n">
        <v>5</v>
      </c>
      <c r="CB386" t="n">
        <v>4</v>
      </c>
      <c r="CC386" t="n">
        <v>6</v>
      </c>
      <c r="CD386" t="n">
        <v>36</v>
      </c>
      <c r="CE386" t="n">
        <v>37</v>
      </c>
      <c r="CF386" t="n">
        <v>42</v>
      </c>
      <c r="CG386" t="n">
        <v>46</v>
      </c>
      <c r="CH386" t="n">
        <v>53</v>
      </c>
      <c r="CI386" t="n">
        <v>5</v>
      </c>
      <c r="CJ386" t="n">
        <v>4</v>
      </c>
      <c r="CK386" t="n">
        <v>6</v>
      </c>
      <c r="CL386" t="n">
        <v>36</v>
      </c>
      <c r="CM386" t="n">
        <v>37</v>
      </c>
      <c r="CN386" t="n">
        <v>42</v>
      </c>
      <c r="CO386" t="n">
        <v>46</v>
      </c>
      <c r="CP386" t="n">
        <v>0</v>
      </c>
      <c r="CQ386" t="n">
        <v>0</v>
      </c>
      <c r="CR386" t="n">
        <v>0</v>
      </c>
      <c r="CS386" t="n">
        <v>0</v>
      </c>
      <c r="CT386" t="n">
        <v>0</v>
      </c>
      <c r="CU386" t="n">
        <v>0</v>
      </c>
      <c r="CV386" t="n">
        <v>0</v>
      </c>
      <c r="CW386" t="n">
        <v>0</v>
      </c>
      <c r="CX386" t="n">
        <v>56.3</v>
      </c>
      <c r="CY386" t="n">
        <v>35.9</v>
      </c>
      <c r="CZ386" t="n">
        <v>73.3</v>
      </c>
      <c r="DA386" t="n">
        <v>55.7</v>
      </c>
      <c r="DB386" t="n">
        <v>40.5</v>
      </c>
      <c r="DC386" t="n">
        <v>21.7</v>
      </c>
      <c r="DD386" t="n">
        <v>45.8</v>
      </c>
      <c r="DE386" t="n">
        <v>36.4</v>
      </c>
      <c r="DF386" t="n">
        <v>56.3</v>
      </c>
      <c r="DG386" t="n">
        <v>35.9</v>
      </c>
      <c r="DH386" t="n">
        <v>73.3</v>
      </c>
      <c r="DI386" t="n">
        <v>55.7</v>
      </c>
      <c r="DJ386" t="n">
        <v>40.5</v>
      </c>
      <c r="DK386" t="n">
        <v>21.7</v>
      </c>
      <c r="DL386" t="n">
        <v>45.8</v>
      </c>
      <c r="DM386" t="n">
        <v>36.4</v>
      </c>
      <c r="DN386" t="n">
        <v>0</v>
      </c>
      <c r="DO386" t="n">
        <v>0</v>
      </c>
      <c r="DP386" t="n">
        <v>0</v>
      </c>
      <c r="DQ386" t="n">
        <v>0</v>
      </c>
      <c r="DR386" t="n">
        <v>0</v>
      </c>
      <c r="DS386" t="n">
        <v>0</v>
      </c>
      <c r="DT386" t="n">
        <v>0</v>
      </c>
      <c r="DU386" t="n">
        <v>0</v>
      </c>
      <c r="DV386" t="inlineStr">
        <is>
          <t>42000 gallons(1000 barrels)</t>
        </is>
      </c>
    </row>
    <row r="387">
      <c r="A387" t="inlineStr">
        <is>
          <t>NAT GASLNE OPIS MT B NONTET FP - ICE FUTURES ENERGY DIV</t>
        </is>
      </c>
      <c r="B387" t="n">
        <v>230110</v>
      </c>
      <c r="C387" s="1" t="n">
        <v>44936</v>
      </c>
      <c r="D387" t="inlineStr">
        <is>
          <t>06641A</t>
        </is>
      </c>
      <c r="E387" t="inlineStr">
        <is>
          <t>IFED</t>
        </is>
      </c>
      <c r="F387" t="inlineStr">
        <is>
          <t>01</t>
        </is>
      </c>
      <c r="G387" t="inlineStr">
        <is>
          <t xml:space="preserve">066 </t>
        </is>
      </c>
      <c r="H387" t="n">
        <v>11349</v>
      </c>
      <c r="I387" s="17" t="n">
        <v>4463</v>
      </c>
      <c r="J387" s="17" t="n">
        <v>1302</v>
      </c>
      <c r="K387" t="n">
        <v>508</v>
      </c>
      <c r="L387" t="n">
        <v>6202</v>
      </c>
      <c r="M387" t="n">
        <v>9106</v>
      </c>
      <c r="N387" t="n">
        <v>11173</v>
      </c>
      <c r="O387" t="n">
        <v>10916</v>
      </c>
      <c r="P387" t="n">
        <v>176</v>
      </c>
      <c r="Q387" t="n">
        <v>433</v>
      </c>
      <c r="R387" t="n">
        <v>11349</v>
      </c>
      <c r="S387" t="n">
        <v>4463</v>
      </c>
      <c r="T387" t="n">
        <v>1302</v>
      </c>
      <c r="U387" t="n">
        <v>508</v>
      </c>
      <c r="V387" t="n">
        <v>6202</v>
      </c>
      <c r="W387" t="n">
        <v>9106</v>
      </c>
      <c r="X387" t="n">
        <v>11173</v>
      </c>
      <c r="Y387" t="n">
        <v>10916</v>
      </c>
      <c r="Z387" t="n">
        <v>176</v>
      </c>
      <c r="AA387" t="n">
        <v>433</v>
      </c>
      <c r="AB387" t="n">
        <v>0</v>
      </c>
      <c r="AC387" t="n">
        <v>0</v>
      </c>
      <c r="AD387" t="n">
        <v>0</v>
      </c>
      <c r="AE387" t="n">
        <v>0</v>
      </c>
      <c r="AF387" t="n">
        <v>0</v>
      </c>
      <c r="AG387" t="n">
        <v>0</v>
      </c>
      <c r="AH387" t="n">
        <v>0</v>
      </c>
      <c r="AI387" t="n">
        <v>0</v>
      </c>
      <c r="AJ387" t="n">
        <v>0</v>
      </c>
      <c r="AK387" t="n">
        <v>0</v>
      </c>
      <c r="AL387" t="n">
        <v>-2483</v>
      </c>
      <c r="AM387" t="n">
        <v>-576</v>
      </c>
      <c r="AN387" t="n">
        <v>512</v>
      </c>
      <c r="AO387" t="n">
        <v>-505</v>
      </c>
      <c r="AP387" t="n">
        <v>-1420</v>
      </c>
      <c r="AQ387" t="n">
        <v>-2686</v>
      </c>
      <c r="AR387" t="n">
        <v>-2501</v>
      </c>
      <c r="AS387" t="n">
        <v>-2679</v>
      </c>
      <c r="AT387" t="n">
        <v>18</v>
      </c>
      <c r="AU387" t="n">
        <v>196</v>
      </c>
      <c r="AV387" t="n">
        <v>100</v>
      </c>
      <c r="AW387" t="n">
        <v>39.3</v>
      </c>
      <c r="AX387" t="n">
        <v>11.5</v>
      </c>
      <c r="AY387" t="n">
        <v>4.5</v>
      </c>
      <c r="AZ387" t="n">
        <v>54.6</v>
      </c>
      <c r="BA387" t="n">
        <v>80.2</v>
      </c>
      <c r="BB387" t="n">
        <v>98.40000000000001</v>
      </c>
      <c r="BC387" t="n">
        <v>96.2</v>
      </c>
      <c r="BD387" t="n">
        <v>1.6</v>
      </c>
      <c r="BE387" t="n">
        <v>3.8</v>
      </c>
      <c r="BF387" t="n">
        <v>100</v>
      </c>
      <c r="BG387" t="n">
        <v>39.3</v>
      </c>
      <c r="BH387" t="n">
        <v>11.5</v>
      </c>
      <c r="BI387" t="n">
        <v>4.5</v>
      </c>
      <c r="BJ387" t="n">
        <v>54.6</v>
      </c>
      <c r="BK387" t="n">
        <v>80.2</v>
      </c>
      <c r="BL387" t="n">
        <v>98.40000000000001</v>
      </c>
      <c r="BM387" t="n">
        <v>96.2</v>
      </c>
      <c r="BN387" t="n">
        <v>1.6</v>
      </c>
      <c r="BO387" t="n">
        <v>3.8</v>
      </c>
      <c r="BP387" t="n">
        <v>0</v>
      </c>
      <c r="BQ387" t="n">
        <v>0</v>
      </c>
      <c r="BR387" t="n">
        <v>0</v>
      </c>
      <c r="BS387" t="n">
        <v>0</v>
      </c>
      <c r="BT387" t="n">
        <v>0</v>
      </c>
      <c r="BU387" t="n">
        <v>0</v>
      </c>
      <c r="BV387" t="n">
        <v>0</v>
      </c>
      <c r="BW387" t="n">
        <v>0</v>
      </c>
      <c r="BX387" t="n">
        <v>0</v>
      </c>
      <c r="BY387" t="n">
        <v>0</v>
      </c>
      <c r="BZ387" t="n">
        <v>27</v>
      </c>
      <c r="CA387" t="n">
        <v>6</v>
      </c>
      <c r="CB387" t="n">
        <v>2</v>
      </c>
      <c r="CC387" t="n">
        <v>4</v>
      </c>
      <c r="CD387" t="n">
        <v>15</v>
      </c>
      <c r="CE387" t="n">
        <v>16</v>
      </c>
      <c r="CF387" t="n">
        <v>22</v>
      </c>
      <c r="CG387" t="n">
        <v>21</v>
      </c>
      <c r="CH387" t="n">
        <v>27</v>
      </c>
      <c r="CI387" t="n">
        <v>6</v>
      </c>
      <c r="CJ387" t="n">
        <v>2</v>
      </c>
      <c r="CK387" t="n">
        <v>4</v>
      </c>
      <c r="CL387" t="n">
        <v>15</v>
      </c>
      <c r="CM387" t="n">
        <v>16</v>
      </c>
      <c r="CN387" t="n">
        <v>22</v>
      </c>
      <c r="CO387" t="n">
        <v>21</v>
      </c>
      <c r="CP387" t="n">
        <v>0</v>
      </c>
      <c r="CQ387" t="n">
        <v>0</v>
      </c>
      <c r="CR387" t="n">
        <v>0</v>
      </c>
      <c r="CS387" t="n">
        <v>0</v>
      </c>
      <c r="CT387" t="n">
        <v>0</v>
      </c>
      <c r="CU387" t="n">
        <v>0</v>
      </c>
      <c r="CV387" t="n">
        <v>0</v>
      </c>
      <c r="CW387" t="n">
        <v>0</v>
      </c>
      <c r="CX387" t="n">
        <v>68.59999999999999</v>
      </c>
      <c r="CY387" t="n">
        <v>52.6</v>
      </c>
      <c r="CZ387" t="n">
        <v>83.40000000000001</v>
      </c>
      <c r="DA387" t="n">
        <v>78.3</v>
      </c>
      <c r="DB387" t="n">
        <v>54.1</v>
      </c>
      <c r="DC387" t="n">
        <v>38.8</v>
      </c>
      <c r="DD387" t="n">
        <v>63.7</v>
      </c>
      <c r="DE387" t="n">
        <v>57.4</v>
      </c>
      <c r="DF387" t="n">
        <v>68.59999999999999</v>
      </c>
      <c r="DG387" t="n">
        <v>52.6</v>
      </c>
      <c r="DH387" t="n">
        <v>83.40000000000001</v>
      </c>
      <c r="DI387" t="n">
        <v>78.3</v>
      </c>
      <c r="DJ387" t="n">
        <v>54.1</v>
      </c>
      <c r="DK387" t="n">
        <v>38.8</v>
      </c>
      <c r="DL387" t="n">
        <v>63.7</v>
      </c>
      <c r="DM387" t="n">
        <v>57.4</v>
      </c>
      <c r="DN387" t="n">
        <v>0</v>
      </c>
      <c r="DO387" t="n">
        <v>0</v>
      </c>
      <c r="DP387" t="n">
        <v>0</v>
      </c>
      <c r="DQ387" t="n">
        <v>0</v>
      </c>
      <c r="DR387" t="n">
        <v>0</v>
      </c>
      <c r="DS387" t="n">
        <v>0</v>
      </c>
      <c r="DT387" t="n">
        <v>0</v>
      </c>
      <c r="DU387" t="n">
        <v>0</v>
      </c>
      <c r="DV387" t="inlineStr">
        <is>
          <t>42000 gallons(1000 barrels)</t>
        </is>
      </c>
    </row>
    <row r="388">
      <c r="A388" t="inlineStr">
        <is>
          <t>NAT GASLNE OPIS MT B NONTET FP - ICE FUTURES ENERGY DIV</t>
        </is>
      </c>
      <c r="B388" t="n">
        <v>230103</v>
      </c>
      <c r="C388" s="1" t="n">
        <v>44929</v>
      </c>
      <c r="D388" t="inlineStr">
        <is>
          <t>06641A</t>
        </is>
      </c>
      <c r="E388" t="inlineStr">
        <is>
          <t>IFED</t>
        </is>
      </c>
      <c r="F388" t="inlineStr">
        <is>
          <t>01</t>
        </is>
      </c>
      <c r="G388" t="inlineStr">
        <is>
          <t xml:space="preserve">066 </t>
        </is>
      </c>
      <c r="H388" t="n">
        <v>13832</v>
      </c>
      <c r="I388" s="17" t="n">
        <v>5039</v>
      </c>
      <c r="J388" s="17" t="n">
        <v>790</v>
      </c>
      <c r="K388" t="n">
        <v>1013</v>
      </c>
      <c r="L388" t="n">
        <v>7622</v>
      </c>
      <c r="M388" t="n">
        <v>11792</v>
      </c>
      <c r="N388" t="n">
        <v>13674</v>
      </c>
      <c r="O388" t="n">
        <v>13595</v>
      </c>
      <c r="P388" t="n">
        <v>158</v>
      </c>
      <c r="Q388" t="n">
        <v>237</v>
      </c>
      <c r="R388" t="n">
        <v>13832</v>
      </c>
      <c r="S388" t="n">
        <v>5039</v>
      </c>
      <c r="T388" t="n">
        <v>790</v>
      </c>
      <c r="U388" t="n">
        <v>1013</v>
      </c>
      <c r="V388" t="n">
        <v>7622</v>
      </c>
      <c r="W388" t="n">
        <v>11792</v>
      </c>
      <c r="X388" t="n">
        <v>13674</v>
      </c>
      <c r="Y388" t="n">
        <v>13595</v>
      </c>
      <c r="Z388" t="n">
        <v>158</v>
      </c>
      <c r="AA388" t="n">
        <v>237</v>
      </c>
      <c r="AB388" t="n">
        <v>0</v>
      </c>
      <c r="AC388" t="n">
        <v>0</v>
      </c>
      <c r="AD388" t="n">
        <v>0</v>
      </c>
      <c r="AE388" t="n">
        <v>0</v>
      </c>
      <c r="AF388" t="n">
        <v>0</v>
      </c>
      <c r="AG388" t="n">
        <v>0</v>
      </c>
      <c r="AH388" t="n">
        <v>0</v>
      </c>
      <c r="AI388" t="n">
        <v>0</v>
      </c>
      <c r="AJ388" t="n">
        <v>0</v>
      </c>
      <c r="AK388" t="n">
        <v>0</v>
      </c>
      <c r="AL388" t="n">
        <v>306</v>
      </c>
      <c r="AM388" t="n">
        <v>-85</v>
      </c>
      <c r="AN388" t="n">
        <v>-20</v>
      </c>
      <c r="AO388" t="n">
        <v>120</v>
      </c>
      <c r="AP388" t="n">
        <v>172</v>
      </c>
      <c r="AQ388" t="n">
        <v>197</v>
      </c>
      <c r="AR388" t="n">
        <v>207</v>
      </c>
      <c r="AS388" t="n">
        <v>297</v>
      </c>
      <c r="AT388" t="n">
        <v>99</v>
      </c>
      <c r="AU388" t="n">
        <v>9</v>
      </c>
      <c r="AV388" t="n">
        <v>100</v>
      </c>
      <c r="AW388" t="n">
        <v>36.4</v>
      </c>
      <c r="AX388" t="n">
        <v>5.7</v>
      </c>
      <c r="AY388" t="n">
        <v>7.3</v>
      </c>
      <c r="AZ388" t="n">
        <v>55.1</v>
      </c>
      <c r="BA388" t="n">
        <v>85.3</v>
      </c>
      <c r="BB388" t="n">
        <v>98.90000000000001</v>
      </c>
      <c r="BC388" t="n">
        <v>98.3</v>
      </c>
      <c r="BD388" t="n">
        <v>1.1</v>
      </c>
      <c r="BE388" t="n">
        <v>1.7</v>
      </c>
      <c r="BF388" t="n">
        <v>100</v>
      </c>
      <c r="BG388" t="n">
        <v>36.4</v>
      </c>
      <c r="BH388" t="n">
        <v>5.7</v>
      </c>
      <c r="BI388" t="n">
        <v>7.3</v>
      </c>
      <c r="BJ388" t="n">
        <v>55.1</v>
      </c>
      <c r="BK388" t="n">
        <v>85.3</v>
      </c>
      <c r="BL388" t="n">
        <v>98.90000000000001</v>
      </c>
      <c r="BM388" t="n">
        <v>98.3</v>
      </c>
      <c r="BN388" t="n">
        <v>1.1</v>
      </c>
      <c r="BO388" t="n">
        <v>1.7</v>
      </c>
      <c r="BP388" t="n">
        <v>0</v>
      </c>
      <c r="BQ388" t="n">
        <v>0</v>
      </c>
      <c r="BR388" t="n">
        <v>0</v>
      </c>
      <c r="BS388" t="n">
        <v>0</v>
      </c>
      <c r="BT388" t="n">
        <v>0</v>
      </c>
      <c r="BU388" t="n">
        <v>0</v>
      </c>
      <c r="BV388" t="n">
        <v>0</v>
      </c>
      <c r="BW388" t="n">
        <v>0</v>
      </c>
      <c r="BX388" t="n">
        <v>0</v>
      </c>
      <c r="BY388" t="n">
        <v>0</v>
      </c>
      <c r="BZ388" t="n">
        <v>33</v>
      </c>
      <c r="CA388" t="n">
        <v>6</v>
      </c>
      <c r="CB388" t="n">
        <v>2</v>
      </c>
      <c r="CC388" t="n">
        <v>4</v>
      </c>
      <c r="CD388" t="n">
        <v>20</v>
      </c>
      <c r="CE388" t="n">
        <v>21</v>
      </c>
      <c r="CF388" t="n">
        <v>27</v>
      </c>
      <c r="CG388" t="n">
        <v>26</v>
      </c>
      <c r="CH388" t="n">
        <v>33</v>
      </c>
      <c r="CI388" t="n">
        <v>6</v>
      </c>
      <c r="CJ388" t="n">
        <v>2</v>
      </c>
      <c r="CK388" t="n">
        <v>4</v>
      </c>
      <c r="CL388" t="n">
        <v>20</v>
      </c>
      <c r="CM388" t="n">
        <v>21</v>
      </c>
      <c r="CN388" t="n">
        <v>27</v>
      </c>
      <c r="CO388" t="n">
        <v>26</v>
      </c>
      <c r="CP388" t="n">
        <v>0</v>
      </c>
      <c r="CQ388" t="n">
        <v>0</v>
      </c>
      <c r="CR388" t="n">
        <v>0</v>
      </c>
      <c r="CS388" t="n">
        <v>0</v>
      </c>
      <c r="CT388" t="n">
        <v>0</v>
      </c>
      <c r="CU388" t="n">
        <v>0</v>
      </c>
      <c r="CV388" t="n">
        <v>0</v>
      </c>
      <c r="CW388" t="n">
        <v>0</v>
      </c>
      <c r="CX388" t="n">
        <v>63.8</v>
      </c>
      <c r="CY388" t="n">
        <v>51</v>
      </c>
      <c r="CZ388" t="n">
        <v>85.7</v>
      </c>
      <c r="DA388" t="n">
        <v>76.59999999999999</v>
      </c>
      <c r="DB388" t="n">
        <v>49.7</v>
      </c>
      <c r="DC388" t="n">
        <v>31.4</v>
      </c>
      <c r="DD388" t="n">
        <v>56.5</v>
      </c>
      <c r="DE388" t="n">
        <v>47.9</v>
      </c>
      <c r="DF388" t="n">
        <v>63.8</v>
      </c>
      <c r="DG388" t="n">
        <v>51</v>
      </c>
      <c r="DH388" t="n">
        <v>85.7</v>
      </c>
      <c r="DI388" t="n">
        <v>76.59999999999999</v>
      </c>
      <c r="DJ388" t="n">
        <v>49.7</v>
      </c>
      <c r="DK388" t="n">
        <v>31.4</v>
      </c>
      <c r="DL388" t="n">
        <v>56.5</v>
      </c>
      <c r="DM388" t="n">
        <v>47.9</v>
      </c>
      <c r="DN388" t="n">
        <v>0</v>
      </c>
      <c r="DO388" t="n">
        <v>0</v>
      </c>
      <c r="DP388" t="n">
        <v>0</v>
      </c>
      <c r="DQ388" t="n">
        <v>0</v>
      </c>
      <c r="DR388" t="n">
        <v>0</v>
      </c>
      <c r="DS388" t="n">
        <v>0</v>
      </c>
      <c r="DT388" t="n">
        <v>0</v>
      </c>
      <c r="DU388" t="n">
        <v>0</v>
      </c>
      <c r="DV388" t="inlineStr">
        <is>
          <t>42000 gallons(1000 barrels)</t>
        </is>
      </c>
    </row>
    <row r="389">
      <c r="A389" t="inlineStr">
        <is>
          <t>BUTANE OPIS MT BELV NONTET FP - ICE FUTURES ENERGY DIV</t>
        </is>
      </c>
      <c r="B389" t="n">
        <v>230110</v>
      </c>
      <c r="C389" s="1" t="n">
        <v>44936</v>
      </c>
      <c r="D389" t="inlineStr">
        <is>
          <t>06641D</t>
        </is>
      </c>
      <c r="E389" t="inlineStr">
        <is>
          <t>IFED</t>
        </is>
      </c>
      <c r="F389" t="inlineStr">
        <is>
          <t>01</t>
        </is>
      </c>
      <c r="G389" t="inlineStr">
        <is>
          <t xml:space="preserve">066 </t>
        </is>
      </c>
      <c r="H389" t="n">
        <v>13257</v>
      </c>
      <c r="I389" s="17" t="n">
        <v>1599</v>
      </c>
      <c r="J389" s="17" t="n">
        <v>1895</v>
      </c>
      <c r="K389" t="n">
        <v>1500</v>
      </c>
      <c r="L389" t="n">
        <v>9954</v>
      </c>
      <c r="M389" t="n">
        <v>9608</v>
      </c>
      <c r="N389" t="n">
        <v>13053</v>
      </c>
      <c r="O389" t="n">
        <v>13003</v>
      </c>
      <c r="P389" t="n">
        <v>204</v>
      </c>
      <c r="Q389" t="n">
        <v>254</v>
      </c>
      <c r="R389" t="n">
        <v>13257</v>
      </c>
      <c r="S389" t="n">
        <v>1599</v>
      </c>
      <c r="T389" t="n">
        <v>1895</v>
      </c>
      <c r="U389" t="n">
        <v>1500</v>
      </c>
      <c r="V389" t="n">
        <v>9954</v>
      </c>
      <c r="W389" t="n">
        <v>9608</v>
      </c>
      <c r="X389" t="n">
        <v>13053</v>
      </c>
      <c r="Y389" t="n">
        <v>13003</v>
      </c>
      <c r="Z389" t="n">
        <v>204</v>
      </c>
      <c r="AA389" t="n">
        <v>254</v>
      </c>
      <c r="AB389" t="n">
        <v>0</v>
      </c>
      <c r="AC389" t="n">
        <v>0</v>
      </c>
      <c r="AD389" t="n">
        <v>0</v>
      </c>
      <c r="AE389" t="n">
        <v>0</v>
      </c>
      <c r="AF389" t="n">
        <v>0</v>
      </c>
      <c r="AG389" t="n">
        <v>0</v>
      </c>
      <c r="AH389" t="n">
        <v>0</v>
      </c>
      <c r="AI389" t="n">
        <v>0</v>
      </c>
      <c r="AJ389" t="n">
        <v>0</v>
      </c>
      <c r="AK389" t="n">
        <v>0</v>
      </c>
      <c r="AL389" t="n">
        <v>-2044</v>
      </c>
      <c r="AM389" t="n">
        <v>-388</v>
      </c>
      <c r="AN389" t="n">
        <v>-484</v>
      </c>
      <c r="AO389" t="n">
        <v>286</v>
      </c>
      <c r="AP389" t="n">
        <v>-1934</v>
      </c>
      <c r="AQ389" t="n">
        <v>-1455</v>
      </c>
      <c r="AR389" t="n">
        <v>-2036</v>
      </c>
      <c r="AS389" t="n">
        <v>-1653</v>
      </c>
      <c r="AT389" t="n">
        <v>-8</v>
      </c>
      <c r="AU389" t="n">
        <v>-391</v>
      </c>
      <c r="AV389" t="n">
        <v>100</v>
      </c>
      <c r="AW389" t="n">
        <v>12.1</v>
      </c>
      <c r="AX389" t="n">
        <v>14.3</v>
      </c>
      <c r="AY389" t="n">
        <v>11.3</v>
      </c>
      <c r="AZ389" t="n">
        <v>75.09999999999999</v>
      </c>
      <c r="BA389" t="n">
        <v>72.5</v>
      </c>
      <c r="BB389" t="n">
        <v>98.5</v>
      </c>
      <c r="BC389" t="n">
        <v>98.09999999999999</v>
      </c>
      <c r="BD389" t="n">
        <v>1.5</v>
      </c>
      <c r="BE389" t="n">
        <v>1.9</v>
      </c>
      <c r="BF389" t="n">
        <v>100</v>
      </c>
      <c r="BG389" t="n">
        <v>12.1</v>
      </c>
      <c r="BH389" t="n">
        <v>14.3</v>
      </c>
      <c r="BI389" t="n">
        <v>11.3</v>
      </c>
      <c r="BJ389" t="n">
        <v>75.09999999999999</v>
      </c>
      <c r="BK389" t="n">
        <v>72.5</v>
      </c>
      <c r="BL389" t="n">
        <v>98.5</v>
      </c>
      <c r="BM389" t="n">
        <v>98.09999999999999</v>
      </c>
      <c r="BN389" t="n">
        <v>1.5</v>
      </c>
      <c r="BO389" t="n">
        <v>1.9</v>
      </c>
      <c r="BP389" t="n">
        <v>0</v>
      </c>
      <c r="BQ389" t="n">
        <v>0</v>
      </c>
      <c r="BR389" t="n">
        <v>0</v>
      </c>
      <c r="BS389" t="n">
        <v>0</v>
      </c>
      <c r="BT389" t="n">
        <v>0</v>
      </c>
      <c r="BU389" t="n">
        <v>0</v>
      </c>
      <c r="BV389" t="n">
        <v>0</v>
      </c>
      <c r="BW389" t="n">
        <v>0</v>
      </c>
      <c r="BX389" t="n">
        <v>0</v>
      </c>
      <c r="BY389" t="n">
        <v>0</v>
      </c>
      <c r="BZ389" t="n">
        <v>57</v>
      </c>
      <c r="CA389" t="n">
        <v>7</v>
      </c>
      <c r="CB389" t="n">
        <v>6</v>
      </c>
      <c r="CC389" t="n">
        <v>7</v>
      </c>
      <c r="CD389" t="n">
        <v>30</v>
      </c>
      <c r="CE389" t="n">
        <v>32</v>
      </c>
      <c r="CF389" t="n">
        <v>41</v>
      </c>
      <c r="CG389" t="n">
        <v>41</v>
      </c>
      <c r="CH389" t="n">
        <v>57</v>
      </c>
      <c r="CI389" t="n">
        <v>7</v>
      </c>
      <c r="CJ389" t="n">
        <v>6</v>
      </c>
      <c r="CK389" t="n">
        <v>7</v>
      </c>
      <c r="CL389" t="n">
        <v>30</v>
      </c>
      <c r="CM389" t="n">
        <v>32</v>
      </c>
      <c r="CN389" t="n">
        <v>41</v>
      </c>
      <c r="CO389" t="n">
        <v>41</v>
      </c>
      <c r="CP389" t="n">
        <v>0</v>
      </c>
      <c r="CQ389" t="n">
        <v>0</v>
      </c>
      <c r="CR389" t="n">
        <v>0</v>
      </c>
      <c r="CS389" t="n">
        <v>0</v>
      </c>
      <c r="CT389" t="n">
        <v>0</v>
      </c>
      <c r="CU389" t="n">
        <v>0</v>
      </c>
      <c r="CV389" t="n">
        <v>0</v>
      </c>
      <c r="CW389" t="n">
        <v>0</v>
      </c>
      <c r="CX389" t="n">
        <v>37.3</v>
      </c>
      <c r="CY389" t="n">
        <v>44.5</v>
      </c>
      <c r="CZ389" t="n">
        <v>58.6</v>
      </c>
      <c r="DA389" t="n">
        <v>64.40000000000001</v>
      </c>
      <c r="DB389" t="n">
        <v>31</v>
      </c>
      <c r="DC389" t="n">
        <v>35.6</v>
      </c>
      <c r="DD389" t="n">
        <v>46.7</v>
      </c>
      <c r="DE389" t="n">
        <v>52.3</v>
      </c>
      <c r="DF389" t="n">
        <v>37.3</v>
      </c>
      <c r="DG389" t="n">
        <v>44.5</v>
      </c>
      <c r="DH389" t="n">
        <v>58.6</v>
      </c>
      <c r="DI389" t="n">
        <v>64.40000000000001</v>
      </c>
      <c r="DJ389" t="n">
        <v>31</v>
      </c>
      <c r="DK389" t="n">
        <v>35.6</v>
      </c>
      <c r="DL389" t="n">
        <v>46.7</v>
      </c>
      <c r="DM389" t="n">
        <v>52.3</v>
      </c>
      <c r="DN389" t="n">
        <v>0</v>
      </c>
      <c r="DO389" t="n">
        <v>0</v>
      </c>
      <c r="DP389" t="n">
        <v>0</v>
      </c>
      <c r="DQ389" t="n">
        <v>0</v>
      </c>
      <c r="DR389" t="n">
        <v>0</v>
      </c>
      <c r="DS389" t="n">
        <v>0</v>
      </c>
      <c r="DT389" t="n">
        <v>0</v>
      </c>
      <c r="DU389" t="n">
        <v>0</v>
      </c>
      <c r="DV389" t="inlineStr">
        <is>
          <t>42000 gallons(1000 barrels)</t>
        </is>
      </c>
    </row>
    <row r="390">
      <c r="A390" t="inlineStr">
        <is>
          <t>BUTANE OPIS MT BELV NONTET FP - ICE FUTURES ENERGY DIV</t>
        </is>
      </c>
      <c r="B390" t="n">
        <v>230103</v>
      </c>
      <c r="C390" s="1" t="n">
        <v>44929</v>
      </c>
      <c r="D390" t="inlineStr">
        <is>
          <t>06641D</t>
        </is>
      </c>
      <c r="E390" t="inlineStr">
        <is>
          <t>IFED</t>
        </is>
      </c>
      <c r="F390" t="inlineStr">
        <is>
          <t>01</t>
        </is>
      </c>
      <c r="G390" t="inlineStr">
        <is>
          <t xml:space="preserve">066 </t>
        </is>
      </c>
      <c r="H390" t="n">
        <v>15301</v>
      </c>
      <c r="I390" s="17" t="n">
        <v>1987</v>
      </c>
      <c r="J390" s="17" t="n">
        <v>2379</v>
      </c>
      <c r="K390" t="n">
        <v>1214</v>
      </c>
      <c r="L390" t="n">
        <v>11888</v>
      </c>
      <c r="M390" t="n">
        <v>11063</v>
      </c>
      <c r="N390" t="n">
        <v>15089</v>
      </c>
      <c r="O390" t="n">
        <v>14656</v>
      </c>
      <c r="P390" t="n">
        <v>212</v>
      </c>
      <c r="Q390" t="n">
        <v>645</v>
      </c>
      <c r="R390" t="n">
        <v>15301</v>
      </c>
      <c r="S390" t="n">
        <v>1987</v>
      </c>
      <c r="T390" t="n">
        <v>2379</v>
      </c>
      <c r="U390" t="n">
        <v>1214</v>
      </c>
      <c r="V390" t="n">
        <v>11888</v>
      </c>
      <c r="W390" t="n">
        <v>11063</v>
      </c>
      <c r="X390" t="n">
        <v>15089</v>
      </c>
      <c r="Y390" t="n">
        <v>14656</v>
      </c>
      <c r="Z390" t="n">
        <v>212</v>
      </c>
      <c r="AA390" t="n">
        <v>645</v>
      </c>
      <c r="AB390" t="n">
        <v>0</v>
      </c>
      <c r="AC390" t="n">
        <v>0</v>
      </c>
      <c r="AD390" t="n">
        <v>0</v>
      </c>
      <c r="AE390" t="n">
        <v>0</v>
      </c>
      <c r="AF390" t="n">
        <v>0</v>
      </c>
      <c r="AG390" t="n">
        <v>0</v>
      </c>
      <c r="AH390" t="n">
        <v>0</v>
      </c>
      <c r="AI390" t="n">
        <v>0</v>
      </c>
      <c r="AJ390" t="n">
        <v>0</v>
      </c>
      <c r="AK390" t="n">
        <v>0</v>
      </c>
      <c r="AL390" t="n">
        <v>281</v>
      </c>
      <c r="AM390" t="n">
        <v>-66</v>
      </c>
      <c r="AN390" t="n">
        <v>-115</v>
      </c>
      <c r="AO390" t="n">
        <v>288</v>
      </c>
      <c r="AP390" t="n">
        <v>60</v>
      </c>
      <c r="AQ390" t="n">
        <v>-273</v>
      </c>
      <c r="AR390" t="n">
        <v>282</v>
      </c>
      <c r="AS390" t="n">
        <v>-100</v>
      </c>
      <c r="AT390" t="n">
        <v>-1</v>
      </c>
      <c r="AU390" t="n">
        <v>381</v>
      </c>
      <c r="AV390" t="n">
        <v>100</v>
      </c>
      <c r="AW390" t="n">
        <v>13</v>
      </c>
      <c r="AX390" t="n">
        <v>15.5</v>
      </c>
      <c r="AY390" t="n">
        <v>7.9</v>
      </c>
      <c r="AZ390" t="n">
        <v>77.7</v>
      </c>
      <c r="BA390" t="n">
        <v>72.3</v>
      </c>
      <c r="BB390" t="n">
        <v>98.59999999999999</v>
      </c>
      <c r="BC390" t="n">
        <v>95.8</v>
      </c>
      <c r="BD390" t="n">
        <v>1.4</v>
      </c>
      <c r="BE390" t="n">
        <v>4.2</v>
      </c>
      <c r="BF390" t="n">
        <v>100</v>
      </c>
      <c r="BG390" t="n">
        <v>13</v>
      </c>
      <c r="BH390" t="n">
        <v>15.5</v>
      </c>
      <c r="BI390" t="n">
        <v>7.9</v>
      </c>
      <c r="BJ390" t="n">
        <v>77.7</v>
      </c>
      <c r="BK390" t="n">
        <v>72.3</v>
      </c>
      <c r="BL390" t="n">
        <v>98.59999999999999</v>
      </c>
      <c r="BM390" t="n">
        <v>95.8</v>
      </c>
      <c r="BN390" t="n">
        <v>1.4</v>
      </c>
      <c r="BO390" t="n">
        <v>4.2</v>
      </c>
      <c r="BP390" t="n">
        <v>0</v>
      </c>
      <c r="BQ390" t="n">
        <v>0</v>
      </c>
      <c r="BR390" t="n">
        <v>0</v>
      </c>
      <c r="BS390" t="n">
        <v>0</v>
      </c>
      <c r="BT390" t="n">
        <v>0</v>
      </c>
      <c r="BU390" t="n">
        <v>0</v>
      </c>
      <c r="BV390" t="n">
        <v>0</v>
      </c>
      <c r="BW390" t="n">
        <v>0</v>
      </c>
      <c r="BX390" t="n">
        <v>0</v>
      </c>
      <c r="BY390" t="n">
        <v>0</v>
      </c>
      <c r="BZ390" t="n">
        <v>60</v>
      </c>
      <c r="CA390" t="n">
        <v>5</v>
      </c>
      <c r="CB390" t="n">
        <v>8</v>
      </c>
      <c r="CC390" t="n">
        <v>7</v>
      </c>
      <c r="CD390" t="n">
        <v>35</v>
      </c>
      <c r="CE390" t="n">
        <v>38</v>
      </c>
      <c r="CF390" t="n">
        <v>45</v>
      </c>
      <c r="CG390" t="n">
        <v>48</v>
      </c>
      <c r="CH390" t="n">
        <v>60</v>
      </c>
      <c r="CI390" t="n">
        <v>5</v>
      </c>
      <c r="CJ390" t="n">
        <v>8</v>
      </c>
      <c r="CK390" t="n">
        <v>7</v>
      </c>
      <c r="CL390" t="n">
        <v>35</v>
      </c>
      <c r="CM390" t="n">
        <v>38</v>
      </c>
      <c r="CN390" t="n">
        <v>45</v>
      </c>
      <c r="CO390" t="n">
        <v>48</v>
      </c>
      <c r="CP390" t="n">
        <v>0</v>
      </c>
      <c r="CQ390" t="n">
        <v>0</v>
      </c>
      <c r="CR390" t="n">
        <v>0</v>
      </c>
      <c r="CS390" t="n">
        <v>0</v>
      </c>
      <c r="CT390" t="n">
        <v>0</v>
      </c>
      <c r="CU390" t="n">
        <v>0</v>
      </c>
      <c r="CV390" t="n">
        <v>0</v>
      </c>
      <c r="CW390" t="n">
        <v>0</v>
      </c>
      <c r="CX390" t="n">
        <v>40.1</v>
      </c>
      <c r="CY390" t="n">
        <v>39.1</v>
      </c>
      <c r="CZ390" t="n">
        <v>60</v>
      </c>
      <c r="DA390" t="n">
        <v>56.2</v>
      </c>
      <c r="DB390" t="n">
        <v>33.3</v>
      </c>
      <c r="DC390" t="n">
        <v>32.7</v>
      </c>
      <c r="DD390" t="n">
        <v>50.6</v>
      </c>
      <c r="DE390" t="n">
        <v>48.1</v>
      </c>
      <c r="DF390" t="n">
        <v>40.1</v>
      </c>
      <c r="DG390" t="n">
        <v>39.1</v>
      </c>
      <c r="DH390" t="n">
        <v>60</v>
      </c>
      <c r="DI390" t="n">
        <v>56.2</v>
      </c>
      <c r="DJ390" t="n">
        <v>33.3</v>
      </c>
      <c r="DK390" t="n">
        <v>32.7</v>
      </c>
      <c r="DL390" t="n">
        <v>50.6</v>
      </c>
      <c r="DM390" t="n">
        <v>48.1</v>
      </c>
      <c r="DN390" t="n">
        <v>0</v>
      </c>
      <c r="DO390" t="n">
        <v>0</v>
      </c>
      <c r="DP390" t="n">
        <v>0</v>
      </c>
      <c r="DQ390" t="n">
        <v>0</v>
      </c>
      <c r="DR390" t="n">
        <v>0</v>
      </c>
      <c r="DS390" t="n">
        <v>0</v>
      </c>
      <c r="DT390" t="n">
        <v>0</v>
      </c>
      <c r="DU390" t="n">
        <v>0</v>
      </c>
      <c r="DV390" t="inlineStr">
        <is>
          <t>42000 gallons(1000 barrels)</t>
        </is>
      </c>
    </row>
    <row r="391">
      <c r="A391" t="inlineStr">
        <is>
          <t>PROPANE OPIS CONWAY INWELL FP - ICE FUTURES ENERGY DIV</t>
        </is>
      </c>
      <c r="B391" t="n">
        <v>230110</v>
      </c>
      <c r="C391" s="1" t="n">
        <v>44936</v>
      </c>
      <c r="D391" t="inlineStr">
        <is>
          <t>06641E</t>
        </is>
      </c>
      <c r="E391" t="inlineStr">
        <is>
          <t>IFED</t>
        </is>
      </c>
      <c r="F391" t="inlineStr">
        <is>
          <t>01</t>
        </is>
      </c>
      <c r="G391" t="inlineStr">
        <is>
          <t xml:space="preserve">066 </t>
        </is>
      </c>
      <c r="H391" t="n">
        <v>10231</v>
      </c>
      <c r="I391" s="17" t="n">
        <v>0</v>
      </c>
      <c r="J391" s="17" t="n">
        <v>706</v>
      </c>
      <c r="K391" t="n">
        <v>211</v>
      </c>
      <c r="L391" t="n">
        <v>9764</v>
      </c>
      <c r="M391" t="n">
        <v>9112</v>
      </c>
      <c r="N391" t="n">
        <v>9975</v>
      </c>
      <c r="O391" t="n">
        <v>10029</v>
      </c>
      <c r="P391" t="n">
        <v>256</v>
      </c>
      <c r="Q391" t="n">
        <v>202</v>
      </c>
      <c r="R391" t="n">
        <v>10231</v>
      </c>
      <c r="S391" t="n">
        <v>0</v>
      </c>
      <c r="T391" t="n">
        <v>706</v>
      </c>
      <c r="U391" t="n">
        <v>211</v>
      </c>
      <c r="V391" t="n">
        <v>9764</v>
      </c>
      <c r="W391" t="n">
        <v>9112</v>
      </c>
      <c r="X391" t="n">
        <v>9975</v>
      </c>
      <c r="Y391" t="n">
        <v>10029</v>
      </c>
      <c r="Z391" t="n">
        <v>256</v>
      </c>
      <c r="AA391" t="n">
        <v>202</v>
      </c>
      <c r="AB391" t="n">
        <v>0</v>
      </c>
      <c r="AC391" t="n">
        <v>0</v>
      </c>
      <c r="AD391" t="n">
        <v>0</v>
      </c>
      <c r="AE391" t="n">
        <v>0</v>
      </c>
      <c r="AF391" t="n">
        <v>0</v>
      </c>
      <c r="AG391" t="n">
        <v>0</v>
      </c>
      <c r="AH391" t="n">
        <v>0</v>
      </c>
      <c r="AI391" t="n">
        <v>0</v>
      </c>
      <c r="AJ391" t="n">
        <v>0</v>
      </c>
      <c r="AK391" t="n">
        <v>0</v>
      </c>
      <c r="AL391" t="n">
        <v>-1358</v>
      </c>
      <c r="AM391" t="n">
        <v>0</v>
      </c>
      <c r="AN391" t="n">
        <v>-180</v>
      </c>
      <c r="AO391" t="n">
        <v>-77</v>
      </c>
      <c r="AP391" t="n">
        <v>-1264</v>
      </c>
      <c r="AQ391" t="n">
        <v>-1052</v>
      </c>
      <c r="AR391" t="n">
        <v>-1341</v>
      </c>
      <c r="AS391" t="n">
        <v>-1309</v>
      </c>
      <c r="AT391" t="n">
        <v>-17</v>
      </c>
      <c r="AU391" t="n">
        <v>-49</v>
      </c>
      <c r="AV391" t="n">
        <v>100</v>
      </c>
      <c r="AW391" t="n">
        <v>0</v>
      </c>
      <c r="AX391" t="n">
        <v>6.9</v>
      </c>
      <c r="AY391" t="n">
        <v>2.1</v>
      </c>
      <c r="AZ391" t="n">
        <v>95.40000000000001</v>
      </c>
      <c r="BA391" t="n">
        <v>89.09999999999999</v>
      </c>
      <c r="BB391" t="n">
        <v>97.5</v>
      </c>
      <c r="BC391" t="n">
        <v>98</v>
      </c>
      <c r="BD391" t="n">
        <v>2.5</v>
      </c>
      <c r="BE391" t="n">
        <v>2</v>
      </c>
      <c r="BF391" t="n">
        <v>100</v>
      </c>
      <c r="BG391" t="n">
        <v>0</v>
      </c>
      <c r="BH391" t="n">
        <v>6.9</v>
      </c>
      <c r="BI391" t="n">
        <v>2.1</v>
      </c>
      <c r="BJ391" t="n">
        <v>95.40000000000001</v>
      </c>
      <c r="BK391" t="n">
        <v>89.09999999999999</v>
      </c>
      <c r="BL391" t="n">
        <v>97.5</v>
      </c>
      <c r="BM391" t="n">
        <v>98</v>
      </c>
      <c r="BN391" t="n">
        <v>2.5</v>
      </c>
      <c r="BO391" t="n">
        <v>2</v>
      </c>
      <c r="BP391" t="n">
        <v>0</v>
      </c>
      <c r="BQ391" t="n">
        <v>0</v>
      </c>
      <c r="BR391" t="n">
        <v>0</v>
      </c>
      <c r="BS391" t="n">
        <v>0</v>
      </c>
      <c r="BT391" t="n">
        <v>0</v>
      </c>
      <c r="BU391" t="n">
        <v>0</v>
      </c>
      <c r="BV391" t="n">
        <v>0</v>
      </c>
      <c r="BW391" t="n">
        <v>0</v>
      </c>
      <c r="BX391" t="n">
        <v>0</v>
      </c>
      <c r="BY391" t="n">
        <v>0</v>
      </c>
      <c r="BZ391" t="n">
        <v>27</v>
      </c>
      <c r="CA391" t="n">
        <v>0</v>
      </c>
      <c r="CB391" t="n">
        <v>3</v>
      </c>
      <c r="CC391" t="n">
        <v>2</v>
      </c>
      <c r="CD391" t="n">
        <v>17</v>
      </c>
      <c r="CE391" t="n">
        <v>20</v>
      </c>
      <c r="CF391" t="n">
        <v>19</v>
      </c>
      <c r="CG391" t="n">
        <v>24</v>
      </c>
      <c r="CH391" t="n">
        <v>27</v>
      </c>
      <c r="CI391" t="n">
        <v>0</v>
      </c>
      <c r="CJ391" t="n">
        <v>3</v>
      </c>
      <c r="CK391" t="n">
        <v>2</v>
      </c>
      <c r="CL391" t="n">
        <v>17</v>
      </c>
      <c r="CM391" t="n">
        <v>20</v>
      </c>
      <c r="CN391" t="n">
        <v>19</v>
      </c>
      <c r="CO391" t="n">
        <v>24</v>
      </c>
      <c r="CP391" t="n">
        <v>0</v>
      </c>
      <c r="CQ391" t="n">
        <v>0</v>
      </c>
      <c r="CR391" t="n">
        <v>0</v>
      </c>
      <c r="CS391" t="n">
        <v>0</v>
      </c>
      <c r="CT391" t="n">
        <v>0</v>
      </c>
      <c r="CU391" t="n">
        <v>0</v>
      </c>
      <c r="CV391" t="n">
        <v>0</v>
      </c>
      <c r="CW391" t="n">
        <v>0</v>
      </c>
      <c r="CX391" t="n">
        <v>66.3</v>
      </c>
      <c r="CY391" t="n">
        <v>53.4</v>
      </c>
      <c r="CZ391" t="n">
        <v>83.59999999999999</v>
      </c>
      <c r="DA391" t="n">
        <v>73.2</v>
      </c>
      <c r="DB391" t="n">
        <v>60.3</v>
      </c>
      <c r="DC391" t="n">
        <v>42.2</v>
      </c>
      <c r="DD391" t="n">
        <v>64.3</v>
      </c>
      <c r="DE391" t="n">
        <v>56.7</v>
      </c>
      <c r="DF391" t="n">
        <v>66.3</v>
      </c>
      <c r="DG391" t="n">
        <v>53.4</v>
      </c>
      <c r="DH391" t="n">
        <v>83.59999999999999</v>
      </c>
      <c r="DI391" t="n">
        <v>73.2</v>
      </c>
      <c r="DJ391" t="n">
        <v>60.3</v>
      </c>
      <c r="DK391" t="n">
        <v>42.2</v>
      </c>
      <c r="DL391" t="n">
        <v>64.3</v>
      </c>
      <c r="DM391" t="n">
        <v>56.7</v>
      </c>
      <c r="DN391" t="n">
        <v>0</v>
      </c>
      <c r="DO391" t="n">
        <v>0</v>
      </c>
      <c r="DP391" t="n">
        <v>0</v>
      </c>
      <c r="DQ391" t="n">
        <v>0</v>
      </c>
      <c r="DR391" t="n">
        <v>0</v>
      </c>
      <c r="DS391" t="n">
        <v>0</v>
      </c>
      <c r="DT391" t="n">
        <v>0</v>
      </c>
      <c r="DU391" t="n">
        <v>0</v>
      </c>
      <c r="DV391" t="inlineStr">
        <is>
          <t>42000 gallons(1000 barrels)</t>
        </is>
      </c>
    </row>
    <row r="392">
      <c r="A392" t="inlineStr">
        <is>
          <t>PROPANE OPIS CONWAY INWELL FP - ICE FUTURES ENERGY DIV</t>
        </is>
      </c>
      <c r="B392" t="n">
        <v>230103</v>
      </c>
      <c r="C392" s="1" t="n">
        <v>44929</v>
      </c>
      <c r="D392" t="inlineStr">
        <is>
          <t>06641E</t>
        </is>
      </c>
      <c r="E392" t="inlineStr">
        <is>
          <t>IFED</t>
        </is>
      </c>
      <c r="F392" t="inlineStr">
        <is>
          <t>01</t>
        </is>
      </c>
      <c r="G392" t="inlineStr">
        <is>
          <t xml:space="preserve">066 </t>
        </is>
      </c>
      <c r="H392" t="n">
        <v>11589</v>
      </c>
      <c r="I392" s="17" t="n">
        <v>0</v>
      </c>
      <c r="J392" s="17" t="n">
        <v>886</v>
      </c>
      <c r="K392" t="n">
        <v>288</v>
      </c>
      <c r="L392" t="n">
        <v>11028</v>
      </c>
      <c r="M392" t="n">
        <v>10164</v>
      </c>
      <c r="N392" t="n">
        <v>11316</v>
      </c>
      <c r="O392" t="n">
        <v>11338</v>
      </c>
      <c r="P392" t="n">
        <v>273</v>
      </c>
      <c r="Q392" t="n">
        <v>251</v>
      </c>
      <c r="R392" t="n">
        <v>11589</v>
      </c>
      <c r="S392" t="n">
        <v>0</v>
      </c>
      <c r="T392" t="n">
        <v>886</v>
      </c>
      <c r="U392" t="n">
        <v>288</v>
      </c>
      <c r="V392" t="n">
        <v>11028</v>
      </c>
      <c r="W392" t="n">
        <v>10164</v>
      </c>
      <c r="X392" t="n">
        <v>11316</v>
      </c>
      <c r="Y392" t="n">
        <v>11338</v>
      </c>
      <c r="Z392" t="n">
        <v>273</v>
      </c>
      <c r="AA392" t="n">
        <v>251</v>
      </c>
      <c r="AB392" t="n">
        <v>0</v>
      </c>
      <c r="AC392" t="n">
        <v>0</v>
      </c>
      <c r="AD392" t="n">
        <v>0</v>
      </c>
      <c r="AE392" t="n">
        <v>0</v>
      </c>
      <c r="AF392" t="n">
        <v>0</v>
      </c>
      <c r="AG392" t="n">
        <v>0</v>
      </c>
      <c r="AH392" t="n">
        <v>0</v>
      </c>
      <c r="AI392" t="n">
        <v>0</v>
      </c>
      <c r="AJ392" t="n">
        <v>0</v>
      </c>
      <c r="AK392" t="n">
        <v>0</v>
      </c>
      <c r="AL392" t="n">
        <v>245</v>
      </c>
      <c r="AM392" t="n">
        <v>0</v>
      </c>
      <c r="AN392" t="n">
        <v>90</v>
      </c>
      <c r="AO392" t="n">
        <v>-15</v>
      </c>
      <c r="AP392" t="n">
        <v>332</v>
      </c>
      <c r="AQ392" t="n">
        <v>170</v>
      </c>
      <c r="AR392" t="n">
        <v>317</v>
      </c>
      <c r="AS392" t="n">
        <v>245</v>
      </c>
      <c r="AT392" t="n">
        <v>-72</v>
      </c>
      <c r="AU392" t="n">
        <v>0</v>
      </c>
      <c r="AV392" t="n">
        <v>100</v>
      </c>
      <c r="AW392" t="n">
        <v>0</v>
      </c>
      <c r="AX392" t="n">
        <v>7.6</v>
      </c>
      <c r="AY392" t="n">
        <v>2.5</v>
      </c>
      <c r="AZ392" t="n">
        <v>95.2</v>
      </c>
      <c r="BA392" t="n">
        <v>87.7</v>
      </c>
      <c r="BB392" t="n">
        <v>97.59999999999999</v>
      </c>
      <c r="BC392" t="n">
        <v>97.8</v>
      </c>
      <c r="BD392" t="n">
        <v>2.4</v>
      </c>
      <c r="BE392" t="n">
        <v>2.2</v>
      </c>
      <c r="BF392" t="n">
        <v>100</v>
      </c>
      <c r="BG392" t="n">
        <v>0</v>
      </c>
      <c r="BH392" t="n">
        <v>7.6</v>
      </c>
      <c r="BI392" t="n">
        <v>2.5</v>
      </c>
      <c r="BJ392" t="n">
        <v>95.2</v>
      </c>
      <c r="BK392" t="n">
        <v>87.7</v>
      </c>
      <c r="BL392" t="n">
        <v>97.59999999999999</v>
      </c>
      <c r="BM392" t="n">
        <v>97.8</v>
      </c>
      <c r="BN392" t="n">
        <v>2.4</v>
      </c>
      <c r="BO392" t="n">
        <v>2.2</v>
      </c>
      <c r="BP392" t="n">
        <v>0</v>
      </c>
      <c r="BQ392" t="n">
        <v>0</v>
      </c>
      <c r="BR392" t="n">
        <v>0</v>
      </c>
      <c r="BS392" t="n">
        <v>0</v>
      </c>
      <c r="BT392" t="n">
        <v>0</v>
      </c>
      <c r="BU392" t="n">
        <v>0</v>
      </c>
      <c r="BV392" t="n">
        <v>0</v>
      </c>
      <c r="BW392" t="n">
        <v>0</v>
      </c>
      <c r="BX392" t="n">
        <v>0</v>
      </c>
      <c r="BY392" t="n">
        <v>0</v>
      </c>
      <c r="BZ392" t="n">
        <v>29</v>
      </c>
      <c r="CA392" t="n">
        <v>0</v>
      </c>
      <c r="CB392" t="n">
        <v>3</v>
      </c>
      <c r="CC392" t="n">
        <v>2</v>
      </c>
      <c r="CD392" t="n">
        <v>17</v>
      </c>
      <c r="CE392" t="n">
        <v>21</v>
      </c>
      <c r="CF392" t="n">
        <v>19</v>
      </c>
      <c r="CG392" t="n">
        <v>25</v>
      </c>
      <c r="CH392" t="n">
        <v>29</v>
      </c>
      <c r="CI392" t="n">
        <v>0</v>
      </c>
      <c r="CJ392" t="n">
        <v>3</v>
      </c>
      <c r="CK392" t="n">
        <v>2</v>
      </c>
      <c r="CL392" t="n">
        <v>17</v>
      </c>
      <c r="CM392" t="n">
        <v>21</v>
      </c>
      <c r="CN392" t="n">
        <v>19</v>
      </c>
      <c r="CO392" t="n">
        <v>25</v>
      </c>
      <c r="CP392" t="n">
        <v>0</v>
      </c>
      <c r="CQ392" t="n">
        <v>0</v>
      </c>
      <c r="CR392" t="n">
        <v>0</v>
      </c>
      <c r="CS392" t="n">
        <v>0</v>
      </c>
      <c r="CT392" t="n">
        <v>0</v>
      </c>
      <c r="CU392" t="n">
        <v>0</v>
      </c>
      <c r="CV392" t="n">
        <v>0</v>
      </c>
      <c r="CW392" t="n">
        <v>0</v>
      </c>
      <c r="CX392" t="n">
        <v>70.5</v>
      </c>
      <c r="CY392" t="n">
        <v>58.2</v>
      </c>
      <c r="CZ392" t="n">
        <v>86</v>
      </c>
      <c r="DA392" t="n">
        <v>74.7</v>
      </c>
      <c r="DB392" t="n">
        <v>67</v>
      </c>
      <c r="DC392" t="n">
        <v>50.7</v>
      </c>
      <c r="DD392" t="n">
        <v>70.59999999999999</v>
      </c>
      <c r="DE392" t="n">
        <v>63.9</v>
      </c>
      <c r="DF392" t="n">
        <v>70.5</v>
      </c>
      <c r="DG392" t="n">
        <v>58.2</v>
      </c>
      <c r="DH392" t="n">
        <v>86</v>
      </c>
      <c r="DI392" t="n">
        <v>74.7</v>
      </c>
      <c r="DJ392" t="n">
        <v>67</v>
      </c>
      <c r="DK392" t="n">
        <v>50.7</v>
      </c>
      <c r="DL392" t="n">
        <v>70.59999999999999</v>
      </c>
      <c r="DM392" t="n">
        <v>63.9</v>
      </c>
      <c r="DN392" t="n">
        <v>0</v>
      </c>
      <c r="DO392" t="n">
        <v>0</v>
      </c>
      <c r="DP392" t="n">
        <v>0</v>
      </c>
      <c r="DQ392" t="n">
        <v>0</v>
      </c>
      <c r="DR392" t="n">
        <v>0</v>
      </c>
      <c r="DS392" t="n">
        <v>0</v>
      </c>
      <c r="DT392" t="n">
        <v>0</v>
      </c>
      <c r="DU392" t="n">
        <v>0</v>
      </c>
      <c r="DV392" t="inlineStr">
        <is>
          <t>42000 gallons(1000 barrels)</t>
        </is>
      </c>
    </row>
    <row r="393">
      <c r="A393" t="inlineStr">
        <is>
          <t>PROPANE OPIS MT BELV NONTET FP - ICE FUTURES ENERGY DIV</t>
        </is>
      </c>
      <c r="B393" t="n">
        <v>230110</v>
      </c>
      <c r="C393" s="1" t="n">
        <v>44936</v>
      </c>
      <c r="D393" t="inlineStr">
        <is>
          <t>06641F</t>
        </is>
      </c>
      <c r="E393" t="inlineStr">
        <is>
          <t>IFED</t>
        </is>
      </c>
      <c r="F393" t="inlineStr">
        <is>
          <t>01</t>
        </is>
      </c>
      <c r="G393" t="inlineStr">
        <is>
          <t xml:space="preserve">066 </t>
        </is>
      </c>
      <c r="H393" t="n">
        <v>44717</v>
      </c>
      <c r="I393" s="17" t="n">
        <v>37410</v>
      </c>
      <c r="J393" s="17" t="n">
        <v>928</v>
      </c>
      <c r="K393" t="n">
        <v>1027</v>
      </c>
      <c r="L393" t="n">
        <v>6280</v>
      </c>
      <c r="M393" t="n">
        <v>42737</v>
      </c>
      <c r="N393" t="n">
        <v>44717</v>
      </c>
      <c r="O393" t="n">
        <v>44692</v>
      </c>
      <c r="P393" t="n">
        <v>0</v>
      </c>
      <c r="Q393" t="n">
        <v>25</v>
      </c>
      <c r="R393" t="n">
        <v>44717</v>
      </c>
      <c r="S393" t="n">
        <v>37410</v>
      </c>
      <c r="T393" t="n">
        <v>928</v>
      </c>
      <c r="U393" t="n">
        <v>1027</v>
      </c>
      <c r="V393" t="n">
        <v>6280</v>
      </c>
      <c r="W393" t="n">
        <v>42737</v>
      </c>
      <c r="X393" t="n">
        <v>44717</v>
      </c>
      <c r="Y393" t="n">
        <v>44692</v>
      </c>
      <c r="Z393" t="n">
        <v>0</v>
      </c>
      <c r="AA393" t="n">
        <v>25</v>
      </c>
      <c r="AB393" t="n">
        <v>0</v>
      </c>
      <c r="AC393" t="n">
        <v>0</v>
      </c>
      <c r="AD393" t="n">
        <v>0</v>
      </c>
      <c r="AE393" t="n">
        <v>0</v>
      </c>
      <c r="AF393" t="n">
        <v>0</v>
      </c>
      <c r="AG393" t="n">
        <v>0</v>
      </c>
      <c r="AH393" t="n">
        <v>0</v>
      </c>
      <c r="AI393" t="n">
        <v>0</v>
      </c>
      <c r="AJ393" t="n">
        <v>0</v>
      </c>
      <c r="AK393" t="n">
        <v>0</v>
      </c>
      <c r="AL393" t="n">
        <v>-10522</v>
      </c>
      <c r="AM393" t="n">
        <v>-5757</v>
      </c>
      <c r="AN393" t="n">
        <v>-393</v>
      </c>
      <c r="AO393" t="n">
        <v>15</v>
      </c>
      <c r="AP393" t="n">
        <v>-3839</v>
      </c>
      <c r="AQ393" t="n">
        <v>-9570</v>
      </c>
      <c r="AR393" t="n">
        <v>-9581</v>
      </c>
      <c r="AS393" t="n">
        <v>-9948</v>
      </c>
      <c r="AT393" t="n">
        <v>-941</v>
      </c>
      <c r="AU393" t="n">
        <v>-574</v>
      </c>
      <c r="AV393" t="n">
        <v>100</v>
      </c>
      <c r="AW393" t="n">
        <v>83.7</v>
      </c>
      <c r="AX393" t="n">
        <v>2.1</v>
      </c>
      <c r="AY393" t="n">
        <v>2.3</v>
      </c>
      <c r="AZ393" t="n">
        <v>14</v>
      </c>
      <c r="BA393" t="n">
        <v>95.59999999999999</v>
      </c>
      <c r="BB393" t="n">
        <v>100</v>
      </c>
      <c r="BC393" t="n">
        <v>99.90000000000001</v>
      </c>
      <c r="BD393" t="n">
        <v>0</v>
      </c>
      <c r="BE393" t="n">
        <v>0.1</v>
      </c>
      <c r="BF393" t="n">
        <v>100</v>
      </c>
      <c r="BG393" t="n">
        <v>83.7</v>
      </c>
      <c r="BH393" t="n">
        <v>2.1</v>
      </c>
      <c r="BI393" t="n">
        <v>2.3</v>
      </c>
      <c r="BJ393" t="n">
        <v>14</v>
      </c>
      <c r="BK393" t="n">
        <v>95.59999999999999</v>
      </c>
      <c r="BL393" t="n">
        <v>100</v>
      </c>
      <c r="BM393" t="n">
        <v>99.90000000000001</v>
      </c>
      <c r="BN393" t="n">
        <v>0</v>
      </c>
      <c r="BO393" t="n">
        <v>0.1</v>
      </c>
      <c r="BP393" t="n">
        <v>0</v>
      </c>
      <c r="BQ393" t="n">
        <v>0</v>
      </c>
      <c r="BR393" t="n">
        <v>0</v>
      </c>
      <c r="BS393" t="n">
        <v>0</v>
      </c>
      <c r="BT393" t="n">
        <v>0</v>
      </c>
      <c r="BU393" t="n">
        <v>0</v>
      </c>
      <c r="BV393" t="n">
        <v>0</v>
      </c>
      <c r="BW393" t="n">
        <v>0</v>
      </c>
      <c r="BX393" t="n">
        <v>0</v>
      </c>
      <c r="BY393" t="n">
        <v>0</v>
      </c>
      <c r="BZ393" t="n">
        <v>51</v>
      </c>
      <c r="CA393" t="n">
        <v>6</v>
      </c>
      <c r="CB393" t="n">
        <v>4</v>
      </c>
      <c r="CC393" t="n">
        <v>3</v>
      </c>
      <c r="CD393" t="n">
        <v>16</v>
      </c>
      <c r="CE393" t="n">
        <v>37</v>
      </c>
      <c r="CF393" t="n">
        <v>25</v>
      </c>
      <c r="CG393" t="n">
        <v>41</v>
      </c>
      <c r="CH393" t="n">
        <v>51</v>
      </c>
      <c r="CI393" t="n">
        <v>6</v>
      </c>
      <c r="CJ393" t="n">
        <v>4</v>
      </c>
      <c r="CK393" t="n">
        <v>3</v>
      </c>
      <c r="CL393" t="n">
        <v>16</v>
      </c>
      <c r="CM393" t="n">
        <v>37</v>
      </c>
      <c r="CN393" t="n">
        <v>25</v>
      </c>
      <c r="CO393" t="n">
        <v>41</v>
      </c>
      <c r="CP393" t="n">
        <v>0</v>
      </c>
      <c r="CQ393" t="n">
        <v>0</v>
      </c>
      <c r="CR393" t="n">
        <v>0</v>
      </c>
      <c r="CS393" t="n">
        <v>0</v>
      </c>
      <c r="CT393" t="n">
        <v>0</v>
      </c>
      <c r="CU393" t="n">
        <v>0</v>
      </c>
      <c r="CV393" t="n">
        <v>0</v>
      </c>
      <c r="CW393" t="n">
        <v>0</v>
      </c>
      <c r="CX393" t="n">
        <v>88.09999999999999</v>
      </c>
      <c r="CY393" t="n">
        <v>52.7</v>
      </c>
      <c r="CZ393" t="n">
        <v>93</v>
      </c>
      <c r="DA393" t="n">
        <v>68.40000000000001</v>
      </c>
      <c r="DB393" t="n">
        <v>87.7</v>
      </c>
      <c r="DC393" t="n">
        <v>51.1</v>
      </c>
      <c r="DD393" t="n">
        <v>90.09999999999999</v>
      </c>
      <c r="DE393" t="n">
        <v>66.40000000000001</v>
      </c>
      <c r="DF393" t="n">
        <v>88.09999999999999</v>
      </c>
      <c r="DG393" t="n">
        <v>52.7</v>
      </c>
      <c r="DH393" t="n">
        <v>93</v>
      </c>
      <c r="DI393" t="n">
        <v>68.40000000000001</v>
      </c>
      <c r="DJ393" t="n">
        <v>87.7</v>
      </c>
      <c r="DK393" t="n">
        <v>51.1</v>
      </c>
      <c r="DL393" t="n">
        <v>90.09999999999999</v>
      </c>
      <c r="DM393" t="n">
        <v>66.40000000000001</v>
      </c>
      <c r="DN393" t="n">
        <v>0</v>
      </c>
      <c r="DO393" t="n">
        <v>0</v>
      </c>
      <c r="DP393" t="n">
        <v>0</v>
      </c>
      <c r="DQ393" t="n">
        <v>0</v>
      </c>
      <c r="DR393" t="n">
        <v>0</v>
      </c>
      <c r="DS393" t="n">
        <v>0</v>
      </c>
      <c r="DT393" t="n">
        <v>0</v>
      </c>
      <c r="DU393" t="n">
        <v>0</v>
      </c>
      <c r="DV393" t="inlineStr">
        <is>
          <t>42000 gallons(1000 barrels)</t>
        </is>
      </c>
    </row>
    <row r="394">
      <c r="A394" t="inlineStr">
        <is>
          <t>PROPANE OPIS MT BELV NONTET FP - ICE FUTURES ENERGY DIV</t>
        </is>
      </c>
      <c r="B394" t="n">
        <v>230103</v>
      </c>
      <c r="C394" s="1" t="n">
        <v>44929</v>
      </c>
      <c r="D394" t="inlineStr">
        <is>
          <t>06641F</t>
        </is>
      </c>
      <c r="E394" t="inlineStr">
        <is>
          <t>IFED</t>
        </is>
      </c>
      <c r="F394" t="inlineStr">
        <is>
          <t>01</t>
        </is>
      </c>
      <c r="G394" t="inlineStr">
        <is>
          <t xml:space="preserve">066 </t>
        </is>
      </c>
      <c r="H394" t="n">
        <v>55239</v>
      </c>
      <c r="I394" s="17" t="n">
        <v>43167</v>
      </c>
      <c r="J394" s="17" t="n">
        <v>1321</v>
      </c>
      <c r="K394" t="n">
        <v>1012</v>
      </c>
      <c r="L394" t="n">
        <v>10119</v>
      </c>
      <c r="M394" t="n">
        <v>52307</v>
      </c>
      <c r="N394" t="n">
        <v>54298</v>
      </c>
      <c r="O394" t="n">
        <v>54640</v>
      </c>
      <c r="P394" t="n">
        <v>941</v>
      </c>
      <c r="Q394" t="n">
        <v>599</v>
      </c>
      <c r="R394" t="n">
        <v>55239</v>
      </c>
      <c r="S394" t="n">
        <v>43167</v>
      </c>
      <c r="T394" t="n">
        <v>1321</v>
      </c>
      <c r="U394" t="n">
        <v>1012</v>
      </c>
      <c r="V394" t="n">
        <v>10119</v>
      </c>
      <c r="W394" t="n">
        <v>52307</v>
      </c>
      <c r="X394" t="n">
        <v>54298</v>
      </c>
      <c r="Y394" t="n">
        <v>54640</v>
      </c>
      <c r="Z394" t="n">
        <v>941</v>
      </c>
      <c r="AA394" t="n">
        <v>599</v>
      </c>
      <c r="AB394" t="n">
        <v>0</v>
      </c>
      <c r="AC394" t="n">
        <v>0</v>
      </c>
      <c r="AD394" t="n">
        <v>0</v>
      </c>
      <c r="AE394" t="n">
        <v>0</v>
      </c>
      <c r="AF394" t="n">
        <v>0</v>
      </c>
      <c r="AG394" t="n">
        <v>0</v>
      </c>
      <c r="AH394" t="n">
        <v>0</v>
      </c>
      <c r="AI394" t="n">
        <v>0</v>
      </c>
      <c r="AJ394" t="n">
        <v>0</v>
      </c>
      <c r="AK394" t="n">
        <v>0</v>
      </c>
      <c r="AL394" t="n">
        <v>3619</v>
      </c>
      <c r="AM394" t="n">
        <v>2981</v>
      </c>
      <c r="AN394" t="n">
        <v>136</v>
      </c>
      <c r="AO394" t="n">
        <v>-145</v>
      </c>
      <c r="AP394" t="n">
        <v>-138</v>
      </c>
      <c r="AQ394" t="n">
        <v>3070</v>
      </c>
      <c r="AR394" t="n">
        <v>2698</v>
      </c>
      <c r="AS394" t="n">
        <v>3061</v>
      </c>
      <c r="AT394" t="n">
        <v>921</v>
      </c>
      <c r="AU394" t="n">
        <v>558</v>
      </c>
      <c r="AV394" t="n">
        <v>100</v>
      </c>
      <c r="AW394" t="n">
        <v>78.09999999999999</v>
      </c>
      <c r="AX394" t="n">
        <v>2.4</v>
      </c>
      <c r="AY394" t="n">
        <v>1.8</v>
      </c>
      <c r="AZ394" t="n">
        <v>18.3</v>
      </c>
      <c r="BA394" t="n">
        <v>94.7</v>
      </c>
      <c r="BB394" t="n">
        <v>98.3</v>
      </c>
      <c r="BC394" t="n">
        <v>98.90000000000001</v>
      </c>
      <c r="BD394" t="n">
        <v>1.7</v>
      </c>
      <c r="BE394" t="n">
        <v>1.1</v>
      </c>
      <c r="BF394" t="n">
        <v>100</v>
      </c>
      <c r="BG394" t="n">
        <v>78.09999999999999</v>
      </c>
      <c r="BH394" t="n">
        <v>2.4</v>
      </c>
      <c r="BI394" t="n">
        <v>1.8</v>
      </c>
      <c r="BJ394" t="n">
        <v>18.3</v>
      </c>
      <c r="BK394" t="n">
        <v>94.7</v>
      </c>
      <c r="BL394" t="n">
        <v>98.3</v>
      </c>
      <c r="BM394" t="n">
        <v>98.90000000000001</v>
      </c>
      <c r="BN394" t="n">
        <v>1.7</v>
      </c>
      <c r="BO394" t="n">
        <v>1.1</v>
      </c>
      <c r="BP394" t="n">
        <v>0</v>
      </c>
      <c r="BQ394" t="n">
        <v>0</v>
      </c>
      <c r="BR394" t="n">
        <v>0</v>
      </c>
      <c r="BS394" t="n">
        <v>0</v>
      </c>
      <c r="BT394" t="n">
        <v>0</v>
      </c>
      <c r="BU394" t="n">
        <v>0</v>
      </c>
      <c r="BV394" t="n">
        <v>0</v>
      </c>
      <c r="BW394" t="n">
        <v>0</v>
      </c>
      <c r="BX394" t="n">
        <v>0</v>
      </c>
      <c r="BY394" t="n">
        <v>0</v>
      </c>
      <c r="BZ394" t="n">
        <v>57</v>
      </c>
      <c r="CA394" t="n">
        <v>4</v>
      </c>
      <c r="CB394" t="n">
        <v>5</v>
      </c>
      <c r="CC394" t="n">
        <v>4</v>
      </c>
      <c r="CD394" t="n">
        <v>22</v>
      </c>
      <c r="CE394" t="n">
        <v>39</v>
      </c>
      <c r="CF394" t="n">
        <v>29</v>
      </c>
      <c r="CG394" t="n">
        <v>45</v>
      </c>
      <c r="CH394" t="n">
        <v>57</v>
      </c>
      <c r="CI394" t="n">
        <v>4</v>
      </c>
      <c r="CJ394" t="n">
        <v>5</v>
      </c>
      <c r="CK394" t="n">
        <v>4</v>
      </c>
      <c r="CL394" t="n">
        <v>22</v>
      </c>
      <c r="CM394" t="n">
        <v>39</v>
      </c>
      <c r="CN394" t="n">
        <v>29</v>
      </c>
      <c r="CO394" t="n">
        <v>45</v>
      </c>
      <c r="CP394" t="n">
        <v>0</v>
      </c>
      <c r="CQ394" t="n">
        <v>0</v>
      </c>
      <c r="CR394" t="n">
        <v>0</v>
      </c>
      <c r="CS394" t="n">
        <v>0</v>
      </c>
      <c r="CT394" t="n">
        <v>0</v>
      </c>
      <c r="CU394" t="n">
        <v>0</v>
      </c>
      <c r="CV394" t="n">
        <v>0</v>
      </c>
      <c r="CW394" t="n">
        <v>0</v>
      </c>
      <c r="CX394" t="n">
        <v>85</v>
      </c>
      <c r="CY394" t="n">
        <v>53.5</v>
      </c>
      <c r="CZ394" t="n">
        <v>88.90000000000001</v>
      </c>
      <c r="DA394" t="n">
        <v>68.5</v>
      </c>
      <c r="DB394" t="n">
        <v>84.59999999999999</v>
      </c>
      <c r="DC394" t="n">
        <v>52.2</v>
      </c>
      <c r="DD394" t="n">
        <v>87.40000000000001</v>
      </c>
      <c r="DE394" t="n">
        <v>66.09999999999999</v>
      </c>
      <c r="DF394" t="n">
        <v>85</v>
      </c>
      <c r="DG394" t="n">
        <v>53.5</v>
      </c>
      <c r="DH394" t="n">
        <v>88.90000000000001</v>
      </c>
      <c r="DI394" t="n">
        <v>68.5</v>
      </c>
      <c r="DJ394" t="n">
        <v>84.59999999999999</v>
      </c>
      <c r="DK394" t="n">
        <v>52.2</v>
      </c>
      <c r="DL394" t="n">
        <v>87.40000000000001</v>
      </c>
      <c r="DM394" t="n">
        <v>66.09999999999999</v>
      </c>
      <c r="DN394" t="n">
        <v>0</v>
      </c>
      <c r="DO394" t="n">
        <v>0</v>
      </c>
      <c r="DP394" t="n">
        <v>0</v>
      </c>
      <c r="DQ394" t="n">
        <v>0</v>
      </c>
      <c r="DR394" t="n">
        <v>0</v>
      </c>
      <c r="DS394" t="n">
        <v>0</v>
      </c>
      <c r="DT394" t="n">
        <v>0</v>
      </c>
      <c r="DU394" t="n">
        <v>0</v>
      </c>
      <c r="DV394" t="inlineStr">
        <is>
          <t>42000 gallons(1000 barrels)</t>
        </is>
      </c>
    </row>
    <row r="395">
      <c r="A395" t="inlineStr">
        <is>
          <t>PROPANE OPIS MT BELVIEU TET FP - ICE FUTURES ENERGY DIV</t>
        </is>
      </c>
      <c r="B395" t="n">
        <v>230110</v>
      </c>
      <c r="C395" s="1" t="n">
        <v>44936</v>
      </c>
      <c r="D395" t="inlineStr">
        <is>
          <t>06641G</t>
        </is>
      </c>
      <c r="E395" t="inlineStr">
        <is>
          <t>IFED</t>
        </is>
      </c>
      <c r="F395" t="inlineStr">
        <is>
          <t>01</t>
        </is>
      </c>
      <c r="G395" t="inlineStr">
        <is>
          <t xml:space="preserve">066 </t>
        </is>
      </c>
      <c r="H395" t="n">
        <v>83648</v>
      </c>
      <c r="I395" s="17" t="n">
        <v>9183</v>
      </c>
      <c r="J395" s="17" t="n">
        <v>45359</v>
      </c>
      <c r="K395" t="n">
        <v>4203</v>
      </c>
      <c r="L395" t="n">
        <v>69832</v>
      </c>
      <c r="M395" t="n">
        <v>33776</v>
      </c>
      <c r="N395" t="n">
        <v>83218</v>
      </c>
      <c r="O395" t="n">
        <v>83338</v>
      </c>
      <c r="P395" t="n">
        <v>430</v>
      </c>
      <c r="Q395" t="n">
        <v>310</v>
      </c>
      <c r="R395" t="n">
        <v>83648</v>
      </c>
      <c r="S395" t="n">
        <v>9183</v>
      </c>
      <c r="T395" t="n">
        <v>45359</v>
      </c>
      <c r="U395" t="n">
        <v>4203</v>
      </c>
      <c r="V395" t="n">
        <v>69832</v>
      </c>
      <c r="W395" t="n">
        <v>33776</v>
      </c>
      <c r="X395" t="n">
        <v>83218</v>
      </c>
      <c r="Y395" t="n">
        <v>83338</v>
      </c>
      <c r="Z395" t="n">
        <v>430</v>
      </c>
      <c r="AA395" t="n">
        <v>310</v>
      </c>
      <c r="AB395" t="n">
        <v>0</v>
      </c>
      <c r="AC395" t="n">
        <v>0</v>
      </c>
      <c r="AD395" t="n">
        <v>0</v>
      </c>
      <c r="AE395" t="n">
        <v>0</v>
      </c>
      <c r="AF395" t="n">
        <v>0</v>
      </c>
      <c r="AG395" t="n">
        <v>0</v>
      </c>
      <c r="AH395" t="n">
        <v>0</v>
      </c>
      <c r="AI395" t="n">
        <v>0</v>
      </c>
      <c r="AJ395" t="n">
        <v>0</v>
      </c>
      <c r="AK395" t="n">
        <v>0</v>
      </c>
      <c r="AL395" t="n">
        <v>-8867</v>
      </c>
      <c r="AM395" t="n">
        <v>-1383</v>
      </c>
      <c r="AN395" t="n">
        <v>-6233</v>
      </c>
      <c r="AO395" t="n">
        <v>-674</v>
      </c>
      <c r="AP395" t="n">
        <v>-6036</v>
      </c>
      <c r="AQ395" t="n">
        <v>-652</v>
      </c>
      <c r="AR395" t="n">
        <v>-8093</v>
      </c>
      <c r="AS395" t="n">
        <v>-7559</v>
      </c>
      <c r="AT395" t="n">
        <v>-774</v>
      </c>
      <c r="AU395" t="n">
        <v>-1308</v>
      </c>
      <c r="AV395" t="n">
        <v>100</v>
      </c>
      <c r="AW395" t="n">
        <v>11</v>
      </c>
      <c r="AX395" t="n">
        <v>54.2</v>
      </c>
      <c r="AY395" t="n">
        <v>5</v>
      </c>
      <c r="AZ395" t="n">
        <v>83.5</v>
      </c>
      <c r="BA395" t="n">
        <v>40.4</v>
      </c>
      <c r="BB395" t="n">
        <v>99.5</v>
      </c>
      <c r="BC395" t="n">
        <v>99.59999999999999</v>
      </c>
      <c r="BD395" t="n">
        <v>0.5</v>
      </c>
      <c r="BE395" t="n">
        <v>0.4</v>
      </c>
      <c r="BF395" t="n">
        <v>100</v>
      </c>
      <c r="BG395" t="n">
        <v>11</v>
      </c>
      <c r="BH395" t="n">
        <v>54.2</v>
      </c>
      <c r="BI395" t="n">
        <v>5</v>
      </c>
      <c r="BJ395" t="n">
        <v>83.5</v>
      </c>
      <c r="BK395" t="n">
        <v>40.4</v>
      </c>
      <c r="BL395" t="n">
        <v>99.5</v>
      </c>
      <c r="BM395" t="n">
        <v>99.59999999999999</v>
      </c>
      <c r="BN395" t="n">
        <v>0.5</v>
      </c>
      <c r="BO395" t="n">
        <v>0.4</v>
      </c>
      <c r="BP395" t="n">
        <v>0</v>
      </c>
      <c r="BQ395" t="n">
        <v>0</v>
      </c>
      <c r="BR395" t="n">
        <v>0</v>
      </c>
      <c r="BS395" t="n">
        <v>0</v>
      </c>
      <c r="BT395" t="n">
        <v>0</v>
      </c>
      <c r="BU395" t="n">
        <v>0</v>
      </c>
      <c r="BV395" t="n">
        <v>0</v>
      </c>
      <c r="BW395" t="n">
        <v>0</v>
      </c>
      <c r="BX395" t="n">
        <v>0</v>
      </c>
      <c r="BY395" t="n">
        <v>0</v>
      </c>
      <c r="BZ395" t="n">
        <v>103</v>
      </c>
      <c r="CA395" t="n">
        <v>11</v>
      </c>
      <c r="CB395" t="n">
        <v>11</v>
      </c>
      <c r="CC395" t="n">
        <v>16</v>
      </c>
      <c r="CD395" t="n">
        <v>73</v>
      </c>
      <c r="CE395" t="n">
        <v>56</v>
      </c>
      <c r="CF395" t="n">
        <v>92</v>
      </c>
      <c r="CG395" t="n">
        <v>77</v>
      </c>
      <c r="CH395" t="n">
        <v>103</v>
      </c>
      <c r="CI395" t="n">
        <v>11</v>
      </c>
      <c r="CJ395" t="n">
        <v>11</v>
      </c>
      <c r="CK395" t="n">
        <v>16</v>
      </c>
      <c r="CL395" t="n">
        <v>73</v>
      </c>
      <c r="CM395" t="n">
        <v>56</v>
      </c>
      <c r="CN395" t="n">
        <v>92</v>
      </c>
      <c r="CO395" t="n">
        <v>77</v>
      </c>
      <c r="CP395" t="n">
        <v>0</v>
      </c>
      <c r="CQ395" t="n">
        <v>0</v>
      </c>
      <c r="CR395" t="n">
        <v>0</v>
      </c>
      <c r="CS395" t="n">
        <v>0</v>
      </c>
      <c r="CT395" t="n">
        <v>0</v>
      </c>
      <c r="CU395" t="n">
        <v>0</v>
      </c>
      <c r="CV395" t="n">
        <v>0</v>
      </c>
      <c r="CW395" t="n">
        <v>0</v>
      </c>
      <c r="CX395" t="n">
        <v>32.4</v>
      </c>
      <c r="CY395" t="n">
        <v>58</v>
      </c>
      <c r="CZ395" t="n">
        <v>49.9</v>
      </c>
      <c r="DA395" t="n">
        <v>67.40000000000001</v>
      </c>
      <c r="DB395" t="n">
        <v>29.8</v>
      </c>
      <c r="DC395" t="n">
        <v>56.7</v>
      </c>
      <c r="DD395" t="n">
        <v>46.6</v>
      </c>
      <c r="DE395" t="n">
        <v>63.4</v>
      </c>
      <c r="DF395" t="n">
        <v>32.4</v>
      </c>
      <c r="DG395" t="n">
        <v>58</v>
      </c>
      <c r="DH395" t="n">
        <v>49.9</v>
      </c>
      <c r="DI395" t="n">
        <v>67.40000000000001</v>
      </c>
      <c r="DJ395" t="n">
        <v>29.8</v>
      </c>
      <c r="DK395" t="n">
        <v>56.7</v>
      </c>
      <c r="DL395" t="n">
        <v>46.6</v>
      </c>
      <c r="DM395" t="n">
        <v>63.4</v>
      </c>
      <c r="DN395" t="n">
        <v>0</v>
      </c>
      <c r="DO395" t="n">
        <v>0</v>
      </c>
      <c r="DP395" t="n">
        <v>0</v>
      </c>
      <c r="DQ395" t="n">
        <v>0</v>
      </c>
      <c r="DR395" t="n">
        <v>0</v>
      </c>
      <c r="DS395" t="n">
        <v>0</v>
      </c>
      <c r="DT395" t="n">
        <v>0</v>
      </c>
      <c r="DU395" t="n">
        <v>0</v>
      </c>
      <c r="DV395" t="inlineStr">
        <is>
          <t>42000 gallons(1000 barrels)</t>
        </is>
      </c>
    </row>
    <row r="396">
      <c r="A396" t="inlineStr">
        <is>
          <t>PROPANE OPIS MT BELVIEU TET FP - ICE FUTURES ENERGY DIV</t>
        </is>
      </c>
      <c r="B396" t="n">
        <v>230103</v>
      </c>
      <c r="C396" s="1" t="n">
        <v>44929</v>
      </c>
      <c r="D396" t="inlineStr">
        <is>
          <t>06641G</t>
        </is>
      </c>
      <c r="E396" t="inlineStr">
        <is>
          <t>IFED</t>
        </is>
      </c>
      <c r="F396" t="inlineStr">
        <is>
          <t>01</t>
        </is>
      </c>
      <c r="G396" t="inlineStr">
        <is>
          <t xml:space="preserve">066 </t>
        </is>
      </c>
      <c r="H396" t="n">
        <v>92515</v>
      </c>
      <c r="I396" s="17" t="n">
        <v>10566</v>
      </c>
      <c r="J396" s="17" t="n">
        <v>51592</v>
      </c>
      <c r="K396" t="n">
        <v>4877</v>
      </c>
      <c r="L396" t="n">
        <v>75868</v>
      </c>
      <c r="M396" t="n">
        <v>34428</v>
      </c>
      <c r="N396" t="n">
        <v>91311</v>
      </c>
      <c r="O396" t="n">
        <v>90897</v>
      </c>
      <c r="P396" t="n">
        <v>1204</v>
      </c>
      <c r="Q396" t="n">
        <v>1618</v>
      </c>
      <c r="R396" t="n">
        <v>92515</v>
      </c>
      <c r="S396" t="n">
        <v>10566</v>
      </c>
      <c r="T396" t="n">
        <v>51592</v>
      </c>
      <c r="U396" t="n">
        <v>4877</v>
      </c>
      <c r="V396" t="n">
        <v>75868</v>
      </c>
      <c r="W396" t="n">
        <v>34428</v>
      </c>
      <c r="X396" t="n">
        <v>91311</v>
      </c>
      <c r="Y396" t="n">
        <v>90897</v>
      </c>
      <c r="Z396" t="n">
        <v>1204</v>
      </c>
      <c r="AA396" t="n">
        <v>1618</v>
      </c>
      <c r="AB396" t="n">
        <v>0</v>
      </c>
      <c r="AC396" t="n">
        <v>0</v>
      </c>
      <c r="AD396" t="n">
        <v>0</v>
      </c>
      <c r="AE396" t="n">
        <v>0</v>
      </c>
      <c r="AF396" t="n">
        <v>0</v>
      </c>
      <c r="AG396" t="n">
        <v>0</v>
      </c>
      <c r="AH396" t="n">
        <v>0</v>
      </c>
      <c r="AI396" t="n">
        <v>0</v>
      </c>
      <c r="AJ396" t="n">
        <v>0</v>
      </c>
      <c r="AK396" t="n">
        <v>0</v>
      </c>
      <c r="AL396" t="n">
        <v>4958</v>
      </c>
      <c r="AM396" t="n">
        <v>1403</v>
      </c>
      <c r="AN396" t="n">
        <v>2887</v>
      </c>
      <c r="AO396" t="n">
        <v>-60</v>
      </c>
      <c r="AP396" t="n">
        <v>3246</v>
      </c>
      <c r="AQ396" t="n">
        <v>857</v>
      </c>
      <c r="AR396" t="n">
        <v>4589</v>
      </c>
      <c r="AS396" t="n">
        <v>3684</v>
      </c>
      <c r="AT396" t="n">
        <v>369</v>
      </c>
      <c r="AU396" t="n">
        <v>1274</v>
      </c>
      <c r="AV396" t="n">
        <v>100</v>
      </c>
      <c r="AW396" t="n">
        <v>11.4</v>
      </c>
      <c r="AX396" t="n">
        <v>55.8</v>
      </c>
      <c r="AY396" t="n">
        <v>5.3</v>
      </c>
      <c r="AZ396" t="n">
        <v>82</v>
      </c>
      <c r="BA396" t="n">
        <v>37.2</v>
      </c>
      <c r="BB396" t="n">
        <v>98.7</v>
      </c>
      <c r="BC396" t="n">
        <v>98.3</v>
      </c>
      <c r="BD396" t="n">
        <v>1.3</v>
      </c>
      <c r="BE396" t="n">
        <v>1.7</v>
      </c>
      <c r="BF396" t="n">
        <v>100</v>
      </c>
      <c r="BG396" t="n">
        <v>11.4</v>
      </c>
      <c r="BH396" t="n">
        <v>55.8</v>
      </c>
      <c r="BI396" t="n">
        <v>5.3</v>
      </c>
      <c r="BJ396" t="n">
        <v>82</v>
      </c>
      <c r="BK396" t="n">
        <v>37.2</v>
      </c>
      <c r="BL396" t="n">
        <v>98.7</v>
      </c>
      <c r="BM396" t="n">
        <v>98.3</v>
      </c>
      <c r="BN396" t="n">
        <v>1.3</v>
      </c>
      <c r="BO396" t="n">
        <v>1.7</v>
      </c>
      <c r="BP396" t="n">
        <v>0</v>
      </c>
      <c r="BQ396" t="n">
        <v>0</v>
      </c>
      <c r="BR396" t="n">
        <v>0</v>
      </c>
      <c r="BS396" t="n">
        <v>0</v>
      </c>
      <c r="BT396" t="n">
        <v>0</v>
      </c>
      <c r="BU396" t="n">
        <v>0</v>
      </c>
      <c r="BV396" t="n">
        <v>0</v>
      </c>
      <c r="BW396" t="n">
        <v>0</v>
      </c>
      <c r="BX396" t="n">
        <v>0</v>
      </c>
      <c r="BY396" t="n">
        <v>0</v>
      </c>
      <c r="BZ396" t="n">
        <v>105</v>
      </c>
      <c r="CA396" t="n">
        <v>14</v>
      </c>
      <c r="CB396" t="n">
        <v>8</v>
      </c>
      <c r="CC396" t="n">
        <v>19</v>
      </c>
      <c r="CD396" t="n">
        <v>77</v>
      </c>
      <c r="CE396" t="n">
        <v>61</v>
      </c>
      <c r="CF396" t="n">
        <v>99</v>
      </c>
      <c r="CG396" t="n">
        <v>82</v>
      </c>
      <c r="CH396" t="n">
        <v>105</v>
      </c>
      <c r="CI396" t="n">
        <v>14</v>
      </c>
      <c r="CJ396" t="n">
        <v>8</v>
      </c>
      <c r="CK396" t="n">
        <v>19</v>
      </c>
      <c r="CL396" t="n">
        <v>77</v>
      </c>
      <c r="CM396" t="n">
        <v>61</v>
      </c>
      <c r="CN396" t="n">
        <v>99</v>
      </c>
      <c r="CO396" t="n">
        <v>82</v>
      </c>
      <c r="CP396" t="n">
        <v>0</v>
      </c>
      <c r="CQ396" t="n">
        <v>0</v>
      </c>
      <c r="CR396" t="n">
        <v>0</v>
      </c>
      <c r="CS396" t="n">
        <v>0</v>
      </c>
      <c r="CT396" t="n">
        <v>0</v>
      </c>
      <c r="CU396" t="n">
        <v>0</v>
      </c>
      <c r="CV396" t="n">
        <v>0</v>
      </c>
      <c r="CW396" t="n">
        <v>0</v>
      </c>
      <c r="CX396" t="n">
        <v>32.8</v>
      </c>
      <c r="CY396" t="n">
        <v>58.8</v>
      </c>
      <c r="CZ396" t="n">
        <v>51.7</v>
      </c>
      <c r="DA396" t="n">
        <v>66.8</v>
      </c>
      <c r="DB396" t="n">
        <v>30.7</v>
      </c>
      <c r="DC396" t="n">
        <v>57.1</v>
      </c>
      <c r="DD396" t="n">
        <v>48.8</v>
      </c>
      <c r="DE396" t="n">
        <v>63.8</v>
      </c>
      <c r="DF396" t="n">
        <v>32.8</v>
      </c>
      <c r="DG396" t="n">
        <v>58.8</v>
      </c>
      <c r="DH396" t="n">
        <v>51.7</v>
      </c>
      <c r="DI396" t="n">
        <v>66.8</v>
      </c>
      <c r="DJ396" t="n">
        <v>30.7</v>
      </c>
      <c r="DK396" t="n">
        <v>57.1</v>
      </c>
      <c r="DL396" t="n">
        <v>48.8</v>
      </c>
      <c r="DM396" t="n">
        <v>63.8</v>
      </c>
      <c r="DN396" t="n">
        <v>0</v>
      </c>
      <c r="DO396" t="n">
        <v>0</v>
      </c>
      <c r="DP396" t="n">
        <v>0</v>
      </c>
      <c r="DQ396" t="n">
        <v>0</v>
      </c>
      <c r="DR396" t="n">
        <v>0</v>
      </c>
      <c r="DS396" t="n">
        <v>0</v>
      </c>
      <c r="DT396" t="n">
        <v>0</v>
      </c>
      <c r="DU396" t="n">
        <v>0</v>
      </c>
      <c r="DV396" t="inlineStr">
        <is>
          <t>42000 gallons(1000 barrels)</t>
        </is>
      </c>
    </row>
    <row r="397">
      <c r="A397" t="inlineStr">
        <is>
          <t>PROPANE ARGUS SAUDI CP FP - ICE FUTURES ENERGY DIV</t>
        </is>
      </c>
      <c r="B397" t="n">
        <v>230110</v>
      </c>
      <c r="C397" s="1" t="n">
        <v>44936</v>
      </c>
      <c r="D397" t="inlineStr">
        <is>
          <t>06641H</t>
        </is>
      </c>
      <c r="E397" t="inlineStr">
        <is>
          <t>IFED</t>
        </is>
      </c>
      <c r="F397" t="inlineStr">
        <is>
          <t>01</t>
        </is>
      </c>
      <c r="G397" t="inlineStr">
        <is>
          <t xml:space="preserve">066 </t>
        </is>
      </c>
      <c r="H397" t="n">
        <v>2408</v>
      </c>
      <c r="I397" s="17" t="n">
        <v>344</v>
      </c>
      <c r="J397" s="17" t="n">
        <v>290</v>
      </c>
      <c r="K397" t="n">
        <v>194</v>
      </c>
      <c r="L397" t="n">
        <v>1193</v>
      </c>
      <c r="M397" t="n">
        <v>1522</v>
      </c>
      <c r="N397" t="n">
        <v>1731</v>
      </c>
      <c r="O397" t="n">
        <v>2006</v>
      </c>
      <c r="P397" t="n">
        <v>677</v>
      </c>
      <c r="Q397" t="n">
        <v>402</v>
      </c>
      <c r="R397" t="n">
        <v>2408</v>
      </c>
      <c r="S397" t="n">
        <v>344</v>
      </c>
      <c r="T397" t="n">
        <v>290</v>
      </c>
      <c r="U397" t="n">
        <v>194</v>
      </c>
      <c r="V397" t="n">
        <v>1193</v>
      </c>
      <c r="W397" t="n">
        <v>1522</v>
      </c>
      <c r="X397" t="n">
        <v>1731</v>
      </c>
      <c r="Y397" t="n">
        <v>2006</v>
      </c>
      <c r="Z397" t="n">
        <v>677</v>
      </c>
      <c r="AA397" t="n">
        <v>402</v>
      </c>
      <c r="AB397" t="n">
        <v>0</v>
      </c>
      <c r="AC397" t="n">
        <v>0</v>
      </c>
      <c r="AD397" t="n">
        <v>0</v>
      </c>
      <c r="AE397" t="n">
        <v>0</v>
      </c>
      <c r="AF397" t="n">
        <v>0</v>
      </c>
      <c r="AG397" t="n">
        <v>0</v>
      </c>
      <c r="AH397" t="n">
        <v>0</v>
      </c>
      <c r="AI397" t="n">
        <v>0</v>
      </c>
      <c r="AJ397" t="n">
        <v>0</v>
      </c>
      <c r="AK397" t="n">
        <v>0</v>
      </c>
      <c r="AL397" t="n">
        <v>-364</v>
      </c>
      <c r="AM397" t="n">
        <v>-109</v>
      </c>
      <c r="AN397" t="n">
        <v>215</v>
      </c>
      <c r="AO397" t="n">
        <v>-84</v>
      </c>
      <c r="AP397" t="n">
        <v>-80</v>
      </c>
      <c r="AQ397" t="n">
        <v>-308</v>
      </c>
      <c r="AR397" t="n">
        <v>-273</v>
      </c>
      <c r="AS397" t="n">
        <v>-177</v>
      </c>
      <c r="AT397" t="n">
        <v>-91</v>
      </c>
      <c r="AU397" t="n">
        <v>-187</v>
      </c>
      <c r="AV397" t="n">
        <v>100</v>
      </c>
      <c r="AW397" t="n">
        <v>14.3</v>
      </c>
      <c r="AX397" t="n">
        <v>12</v>
      </c>
      <c r="AY397" t="n">
        <v>8.1</v>
      </c>
      <c r="AZ397" t="n">
        <v>49.5</v>
      </c>
      <c r="BA397" t="n">
        <v>63.2</v>
      </c>
      <c r="BB397" t="n">
        <v>71.90000000000001</v>
      </c>
      <c r="BC397" t="n">
        <v>83.3</v>
      </c>
      <c r="BD397" t="n">
        <v>28.1</v>
      </c>
      <c r="BE397" t="n">
        <v>16.7</v>
      </c>
      <c r="BF397" t="n">
        <v>100</v>
      </c>
      <c r="BG397" t="n">
        <v>14.3</v>
      </c>
      <c r="BH397" t="n">
        <v>12</v>
      </c>
      <c r="BI397" t="n">
        <v>8.1</v>
      </c>
      <c r="BJ397" t="n">
        <v>49.5</v>
      </c>
      <c r="BK397" t="n">
        <v>63.2</v>
      </c>
      <c r="BL397" t="n">
        <v>71.90000000000001</v>
      </c>
      <c r="BM397" t="n">
        <v>83.3</v>
      </c>
      <c r="BN397" t="n">
        <v>28.1</v>
      </c>
      <c r="BO397" t="n">
        <v>16.7</v>
      </c>
      <c r="BP397" t="n">
        <v>0</v>
      </c>
      <c r="BQ397" t="n">
        <v>0</v>
      </c>
      <c r="BR397" t="n">
        <v>0</v>
      </c>
      <c r="BS397" t="n">
        <v>0</v>
      </c>
      <c r="BT397" t="n">
        <v>0</v>
      </c>
      <c r="BU397" t="n">
        <v>0</v>
      </c>
      <c r="BV397" t="n">
        <v>0</v>
      </c>
      <c r="BW397" t="n">
        <v>0</v>
      </c>
      <c r="BX397" t="n">
        <v>0</v>
      </c>
      <c r="BY397" t="n">
        <v>0</v>
      </c>
      <c r="BZ397" t="n">
        <v>26</v>
      </c>
      <c r="CA397" t="n">
        <v>4</v>
      </c>
      <c r="CB397" t="n">
        <v>4</v>
      </c>
      <c r="CC397" t="n">
        <v>6</v>
      </c>
      <c r="CD397" t="n">
        <v>17</v>
      </c>
      <c r="CE397" t="n">
        <v>16</v>
      </c>
      <c r="CF397" t="n">
        <v>25</v>
      </c>
      <c r="CG397" t="n">
        <v>22</v>
      </c>
      <c r="CH397" t="n">
        <v>26</v>
      </c>
      <c r="CI397" t="n">
        <v>4</v>
      </c>
      <c r="CJ397" t="n">
        <v>4</v>
      </c>
      <c r="CK397" t="n">
        <v>6</v>
      </c>
      <c r="CL397" t="n">
        <v>17</v>
      </c>
      <c r="CM397" t="n">
        <v>16</v>
      </c>
      <c r="CN397" t="n">
        <v>25</v>
      </c>
      <c r="CO397" t="n">
        <v>22</v>
      </c>
      <c r="CP397" t="n">
        <v>0</v>
      </c>
      <c r="CQ397" t="n">
        <v>0</v>
      </c>
      <c r="CR397" t="n">
        <v>0</v>
      </c>
      <c r="CS397" t="n">
        <v>0</v>
      </c>
      <c r="CT397" t="n">
        <v>0</v>
      </c>
      <c r="CU397" t="n">
        <v>0</v>
      </c>
      <c r="CV397" t="n">
        <v>0</v>
      </c>
      <c r="CW397" t="n">
        <v>0</v>
      </c>
      <c r="CX397" t="n">
        <v>29.2</v>
      </c>
      <c r="CY397" t="n">
        <v>37.7</v>
      </c>
      <c r="CZ397" t="n">
        <v>46.5</v>
      </c>
      <c r="DA397" t="n">
        <v>56</v>
      </c>
      <c r="DB397" t="n">
        <v>24.4</v>
      </c>
      <c r="DC397" t="n">
        <v>34.7</v>
      </c>
      <c r="DD397" t="n">
        <v>33.2</v>
      </c>
      <c r="DE397" t="n">
        <v>45.4</v>
      </c>
      <c r="DF397" t="n">
        <v>29.2</v>
      </c>
      <c r="DG397" t="n">
        <v>37.7</v>
      </c>
      <c r="DH397" t="n">
        <v>46.5</v>
      </c>
      <c r="DI397" t="n">
        <v>56</v>
      </c>
      <c r="DJ397" t="n">
        <v>24.4</v>
      </c>
      <c r="DK397" t="n">
        <v>34.7</v>
      </c>
      <c r="DL397" t="n">
        <v>33.2</v>
      </c>
      <c r="DM397" t="n">
        <v>45.4</v>
      </c>
      <c r="DN397" t="n">
        <v>0</v>
      </c>
      <c r="DO397" t="n">
        <v>0</v>
      </c>
      <c r="DP397" t="n">
        <v>0</v>
      </c>
      <c r="DQ397" t="n">
        <v>0</v>
      </c>
      <c r="DR397" t="n">
        <v>0</v>
      </c>
      <c r="DS397" t="n">
        <v>0</v>
      </c>
      <c r="DT397" t="n">
        <v>0</v>
      </c>
      <c r="DU397" t="n">
        <v>0</v>
      </c>
      <c r="DV397" t="inlineStr">
        <is>
          <t>1000 Metric  Tonnes</t>
        </is>
      </c>
    </row>
    <row r="398">
      <c r="A398" t="inlineStr">
        <is>
          <t>PROPANE ARGUS SAUDI CP FP - ICE FUTURES ENERGY DIV</t>
        </is>
      </c>
      <c r="B398" t="n">
        <v>230103</v>
      </c>
      <c r="C398" s="1" t="n">
        <v>44929</v>
      </c>
      <c r="D398" t="inlineStr">
        <is>
          <t>06641H</t>
        </is>
      </c>
      <c r="E398" t="inlineStr">
        <is>
          <t>IFED</t>
        </is>
      </c>
      <c r="F398" t="inlineStr">
        <is>
          <t>01</t>
        </is>
      </c>
      <c r="G398" t="inlineStr">
        <is>
          <t xml:space="preserve">066 </t>
        </is>
      </c>
      <c r="H398" t="n">
        <v>2772</v>
      </c>
      <c r="I398" s="17" t="n">
        <v>453</v>
      </c>
      <c r="J398" s="17" t="n">
        <v>75</v>
      </c>
      <c r="K398" t="n">
        <v>278</v>
      </c>
      <c r="L398" t="n">
        <v>1273</v>
      </c>
      <c r="M398" t="n">
        <v>1830</v>
      </c>
      <c r="N398" t="n">
        <v>2004</v>
      </c>
      <c r="O398" t="n">
        <v>2183</v>
      </c>
      <c r="P398" t="n">
        <v>768</v>
      </c>
      <c r="Q398" t="n">
        <v>589</v>
      </c>
      <c r="R398" t="n">
        <v>2772</v>
      </c>
      <c r="S398" t="n">
        <v>453</v>
      </c>
      <c r="T398" t="n">
        <v>75</v>
      </c>
      <c r="U398" t="n">
        <v>278</v>
      </c>
      <c r="V398" t="n">
        <v>1273</v>
      </c>
      <c r="W398" t="n">
        <v>1830</v>
      </c>
      <c r="X398" t="n">
        <v>2004</v>
      </c>
      <c r="Y398" t="n">
        <v>2183</v>
      </c>
      <c r="Z398" t="n">
        <v>768</v>
      </c>
      <c r="AA398" t="n">
        <v>589</v>
      </c>
      <c r="AB398" t="n">
        <v>0</v>
      </c>
      <c r="AC398" t="n">
        <v>0</v>
      </c>
      <c r="AD398" t="n">
        <v>0</v>
      </c>
      <c r="AE398" t="n">
        <v>0</v>
      </c>
      <c r="AF398" t="n">
        <v>0</v>
      </c>
      <c r="AG398" t="n">
        <v>0</v>
      </c>
      <c r="AH398" t="n">
        <v>0</v>
      </c>
      <c r="AI398" t="n">
        <v>0</v>
      </c>
      <c r="AJ398" t="n">
        <v>0</v>
      </c>
      <c r="AK398" t="n">
        <v>0</v>
      </c>
      <c r="AL398" t="n">
        <v>95</v>
      </c>
      <c r="AM398" t="n">
        <v>-7</v>
      </c>
      <c r="AN398" t="n">
        <v>-5</v>
      </c>
      <c r="AO398" t="n">
        <v>49</v>
      </c>
      <c r="AP398" t="n">
        <v>94</v>
      </c>
      <c r="AQ398" t="n">
        <v>-84</v>
      </c>
      <c r="AR398" t="n">
        <v>136</v>
      </c>
      <c r="AS398" t="n">
        <v>-40</v>
      </c>
      <c r="AT398" t="n">
        <v>-41</v>
      </c>
      <c r="AU398" t="n">
        <v>135</v>
      </c>
      <c r="AV398" t="n">
        <v>100</v>
      </c>
      <c r="AW398" t="n">
        <v>16.3</v>
      </c>
      <c r="AX398" t="n">
        <v>2.7</v>
      </c>
      <c r="AY398" t="n">
        <v>10</v>
      </c>
      <c r="AZ398" t="n">
        <v>45.9</v>
      </c>
      <c r="BA398" t="n">
        <v>66</v>
      </c>
      <c r="BB398" t="n">
        <v>72.3</v>
      </c>
      <c r="BC398" t="n">
        <v>78.8</v>
      </c>
      <c r="BD398" t="n">
        <v>27.7</v>
      </c>
      <c r="BE398" t="n">
        <v>21.2</v>
      </c>
      <c r="BF398" t="n">
        <v>100</v>
      </c>
      <c r="BG398" t="n">
        <v>16.3</v>
      </c>
      <c r="BH398" t="n">
        <v>2.7</v>
      </c>
      <c r="BI398" t="n">
        <v>10</v>
      </c>
      <c r="BJ398" t="n">
        <v>45.9</v>
      </c>
      <c r="BK398" t="n">
        <v>66</v>
      </c>
      <c r="BL398" t="n">
        <v>72.3</v>
      </c>
      <c r="BM398" t="n">
        <v>78.8</v>
      </c>
      <c r="BN398" t="n">
        <v>27.7</v>
      </c>
      <c r="BO398" t="n">
        <v>21.2</v>
      </c>
      <c r="BP398" t="n">
        <v>0</v>
      </c>
      <c r="BQ398" t="n">
        <v>0</v>
      </c>
      <c r="BR398" t="n">
        <v>0</v>
      </c>
      <c r="BS398" t="n">
        <v>0</v>
      </c>
      <c r="BT398" t="n">
        <v>0</v>
      </c>
      <c r="BU398" t="n">
        <v>0</v>
      </c>
      <c r="BV398" t="n">
        <v>0</v>
      </c>
      <c r="BW398" t="n">
        <v>0</v>
      </c>
      <c r="BX398" t="n">
        <v>0</v>
      </c>
      <c r="BY398" t="n">
        <v>0</v>
      </c>
      <c r="BZ398" t="n">
        <v>29</v>
      </c>
      <c r="CA398" t="n">
        <v>7</v>
      </c>
      <c r="CB398" t="n">
        <v>3</v>
      </c>
      <c r="CC398" t="n">
        <v>5</v>
      </c>
      <c r="CD398" t="n">
        <v>17</v>
      </c>
      <c r="CE398" t="n">
        <v>18</v>
      </c>
      <c r="CF398" t="n">
        <v>26</v>
      </c>
      <c r="CG398" t="n">
        <v>24</v>
      </c>
      <c r="CH398" t="n">
        <v>29</v>
      </c>
      <c r="CI398" t="n">
        <v>7</v>
      </c>
      <c r="CJ398" t="n">
        <v>3</v>
      </c>
      <c r="CK398" t="n">
        <v>5</v>
      </c>
      <c r="CL398" t="n">
        <v>17</v>
      </c>
      <c r="CM398" t="n">
        <v>18</v>
      </c>
      <c r="CN398" t="n">
        <v>26</v>
      </c>
      <c r="CO398" t="n">
        <v>24</v>
      </c>
      <c r="CP398" t="n">
        <v>0</v>
      </c>
      <c r="CQ398" t="n">
        <v>0</v>
      </c>
      <c r="CR398" t="n">
        <v>0</v>
      </c>
      <c r="CS398" t="n">
        <v>0</v>
      </c>
      <c r="CT398" t="n">
        <v>0</v>
      </c>
      <c r="CU398" t="n">
        <v>0</v>
      </c>
      <c r="CV398" t="n">
        <v>0</v>
      </c>
      <c r="CW398" t="n">
        <v>0</v>
      </c>
      <c r="CX398" t="n">
        <v>32.1</v>
      </c>
      <c r="CY398" t="n">
        <v>35.2</v>
      </c>
      <c r="CZ398" t="n">
        <v>47</v>
      </c>
      <c r="DA398" t="n">
        <v>50.9</v>
      </c>
      <c r="DB398" t="n">
        <v>24.4</v>
      </c>
      <c r="DC398" t="n">
        <v>31.6</v>
      </c>
      <c r="DD398" t="n">
        <v>32.7</v>
      </c>
      <c r="DE398" t="n">
        <v>41.3</v>
      </c>
      <c r="DF398" t="n">
        <v>32.1</v>
      </c>
      <c r="DG398" t="n">
        <v>35.2</v>
      </c>
      <c r="DH398" t="n">
        <v>47</v>
      </c>
      <c r="DI398" t="n">
        <v>50.9</v>
      </c>
      <c r="DJ398" t="n">
        <v>24.4</v>
      </c>
      <c r="DK398" t="n">
        <v>31.6</v>
      </c>
      <c r="DL398" t="n">
        <v>32.7</v>
      </c>
      <c r="DM398" t="n">
        <v>41.3</v>
      </c>
      <c r="DN398" t="n">
        <v>0</v>
      </c>
      <c r="DO398" t="n">
        <v>0</v>
      </c>
      <c r="DP398" t="n">
        <v>0</v>
      </c>
      <c r="DQ398" t="n">
        <v>0</v>
      </c>
      <c r="DR398" t="n">
        <v>0</v>
      </c>
      <c r="DS398" t="n">
        <v>0</v>
      </c>
      <c r="DT398" t="n">
        <v>0</v>
      </c>
      <c r="DU398" t="n">
        <v>0</v>
      </c>
      <c r="DV398" t="inlineStr">
        <is>
          <t>1000 Metric  Tonnes</t>
        </is>
      </c>
    </row>
    <row r="399">
      <c r="A399" t="inlineStr">
        <is>
          <t>ARGUS PROPANE FAR EAST INDEX - NEW YORK MERCANTILE EXCHANGE</t>
        </is>
      </c>
      <c r="B399" t="n">
        <v>230110</v>
      </c>
      <c r="C399" s="1" t="n">
        <v>44936</v>
      </c>
      <c r="D399" t="inlineStr">
        <is>
          <t>06665B</t>
        </is>
      </c>
      <c r="E399" t="inlineStr">
        <is>
          <t>NYME</t>
        </is>
      </c>
      <c r="F399" t="inlineStr">
        <is>
          <t>01</t>
        </is>
      </c>
      <c r="G399" t="inlineStr">
        <is>
          <t xml:space="preserve">066 </t>
        </is>
      </c>
      <c r="H399" t="n">
        <v>5239</v>
      </c>
      <c r="I399" s="17" t="n">
        <v>259</v>
      </c>
      <c r="J399" s="17" t="n">
        <v>232</v>
      </c>
      <c r="K399" t="n">
        <v>346</v>
      </c>
      <c r="L399" t="n">
        <v>3726</v>
      </c>
      <c r="M399" t="n">
        <v>4006</v>
      </c>
      <c r="N399" t="n">
        <v>4331</v>
      </c>
      <c r="O399" t="n">
        <v>4584</v>
      </c>
      <c r="P399" t="n">
        <v>908</v>
      </c>
      <c r="Q399" t="n">
        <v>655</v>
      </c>
      <c r="R399" t="n">
        <v>5239</v>
      </c>
      <c r="S399" t="n">
        <v>259</v>
      </c>
      <c r="T399" t="n">
        <v>232</v>
      </c>
      <c r="U399" t="n">
        <v>346</v>
      </c>
      <c r="V399" t="n">
        <v>3726</v>
      </c>
      <c r="W399" t="n">
        <v>4006</v>
      </c>
      <c r="X399" t="n">
        <v>4331</v>
      </c>
      <c r="Y399" t="n">
        <v>4584</v>
      </c>
      <c r="Z399" t="n">
        <v>908</v>
      </c>
      <c r="AA399" t="n">
        <v>655</v>
      </c>
      <c r="AB399" t="n">
        <v>0</v>
      </c>
      <c r="AC399" t="n">
        <v>0</v>
      </c>
      <c r="AD399" t="n">
        <v>0</v>
      </c>
      <c r="AE399" t="n">
        <v>0</v>
      </c>
      <c r="AF399" t="n">
        <v>0</v>
      </c>
      <c r="AG399" t="n">
        <v>0</v>
      </c>
      <c r="AH399" t="n">
        <v>0</v>
      </c>
      <c r="AI399" t="n">
        <v>0</v>
      </c>
      <c r="AJ399" t="n">
        <v>0</v>
      </c>
      <c r="AK399" t="n">
        <v>0</v>
      </c>
      <c r="AL399" t="n">
        <v>475</v>
      </c>
      <c r="AM399" t="n">
        <v>3</v>
      </c>
      <c r="AN399" t="n">
        <v>37</v>
      </c>
      <c r="AO399" t="n">
        <v>36</v>
      </c>
      <c r="AP399" t="n">
        <v>296</v>
      </c>
      <c r="AQ399" t="n">
        <v>403</v>
      </c>
      <c r="AR399" t="n">
        <v>335</v>
      </c>
      <c r="AS399" t="n">
        <v>476</v>
      </c>
      <c r="AT399" t="n">
        <v>140</v>
      </c>
      <c r="AU399" t="n">
        <v>-1</v>
      </c>
      <c r="AV399" t="n">
        <v>100</v>
      </c>
      <c r="AW399" t="n">
        <v>4.9</v>
      </c>
      <c r="AX399" t="n">
        <v>4.4</v>
      </c>
      <c r="AY399" t="n">
        <v>6.6</v>
      </c>
      <c r="AZ399" t="n">
        <v>71.09999999999999</v>
      </c>
      <c r="BA399" t="n">
        <v>76.5</v>
      </c>
      <c r="BB399" t="n">
        <v>82.7</v>
      </c>
      <c r="BC399" t="n">
        <v>87.5</v>
      </c>
      <c r="BD399" t="n">
        <v>17.3</v>
      </c>
      <c r="BE399" t="n">
        <v>12.5</v>
      </c>
      <c r="BF399" t="n">
        <v>100</v>
      </c>
      <c r="BG399" t="n">
        <v>4.9</v>
      </c>
      <c r="BH399" t="n">
        <v>4.4</v>
      </c>
      <c r="BI399" t="n">
        <v>6.6</v>
      </c>
      <c r="BJ399" t="n">
        <v>71.09999999999999</v>
      </c>
      <c r="BK399" t="n">
        <v>76.5</v>
      </c>
      <c r="BL399" t="n">
        <v>82.7</v>
      </c>
      <c r="BM399" t="n">
        <v>87.5</v>
      </c>
      <c r="BN399" t="n">
        <v>17.3</v>
      </c>
      <c r="BO399" t="n">
        <v>12.5</v>
      </c>
      <c r="BP399" t="n">
        <v>0</v>
      </c>
      <c r="BQ399" t="n">
        <v>0</v>
      </c>
      <c r="BR399" t="n">
        <v>0</v>
      </c>
      <c r="BS399" t="n">
        <v>0</v>
      </c>
      <c r="BT399" t="n">
        <v>0</v>
      </c>
      <c r="BU399" t="n">
        <v>0</v>
      </c>
      <c r="BV399" t="n">
        <v>0</v>
      </c>
      <c r="BW399" t="n">
        <v>0</v>
      </c>
      <c r="BX399" t="n">
        <v>0</v>
      </c>
      <c r="BY399" t="n">
        <v>0</v>
      </c>
      <c r="BZ399" t="n">
        <v>37</v>
      </c>
      <c r="CA399" t="n">
        <v>4</v>
      </c>
      <c r="CB399" t="n">
        <v>2</v>
      </c>
      <c r="CC399" t="n">
        <v>6</v>
      </c>
      <c r="CD399" t="n">
        <v>25</v>
      </c>
      <c r="CE399" t="n">
        <v>30</v>
      </c>
      <c r="CF399" t="n">
        <v>32</v>
      </c>
      <c r="CG399" t="n">
        <v>36</v>
      </c>
      <c r="CH399" t="n">
        <v>37</v>
      </c>
      <c r="CI399" t="n">
        <v>4</v>
      </c>
      <c r="CJ399" t="n">
        <v>2</v>
      </c>
      <c r="CK399" t="n">
        <v>6</v>
      </c>
      <c r="CL399" t="n">
        <v>25</v>
      </c>
      <c r="CM399" t="n">
        <v>30</v>
      </c>
      <c r="CN399" t="n">
        <v>32</v>
      </c>
      <c r="CO399" t="n">
        <v>36</v>
      </c>
      <c r="CP399" t="n">
        <v>0</v>
      </c>
      <c r="CQ399" t="n">
        <v>0</v>
      </c>
      <c r="CR399" t="n">
        <v>0</v>
      </c>
      <c r="CS399" t="n">
        <v>0</v>
      </c>
      <c r="CT399" t="n">
        <v>0</v>
      </c>
      <c r="CU399" t="n">
        <v>0</v>
      </c>
      <c r="CV399" t="n">
        <v>0</v>
      </c>
      <c r="CW399" t="n">
        <v>0</v>
      </c>
      <c r="CX399" t="n">
        <v>29.8</v>
      </c>
      <c r="CY399" t="n">
        <v>31</v>
      </c>
      <c r="CZ399" t="n">
        <v>46.4</v>
      </c>
      <c r="DA399" t="n">
        <v>47.3</v>
      </c>
      <c r="DB399" t="n">
        <v>25.2</v>
      </c>
      <c r="DC399" t="n">
        <v>23.7</v>
      </c>
      <c r="DD399" t="n">
        <v>31.1</v>
      </c>
      <c r="DE399" t="n">
        <v>31.9</v>
      </c>
      <c r="DF399" t="n">
        <v>29.8</v>
      </c>
      <c r="DG399" t="n">
        <v>31</v>
      </c>
      <c r="DH399" t="n">
        <v>46.4</v>
      </c>
      <c r="DI399" t="n">
        <v>47.3</v>
      </c>
      <c r="DJ399" t="n">
        <v>25.2</v>
      </c>
      <c r="DK399" t="n">
        <v>23.7</v>
      </c>
      <c r="DL399" t="n">
        <v>31.1</v>
      </c>
      <c r="DM399" t="n">
        <v>31.9</v>
      </c>
      <c r="DN399" t="n">
        <v>0</v>
      </c>
      <c r="DO399" t="n">
        <v>0</v>
      </c>
      <c r="DP399" t="n">
        <v>0</v>
      </c>
      <c r="DQ399" t="n">
        <v>0</v>
      </c>
      <c r="DR399" t="n">
        <v>0</v>
      </c>
      <c r="DS399" t="n">
        <v>0</v>
      </c>
      <c r="DT399" t="n">
        <v>0</v>
      </c>
      <c r="DU399" t="n">
        <v>0</v>
      </c>
      <c r="DV399" t="inlineStr">
        <is>
          <t>(CONTRACTS OF 1,000 METRIC TONS)</t>
        </is>
      </c>
    </row>
    <row r="400">
      <c r="A400" t="inlineStr">
        <is>
          <t>ARGUS PROPANE FAR EAST INDEX - NEW YORK MERCANTILE EXCHANGE</t>
        </is>
      </c>
      <c r="B400" t="n">
        <v>230103</v>
      </c>
      <c r="C400" s="1" t="n">
        <v>44929</v>
      </c>
      <c r="D400" t="inlineStr">
        <is>
          <t>06665B</t>
        </is>
      </c>
      <c r="E400" t="inlineStr">
        <is>
          <t>NYME</t>
        </is>
      </c>
      <c r="F400" t="inlineStr">
        <is>
          <t>01</t>
        </is>
      </c>
      <c r="G400" t="inlineStr">
        <is>
          <t xml:space="preserve">066 </t>
        </is>
      </c>
      <c r="H400" t="n">
        <v>4764</v>
      </c>
      <c r="I400" s="17" t="n">
        <v>256</v>
      </c>
      <c r="J400" s="17" t="n">
        <v>195</v>
      </c>
      <c r="K400" t="n">
        <v>310</v>
      </c>
      <c r="L400" t="n">
        <v>3430</v>
      </c>
      <c r="M400" t="n">
        <v>3603</v>
      </c>
      <c r="N400" t="n">
        <v>3996</v>
      </c>
      <c r="O400" t="n">
        <v>4108</v>
      </c>
      <c r="P400" t="n">
        <v>768</v>
      </c>
      <c r="Q400" t="n">
        <v>656</v>
      </c>
      <c r="R400" t="n">
        <v>4764</v>
      </c>
      <c r="S400" t="n">
        <v>256</v>
      </c>
      <c r="T400" t="n">
        <v>195</v>
      </c>
      <c r="U400" t="n">
        <v>310</v>
      </c>
      <c r="V400" t="n">
        <v>3430</v>
      </c>
      <c r="W400" t="n">
        <v>3603</v>
      </c>
      <c r="X400" t="n">
        <v>3996</v>
      </c>
      <c r="Y400" t="n">
        <v>4108</v>
      </c>
      <c r="Z400" t="n">
        <v>768</v>
      </c>
      <c r="AA400" t="n">
        <v>656</v>
      </c>
      <c r="AB400" t="n">
        <v>0</v>
      </c>
      <c r="AC400" t="n">
        <v>0</v>
      </c>
      <c r="AD400" t="n">
        <v>0</v>
      </c>
      <c r="AE400" t="n">
        <v>0</v>
      </c>
      <c r="AF400" t="n">
        <v>0</v>
      </c>
      <c r="AG400" t="n">
        <v>0</v>
      </c>
      <c r="AH400" t="n">
        <v>0</v>
      </c>
      <c r="AI400" t="n">
        <v>0</v>
      </c>
      <c r="AJ400" t="n">
        <v>0</v>
      </c>
      <c r="AK400" t="n">
        <v>0</v>
      </c>
      <c r="AL400" t="n">
        <v>-909</v>
      </c>
      <c r="AM400" t="n">
        <v>-55</v>
      </c>
      <c r="AN400" t="n">
        <v>-98</v>
      </c>
      <c r="AO400" t="n">
        <v>-35</v>
      </c>
      <c r="AP400" t="n">
        <v>-812</v>
      </c>
      <c r="AQ400" t="n">
        <v>-845</v>
      </c>
      <c r="AR400" t="n">
        <v>-902</v>
      </c>
      <c r="AS400" t="n">
        <v>-978</v>
      </c>
      <c r="AT400" t="n">
        <v>-7</v>
      </c>
      <c r="AU400" t="n">
        <v>69</v>
      </c>
      <c r="AV400" t="n">
        <v>100</v>
      </c>
      <c r="AW400" t="n">
        <v>5.4</v>
      </c>
      <c r="AX400" t="n">
        <v>4.1</v>
      </c>
      <c r="AY400" t="n">
        <v>6.5</v>
      </c>
      <c r="AZ400" t="n">
        <v>72</v>
      </c>
      <c r="BA400" t="n">
        <v>75.59999999999999</v>
      </c>
      <c r="BB400" t="n">
        <v>83.90000000000001</v>
      </c>
      <c r="BC400" t="n">
        <v>86.2</v>
      </c>
      <c r="BD400" t="n">
        <v>16.1</v>
      </c>
      <c r="BE400" t="n">
        <v>13.8</v>
      </c>
      <c r="BF400" t="n">
        <v>100</v>
      </c>
      <c r="BG400" t="n">
        <v>5.4</v>
      </c>
      <c r="BH400" t="n">
        <v>4.1</v>
      </c>
      <c r="BI400" t="n">
        <v>6.5</v>
      </c>
      <c r="BJ400" t="n">
        <v>72</v>
      </c>
      <c r="BK400" t="n">
        <v>75.59999999999999</v>
      </c>
      <c r="BL400" t="n">
        <v>83.90000000000001</v>
      </c>
      <c r="BM400" t="n">
        <v>86.2</v>
      </c>
      <c r="BN400" t="n">
        <v>16.1</v>
      </c>
      <c r="BO400" t="n">
        <v>13.8</v>
      </c>
      <c r="BP400" t="n">
        <v>0</v>
      </c>
      <c r="BQ400" t="n">
        <v>0</v>
      </c>
      <c r="BR400" t="n">
        <v>0</v>
      </c>
      <c r="BS400" t="n">
        <v>0</v>
      </c>
      <c r="BT400" t="n">
        <v>0</v>
      </c>
      <c r="BU400" t="n">
        <v>0</v>
      </c>
      <c r="BV400" t="n">
        <v>0</v>
      </c>
      <c r="BW400" t="n">
        <v>0</v>
      </c>
      <c r="BX400" t="n">
        <v>0</v>
      </c>
      <c r="BY400" t="n">
        <v>0</v>
      </c>
      <c r="BZ400" t="n">
        <v>35</v>
      </c>
      <c r="CA400" t="n">
        <v>4</v>
      </c>
      <c r="CB400" t="n">
        <v>2</v>
      </c>
      <c r="CC400" t="n">
        <v>5</v>
      </c>
      <c r="CD400" t="n">
        <v>25</v>
      </c>
      <c r="CE400" t="n">
        <v>28</v>
      </c>
      <c r="CF400" t="n">
        <v>31</v>
      </c>
      <c r="CG400" t="n">
        <v>33</v>
      </c>
      <c r="CH400" t="n">
        <v>35</v>
      </c>
      <c r="CI400" t="n">
        <v>4</v>
      </c>
      <c r="CJ400" t="n">
        <v>2</v>
      </c>
      <c r="CK400" t="n">
        <v>5</v>
      </c>
      <c r="CL400" t="n">
        <v>25</v>
      </c>
      <c r="CM400" t="n">
        <v>28</v>
      </c>
      <c r="CN400" t="n">
        <v>31</v>
      </c>
      <c r="CO400" t="n">
        <v>33</v>
      </c>
      <c r="CP400" t="n">
        <v>0</v>
      </c>
      <c r="CQ400" t="n">
        <v>0</v>
      </c>
      <c r="CR400" t="n">
        <v>0</v>
      </c>
      <c r="CS400" t="n">
        <v>0</v>
      </c>
      <c r="CT400" t="n">
        <v>0</v>
      </c>
      <c r="CU400" t="n">
        <v>0</v>
      </c>
      <c r="CV400" t="n">
        <v>0</v>
      </c>
      <c r="CW400" t="n">
        <v>0</v>
      </c>
      <c r="CX400" t="n">
        <v>31.2</v>
      </c>
      <c r="CY400" t="n">
        <v>33.9</v>
      </c>
      <c r="CZ400" t="n">
        <v>49</v>
      </c>
      <c r="DA400" t="n">
        <v>48</v>
      </c>
      <c r="DB400" t="n">
        <v>27</v>
      </c>
      <c r="DC400" t="n">
        <v>26.4</v>
      </c>
      <c r="DD400" t="n">
        <v>33.3</v>
      </c>
      <c r="DE400" t="n">
        <v>33.8</v>
      </c>
      <c r="DF400" t="n">
        <v>31.2</v>
      </c>
      <c r="DG400" t="n">
        <v>33.9</v>
      </c>
      <c r="DH400" t="n">
        <v>49</v>
      </c>
      <c r="DI400" t="n">
        <v>48</v>
      </c>
      <c r="DJ400" t="n">
        <v>27</v>
      </c>
      <c r="DK400" t="n">
        <v>26.4</v>
      </c>
      <c r="DL400" t="n">
        <v>33.3</v>
      </c>
      <c r="DM400" t="n">
        <v>33.8</v>
      </c>
      <c r="DN400" t="n">
        <v>0</v>
      </c>
      <c r="DO400" t="n">
        <v>0</v>
      </c>
      <c r="DP400" t="n">
        <v>0</v>
      </c>
      <c r="DQ400" t="n">
        <v>0</v>
      </c>
      <c r="DR400" t="n">
        <v>0</v>
      </c>
      <c r="DS400" t="n">
        <v>0</v>
      </c>
      <c r="DT400" t="n">
        <v>0</v>
      </c>
      <c r="DU400" t="n">
        <v>0</v>
      </c>
      <c r="DV400" t="inlineStr">
        <is>
          <t>(CONTRACTS OF 1,000 METRIC TONS)</t>
        </is>
      </c>
    </row>
    <row r="401">
      <c r="A401" t="inlineStr">
        <is>
          <t>PROPANE NON-LDH MT BEL - NEW YORK MERCANTILE EXCHANGE</t>
        </is>
      </c>
      <c r="B401" t="n">
        <v>230110</v>
      </c>
      <c r="C401" s="1" t="n">
        <v>44936</v>
      </c>
      <c r="D401" t="inlineStr">
        <is>
          <t>06665G</t>
        </is>
      </c>
      <c r="E401" t="inlineStr">
        <is>
          <t>NYME</t>
        </is>
      </c>
      <c r="F401" t="inlineStr">
        <is>
          <t>01</t>
        </is>
      </c>
      <c r="G401" t="inlineStr">
        <is>
          <t xml:space="preserve">066 </t>
        </is>
      </c>
      <c r="H401" t="n">
        <v>34028</v>
      </c>
      <c r="I401" s="17" t="n">
        <v>18143</v>
      </c>
      <c r="J401" s="17" t="n">
        <v>608</v>
      </c>
      <c r="K401" t="n">
        <v>526</v>
      </c>
      <c r="L401" t="n">
        <v>15209</v>
      </c>
      <c r="M401" t="n">
        <v>32627</v>
      </c>
      <c r="N401" t="n">
        <v>33878</v>
      </c>
      <c r="O401" t="n">
        <v>33761</v>
      </c>
      <c r="P401" t="n">
        <v>150</v>
      </c>
      <c r="Q401" t="n">
        <v>267</v>
      </c>
      <c r="R401" t="n">
        <v>34028</v>
      </c>
      <c r="S401" t="n">
        <v>18143</v>
      </c>
      <c r="T401" t="n">
        <v>608</v>
      </c>
      <c r="U401" t="n">
        <v>526</v>
      </c>
      <c r="V401" t="n">
        <v>15209</v>
      </c>
      <c r="W401" t="n">
        <v>32627</v>
      </c>
      <c r="X401" t="n">
        <v>33878</v>
      </c>
      <c r="Y401" t="n">
        <v>33761</v>
      </c>
      <c r="Z401" t="n">
        <v>150</v>
      </c>
      <c r="AA401" t="n">
        <v>267</v>
      </c>
      <c r="AB401" t="n">
        <v>0</v>
      </c>
      <c r="AC401" t="n">
        <v>0</v>
      </c>
      <c r="AD401" t="n">
        <v>0</v>
      </c>
      <c r="AE401" t="n">
        <v>0</v>
      </c>
      <c r="AF401" t="n">
        <v>0</v>
      </c>
      <c r="AG401" t="n">
        <v>0</v>
      </c>
      <c r="AH401" t="n">
        <v>0</v>
      </c>
      <c r="AI401" t="n">
        <v>0</v>
      </c>
      <c r="AJ401" t="n">
        <v>0</v>
      </c>
      <c r="AK401" t="n">
        <v>0</v>
      </c>
      <c r="AL401" t="n">
        <v>2249</v>
      </c>
      <c r="AM401" t="n">
        <v>1038</v>
      </c>
      <c r="AN401" t="n">
        <v>-112</v>
      </c>
      <c r="AO401" t="n">
        <v>-95</v>
      </c>
      <c r="AP401" t="n">
        <v>1306</v>
      </c>
      <c r="AQ401" t="n">
        <v>2486</v>
      </c>
      <c r="AR401" t="n">
        <v>2249</v>
      </c>
      <c r="AS401" t="n">
        <v>2279</v>
      </c>
      <c r="AT401" t="n">
        <v>0</v>
      </c>
      <c r="AU401" t="n">
        <v>-30</v>
      </c>
      <c r="AV401" t="n">
        <v>100</v>
      </c>
      <c r="AW401" t="n">
        <v>53.3</v>
      </c>
      <c r="AX401" t="n">
        <v>1.8</v>
      </c>
      <c r="AY401" t="n">
        <v>1.5</v>
      </c>
      <c r="AZ401" t="n">
        <v>44.7</v>
      </c>
      <c r="BA401" t="n">
        <v>95.90000000000001</v>
      </c>
      <c r="BB401" t="n">
        <v>99.59999999999999</v>
      </c>
      <c r="BC401" t="n">
        <v>99.2</v>
      </c>
      <c r="BD401" t="n">
        <v>0.4</v>
      </c>
      <c r="BE401" t="n">
        <v>0.8</v>
      </c>
      <c r="BF401" t="n">
        <v>100</v>
      </c>
      <c r="BG401" t="n">
        <v>53.3</v>
      </c>
      <c r="BH401" t="n">
        <v>1.8</v>
      </c>
      <c r="BI401" t="n">
        <v>1.5</v>
      </c>
      <c r="BJ401" t="n">
        <v>44.7</v>
      </c>
      <c r="BK401" t="n">
        <v>95.90000000000001</v>
      </c>
      <c r="BL401" t="n">
        <v>99.59999999999999</v>
      </c>
      <c r="BM401" t="n">
        <v>99.2</v>
      </c>
      <c r="BN401" t="n">
        <v>0.4</v>
      </c>
      <c r="BO401" t="n">
        <v>0.8</v>
      </c>
      <c r="BP401" t="n">
        <v>0</v>
      </c>
      <c r="BQ401" t="n">
        <v>0</v>
      </c>
      <c r="BR401" t="n">
        <v>0</v>
      </c>
      <c r="BS401" t="n">
        <v>0</v>
      </c>
      <c r="BT401" t="n">
        <v>0</v>
      </c>
      <c r="BU401" t="n">
        <v>0</v>
      </c>
      <c r="BV401" t="n">
        <v>0</v>
      </c>
      <c r="BW401" t="n">
        <v>0</v>
      </c>
      <c r="BX401" t="n">
        <v>0</v>
      </c>
      <c r="BY401" t="n">
        <v>0</v>
      </c>
      <c r="BZ401" t="n">
        <v>58</v>
      </c>
      <c r="CA401" t="n">
        <v>5</v>
      </c>
      <c r="CB401" t="n">
        <v>2</v>
      </c>
      <c r="CC401" t="n">
        <v>2</v>
      </c>
      <c r="CD401" t="n">
        <v>33</v>
      </c>
      <c r="CE401" t="n">
        <v>38</v>
      </c>
      <c r="CF401" t="n">
        <v>39</v>
      </c>
      <c r="CG401" t="n">
        <v>41</v>
      </c>
      <c r="CH401" t="n">
        <v>58</v>
      </c>
      <c r="CI401" t="n">
        <v>5</v>
      </c>
      <c r="CJ401" t="n">
        <v>2</v>
      </c>
      <c r="CK401" t="n">
        <v>2</v>
      </c>
      <c r="CL401" t="n">
        <v>33</v>
      </c>
      <c r="CM401" t="n">
        <v>38</v>
      </c>
      <c r="CN401" t="n">
        <v>39</v>
      </c>
      <c r="CO401" t="n">
        <v>41</v>
      </c>
      <c r="CP401" t="n">
        <v>0</v>
      </c>
      <c r="CQ401" t="n">
        <v>0</v>
      </c>
      <c r="CR401" t="n">
        <v>0</v>
      </c>
      <c r="CS401" t="n">
        <v>0</v>
      </c>
      <c r="CT401" t="n">
        <v>0</v>
      </c>
      <c r="CU401" t="n">
        <v>0</v>
      </c>
      <c r="CV401" t="n">
        <v>0</v>
      </c>
      <c r="CW401" t="n">
        <v>0</v>
      </c>
      <c r="CX401" t="n">
        <v>68</v>
      </c>
      <c r="CY401" t="n">
        <v>39</v>
      </c>
      <c r="CZ401" t="n">
        <v>79.8</v>
      </c>
      <c r="DA401" t="n">
        <v>58.3</v>
      </c>
      <c r="DB401" t="n">
        <v>68</v>
      </c>
      <c r="DC401" t="n">
        <v>36.3</v>
      </c>
      <c r="DD401" t="n">
        <v>73.59999999999999</v>
      </c>
      <c r="DE401" t="n">
        <v>54.5</v>
      </c>
      <c r="DF401" t="n">
        <v>68</v>
      </c>
      <c r="DG401" t="n">
        <v>39</v>
      </c>
      <c r="DH401" t="n">
        <v>79.8</v>
      </c>
      <c r="DI401" t="n">
        <v>58.3</v>
      </c>
      <c r="DJ401" t="n">
        <v>68</v>
      </c>
      <c r="DK401" t="n">
        <v>36.3</v>
      </c>
      <c r="DL401" t="n">
        <v>73.59999999999999</v>
      </c>
      <c r="DM401" t="n">
        <v>54.5</v>
      </c>
      <c r="DN401" t="n">
        <v>0</v>
      </c>
      <c r="DO401" t="n">
        <v>0</v>
      </c>
      <c r="DP401" t="n">
        <v>0</v>
      </c>
      <c r="DQ401" t="n">
        <v>0</v>
      </c>
      <c r="DR401" t="n">
        <v>0</v>
      </c>
      <c r="DS401" t="n">
        <v>0</v>
      </c>
      <c r="DT401" t="n">
        <v>0</v>
      </c>
      <c r="DU401" t="n">
        <v>0</v>
      </c>
      <c r="DV401" t="inlineStr">
        <is>
          <t>(CONTRACTS OF 42,000 GALLONS)</t>
        </is>
      </c>
    </row>
    <row r="402">
      <c r="A402" t="inlineStr">
        <is>
          <t>PROPANE NON-LDH MT BEL - NEW YORK MERCANTILE EXCHANGE</t>
        </is>
      </c>
      <c r="B402" t="n">
        <v>230103</v>
      </c>
      <c r="C402" s="1" t="n">
        <v>44929</v>
      </c>
      <c r="D402" t="inlineStr">
        <is>
          <t>06665G</t>
        </is>
      </c>
      <c r="E402" t="inlineStr">
        <is>
          <t>NYME</t>
        </is>
      </c>
      <c r="F402" t="inlineStr">
        <is>
          <t>01</t>
        </is>
      </c>
      <c r="G402" t="inlineStr">
        <is>
          <t xml:space="preserve">066 </t>
        </is>
      </c>
      <c r="H402" t="n">
        <v>31779</v>
      </c>
      <c r="I402" s="17" t="n">
        <v>17105</v>
      </c>
      <c r="J402" s="17" t="n">
        <v>720</v>
      </c>
      <c r="K402" t="n">
        <v>621</v>
      </c>
      <c r="L402" t="n">
        <v>13903</v>
      </c>
      <c r="M402" t="n">
        <v>30141</v>
      </c>
      <c r="N402" t="n">
        <v>31629</v>
      </c>
      <c r="O402" t="n">
        <v>31482</v>
      </c>
      <c r="P402" t="n">
        <v>150</v>
      </c>
      <c r="Q402" t="n">
        <v>297</v>
      </c>
      <c r="R402" t="n">
        <v>31779</v>
      </c>
      <c r="S402" t="n">
        <v>17105</v>
      </c>
      <c r="T402" t="n">
        <v>720</v>
      </c>
      <c r="U402" t="n">
        <v>621</v>
      </c>
      <c r="V402" t="n">
        <v>13903</v>
      </c>
      <c r="W402" t="n">
        <v>30141</v>
      </c>
      <c r="X402" t="n">
        <v>31629</v>
      </c>
      <c r="Y402" t="n">
        <v>31482</v>
      </c>
      <c r="Z402" t="n">
        <v>150</v>
      </c>
      <c r="AA402" t="n">
        <v>297</v>
      </c>
      <c r="AB402" t="n">
        <v>0</v>
      </c>
      <c r="AC402" t="n">
        <v>0</v>
      </c>
      <c r="AD402" t="n">
        <v>0</v>
      </c>
      <c r="AE402" t="n">
        <v>0</v>
      </c>
      <c r="AF402" t="n">
        <v>0</v>
      </c>
      <c r="AG402" t="n">
        <v>0</v>
      </c>
      <c r="AH402" t="n">
        <v>0</v>
      </c>
      <c r="AI402" t="n">
        <v>0</v>
      </c>
      <c r="AJ402" t="n">
        <v>0</v>
      </c>
      <c r="AK402" t="n">
        <v>0</v>
      </c>
      <c r="AL402" t="n">
        <v>-7335</v>
      </c>
      <c r="AM402" t="n">
        <v>-2491</v>
      </c>
      <c r="AN402" t="n">
        <v>220</v>
      </c>
      <c r="AO402" t="n">
        <v>-163</v>
      </c>
      <c r="AP402" t="n">
        <v>-4740</v>
      </c>
      <c r="AQ402" t="n">
        <v>-7421</v>
      </c>
      <c r="AR402" t="n">
        <v>-7394</v>
      </c>
      <c r="AS402" t="n">
        <v>-7364</v>
      </c>
      <c r="AT402" t="n">
        <v>59</v>
      </c>
      <c r="AU402" t="n">
        <v>29</v>
      </c>
      <c r="AV402" t="n">
        <v>100</v>
      </c>
      <c r="AW402" t="n">
        <v>53.8</v>
      </c>
      <c r="AX402" t="n">
        <v>2.3</v>
      </c>
      <c r="AY402" t="n">
        <v>2</v>
      </c>
      <c r="AZ402" t="n">
        <v>43.7</v>
      </c>
      <c r="BA402" t="n">
        <v>94.8</v>
      </c>
      <c r="BB402" t="n">
        <v>99.5</v>
      </c>
      <c r="BC402" t="n">
        <v>99.09999999999999</v>
      </c>
      <c r="BD402" t="n">
        <v>0.5</v>
      </c>
      <c r="BE402" t="n">
        <v>0.9</v>
      </c>
      <c r="BF402" t="n">
        <v>100</v>
      </c>
      <c r="BG402" t="n">
        <v>53.8</v>
      </c>
      <c r="BH402" t="n">
        <v>2.3</v>
      </c>
      <c r="BI402" t="n">
        <v>2</v>
      </c>
      <c r="BJ402" t="n">
        <v>43.7</v>
      </c>
      <c r="BK402" t="n">
        <v>94.8</v>
      </c>
      <c r="BL402" t="n">
        <v>99.5</v>
      </c>
      <c r="BM402" t="n">
        <v>99.09999999999999</v>
      </c>
      <c r="BN402" t="n">
        <v>0.5</v>
      </c>
      <c r="BO402" t="n">
        <v>0.9</v>
      </c>
      <c r="BP402" t="n">
        <v>0</v>
      </c>
      <c r="BQ402" t="n">
        <v>0</v>
      </c>
      <c r="BR402" t="n">
        <v>0</v>
      </c>
      <c r="BS402" t="n">
        <v>0</v>
      </c>
      <c r="BT402" t="n">
        <v>0</v>
      </c>
      <c r="BU402" t="n">
        <v>0</v>
      </c>
      <c r="BV402" t="n">
        <v>0</v>
      </c>
      <c r="BW402" t="n">
        <v>0</v>
      </c>
      <c r="BX402" t="n">
        <v>0</v>
      </c>
      <c r="BY402" t="n">
        <v>0</v>
      </c>
      <c r="BZ402" t="n">
        <v>55</v>
      </c>
      <c r="CA402" t="n">
        <v>4</v>
      </c>
      <c r="CB402" t="n">
        <v>2</v>
      </c>
      <c r="CC402" t="n">
        <v>1</v>
      </c>
      <c r="CD402" t="n">
        <v>31</v>
      </c>
      <c r="CE402" t="n">
        <v>36</v>
      </c>
      <c r="CF402" t="n">
        <v>36</v>
      </c>
      <c r="CG402" t="n">
        <v>38</v>
      </c>
      <c r="CH402" t="n">
        <v>55</v>
      </c>
      <c r="CI402" t="n">
        <v>4</v>
      </c>
      <c r="CJ402" t="n">
        <v>2</v>
      </c>
      <c r="CK402" t="n">
        <v>1</v>
      </c>
      <c r="CL402" t="n">
        <v>31</v>
      </c>
      <c r="CM402" t="n">
        <v>36</v>
      </c>
      <c r="CN402" t="n">
        <v>36</v>
      </c>
      <c r="CO402" t="n">
        <v>38</v>
      </c>
      <c r="CP402" t="n">
        <v>0</v>
      </c>
      <c r="CQ402" t="n">
        <v>0</v>
      </c>
      <c r="CR402" t="n">
        <v>0</v>
      </c>
      <c r="CS402" t="n">
        <v>0</v>
      </c>
      <c r="CT402" t="n">
        <v>0</v>
      </c>
      <c r="CU402" t="n">
        <v>0</v>
      </c>
      <c r="CV402" t="n">
        <v>0</v>
      </c>
      <c r="CW402" t="n">
        <v>0</v>
      </c>
      <c r="CX402" t="n">
        <v>70</v>
      </c>
      <c r="CY402" t="n">
        <v>41.2</v>
      </c>
      <c r="CZ402" t="n">
        <v>81.8</v>
      </c>
      <c r="DA402" t="n">
        <v>60.6</v>
      </c>
      <c r="DB402" t="n">
        <v>70</v>
      </c>
      <c r="DC402" t="n">
        <v>38.8</v>
      </c>
      <c r="DD402" t="n">
        <v>77.3</v>
      </c>
      <c r="DE402" t="n">
        <v>57.5</v>
      </c>
      <c r="DF402" t="n">
        <v>70</v>
      </c>
      <c r="DG402" t="n">
        <v>41.2</v>
      </c>
      <c r="DH402" t="n">
        <v>81.8</v>
      </c>
      <c r="DI402" t="n">
        <v>60.6</v>
      </c>
      <c r="DJ402" t="n">
        <v>70</v>
      </c>
      <c r="DK402" t="n">
        <v>38.8</v>
      </c>
      <c r="DL402" t="n">
        <v>77.3</v>
      </c>
      <c r="DM402" t="n">
        <v>57.5</v>
      </c>
      <c r="DN402" t="n">
        <v>0</v>
      </c>
      <c r="DO402" t="n">
        <v>0</v>
      </c>
      <c r="DP402" t="n">
        <v>0</v>
      </c>
      <c r="DQ402" t="n">
        <v>0</v>
      </c>
      <c r="DR402" t="n">
        <v>0</v>
      </c>
      <c r="DS402" t="n">
        <v>0</v>
      </c>
      <c r="DT402" t="n">
        <v>0</v>
      </c>
      <c r="DU402" t="n">
        <v>0</v>
      </c>
      <c r="DV402" t="inlineStr">
        <is>
          <t>(CONTRACTS OF 42,000 GALLONS)</t>
        </is>
      </c>
    </row>
    <row r="403">
      <c r="A403" t="inlineStr">
        <is>
          <t>PROPANE - NEW YORK MERCANTILE EXCHANGE</t>
        </is>
      </c>
      <c r="B403" t="n">
        <v>230110</v>
      </c>
      <c r="C403" s="1" t="n">
        <v>44936</v>
      </c>
      <c r="D403" t="inlineStr">
        <is>
          <t>06665O</t>
        </is>
      </c>
      <c r="E403" t="inlineStr">
        <is>
          <t>NYME</t>
        </is>
      </c>
      <c r="F403" t="inlineStr">
        <is>
          <t>01</t>
        </is>
      </c>
      <c r="G403" t="inlineStr">
        <is>
          <t xml:space="preserve">066 </t>
        </is>
      </c>
      <c r="H403" t="n">
        <v>135320</v>
      </c>
      <c r="I403" s="17" t="n">
        <v>5151</v>
      </c>
      <c r="J403" s="17" t="n">
        <v>26911</v>
      </c>
      <c r="K403" t="n">
        <v>5329</v>
      </c>
      <c r="L403" t="n">
        <v>123613</v>
      </c>
      <c r="M403" t="n">
        <v>101383</v>
      </c>
      <c r="N403" t="n">
        <v>134093</v>
      </c>
      <c r="O403" t="n">
        <v>133623</v>
      </c>
      <c r="P403" t="n">
        <v>1227</v>
      </c>
      <c r="Q403" t="n">
        <v>1697</v>
      </c>
      <c r="R403" t="n">
        <v>135320</v>
      </c>
      <c r="S403" t="n">
        <v>5151</v>
      </c>
      <c r="T403" t="n">
        <v>26911</v>
      </c>
      <c r="U403" t="n">
        <v>5329</v>
      </c>
      <c r="V403" t="n">
        <v>123613</v>
      </c>
      <c r="W403" t="n">
        <v>101383</v>
      </c>
      <c r="X403" t="n">
        <v>134093</v>
      </c>
      <c r="Y403" t="n">
        <v>133623</v>
      </c>
      <c r="Z403" t="n">
        <v>1227</v>
      </c>
      <c r="AA403" t="n">
        <v>1697</v>
      </c>
      <c r="AB403" t="n">
        <v>0</v>
      </c>
      <c r="AC403" t="n">
        <v>0</v>
      </c>
      <c r="AD403" t="n">
        <v>0</v>
      </c>
      <c r="AE403" t="n">
        <v>0</v>
      </c>
      <c r="AF403" t="n">
        <v>0</v>
      </c>
      <c r="AG403" t="n">
        <v>0</v>
      </c>
      <c r="AH403" t="n">
        <v>0</v>
      </c>
      <c r="AI403" t="n">
        <v>0</v>
      </c>
      <c r="AJ403" t="n">
        <v>0</v>
      </c>
      <c r="AK403" t="n">
        <v>0</v>
      </c>
      <c r="AL403" t="n">
        <v>-10944</v>
      </c>
      <c r="AM403" t="n">
        <v>-541</v>
      </c>
      <c r="AN403" t="n">
        <v>-3206</v>
      </c>
      <c r="AO403" t="n">
        <v>-811</v>
      </c>
      <c r="AP403" t="n">
        <v>-9576</v>
      </c>
      <c r="AQ403" t="n">
        <v>-6325</v>
      </c>
      <c r="AR403" t="n">
        <v>-10928</v>
      </c>
      <c r="AS403" t="n">
        <v>-10342</v>
      </c>
      <c r="AT403" t="n">
        <v>-16</v>
      </c>
      <c r="AU403" t="n">
        <v>-602</v>
      </c>
      <c r="AV403" t="n">
        <v>100</v>
      </c>
      <c r="AW403" t="n">
        <v>3.8</v>
      </c>
      <c r="AX403" t="n">
        <v>19.9</v>
      </c>
      <c r="AY403" t="n">
        <v>3.9</v>
      </c>
      <c r="AZ403" t="n">
        <v>91.3</v>
      </c>
      <c r="BA403" t="n">
        <v>74.90000000000001</v>
      </c>
      <c r="BB403" t="n">
        <v>99.09999999999999</v>
      </c>
      <c r="BC403" t="n">
        <v>98.7</v>
      </c>
      <c r="BD403" t="n">
        <v>0.9</v>
      </c>
      <c r="BE403" t="n">
        <v>1.3</v>
      </c>
      <c r="BF403" t="n">
        <v>100</v>
      </c>
      <c r="BG403" t="n">
        <v>3.8</v>
      </c>
      <c r="BH403" t="n">
        <v>19.9</v>
      </c>
      <c r="BI403" t="n">
        <v>3.9</v>
      </c>
      <c r="BJ403" t="n">
        <v>91.3</v>
      </c>
      <c r="BK403" t="n">
        <v>74.90000000000001</v>
      </c>
      <c r="BL403" t="n">
        <v>99.09999999999999</v>
      </c>
      <c r="BM403" t="n">
        <v>98.7</v>
      </c>
      <c r="BN403" t="n">
        <v>0.9</v>
      </c>
      <c r="BO403" t="n">
        <v>1.3</v>
      </c>
      <c r="BP403" t="n">
        <v>0</v>
      </c>
      <c r="BQ403" t="n">
        <v>0</v>
      </c>
      <c r="BR403" t="n">
        <v>0</v>
      </c>
      <c r="BS403" t="n">
        <v>0</v>
      </c>
      <c r="BT403" t="n">
        <v>0</v>
      </c>
      <c r="BU403" t="n">
        <v>0</v>
      </c>
      <c r="BV403" t="n">
        <v>0</v>
      </c>
      <c r="BW403" t="n">
        <v>0</v>
      </c>
      <c r="BX403" t="n">
        <v>0</v>
      </c>
      <c r="BY403" t="n">
        <v>0</v>
      </c>
      <c r="BZ403" t="n">
        <v>142</v>
      </c>
      <c r="CA403" t="n">
        <v>15</v>
      </c>
      <c r="CB403" t="n">
        <v>26</v>
      </c>
      <c r="CC403" t="n">
        <v>15</v>
      </c>
      <c r="CD403" t="n">
        <v>92</v>
      </c>
      <c r="CE403" t="n">
        <v>76</v>
      </c>
      <c r="CF403" t="n">
        <v>114</v>
      </c>
      <c r="CG403" t="n">
        <v>111</v>
      </c>
      <c r="CH403" t="n">
        <v>142</v>
      </c>
      <c r="CI403" t="n">
        <v>15</v>
      </c>
      <c r="CJ403" t="n">
        <v>26</v>
      </c>
      <c r="CK403" t="n">
        <v>15</v>
      </c>
      <c r="CL403" t="n">
        <v>92</v>
      </c>
      <c r="CM403" t="n">
        <v>76</v>
      </c>
      <c r="CN403" t="n">
        <v>114</v>
      </c>
      <c r="CO403" t="n">
        <v>111</v>
      </c>
      <c r="CP403" t="n">
        <v>0</v>
      </c>
      <c r="CQ403" t="n">
        <v>0</v>
      </c>
      <c r="CR403" t="n">
        <v>0</v>
      </c>
      <c r="CS403" t="n">
        <v>0</v>
      </c>
      <c r="CT403" t="n">
        <v>0</v>
      </c>
      <c r="CU403" t="n">
        <v>0</v>
      </c>
      <c r="CV403" t="n">
        <v>0</v>
      </c>
      <c r="CW403" t="n">
        <v>0</v>
      </c>
      <c r="CX403" t="n">
        <v>24.8</v>
      </c>
      <c r="CY403" t="n">
        <v>31.5</v>
      </c>
      <c r="CZ403" t="n">
        <v>38.7</v>
      </c>
      <c r="DA403" t="n">
        <v>47.4</v>
      </c>
      <c r="DB403" t="n">
        <v>19.9</v>
      </c>
      <c r="DC403" t="n">
        <v>27.8</v>
      </c>
      <c r="DD403" t="n">
        <v>30</v>
      </c>
      <c r="DE403" t="n">
        <v>37.5</v>
      </c>
      <c r="DF403" t="n">
        <v>24.8</v>
      </c>
      <c r="DG403" t="n">
        <v>31.5</v>
      </c>
      <c r="DH403" t="n">
        <v>38.7</v>
      </c>
      <c r="DI403" t="n">
        <v>47.4</v>
      </c>
      <c r="DJ403" t="n">
        <v>19.9</v>
      </c>
      <c r="DK403" t="n">
        <v>27.8</v>
      </c>
      <c r="DL403" t="n">
        <v>30</v>
      </c>
      <c r="DM403" t="n">
        <v>37.5</v>
      </c>
      <c r="DN403" t="n">
        <v>0</v>
      </c>
      <c r="DO403" t="n">
        <v>0</v>
      </c>
      <c r="DP403" t="n">
        <v>0</v>
      </c>
      <c r="DQ403" t="n">
        <v>0</v>
      </c>
      <c r="DR403" t="n">
        <v>0</v>
      </c>
      <c r="DS403" t="n">
        <v>0</v>
      </c>
      <c r="DT403" t="n">
        <v>0</v>
      </c>
      <c r="DU403" t="n">
        <v>0</v>
      </c>
      <c r="DV403" t="inlineStr">
        <is>
          <t>(CONTRACTS OF 42,000 GALLONS)</t>
        </is>
      </c>
    </row>
    <row r="404">
      <c r="A404" t="inlineStr">
        <is>
          <t>PROPANE - NEW YORK MERCANTILE EXCHANGE</t>
        </is>
      </c>
      <c r="B404" t="n">
        <v>230103</v>
      </c>
      <c r="C404" s="1" t="n">
        <v>44929</v>
      </c>
      <c r="D404" t="inlineStr">
        <is>
          <t>06665O</t>
        </is>
      </c>
      <c r="E404" t="inlineStr">
        <is>
          <t>NYME</t>
        </is>
      </c>
      <c r="F404" t="inlineStr">
        <is>
          <t>01</t>
        </is>
      </c>
      <c r="G404" t="inlineStr">
        <is>
          <t xml:space="preserve">066 </t>
        </is>
      </c>
      <c r="H404" t="n">
        <v>146264</v>
      </c>
      <c r="I404" s="17" t="n">
        <v>5692</v>
      </c>
      <c r="J404" s="17" t="n">
        <v>30117</v>
      </c>
      <c r="K404" t="n">
        <v>6140</v>
      </c>
      <c r="L404" t="n">
        <v>133189</v>
      </c>
      <c r="M404" t="n">
        <v>107708</v>
      </c>
      <c r="N404" t="n">
        <v>145021</v>
      </c>
      <c r="O404" t="n">
        <v>143965</v>
      </c>
      <c r="P404" t="n">
        <v>1243</v>
      </c>
      <c r="Q404" t="n">
        <v>2299</v>
      </c>
      <c r="R404" t="n">
        <v>146264</v>
      </c>
      <c r="S404" t="n">
        <v>5692</v>
      </c>
      <c r="T404" t="n">
        <v>30117</v>
      </c>
      <c r="U404" t="n">
        <v>6140</v>
      </c>
      <c r="V404" t="n">
        <v>133189</v>
      </c>
      <c r="W404" t="n">
        <v>107708</v>
      </c>
      <c r="X404" t="n">
        <v>145021</v>
      </c>
      <c r="Y404" t="n">
        <v>143965</v>
      </c>
      <c r="Z404" t="n">
        <v>1243</v>
      </c>
      <c r="AA404" t="n">
        <v>2299</v>
      </c>
      <c r="AB404" t="n">
        <v>0</v>
      </c>
      <c r="AC404" t="n">
        <v>0</v>
      </c>
      <c r="AD404" t="n">
        <v>0</v>
      </c>
      <c r="AE404" t="n">
        <v>0</v>
      </c>
      <c r="AF404" t="n">
        <v>0</v>
      </c>
      <c r="AG404" t="n">
        <v>0</v>
      </c>
      <c r="AH404" t="n">
        <v>0</v>
      </c>
      <c r="AI404" t="n">
        <v>0</v>
      </c>
      <c r="AJ404" t="n">
        <v>0</v>
      </c>
      <c r="AK404" t="n">
        <v>0</v>
      </c>
      <c r="AL404" t="n">
        <v>2011</v>
      </c>
      <c r="AM404" t="n">
        <v>28</v>
      </c>
      <c r="AN404" t="n">
        <v>629</v>
      </c>
      <c r="AO404" t="n">
        <v>258</v>
      </c>
      <c r="AP404" t="n">
        <v>1727</v>
      </c>
      <c r="AQ404" t="n">
        <v>631</v>
      </c>
      <c r="AR404" t="n">
        <v>2013</v>
      </c>
      <c r="AS404" t="n">
        <v>1518</v>
      </c>
      <c r="AT404" t="n">
        <v>-2</v>
      </c>
      <c r="AU404" t="n">
        <v>493</v>
      </c>
      <c r="AV404" t="n">
        <v>100</v>
      </c>
      <c r="AW404" t="n">
        <v>3.9</v>
      </c>
      <c r="AX404" t="n">
        <v>20.6</v>
      </c>
      <c r="AY404" t="n">
        <v>4.2</v>
      </c>
      <c r="AZ404" t="n">
        <v>91.09999999999999</v>
      </c>
      <c r="BA404" t="n">
        <v>73.59999999999999</v>
      </c>
      <c r="BB404" t="n">
        <v>99.2</v>
      </c>
      <c r="BC404" t="n">
        <v>98.40000000000001</v>
      </c>
      <c r="BD404" t="n">
        <v>0.8</v>
      </c>
      <c r="BE404" t="n">
        <v>1.6</v>
      </c>
      <c r="BF404" t="n">
        <v>100</v>
      </c>
      <c r="BG404" t="n">
        <v>3.9</v>
      </c>
      <c r="BH404" t="n">
        <v>20.6</v>
      </c>
      <c r="BI404" t="n">
        <v>4.2</v>
      </c>
      <c r="BJ404" t="n">
        <v>91.09999999999999</v>
      </c>
      <c r="BK404" t="n">
        <v>73.59999999999999</v>
      </c>
      <c r="BL404" t="n">
        <v>99.2</v>
      </c>
      <c r="BM404" t="n">
        <v>98.40000000000001</v>
      </c>
      <c r="BN404" t="n">
        <v>0.8</v>
      </c>
      <c r="BO404" t="n">
        <v>1.6</v>
      </c>
      <c r="BP404" t="n">
        <v>0</v>
      </c>
      <c r="BQ404" t="n">
        <v>0</v>
      </c>
      <c r="BR404" t="n">
        <v>0</v>
      </c>
      <c r="BS404" t="n">
        <v>0</v>
      </c>
      <c r="BT404" t="n">
        <v>0</v>
      </c>
      <c r="BU404" t="n">
        <v>0</v>
      </c>
      <c r="BV404" t="n">
        <v>0</v>
      </c>
      <c r="BW404" t="n">
        <v>0</v>
      </c>
      <c r="BX404" t="n">
        <v>0</v>
      </c>
      <c r="BY404" t="n">
        <v>0</v>
      </c>
      <c r="BZ404" t="n">
        <v>148</v>
      </c>
      <c r="CA404" t="n">
        <v>17</v>
      </c>
      <c r="CB404" t="n">
        <v>26</v>
      </c>
      <c r="CC404" t="n">
        <v>18</v>
      </c>
      <c r="CD404" t="n">
        <v>96</v>
      </c>
      <c r="CE404" t="n">
        <v>78</v>
      </c>
      <c r="CF404" t="n">
        <v>120</v>
      </c>
      <c r="CG404" t="n">
        <v>116</v>
      </c>
      <c r="CH404" t="n">
        <v>148</v>
      </c>
      <c r="CI404" t="n">
        <v>17</v>
      </c>
      <c r="CJ404" t="n">
        <v>26</v>
      </c>
      <c r="CK404" t="n">
        <v>18</v>
      </c>
      <c r="CL404" t="n">
        <v>96</v>
      </c>
      <c r="CM404" t="n">
        <v>78</v>
      </c>
      <c r="CN404" t="n">
        <v>120</v>
      </c>
      <c r="CO404" t="n">
        <v>116</v>
      </c>
      <c r="CP404" t="n">
        <v>0</v>
      </c>
      <c r="CQ404" t="n">
        <v>0</v>
      </c>
      <c r="CR404" t="n">
        <v>0</v>
      </c>
      <c r="CS404" t="n">
        <v>0</v>
      </c>
      <c r="CT404" t="n">
        <v>0</v>
      </c>
      <c r="CU404" t="n">
        <v>0</v>
      </c>
      <c r="CV404" t="n">
        <v>0</v>
      </c>
      <c r="CW404" t="n">
        <v>0</v>
      </c>
      <c r="CX404" t="n">
        <v>24.7</v>
      </c>
      <c r="CY404" t="n">
        <v>31.6</v>
      </c>
      <c r="CZ404" t="n">
        <v>38.1</v>
      </c>
      <c r="DA404" t="n">
        <v>46.3</v>
      </c>
      <c r="DB404" t="n">
        <v>20.2</v>
      </c>
      <c r="DC404" t="n">
        <v>27.2</v>
      </c>
      <c r="DD404" t="n">
        <v>30.4</v>
      </c>
      <c r="DE404" t="n">
        <v>37.3</v>
      </c>
      <c r="DF404" t="n">
        <v>24.7</v>
      </c>
      <c r="DG404" t="n">
        <v>31.6</v>
      </c>
      <c r="DH404" t="n">
        <v>38.1</v>
      </c>
      <c r="DI404" t="n">
        <v>46.3</v>
      </c>
      <c r="DJ404" t="n">
        <v>20.2</v>
      </c>
      <c r="DK404" t="n">
        <v>27.2</v>
      </c>
      <c r="DL404" t="n">
        <v>30.4</v>
      </c>
      <c r="DM404" t="n">
        <v>37.3</v>
      </c>
      <c r="DN404" t="n">
        <v>0</v>
      </c>
      <c r="DO404" t="n">
        <v>0</v>
      </c>
      <c r="DP404" t="n">
        <v>0</v>
      </c>
      <c r="DQ404" t="n">
        <v>0</v>
      </c>
      <c r="DR404" t="n">
        <v>0</v>
      </c>
      <c r="DS404" t="n">
        <v>0</v>
      </c>
      <c r="DT404" t="n">
        <v>0</v>
      </c>
      <c r="DU404" t="n">
        <v>0</v>
      </c>
      <c r="DV404" t="inlineStr">
        <is>
          <t>(CONTRACTS OF 42,000 GALLONS)</t>
        </is>
      </c>
    </row>
    <row r="405">
      <c r="A405" t="inlineStr">
        <is>
          <t>MT BELVIEU ETHANE OPIS - NEW YORK MERCANTILE EXCHANGE</t>
        </is>
      </c>
      <c r="B405" t="n">
        <v>230110</v>
      </c>
      <c r="C405" s="1" t="n">
        <v>44936</v>
      </c>
      <c r="D405" t="inlineStr">
        <is>
          <t>06665P</t>
        </is>
      </c>
      <c r="E405" t="inlineStr">
        <is>
          <t>NYME</t>
        </is>
      </c>
      <c r="F405" t="inlineStr">
        <is>
          <t>01</t>
        </is>
      </c>
      <c r="G405" t="inlineStr">
        <is>
          <t xml:space="preserve">066 </t>
        </is>
      </c>
      <c r="H405" t="n">
        <v>40248</v>
      </c>
      <c r="I405" s="17" t="n">
        <v>2857</v>
      </c>
      <c r="J405" s="17" t="n">
        <v>2014</v>
      </c>
      <c r="K405" t="n">
        <v>342</v>
      </c>
      <c r="L405" t="n">
        <v>36968</v>
      </c>
      <c r="M405" t="n">
        <v>37576</v>
      </c>
      <c r="N405" t="n">
        <v>40167</v>
      </c>
      <c r="O405" t="n">
        <v>39932</v>
      </c>
      <c r="P405" t="n">
        <v>81</v>
      </c>
      <c r="Q405" t="n">
        <v>316</v>
      </c>
      <c r="R405" t="n">
        <v>40248</v>
      </c>
      <c r="S405" t="n">
        <v>2857</v>
      </c>
      <c r="T405" t="n">
        <v>2014</v>
      </c>
      <c r="U405" t="n">
        <v>342</v>
      </c>
      <c r="V405" t="n">
        <v>36968</v>
      </c>
      <c r="W405" t="n">
        <v>37576</v>
      </c>
      <c r="X405" t="n">
        <v>40167</v>
      </c>
      <c r="Y405" t="n">
        <v>39932</v>
      </c>
      <c r="Z405" t="n">
        <v>81</v>
      </c>
      <c r="AA405" t="n">
        <v>316</v>
      </c>
      <c r="AB405" t="n">
        <v>0</v>
      </c>
      <c r="AC405" t="n">
        <v>0</v>
      </c>
      <c r="AD405" t="n">
        <v>0</v>
      </c>
      <c r="AE405" t="n">
        <v>0</v>
      </c>
      <c r="AF405" t="n">
        <v>0</v>
      </c>
      <c r="AG405" t="n">
        <v>0</v>
      </c>
      <c r="AH405" t="n">
        <v>0</v>
      </c>
      <c r="AI405" t="n">
        <v>0</v>
      </c>
      <c r="AJ405" t="n">
        <v>0</v>
      </c>
      <c r="AK405" t="n">
        <v>0</v>
      </c>
      <c r="AL405" t="n">
        <v>3110</v>
      </c>
      <c r="AM405" t="n">
        <v>-150</v>
      </c>
      <c r="AN405" t="n">
        <v>54</v>
      </c>
      <c r="AO405" t="n">
        <v>105</v>
      </c>
      <c r="AP405" t="n">
        <v>3155</v>
      </c>
      <c r="AQ405" t="n">
        <v>3021</v>
      </c>
      <c r="AR405" t="n">
        <v>3110</v>
      </c>
      <c r="AS405" t="n">
        <v>3180</v>
      </c>
      <c r="AT405" t="n">
        <v>0</v>
      </c>
      <c r="AU405" t="n">
        <v>-70</v>
      </c>
      <c r="AV405" t="n">
        <v>100</v>
      </c>
      <c r="AW405" t="n">
        <v>7.1</v>
      </c>
      <c r="AX405" t="n">
        <v>5</v>
      </c>
      <c r="AY405" t="n">
        <v>0.8</v>
      </c>
      <c r="AZ405" t="n">
        <v>91.90000000000001</v>
      </c>
      <c r="BA405" t="n">
        <v>93.40000000000001</v>
      </c>
      <c r="BB405" t="n">
        <v>99.8</v>
      </c>
      <c r="BC405" t="n">
        <v>99.2</v>
      </c>
      <c r="BD405" t="n">
        <v>0.2</v>
      </c>
      <c r="BE405" t="n">
        <v>0.8</v>
      </c>
      <c r="BF405" t="n">
        <v>100</v>
      </c>
      <c r="BG405" t="n">
        <v>7.1</v>
      </c>
      <c r="BH405" t="n">
        <v>5</v>
      </c>
      <c r="BI405" t="n">
        <v>0.8</v>
      </c>
      <c r="BJ405" t="n">
        <v>91.90000000000001</v>
      </c>
      <c r="BK405" t="n">
        <v>93.40000000000001</v>
      </c>
      <c r="BL405" t="n">
        <v>99.8</v>
      </c>
      <c r="BM405" t="n">
        <v>99.2</v>
      </c>
      <c r="BN405" t="n">
        <v>0.2</v>
      </c>
      <c r="BO405" t="n">
        <v>0.8</v>
      </c>
      <c r="BP405" t="n">
        <v>0</v>
      </c>
      <c r="BQ405" t="n">
        <v>0</v>
      </c>
      <c r="BR405" t="n">
        <v>0</v>
      </c>
      <c r="BS405" t="n">
        <v>0</v>
      </c>
      <c r="BT405" t="n">
        <v>0</v>
      </c>
      <c r="BU405" t="n">
        <v>0</v>
      </c>
      <c r="BV405" t="n">
        <v>0</v>
      </c>
      <c r="BW405" t="n">
        <v>0</v>
      </c>
      <c r="BX405" t="n">
        <v>0</v>
      </c>
      <c r="BY405" t="n">
        <v>0</v>
      </c>
      <c r="BZ405" t="n">
        <v>63</v>
      </c>
      <c r="CA405" t="n">
        <v>5</v>
      </c>
      <c r="CB405" t="n">
        <v>11</v>
      </c>
      <c r="CC405" t="n">
        <v>4</v>
      </c>
      <c r="CD405" t="n">
        <v>34</v>
      </c>
      <c r="CE405" t="n">
        <v>38</v>
      </c>
      <c r="CF405" t="n">
        <v>41</v>
      </c>
      <c r="CG405" t="n">
        <v>51</v>
      </c>
      <c r="CH405" t="n">
        <v>63</v>
      </c>
      <c r="CI405" t="n">
        <v>5</v>
      </c>
      <c r="CJ405" t="n">
        <v>11</v>
      </c>
      <c r="CK405" t="n">
        <v>4</v>
      </c>
      <c r="CL405" t="n">
        <v>34</v>
      </c>
      <c r="CM405" t="n">
        <v>38</v>
      </c>
      <c r="CN405" t="n">
        <v>41</v>
      </c>
      <c r="CO405" t="n">
        <v>51</v>
      </c>
      <c r="CP405" t="n">
        <v>0</v>
      </c>
      <c r="CQ405" t="n">
        <v>0</v>
      </c>
      <c r="CR405" t="n">
        <v>0</v>
      </c>
      <c r="CS405" t="n">
        <v>0</v>
      </c>
      <c r="CT405" t="n">
        <v>0</v>
      </c>
      <c r="CU405" t="n">
        <v>0</v>
      </c>
      <c r="CV405" t="n">
        <v>0</v>
      </c>
      <c r="CW405" t="n">
        <v>0</v>
      </c>
      <c r="CX405" t="n">
        <v>49.7</v>
      </c>
      <c r="CY405" t="n">
        <v>41.9</v>
      </c>
      <c r="CZ405" t="n">
        <v>68.5</v>
      </c>
      <c r="DA405" t="n">
        <v>62.2</v>
      </c>
      <c r="DB405" t="n">
        <v>47</v>
      </c>
      <c r="DC405" t="n">
        <v>35.8</v>
      </c>
      <c r="DD405" t="n">
        <v>59.5</v>
      </c>
      <c r="DE405" t="n">
        <v>55.6</v>
      </c>
      <c r="DF405" t="n">
        <v>49.7</v>
      </c>
      <c r="DG405" t="n">
        <v>41.9</v>
      </c>
      <c r="DH405" t="n">
        <v>68.5</v>
      </c>
      <c r="DI405" t="n">
        <v>62.2</v>
      </c>
      <c r="DJ405" t="n">
        <v>47</v>
      </c>
      <c r="DK405" t="n">
        <v>35.8</v>
      </c>
      <c r="DL405" t="n">
        <v>59.5</v>
      </c>
      <c r="DM405" t="n">
        <v>55.6</v>
      </c>
      <c r="DN405" t="n">
        <v>0</v>
      </c>
      <c r="DO405" t="n">
        <v>0</v>
      </c>
      <c r="DP405" t="n">
        <v>0</v>
      </c>
      <c r="DQ405" t="n">
        <v>0</v>
      </c>
      <c r="DR405" t="n">
        <v>0</v>
      </c>
      <c r="DS405" t="n">
        <v>0</v>
      </c>
      <c r="DT405" t="n">
        <v>0</v>
      </c>
      <c r="DU405" t="n">
        <v>0</v>
      </c>
      <c r="DV405" t="inlineStr">
        <is>
          <t>(CONTRACTS OF 42,000 GALLONS)</t>
        </is>
      </c>
    </row>
    <row r="406">
      <c r="A406" t="inlineStr">
        <is>
          <t>MT BELVIEU ETHANE OPIS - NEW YORK MERCANTILE EXCHANGE</t>
        </is>
      </c>
      <c r="B406" t="n">
        <v>230103</v>
      </c>
      <c r="C406" s="1" t="n">
        <v>44929</v>
      </c>
      <c r="D406" t="inlineStr">
        <is>
          <t>06665P</t>
        </is>
      </c>
      <c r="E406" t="inlineStr">
        <is>
          <t>NYME</t>
        </is>
      </c>
      <c r="F406" t="inlineStr">
        <is>
          <t>01</t>
        </is>
      </c>
      <c r="G406" t="inlineStr">
        <is>
          <t xml:space="preserve">066 </t>
        </is>
      </c>
      <c r="H406" t="n">
        <v>37138</v>
      </c>
      <c r="I406" s="17" t="n">
        <v>3007</v>
      </c>
      <c r="J406" s="17" t="n">
        <v>1960</v>
      </c>
      <c r="K406" t="n">
        <v>237</v>
      </c>
      <c r="L406" t="n">
        <v>33813</v>
      </c>
      <c r="M406" t="n">
        <v>34555</v>
      </c>
      <c r="N406" t="n">
        <v>37057</v>
      </c>
      <c r="O406" t="n">
        <v>36752</v>
      </c>
      <c r="P406" t="n">
        <v>81</v>
      </c>
      <c r="Q406" t="n">
        <v>386</v>
      </c>
      <c r="R406" t="n">
        <v>37138</v>
      </c>
      <c r="S406" t="n">
        <v>3007</v>
      </c>
      <c r="T406" t="n">
        <v>1960</v>
      </c>
      <c r="U406" t="n">
        <v>237</v>
      </c>
      <c r="V406" t="n">
        <v>33813</v>
      </c>
      <c r="W406" t="n">
        <v>34555</v>
      </c>
      <c r="X406" t="n">
        <v>37057</v>
      </c>
      <c r="Y406" t="n">
        <v>36752</v>
      </c>
      <c r="Z406" t="n">
        <v>81</v>
      </c>
      <c r="AA406" t="n">
        <v>386</v>
      </c>
      <c r="AB406" t="n">
        <v>0</v>
      </c>
      <c r="AC406" t="n">
        <v>0</v>
      </c>
      <c r="AD406" t="n">
        <v>0</v>
      </c>
      <c r="AE406" t="n">
        <v>0</v>
      </c>
      <c r="AF406" t="n">
        <v>0</v>
      </c>
      <c r="AG406" t="n">
        <v>0</v>
      </c>
      <c r="AH406" t="n">
        <v>0</v>
      </c>
      <c r="AI406" t="n">
        <v>0</v>
      </c>
      <c r="AJ406" t="n">
        <v>0</v>
      </c>
      <c r="AK406" t="n">
        <v>0</v>
      </c>
      <c r="AL406" t="n">
        <v>-6403</v>
      </c>
      <c r="AM406" t="n">
        <v>34</v>
      </c>
      <c r="AN406" t="n">
        <v>19</v>
      </c>
      <c r="AO406" t="n">
        <v>-6</v>
      </c>
      <c r="AP406" t="n">
        <v>-6332</v>
      </c>
      <c r="AQ406" t="n">
        <v>-6558</v>
      </c>
      <c r="AR406" t="n">
        <v>-6304</v>
      </c>
      <c r="AS406" t="n">
        <v>-6545</v>
      </c>
      <c r="AT406" t="n">
        <v>-99</v>
      </c>
      <c r="AU406" t="n">
        <v>142</v>
      </c>
      <c r="AV406" t="n">
        <v>100</v>
      </c>
      <c r="AW406" t="n">
        <v>8.1</v>
      </c>
      <c r="AX406" t="n">
        <v>5.3</v>
      </c>
      <c r="AY406" t="n">
        <v>0.6</v>
      </c>
      <c r="AZ406" t="n">
        <v>91</v>
      </c>
      <c r="BA406" t="n">
        <v>93</v>
      </c>
      <c r="BB406" t="n">
        <v>99.8</v>
      </c>
      <c r="BC406" t="n">
        <v>99</v>
      </c>
      <c r="BD406" t="n">
        <v>0.2</v>
      </c>
      <c r="BE406" t="n">
        <v>1</v>
      </c>
      <c r="BF406" t="n">
        <v>100</v>
      </c>
      <c r="BG406" t="n">
        <v>8.1</v>
      </c>
      <c r="BH406" t="n">
        <v>5.3</v>
      </c>
      <c r="BI406" t="n">
        <v>0.6</v>
      </c>
      <c r="BJ406" t="n">
        <v>91</v>
      </c>
      <c r="BK406" t="n">
        <v>93</v>
      </c>
      <c r="BL406" t="n">
        <v>99.8</v>
      </c>
      <c r="BM406" t="n">
        <v>99</v>
      </c>
      <c r="BN406" t="n">
        <v>0.2</v>
      </c>
      <c r="BO406" t="n">
        <v>1</v>
      </c>
      <c r="BP406" t="n">
        <v>0</v>
      </c>
      <c r="BQ406" t="n">
        <v>0</v>
      </c>
      <c r="BR406" t="n">
        <v>0</v>
      </c>
      <c r="BS406" t="n">
        <v>0</v>
      </c>
      <c r="BT406" t="n">
        <v>0</v>
      </c>
      <c r="BU406" t="n">
        <v>0</v>
      </c>
      <c r="BV406" t="n">
        <v>0</v>
      </c>
      <c r="BW406" t="n">
        <v>0</v>
      </c>
      <c r="BX406" t="n">
        <v>0</v>
      </c>
      <c r="BY406" t="n">
        <v>0</v>
      </c>
      <c r="BZ406" t="n">
        <v>61</v>
      </c>
      <c r="CA406" t="n">
        <v>5</v>
      </c>
      <c r="CB406" t="n">
        <v>9</v>
      </c>
      <c r="CC406" t="n">
        <v>3</v>
      </c>
      <c r="CD406" t="n">
        <v>35</v>
      </c>
      <c r="CE406" t="n">
        <v>39</v>
      </c>
      <c r="CF406" t="n">
        <v>42</v>
      </c>
      <c r="CG406" t="n">
        <v>49</v>
      </c>
      <c r="CH406" t="n">
        <v>61</v>
      </c>
      <c r="CI406" t="n">
        <v>5</v>
      </c>
      <c r="CJ406" t="n">
        <v>9</v>
      </c>
      <c r="CK406" t="n">
        <v>3</v>
      </c>
      <c r="CL406" t="n">
        <v>35</v>
      </c>
      <c r="CM406" t="n">
        <v>39</v>
      </c>
      <c r="CN406" t="n">
        <v>42</v>
      </c>
      <c r="CO406" t="n">
        <v>49</v>
      </c>
      <c r="CP406" t="n">
        <v>0</v>
      </c>
      <c r="CQ406" t="n">
        <v>0</v>
      </c>
      <c r="CR406" t="n">
        <v>0</v>
      </c>
      <c r="CS406" t="n">
        <v>0</v>
      </c>
      <c r="CT406" t="n">
        <v>0</v>
      </c>
      <c r="CU406" t="n">
        <v>0</v>
      </c>
      <c r="CV406" t="n">
        <v>0</v>
      </c>
      <c r="CW406" t="n">
        <v>0</v>
      </c>
      <c r="CX406" t="n">
        <v>47.9</v>
      </c>
      <c r="CY406" t="n">
        <v>41.6</v>
      </c>
      <c r="CZ406" t="n">
        <v>67.2</v>
      </c>
      <c r="DA406" t="n">
        <v>64.09999999999999</v>
      </c>
      <c r="DB406" t="n">
        <v>43.6</v>
      </c>
      <c r="DC406" t="n">
        <v>37.3</v>
      </c>
      <c r="DD406" t="n">
        <v>58</v>
      </c>
      <c r="DE406" t="n">
        <v>57.1</v>
      </c>
      <c r="DF406" t="n">
        <v>47.9</v>
      </c>
      <c r="DG406" t="n">
        <v>41.6</v>
      </c>
      <c r="DH406" t="n">
        <v>67.2</v>
      </c>
      <c r="DI406" t="n">
        <v>64.09999999999999</v>
      </c>
      <c r="DJ406" t="n">
        <v>43.6</v>
      </c>
      <c r="DK406" t="n">
        <v>37.3</v>
      </c>
      <c r="DL406" t="n">
        <v>58</v>
      </c>
      <c r="DM406" t="n">
        <v>57.1</v>
      </c>
      <c r="DN406" t="n">
        <v>0</v>
      </c>
      <c r="DO406" t="n">
        <v>0</v>
      </c>
      <c r="DP406" t="n">
        <v>0</v>
      </c>
      <c r="DQ406" t="n">
        <v>0</v>
      </c>
      <c r="DR406" t="n">
        <v>0</v>
      </c>
      <c r="DS406" t="n">
        <v>0</v>
      </c>
      <c r="DT406" t="n">
        <v>0</v>
      </c>
      <c r="DU406" t="n">
        <v>0</v>
      </c>
      <c r="DV406" t="inlineStr">
        <is>
          <t>(CONTRACTS OF 42,000 GALLONS)</t>
        </is>
      </c>
    </row>
    <row r="407">
      <c r="A407" t="inlineStr">
        <is>
          <t>MT BELV NORM BUTANE OPIS - NEW YORK MERCANTILE EXCHANGE</t>
        </is>
      </c>
      <c r="B407" t="n">
        <v>230110</v>
      </c>
      <c r="C407" s="1" t="n">
        <v>44936</v>
      </c>
      <c r="D407" t="inlineStr">
        <is>
          <t>06665Q</t>
        </is>
      </c>
      <c r="E407" t="inlineStr">
        <is>
          <t>NYME</t>
        </is>
      </c>
      <c r="F407" t="inlineStr">
        <is>
          <t>01</t>
        </is>
      </c>
      <c r="G407" t="inlineStr">
        <is>
          <t xml:space="preserve">066 </t>
        </is>
      </c>
      <c r="H407" t="n">
        <v>42072</v>
      </c>
      <c r="I407" s="17" t="n">
        <v>3157</v>
      </c>
      <c r="J407" s="17" t="n">
        <v>3253</v>
      </c>
      <c r="K407" t="n">
        <v>1055</v>
      </c>
      <c r="L407" t="n">
        <v>37494</v>
      </c>
      <c r="M407" t="n">
        <v>36803</v>
      </c>
      <c r="N407" t="n">
        <v>41706</v>
      </c>
      <c r="O407" t="n">
        <v>41111</v>
      </c>
      <c r="P407" t="n">
        <v>366</v>
      </c>
      <c r="Q407" t="n">
        <v>961</v>
      </c>
      <c r="R407" t="n">
        <v>42072</v>
      </c>
      <c r="S407" t="n">
        <v>3157</v>
      </c>
      <c r="T407" t="n">
        <v>3253</v>
      </c>
      <c r="U407" t="n">
        <v>1055</v>
      </c>
      <c r="V407" t="n">
        <v>37494</v>
      </c>
      <c r="W407" t="n">
        <v>36803</v>
      </c>
      <c r="X407" t="n">
        <v>41706</v>
      </c>
      <c r="Y407" t="n">
        <v>41111</v>
      </c>
      <c r="Z407" t="n">
        <v>366</v>
      </c>
      <c r="AA407" t="n">
        <v>961</v>
      </c>
      <c r="AB407" t="n">
        <v>0</v>
      </c>
      <c r="AC407" t="n">
        <v>0</v>
      </c>
      <c r="AD407" t="n">
        <v>0</v>
      </c>
      <c r="AE407" t="n">
        <v>0</v>
      </c>
      <c r="AF407" t="n">
        <v>0</v>
      </c>
      <c r="AG407" t="n">
        <v>0</v>
      </c>
      <c r="AH407" t="n">
        <v>0</v>
      </c>
      <c r="AI407" t="n">
        <v>0</v>
      </c>
      <c r="AJ407" t="n">
        <v>0</v>
      </c>
      <c r="AK407" t="n">
        <v>0</v>
      </c>
      <c r="AL407" t="n">
        <v>116</v>
      </c>
      <c r="AM407" t="n">
        <v>317</v>
      </c>
      <c r="AN407" t="n">
        <v>-1265</v>
      </c>
      <c r="AO407" t="n">
        <v>-42</v>
      </c>
      <c r="AP407" t="n">
        <v>-125</v>
      </c>
      <c r="AQ407" t="n">
        <v>1269</v>
      </c>
      <c r="AR407" t="n">
        <v>150</v>
      </c>
      <c r="AS407" t="n">
        <v>-38</v>
      </c>
      <c r="AT407" t="n">
        <v>-34</v>
      </c>
      <c r="AU407" t="n">
        <v>154</v>
      </c>
      <c r="AV407" t="n">
        <v>100</v>
      </c>
      <c r="AW407" t="n">
        <v>7.5</v>
      </c>
      <c r="AX407" t="n">
        <v>7.7</v>
      </c>
      <c r="AY407" t="n">
        <v>2.5</v>
      </c>
      <c r="AZ407" t="n">
        <v>89.09999999999999</v>
      </c>
      <c r="BA407" t="n">
        <v>87.5</v>
      </c>
      <c r="BB407" t="n">
        <v>99.09999999999999</v>
      </c>
      <c r="BC407" t="n">
        <v>97.7</v>
      </c>
      <c r="BD407" t="n">
        <v>0.9</v>
      </c>
      <c r="BE407" t="n">
        <v>2.3</v>
      </c>
      <c r="BF407" t="n">
        <v>100</v>
      </c>
      <c r="BG407" t="n">
        <v>7.5</v>
      </c>
      <c r="BH407" t="n">
        <v>7.7</v>
      </c>
      <c r="BI407" t="n">
        <v>2.5</v>
      </c>
      <c r="BJ407" t="n">
        <v>89.09999999999999</v>
      </c>
      <c r="BK407" t="n">
        <v>87.5</v>
      </c>
      <c r="BL407" t="n">
        <v>99.09999999999999</v>
      </c>
      <c r="BM407" t="n">
        <v>97.7</v>
      </c>
      <c r="BN407" t="n">
        <v>0.9</v>
      </c>
      <c r="BO407" t="n">
        <v>2.3</v>
      </c>
      <c r="BP407" t="n">
        <v>0</v>
      </c>
      <c r="BQ407" t="n">
        <v>0</v>
      </c>
      <c r="BR407" t="n">
        <v>0</v>
      </c>
      <c r="BS407" t="n">
        <v>0</v>
      </c>
      <c r="BT407" t="n">
        <v>0</v>
      </c>
      <c r="BU407" t="n">
        <v>0</v>
      </c>
      <c r="BV407" t="n">
        <v>0</v>
      </c>
      <c r="BW407" t="n">
        <v>0</v>
      </c>
      <c r="BX407" t="n">
        <v>0</v>
      </c>
      <c r="BY407" t="n">
        <v>0</v>
      </c>
      <c r="BZ407" t="n">
        <v>94</v>
      </c>
      <c r="CA407" t="n">
        <v>12</v>
      </c>
      <c r="CB407" t="n">
        <v>10</v>
      </c>
      <c r="CC407" t="n">
        <v>7</v>
      </c>
      <c r="CD407" t="n">
        <v>55</v>
      </c>
      <c r="CE407" t="n">
        <v>52</v>
      </c>
      <c r="CF407" t="n">
        <v>70</v>
      </c>
      <c r="CG407" t="n">
        <v>67</v>
      </c>
      <c r="CH407" t="n">
        <v>94</v>
      </c>
      <c r="CI407" t="n">
        <v>12</v>
      </c>
      <c r="CJ407" t="n">
        <v>10</v>
      </c>
      <c r="CK407" t="n">
        <v>7</v>
      </c>
      <c r="CL407" t="n">
        <v>55</v>
      </c>
      <c r="CM407" t="n">
        <v>52</v>
      </c>
      <c r="CN407" t="n">
        <v>70</v>
      </c>
      <c r="CO407" t="n">
        <v>67</v>
      </c>
      <c r="CP407" t="n">
        <v>0</v>
      </c>
      <c r="CQ407" t="n">
        <v>0</v>
      </c>
      <c r="CR407" t="n">
        <v>0</v>
      </c>
      <c r="CS407" t="n">
        <v>0</v>
      </c>
      <c r="CT407" t="n">
        <v>0</v>
      </c>
      <c r="CU407" t="n">
        <v>0</v>
      </c>
      <c r="CV407" t="n">
        <v>0</v>
      </c>
      <c r="CW407" t="n">
        <v>0</v>
      </c>
      <c r="CX407" t="n">
        <v>38.6</v>
      </c>
      <c r="CY407" t="n">
        <v>25.3</v>
      </c>
      <c r="CZ407" t="n">
        <v>51.9</v>
      </c>
      <c r="DA407" t="n">
        <v>42.9</v>
      </c>
      <c r="DB407" t="n">
        <v>32.4</v>
      </c>
      <c r="DC407" t="n">
        <v>22.6</v>
      </c>
      <c r="DD407" t="n">
        <v>41</v>
      </c>
      <c r="DE407" t="n">
        <v>38.1</v>
      </c>
      <c r="DF407" t="n">
        <v>38.6</v>
      </c>
      <c r="DG407" t="n">
        <v>25.3</v>
      </c>
      <c r="DH407" t="n">
        <v>51.9</v>
      </c>
      <c r="DI407" t="n">
        <v>42.9</v>
      </c>
      <c r="DJ407" t="n">
        <v>32.4</v>
      </c>
      <c r="DK407" t="n">
        <v>22.6</v>
      </c>
      <c r="DL407" t="n">
        <v>41</v>
      </c>
      <c r="DM407" t="n">
        <v>38.1</v>
      </c>
      <c r="DN407" t="n">
        <v>0</v>
      </c>
      <c r="DO407" t="n">
        <v>0</v>
      </c>
      <c r="DP407" t="n">
        <v>0</v>
      </c>
      <c r="DQ407" t="n">
        <v>0</v>
      </c>
      <c r="DR407" t="n">
        <v>0</v>
      </c>
      <c r="DS407" t="n">
        <v>0</v>
      </c>
      <c r="DT407" t="n">
        <v>0</v>
      </c>
      <c r="DU407" t="n">
        <v>0</v>
      </c>
      <c r="DV407" t="inlineStr">
        <is>
          <t>(CONTRACTS OF 42,000 GALLONS)</t>
        </is>
      </c>
    </row>
    <row r="408">
      <c r="A408" t="inlineStr">
        <is>
          <t>MT BELV NORM BUTANE OPIS - NEW YORK MERCANTILE EXCHANGE</t>
        </is>
      </c>
      <c r="B408" t="n">
        <v>230103</v>
      </c>
      <c r="C408" s="1" t="n">
        <v>44929</v>
      </c>
      <c r="D408" t="inlineStr">
        <is>
          <t>06665Q</t>
        </is>
      </c>
      <c r="E408" t="inlineStr">
        <is>
          <t>NYME</t>
        </is>
      </c>
      <c r="F408" t="inlineStr">
        <is>
          <t>01</t>
        </is>
      </c>
      <c r="G408" t="inlineStr">
        <is>
          <t xml:space="preserve">066 </t>
        </is>
      </c>
      <c r="H408" t="n">
        <v>41956</v>
      </c>
      <c r="I408" s="17" t="n">
        <v>2840</v>
      </c>
      <c r="J408" s="17" t="n">
        <v>4518</v>
      </c>
      <c r="K408" t="n">
        <v>1097</v>
      </c>
      <c r="L408" t="n">
        <v>37619</v>
      </c>
      <c r="M408" t="n">
        <v>35534</v>
      </c>
      <c r="N408" t="n">
        <v>41556</v>
      </c>
      <c r="O408" t="n">
        <v>41149</v>
      </c>
      <c r="P408" t="n">
        <v>400</v>
      </c>
      <c r="Q408" t="n">
        <v>807</v>
      </c>
      <c r="R408" t="n">
        <v>41956</v>
      </c>
      <c r="S408" t="n">
        <v>2840</v>
      </c>
      <c r="T408" t="n">
        <v>4518</v>
      </c>
      <c r="U408" t="n">
        <v>1097</v>
      </c>
      <c r="V408" t="n">
        <v>37619</v>
      </c>
      <c r="W408" t="n">
        <v>35534</v>
      </c>
      <c r="X408" t="n">
        <v>41556</v>
      </c>
      <c r="Y408" t="n">
        <v>41149</v>
      </c>
      <c r="Z408" t="n">
        <v>400</v>
      </c>
      <c r="AA408" t="n">
        <v>807</v>
      </c>
      <c r="AB408" t="n">
        <v>0</v>
      </c>
      <c r="AC408" t="n">
        <v>0</v>
      </c>
      <c r="AD408" t="n">
        <v>0</v>
      </c>
      <c r="AE408" t="n">
        <v>0</v>
      </c>
      <c r="AF408" t="n">
        <v>0</v>
      </c>
      <c r="AG408" t="n">
        <v>0</v>
      </c>
      <c r="AH408" t="n">
        <v>0</v>
      </c>
      <c r="AI408" t="n">
        <v>0</v>
      </c>
      <c r="AJ408" t="n">
        <v>0</v>
      </c>
      <c r="AK408" t="n">
        <v>0</v>
      </c>
      <c r="AL408" t="n">
        <v>-10532</v>
      </c>
      <c r="AM408" t="n">
        <v>-137</v>
      </c>
      <c r="AN408" t="n">
        <v>-992</v>
      </c>
      <c r="AO408" t="n">
        <v>-437</v>
      </c>
      <c r="AP408" t="n">
        <v>-9895</v>
      </c>
      <c r="AQ408" t="n">
        <v>-9446</v>
      </c>
      <c r="AR408" t="n">
        <v>-10469</v>
      </c>
      <c r="AS408" t="n">
        <v>-10875</v>
      </c>
      <c r="AT408" t="n">
        <v>-63</v>
      </c>
      <c r="AU408" t="n">
        <v>343</v>
      </c>
      <c r="AV408" t="n">
        <v>100</v>
      </c>
      <c r="AW408" t="n">
        <v>6.8</v>
      </c>
      <c r="AX408" t="n">
        <v>10.8</v>
      </c>
      <c r="AY408" t="n">
        <v>2.6</v>
      </c>
      <c r="AZ408" t="n">
        <v>89.7</v>
      </c>
      <c r="BA408" t="n">
        <v>84.7</v>
      </c>
      <c r="BB408" t="n">
        <v>99</v>
      </c>
      <c r="BC408" t="n">
        <v>98.09999999999999</v>
      </c>
      <c r="BD408" t="n">
        <v>1</v>
      </c>
      <c r="BE408" t="n">
        <v>1.9</v>
      </c>
      <c r="BF408" t="n">
        <v>100</v>
      </c>
      <c r="BG408" t="n">
        <v>6.8</v>
      </c>
      <c r="BH408" t="n">
        <v>10.8</v>
      </c>
      <c r="BI408" t="n">
        <v>2.6</v>
      </c>
      <c r="BJ408" t="n">
        <v>89.7</v>
      </c>
      <c r="BK408" t="n">
        <v>84.7</v>
      </c>
      <c r="BL408" t="n">
        <v>99</v>
      </c>
      <c r="BM408" t="n">
        <v>98.09999999999999</v>
      </c>
      <c r="BN408" t="n">
        <v>1</v>
      </c>
      <c r="BO408" t="n">
        <v>1.9</v>
      </c>
      <c r="BP408" t="n">
        <v>0</v>
      </c>
      <c r="BQ408" t="n">
        <v>0</v>
      </c>
      <c r="BR408" t="n">
        <v>0</v>
      </c>
      <c r="BS408" t="n">
        <v>0</v>
      </c>
      <c r="BT408" t="n">
        <v>0</v>
      </c>
      <c r="BU408" t="n">
        <v>0</v>
      </c>
      <c r="BV408" t="n">
        <v>0</v>
      </c>
      <c r="BW408" t="n">
        <v>0</v>
      </c>
      <c r="BX408" t="n">
        <v>0</v>
      </c>
      <c r="BY408" t="n">
        <v>0</v>
      </c>
      <c r="BZ408" t="n">
        <v>93</v>
      </c>
      <c r="CA408" t="n">
        <v>12</v>
      </c>
      <c r="CB408" t="n">
        <v>11</v>
      </c>
      <c r="CC408" t="n">
        <v>5</v>
      </c>
      <c r="CD408" t="n">
        <v>52</v>
      </c>
      <c r="CE408" t="n">
        <v>49</v>
      </c>
      <c r="CF408" t="n">
        <v>66</v>
      </c>
      <c r="CG408" t="n">
        <v>64</v>
      </c>
      <c r="CH408" t="n">
        <v>93</v>
      </c>
      <c r="CI408" t="n">
        <v>12</v>
      </c>
      <c r="CJ408" t="n">
        <v>11</v>
      </c>
      <c r="CK408" t="n">
        <v>5</v>
      </c>
      <c r="CL408" t="n">
        <v>52</v>
      </c>
      <c r="CM408" t="n">
        <v>49</v>
      </c>
      <c r="CN408" t="n">
        <v>66</v>
      </c>
      <c r="CO408" t="n">
        <v>64</v>
      </c>
      <c r="CP408" t="n">
        <v>0</v>
      </c>
      <c r="CQ408" t="n">
        <v>0</v>
      </c>
      <c r="CR408" t="n">
        <v>0</v>
      </c>
      <c r="CS408" t="n">
        <v>0</v>
      </c>
      <c r="CT408" t="n">
        <v>0</v>
      </c>
      <c r="CU408" t="n">
        <v>0</v>
      </c>
      <c r="CV408" t="n">
        <v>0</v>
      </c>
      <c r="CW408" t="n">
        <v>0</v>
      </c>
      <c r="CX408" t="n">
        <v>39.4</v>
      </c>
      <c r="CY408" t="n">
        <v>25</v>
      </c>
      <c r="CZ408" t="n">
        <v>52.4</v>
      </c>
      <c r="DA408" t="n">
        <v>41.9</v>
      </c>
      <c r="DB408" t="n">
        <v>31.6</v>
      </c>
      <c r="DC408" t="n">
        <v>22.8</v>
      </c>
      <c r="DD408" t="n">
        <v>41</v>
      </c>
      <c r="DE408" t="n">
        <v>37.7</v>
      </c>
      <c r="DF408" t="n">
        <v>39.4</v>
      </c>
      <c r="DG408" t="n">
        <v>25</v>
      </c>
      <c r="DH408" t="n">
        <v>52.4</v>
      </c>
      <c r="DI408" t="n">
        <v>41.9</v>
      </c>
      <c r="DJ408" t="n">
        <v>31.6</v>
      </c>
      <c r="DK408" t="n">
        <v>22.8</v>
      </c>
      <c r="DL408" t="n">
        <v>41</v>
      </c>
      <c r="DM408" t="n">
        <v>37.7</v>
      </c>
      <c r="DN408" t="n">
        <v>0</v>
      </c>
      <c r="DO408" t="n">
        <v>0</v>
      </c>
      <c r="DP408" t="n">
        <v>0</v>
      </c>
      <c r="DQ408" t="n">
        <v>0</v>
      </c>
      <c r="DR408" t="n">
        <v>0</v>
      </c>
      <c r="DS408" t="n">
        <v>0</v>
      </c>
      <c r="DT408" t="n">
        <v>0</v>
      </c>
      <c r="DU408" t="n">
        <v>0</v>
      </c>
      <c r="DV408" t="inlineStr">
        <is>
          <t>(CONTRACTS OF 42,000 GALLONS)</t>
        </is>
      </c>
    </row>
    <row r="409">
      <c r="A409" t="inlineStr">
        <is>
          <t>MT BELV NAT GASOLINE OPIS - NEW YORK MERCANTILE EXCHANGE</t>
        </is>
      </c>
      <c r="B409" t="n">
        <v>230110</v>
      </c>
      <c r="C409" s="1" t="n">
        <v>44936</v>
      </c>
      <c r="D409" t="inlineStr">
        <is>
          <t>06665R</t>
        </is>
      </c>
      <c r="E409" t="inlineStr">
        <is>
          <t>NYME</t>
        </is>
      </c>
      <c r="F409" t="inlineStr">
        <is>
          <t>01</t>
        </is>
      </c>
      <c r="G409" t="inlineStr">
        <is>
          <t xml:space="preserve">066 </t>
        </is>
      </c>
      <c r="H409" t="n">
        <v>35046</v>
      </c>
      <c r="I409" s="17" t="n">
        <v>972</v>
      </c>
      <c r="J409" s="17" t="n">
        <v>596</v>
      </c>
      <c r="K409" t="n">
        <v>339</v>
      </c>
      <c r="L409" t="n">
        <v>33401</v>
      </c>
      <c r="M409" t="n">
        <v>33805</v>
      </c>
      <c r="N409" t="n">
        <v>34712</v>
      </c>
      <c r="O409" t="n">
        <v>34740</v>
      </c>
      <c r="P409" t="n">
        <v>334</v>
      </c>
      <c r="Q409" t="n">
        <v>306</v>
      </c>
      <c r="R409" t="n">
        <v>35046</v>
      </c>
      <c r="S409" t="n">
        <v>972</v>
      </c>
      <c r="T409" t="n">
        <v>596</v>
      </c>
      <c r="U409" t="n">
        <v>339</v>
      </c>
      <c r="V409" t="n">
        <v>33401</v>
      </c>
      <c r="W409" t="n">
        <v>33805</v>
      </c>
      <c r="X409" t="n">
        <v>34712</v>
      </c>
      <c r="Y409" t="n">
        <v>34740</v>
      </c>
      <c r="Z409" t="n">
        <v>334</v>
      </c>
      <c r="AA409" t="n">
        <v>306</v>
      </c>
      <c r="AB409" t="n">
        <v>0</v>
      </c>
      <c r="AC409" t="n">
        <v>0</v>
      </c>
      <c r="AD409" t="n">
        <v>0</v>
      </c>
      <c r="AE409" t="n">
        <v>0</v>
      </c>
      <c r="AF409" t="n">
        <v>0</v>
      </c>
      <c r="AG409" t="n">
        <v>0</v>
      </c>
      <c r="AH409" t="n">
        <v>0</v>
      </c>
      <c r="AI409" t="n">
        <v>0</v>
      </c>
      <c r="AJ409" t="n">
        <v>0</v>
      </c>
      <c r="AK409" t="n">
        <v>0</v>
      </c>
      <c r="AL409" t="n">
        <v>1627</v>
      </c>
      <c r="AM409" t="n">
        <v>-192</v>
      </c>
      <c r="AN409" t="n">
        <v>-25</v>
      </c>
      <c r="AO409" t="n">
        <v>209</v>
      </c>
      <c r="AP409" t="n">
        <v>1508</v>
      </c>
      <c r="AQ409" t="n">
        <v>1443</v>
      </c>
      <c r="AR409" t="n">
        <v>1525</v>
      </c>
      <c r="AS409" t="n">
        <v>1627</v>
      </c>
      <c r="AT409" t="n">
        <v>102</v>
      </c>
      <c r="AU409" t="n">
        <v>0</v>
      </c>
      <c r="AV409" t="n">
        <v>100</v>
      </c>
      <c r="AW409" t="n">
        <v>2.8</v>
      </c>
      <c r="AX409" t="n">
        <v>1.7</v>
      </c>
      <c r="AY409" t="n">
        <v>1</v>
      </c>
      <c r="AZ409" t="n">
        <v>95.3</v>
      </c>
      <c r="BA409" t="n">
        <v>96.5</v>
      </c>
      <c r="BB409" t="n">
        <v>99</v>
      </c>
      <c r="BC409" t="n">
        <v>99.09999999999999</v>
      </c>
      <c r="BD409" t="n">
        <v>1</v>
      </c>
      <c r="BE409" t="n">
        <v>0.9</v>
      </c>
      <c r="BF409" t="n">
        <v>100</v>
      </c>
      <c r="BG409" t="n">
        <v>2.8</v>
      </c>
      <c r="BH409" t="n">
        <v>1.7</v>
      </c>
      <c r="BI409" t="n">
        <v>1</v>
      </c>
      <c r="BJ409" t="n">
        <v>95.3</v>
      </c>
      <c r="BK409" t="n">
        <v>96.5</v>
      </c>
      <c r="BL409" t="n">
        <v>99</v>
      </c>
      <c r="BM409" t="n">
        <v>99.09999999999999</v>
      </c>
      <c r="BN409" t="n">
        <v>1</v>
      </c>
      <c r="BO409" t="n">
        <v>0.9</v>
      </c>
      <c r="BP409" t="n">
        <v>0</v>
      </c>
      <c r="BQ409" t="n">
        <v>0</v>
      </c>
      <c r="BR409" t="n">
        <v>0</v>
      </c>
      <c r="BS409" t="n">
        <v>0</v>
      </c>
      <c r="BT409" t="n">
        <v>0</v>
      </c>
      <c r="BU409" t="n">
        <v>0</v>
      </c>
      <c r="BV409" t="n">
        <v>0</v>
      </c>
      <c r="BW409" t="n">
        <v>0</v>
      </c>
      <c r="BX409" t="n">
        <v>0</v>
      </c>
      <c r="BY409" t="n">
        <v>0</v>
      </c>
      <c r="BZ409" t="n">
        <v>53</v>
      </c>
      <c r="CA409" t="n">
        <v>6</v>
      </c>
      <c r="CB409" t="n">
        <v>6</v>
      </c>
      <c r="CC409" t="n">
        <v>3</v>
      </c>
      <c r="CD409" t="n">
        <v>26</v>
      </c>
      <c r="CE409" t="n">
        <v>31</v>
      </c>
      <c r="CF409" t="n">
        <v>34</v>
      </c>
      <c r="CG409" t="n">
        <v>38</v>
      </c>
      <c r="CH409" t="n">
        <v>53</v>
      </c>
      <c r="CI409" t="n">
        <v>6</v>
      </c>
      <c r="CJ409" t="n">
        <v>6</v>
      </c>
      <c r="CK409" t="n">
        <v>3</v>
      </c>
      <c r="CL409" t="n">
        <v>26</v>
      </c>
      <c r="CM409" t="n">
        <v>31</v>
      </c>
      <c r="CN409" t="n">
        <v>34</v>
      </c>
      <c r="CO409" t="n">
        <v>38</v>
      </c>
      <c r="CP409" t="n">
        <v>0</v>
      </c>
      <c r="CQ409" t="n">
        <v>0</v>
      </c>
      <c r="CR409" t="n">
        <v>0</v>
      </c>
      <c r="CS409" t="n">
        <v>0</v>
      </c>
      <c r="CT409" t="n">
        <v>0</v>
      </c>
      <c r="CU409" t="n">
        <v>0</v>
      </c>
      <c r="CV409" t="n">
        <v>0</v>
      </c>
      <c r="CW409" t="n">
        <v>0</v>
      </c>
      <c r="CX409" t="n">
        <v>71.09999999999999</v>
      </c>
      <c r="CY409" t="n">
        <v>45.9</v>
      </c>
      <c r="CZ409" t="n">
        <v>82.5</v>
      </c>
      <c r="DA409" t="n">
        <v>67.7</v>
      </c>
      <c r="DB409" t="n">
        <v>43.9</v>
      </c>
      <c r="DC409" t="n">
        <v>30.4</v>
      </c>
      <c r="DD409" t="n">
        <v>54.1</v>
      </c>
      <c r="DE409" t="n">
        <v>46.2</v>
      </c>
      <c r="DF409" t="n">
        <v>71.09999999999999</v>
      </c>
      <c r="DG409" t="n">
        <v>45.9</v>
      </c>
      <c r="DH409" t="n">
        <v>82.5</v>
      </c>
      <c r="DI409" t="n">
        <v>67.7</v>
      </c>
      <c r="DJ409" t="n">
        <v>43.9</v>
      </c>
      <c r="DK409" t="n">
        <v>30.4</v>
      </c>
      <c r="DL409" t="n">
        <v>54.1</v>
      </c>
      <c r="DM409" t="n">
        <v>46.2</v>
      </c>
      <c r="DN409" t="n">
        <v>0</v>
      </c>
      <c r="DO409" t="n">
        <v>0</v>
      </c>
      <c r="DP409" t="n">
        <v>0</v>
      </c>
      <c r="DQ409" t="n">
        <v>0</v>
      </c>
      <c r="DR409" t="n">
        <v>0</v>
      </c>
      <c r="DS409" t="n">
        <v>0</v>
      </c>
      <c r="DT409" t="n">
        <v>0</v>
      </c>
      <c r="DU409" t="n">
        <v>0</v>
      </c>
      <c r="DV409" t="inlineStr">
        <is>
          <t>(CONTRACTS OF 42,000 GALLONS)</t>
        </is>
      </c>
    </row>
    <row r="410">
      <c r="A410" t="inlineStr">
        <is>
          <t>MT BELV NAT GASOLINE OPIS - NEW YORK MERCANTILE EXCHANGE</t>
        </is>
      </c>
      <c r="B410" t="n">
        <v>230103</v>
      </c>
      <c r="C410" s="1" t="n">
        <v>44929</v>
      </c>
      <c r="D410" t="inlineStr">
        <is>
          <t>06665R</t>
        </is>
      </c>
      <c r="E410" t="inlineStr">
        <is>
          <t>NYME</t>
        </is>
      </c>
      <c r="F410" t="inlineStr">
        <is>
          <t>01</t>
        </is>
      </c>
      <c r="G410" t="inlineStr">
        <is>
          <t xml:space="preserve">066 </t>
        </is>
      </c>
      <c r="H410" t="n">
        <v>33419</v>
      </c>
      <c r="I410" s="17" t="n">
        <v>1164</v>
      </c>
      <c r="J410" s="17" t="n">
        <v>621</v>
      </c>
      <c r="K410" t="n">
        <v>130</v>
      </c>
      <c r="L410" t="n">
        <v>31893</v>
      </c>
      <c r="M410" t="n">
        <v>32362</v>
      </c>
      <c r="N410" t="n">
        <v>33187</v>
      </c>
      <c r="O410" t="n">
        <v>33113</v>
      </c>
      <c r="P410" t="n">
        <v>232</v>
      </c>
      <c r="Q410" t="n">
        <v>306</v>
      </c>
      <c r="R410" t="n">
        <v>33419</v>
      </c>
      <c r="S410" t="n">
        <v>1164</v>
      </c>
      <c r="T410" t="n">
        <v>621</v>
      </c>
      <c r="U410" t="n">
        <v>130</v>
      </c>
      <c r="V410" t="n">
        <v>31893</v>
      </c>
      <c r="W410" t="n">
        <v>32362</v>
      </c>
      <c r="X410" t="n">
        <v>33187</v>
      </c>
      <c r="Y410" t="n">
        <v>33113</v>
      </c>
      <c r="Z410" t="n">
        <v>232</v>
      </c>
      <c r="AA410" t="n">
        <v>306</v>
      </c>
      <c r="AB410" t="n">
        <v>0</v>
      </c>
      <c r="AC410" t="n">
        <v>0</v>
      </c>
      <c r="AD410" t="n">
        <v>0</v>
      </c>
      <c r="AE410" t="n">
        <v>0</v>
      </c>
      <c r="AF410" t="n">
        <v>0</v>
      </c>
      <c r="AG410" t="n">
        <v>0</v>
      </c>
      <c r="AH410" t="n">
        <v>0</v>
      </c>
      <c r="AI410" t="n">
        <v>0</v>
      </c>
      <c r="AJ410" t="n">
        <v>0</v>
      </c>
      <c r="AK410" t="n">
        <v>0</v>
      </c>
      <c r="AL410" t="n">
        <v>-2644</v>
      </c>
      <c r="AM410" t="n">
        <v>-31</v>
      </c>
      <c r="AN410" t="n">
        <v>252</v>
      </c>
      <c r="AO410" t="n">
        <v>-351</v>
      </c>
      <c r="AP410" t="n">
        <v>-2296</v>
      </c>
      <c r="AQ410" t="n">
        <v>-2505</v>
      </c>
      <c r="AR410" t="n">
        <v>-2678</v>
      </c>
      <c r="AS410" t="n">
        <v>-2604</v>
      </c>
      <c r="AT410" t="n">
        <v>34</v>
      </c>
      <c r="AU410" t="n">
        <v>-40</v>
      </c>
      <c r="AV410" t="n">
        <v>100</v>
      </c>
      <c r="AW410" t="n">
        <v>3.5</v>
      </c>
      <c r="AX410" t="n">
        <v>1.9</v>
      </c>
      <c r="AY410" t="n">
        <v>0.4</v>
      </c>
      <c r="AZ410" t="n">
        <v>95.40000000000001</v>
      </c>
      <c r="BA410" t="n">
        <v>96.8</v>
      </c>
      <c r="BB410" t="n">
        <v>99.3</v>
      </c>
      <c r="BC410" t="n">
        <v>99.09999999999999</v>
      </c>
      <c r="BD410" t="n">
        <v>0.7</v>
      </c>
      <c r="BE410" t="n">
        <v>0.9</v>
      </c>
      <c r="BF410" t="n">
        <v>100</v>
      </c>
      <c r="BG410" t="n">
        <v>3.5</v>
      </c>
      <c r="BH410" t="n">
        <v>1.9</v>
      </c>
      <c r="BI410" t="n">
        <v>0.4</v>
      </c>
      <c r="BJ410" t="n">
        <v>95.40000000000001</v>
      </c>
      <c r="BK410" t="n">
        <v>96.8</v>
      </c>
      <c r="BL410" t="n">
        <v>99.3</v>
      </c>
      <c r="BM410" t="n">
        <v>99.09999999999999</v>
      </c>
      <c r="BN410" t="n">
        <v>0.7</v>
      </c>
      <c r="BO410" t="n">
        <v>0.9</v>
      </c>
      <c r="BP410" t="n">
        <v>0</v>
      </c>
      <c r="BQ410" t="n">
        <v>0</v>
      </c>
      <c r="BR410" t="n">
        <v>0</v>
      </c>
      <c r="BS410" t="n">
        <v>0</v>
      </c>
      <c r="BT410" t="n">
        <v>0</v>
      </c>
      <c r="BU410" t="n">
        <v>0</v>
      </c>
      <c r="BV410" t="n">
        <v>0</v>
      </c>
      <c r="BW410" t="n">
        <v>0</v>
      </c>
      <c r="BX410" t="n">
        <v>0</v>
      </c>
      <c r="BY410" t="n">
        <v>0</v>
      </c>
      <c r="BZ410" t="n">
        <v>54</v>
      </c>
      <c r="CA410" t="n">
        <v>7</v>
      </c>
      <c r="CB410" t="n">
        <v>6</v>
      </c>
      <c r="CC410" t="n">
        <v>2</v>
      </c>
      <c r="CD410" t="n">
        <v>26</v>
      </c>
      <c r="CE410" t="n">
        <v>30</v>
      </c>
      <c r="CF410" t="n">
        <v>34</v>
      </c>
      <c r="CG410" t="n">
        <v>37</v>
      </c>
      <c r="CH410" t="n">
        <v>54</v>
      </c>
      <c r="CI410" t="n">
        <v>7</v>
      </c>
      <c r="CJ410" t="n">
        <v>6</v>
      </c>
      <c r="CK410" t="n">
        <v>2</v>
      </c>
      <c r="CL410" t="n">
        <v>26</v>
      </c>
      <c r="CM410" t="n">
        <v>30</v>
      </c>
      <c r="CN410" t="n">
        <v>34</v>
      </c>
      <c r="CO410" t="n">
        <v>37</v>
      </c>
      <c r="CP410" t="n">
        <v>0</v>
      </c>
      <c r="CQ410" t="n">
        <v>0</v>
      </c>
      <c r="CR410" t="n">
        <v>0</v>
      </c>
      <c r="CS410" t="n">
        <v>0</v>
      </c>
      <c r="CT410" t="n">
        <v>0</v>
      </c>
      <c r="CU410" t="n">
        <v>0</v>
      </c>
      <c r="CV410" t="n">
        <v>0</v>
      </c>
      <c r="CW410" t="n">
        <v>0</v>
      </c>
      <c r="CX410" t="n">
        <v>72.7</v>
      </c>
      <c r="CY410" t="n">
        <v>45.6</v>
      </c>
      <c r="CZ410" t="n">
        <v>84.2</v>
      </c>
      <c r="DA410" t="n">
        <v>68.3</v>
      </c>
      <c r="DB410" t="n">
        <v>46</v>
      </c>
      <c r="DC410" t="n">
        <v>31.1</v>
      </c>
      <c r="DD410" t="n">
        <v>55.6</v>
      </c>
      <c r="DE410" t="n">
        <v>47.4</v>
      </c>
      <c r="DF410" t="n">
        <v>72.7</v>
      </c>
      <c r="DG410" t="n">
        <v>45.6</v>
      </c>
      <c r="DH410" t="n">
        <v>84.2</v>
      </c>
      <c r="DI410" t="n">
        <v>68.3</v>
      </c>
      <c r="DJ410" t="n">
        <v>46</v>
      </c>
      <c r="DK410" t="n">
        <v>31.1</v>
      </c>
      <c r="DL410" t="n">
        <v>55.6</v>
      </c>
      <c r="DM410" t="n">
        <v>47.4</v>
      </c>
      <c r="DN410" t="n">
        <v>0</v>
      </c>
      <c r="DO410" t="n">
        <v>0</v>
      </c>
      <c r="DP410" t="n">
        <v>0</v>
      </c>
      <c r="DQ410" t="n">
        <v>0</v>
      </c>
      <c r="DR410" t="n">
        <v>0</v>
      </c>
      <c r="DS410" t="n">
        <v>0</v>
      </c>
      <c r="DT410" t="n">
        <v>0</v>
      </c>
      <c r="DU410" t="n">
        <v>0</v>
      </c>
      <c r="DV410" t="inlineStr">
        <is>
          <t>(CONTRACTS OF 42,000 GALLONS)</t>
        </is>
      </c>
    </row>
    <row r="411">
      <c r="A411" t="inlineStr">
        <is>
          <t>CONWAY PROPANE (OPIS) - NEW YORK MERCANTILE EXCHANGE</t>
        </is>
      </c>
      <c r="B411" t="n">
        <v>230110</v>
      </c>
      <c r="C411" s="1" t="n">
        <v>44936</v>
      </c>
      <c r="D411" t="inlineStr">
        <is>
          <t>06665T</t>
        </is>
      </c>
      <c r="E411" t="inlineStr">
        <is>
          <t>NYME</t>
        </is>
      </c>
      <c r="F411" t="inlineStr">
        <is>
          <t>01</t>
        </is>
      </c>
      <c r="G411" t="inlineStr">
        <is>
          <t xml:space="preserve">066 </t>
        </is>
      </c>
      <c r="H411" t="n">
        <v>25527</v>
      </c>
      <c r="I411" s="17" t="n">
        <v>494</v>
      </c>
      <c r="J411" s="17" t="n">
        <v>0</v>
      </c>
      <c r="K411" t="n">
        <v>500</v>
      </c>
      <c r="L411" t="n">
        <v>22846</v>
      </c>
      <c r="M411" t="n">
        <v>24496</v>
      </c>
      <c r="N411" t="n">
        <v>23840</v>
      </c>
      <c r="O411" t="n">
        <v>24996</v>
      </c>
      <c r="P411" t="n">
        <v>1687</v>
      </c>
      <c r="Q411" t="n">
        <v>531</v>
      </c>
      <c r="R411" t="n">
        <v>25527</v>
      </c>
      <c r="S411" t="n">
        <v>494</v>
      </c>
      <c r="T411" t="n">
        <v>0</v>
      </c>
      <c r="U411" t="n">
        <v>500</v>
      </c>
      <c r="V411" t="n">
        <v>22846</v>
      </c>
      <c r="W411" t="n">
        <v>24496</v>
      </c>
      <c r="X411" t="n">
        <v>23840</v>
      </c>
      <c r="Y411" t="n">
        <v>24996</v>
      </c>
      <c r="Z411" t="n">
        <v>1687</v>
      </c>
      <c r="AA411" t="n">
        <v>531</v>
      </c>
      <c r="AB411" t="n">
        <v>0</v>
      </c>
      <c r="AC411" t="n">
        <v>0</v>
      </c>
      <c r="AD411" t="n">
        <v>0</v>
      </c>
      <c r="AE411" t="n">
        <v>0</v>
      </c>
      <c r="AF411" t="n">
        <v>0</v>
      </c>
      <c r="AG411" t="n">
        <v>0</v>
      </c>
      <c r="AH411" t="n">
        <v>0</v>
      </c>
      <c r="AI411" t="n">
        <v>0</v>
      </c>
      <c r="AJ411" t="n">
        <v>0</v>
      </c>
      <c r="AK411" t="n">
        <v>0</v>
      </c>
      <c r="AL411" t="n">
        <v>98</v>
      </c>
      <c r="AM411" t="n">
        <v>150</v>
      </c>
      <c r="AN411" t="n">
        <v>-25</v>
      </c>
      <c r="AO411" t="n">
        <v>-26</v>
      </c>
      <c r="AP411" t="n">
        <v>-26</v>
      </c>
      <c r="AQ411" t="n">
        <v>149</v>
      </c>
      <c r="AR411" t="n">
        <v>98</v>
      </c>
      <c r="AS411" t="n">
        <v>98</v>
      </c>
      <c r="AT411" t="n">
        <v>0</v>
      </c>
      <c r="AU411" t="n">
        <v>0</v>
      </c>
      <c r="AV411" t="n">
        <v>100</v>
      </c>
      <c r="AW411" t="n">
        <v>1.9</v>
      </c>
      <c r="AX411" t="n">
        <v>0</v>
      </c>
      <c r="AY411" t="n">
        <v>2</v>
      </c>
      <c r="AZ411" t="n">
        <v>89.5</v>
      </c>
      <c r="BA411" t="n">
        <v>96</v>
      </c>
      <c r="BB411" t="n">
        <v>93.40000000000001</v>
      </c>
      <c r="BC411" t="n">
        <v>97.90000000000001</v>
      </c>
      <c r="BD411" t="n">
        <v>6.6</v>
      </c>
      <c r="BE411" t="n">
        <v>2.1</v>
      </c>
      <c r="BF411" t="n">
        <v>100</v>
      </c>
      <c r="BG411" t="n">
        <v>1.9</v>
      </c>
      <c r="BH411" t="n">
        <v>0</v>
      </c>
      <c r="BI411" t="n">
        <v>2</v>
      </c>
      <c r="BJ411" t="n">
        <v>89.5</v>
      </c>
      <c r="BK411" t="n">
        <v>96</v>
      </c>
      <c r="BL411" t="n">
        <v>93.40000000000001</v>
      </c>
      <c r="BM411" t="n">
        <v>97.90000000000001</v>
      </c>
      <c r="BN411" t="n">
        <v>6.6</v>
      </c>
      <c r="BO411" t="n">
        <v>2.1</v>
      </c>
      <c r="BP411" t="n">
        <v>0</v>
      </c>
      <c r="BQ411" t="n">
        <v>0</v>
      </c>
      <c r="BR411" t="n">
        <v>0</v>
      </c>
      <c r="BS411" t="n">
        <v>0</v>
      </c>
      <c r="BT411" t="n">
        <v>0</v>
      </c>
      <c r="BU411" t="n">
        <v>0</v>
      </c>
      <c r="BV411" t="n">
        <v>0</v>
      </c>
      <c r="BW411" t="n">
        <v>0</v>
      </c>
      <c r="BX411" t="n">
        <v>0</v>
      </c>
      <c r="BY411" t="n">
        <v>0</v>
      </c>
      <c r="BZ411" t="n">
        <v>51</v>
      </c>
      <c r="CA411" t="n">
        <v>2</v>
      </c>
      <c r="CB411" t="n">
        <v>0</v>
      </c>
      <c r="CC411" t="n">
        <v>2</v>
      </c>
      <c r="CD411" t="n">
        <v>41</v>
      </c>
      <c r="CE411" t="n">
        <v>37</v>
      </c>
      <c r="CF411" t="n">
        <v>44</v>
      </c>
      <c r="CG411" t="n">
        <v>39</v>
      </c>
      <c r="CH411" t="n">
        <v>51</v>
      </c>
      <c r="CI411" t="n">
        <v>2</v>
      </c>
      <c r="CJ411" t="n">
        <v>0</v>
      </c>
      <c r="CK411" t="n">
        <v>2</v>
      </c>
      <c r="CL411" t="n">
        <v>41</v>
      </c>
      <c r="CM411" t="n">
        <v>37</v>
      </c>
      <c r="CN411" t="n">
        <v>44</v>
      </c>
      <c r="CO411" t="n">
        <v>39</v>
      </c>
      <c r="CP411" t="n">
        <v>0</v>
      </c>
      <c r="CQ411" t="n">
        <v>0</v>
      </c>
      <c r="CR411" t="n">
        <v>0</v>
      </c>
      <c r="CS411" t="n">
        <v>0</v>
      </c>
      <c r="CT411" t="n">
        <v>0</v>
      </c>
      <c r="CU411" t="n">
        <v>0</v>
      </c>
      <c r="CV411" t="n">
        <v>0</v>
      </c>
      <c r="CW411" t="n">
        <v>0</v>
      </c>
      <c r="CX411" t="n">
        <v>30.3</v>
      </c>
      <c r="CY411" t="n">
        <v>54.1</v>
      </c>
      <c r="CZ411" t="n">
        <v>47.3</v>
      </c>
      <c r="DA411" t="n">
        <v>72.40000000000001</v>
      </c>
      <c r="DB411" t="n">
        <v>28.3</v>
      </c>
      <c r="DC411" t="n">
        <v>47.6</v>
      </c>
      <c r="DD411" t="n">
        <v>42.5</v>
      </c>
      <c r="DE411" t="n">
        <v>58.6</v>
      </c>
      <c r="DF411" t="n">
        <v>30.3</v>
      </c>
      <c r="DG411" t="n">
        <v>54.1</v>
      </c>
      <c r="DH411" t="n">
        <v>47.3</v>
      </c>
      <c r="DI411" t="n">
        <v>72.40000000000001</v>
      </c>
      <c r="DJ411" t="n">
        <v>28.3</v>
      </c>
      <c r="DK411" t="n">
        <v>47.6</v>
      </c>
      <c r="DL411" t="n">
        <v>42.5</v>
      </c>
      <c r="DM411" t="n">
        <v>58.6</v>
      </c>
      <c r="DN411" t="n">
        <v>0</v>
      </c>
      <c r="DO411" t="n">
        <v>0</v>
      </c>
      <c r="DP411" t="n">
        <v>0</v>
      </c>
      <c r="DQ411" t="n">
        <v>0</v>
      </c>
      <c r="DR411" t="n">
        <v>0</v>
      </c>
      <c r="DS411" t="n">
        <v>0</v>
      </c>
      <c r="DT411" t="n">
        <v>0</v>
      </c>
      <c r="DU411" t="n">
        <v>0</v>
      </c>
      <c r="DV411" t="inlineStr">
        <is>
          <t>(CONTRACTS OF 42,000 GALLONS)</t>
        </is>
      </c>
    </row>
    <row r="412">
      <c r="A412" t="inlineStr">
        <is>
          <t>CONWAY PROPANE (OPIS) - NEW YORK MERCANTILE EXCHANGE</t>
        </is>
      </c>
      <c r="B412" t="n">
        <v>230103</v>
      </c>
      <c r="C412" s="1" t="n">
        <v>44929</v>
      </c>
      <c r="D412" t="inlineStr">
        <is>
          <t>06665T</t>
        </is>
      </c>
      <c r="E412" t="inlineStr">
        <is>
          <t>NYME</t>
        </is>
      </c>
      <c r="F412" t="inlineStr">
        <is>
          <t>01</t>
        </is>
      </c>
      <c r="G412" t="inlineStr">
        <is>
          <t xml:space="preserve">066 </t>
        </is>
      </c>
      <c r="H412" t="n">
        <v>25429</v>
      </c>
      <c r="I412" s="17" t="n">
        <v>344</v>
      </c>
      <c r="J412" s="17" t="n">
        <v>25</v>
      </c>
      <c r="K412" t="n">
        <v>526</v>
      </c>
      <c r="L412" t="n">
        <v>22872</v>
      </c>
      <c r="M412" t="n">
        <v>24347</v>
      </c>
      <c r="N412" t="n">
        <v>23742</v>
      </c>
      <c r="O412" t="n">
        <v>24898</v>
      </c>
      <c r="P412" t="n">
        <v>1687</v>
      </c>
      <c r="Q412" t="n">
        <v>531</v>
      </c>
      <c r="R412" t="n">
        <v>25429</v>
      </c>
      <c r="S412" t="n">
        <v>344</v>
      </c>
      <c r="T412" t="n">
        <v>25</v>
      </c>
      <c r="U412" t="n">
        <v>526</v>
      </c>
      <c r="V412" t="n">
        <v>22872</v>
      </c>
      <c r="W412" t="n">
        <v>24347</v>
      </c>
      <c r="X412" t="n">
        <v>23742</v>
      </c>
      <c r="Y412" t="n">
        <v>24898</v>
      </c>
      <c r="Z412" t="n">
        <v>1687</v>
      </c>
      <c r="AA412" t="n">
        <v>531</v>
      </c>
      <c r="AB412" t="n">
        <v>0</v>
      </c>
      <c r="AC412" t="n">
        <v>0</v>
      </c>
      <c r="AD412" t="n">
        <v>0</v>
      </c>
      <c r="AE412" t="n">
        <v>0</v>
      </c>
      <c r="AF412" t="n">
        <v>0</v>
      </c>
      <c r="AG412" t="n">
        <v>0</v>
      </c>
      <c r="AH412" t="n">
        <v>0</v>
      </c>
      <c r="AI412" t="n">
        <v>0</v>
      </c>
      <c r="AJ412" t="n">
        <v>0</v>
      </c>
      <c r="AK412" t="n">
        <v>0</v>
      </c>
      <c r="AL412" t="n">
        <v>-3548</v>
      </c>
      <c r="AM412" t="n">
        <v>-275</v>
      </c>
      <c r="AN412" t="n">
        <v>20</v>
      </c>
      <c r="AO412" t="n">
        <v>-168</v>
      </c>
      <c r="AP412" t="n">
        <v>-3127</v>
      </c>
      <c r="AQ412" t="n">
        <v>-3351</v>
      </c>
      <c r="AR412" t="n">
        <v>-3570</v>
      </c>
      <c r="AS412" t="n">
        <v>-3499</v>
      </c>
      <c r="AT412" t="n">
        <v>22</v>
      </c>
      <c r="AU412" t="n">
        <v>-49</v>
      </c>
      <c r="AV412" t="n">
        <v>100</v>
      </c>
      <c r="AW412" t="n">
        <v>1.4</v>
      </c>
      <c r="AX412" t="n">
        <v>0.1</v>
      </c>
      <c r="AY412" t="n">
        <v>2.1</v>
      </c>
      <c r="AZ412" t="n">
        <v>89.90000000000001</v>
      </c>
      <c r="BA412" t="n">
        <v>95.7</v>
      </c>
      <c r="BB412" t="n">
        <v>93.40000000000001</v>
      </c>
      <c r="BC412" t="n">
        <v>97.90000000000001</v>
      </c>
      <c r="BD412" t="n">
        <v>6.6</v>
      </c>
      <c r="BE412" t="n">
        <v>2.1</v>
      </c>
      <c r="BF412" t="n">
        <v>100</v>
      </c>
      <c r="BG412" t="n">
        <v>1.4</v>
      </c>
      <c r="BH412" t="n">
        <v>0.1</v>
      </c>
      <c r="BI412" t="n">
        <v>2.1</v>
      </c>
      <c r="BJ412" t="n">
        <v>89.90000000000001</v>
      </c>
      <c r="BK412" t="n">
        <v>95.7</v>
      </c>
      <c r="BL412" t="n">
        <v>93.40000000000001</v>
      </c>
      <c r="BM412" t="n">
        <v>97.90000000000001</v>
      </c>
      <c r="BN412" t="n">
        <v>6.6</v>
      </c>
      <c r="BO412" t="n">
        <v>2.1</v>
      </c>
      <c r="BP412" t="n">
        <v>0</v>
      </c>
      <c r="BQ412" t="n">
        <v>0</v>
      </c>
      <c r="BR412" t="n">
        <v>0</v>
      </c>
      <c r="BS412" t="n">
        <v>0</v>
      </c>
      <c r="BT412" t="n">
        <v>0</v>
      </c>
      <c r="BU412" t="n">
        <v>0</v>
      </c>
      <c r="BV412" t="n">
        <v>0</v>
      </c>
      <c r="BW412" t="n">
        <v>0</v>
      </c>
      <c r="BX412" t="n">
        <v>0</v>
      </c>
      <c r="BY412" t="n">
        <v>0</v>
      </c>
      <c r="BZ412" t="n">
        <v>52</v>
      </c>
      <c r="CA412" t="n">
        <v>2</v>
      </c>
      <c r="CB412" t="n">
        <v>1</v>
      </c>
      <c r="CC412" t="n">
        <v>2</v>
      </c>
      <c r="CD412" t="n">
        <v>41</v>
      </c>
      <c r="CE412" t="n">
        <v>37</v>
      </c>
      <c r="CF412" t="n">
        <v>44</v>
      </c>
      <c r="CG412" t="n">
        <v>39</v>
      </c>
      <c r="CH412" t="n">
        <v>52</v>
      </c>
      <c r="CI412" t="n">
        <v>2</v>
      </c>
      <c r="CJ412" t="n">
        <v>1</v>
      </c>
      <c r="CK412" t="n">
        <v>2</v>
      </c>
      <c r="CL412" t="n">
        <v>41</v>
      </c>
      <c r="CM412" t="n">
        <v>37</v>
      </c>
      <c r="CN412" t="n">
        <v>44</v>
      </c>
      <c r="CO412" t="n">
        <v>39</v>
      </c>
      <c r="CP412" t="n">
        <v>0</v>
      </c>
      <c r="CQ412" t="n">
        <v>0</v>
      </c>
      <c r="CR412" t="n">
        <v>0</v>
      </c>
      <c r="CS412" t="n">
        <v>0</v>
      </c>
      <c r="CT412" t="n">
        <v>0</v>
      </c>
      <c r="CU412" t="n">
        <v>0</v>
      </c>
      <c r="CV412" t="n">
        <v>0</v>
      </c>
      <c r="CW412" t="n">
        <v>0</v>
      </c>
      <c r="CX412" t="n">
        <v>31.2</v>
      </c>
      <c r="CY412" t="n">
        <v>53.7</v>
      </c>
      <c r="CZ412" t="n">
        <v>49</v>
      </c>
      <c r="DA412" t="n">
        <v>72.3</v>
      </c>
      <c r="DB412" t="n">
        <v>29.4</v>
      </c>
      <c r="DC412" t="n">
        <v>47.6</v>
      </c>
      <c r="DD412" t="n">
        <v>43.7</v>
      </c>
      <c r="DE412" t="n">
        <v>59</v>
      </c>
      <c r="DF412" t="n">
        <v>31.2</v>
      </c>
      <c r="DG412" t="n">
        <v>53.7</v>
      </c>
      <c r="DH412" t="n">
        <v>49</v>
      </c>
      <c r="DI412" t="n">
        <v>72.3</v>
      </c>
      <c r="DJ412" t="n">
        <v>29.4</v>
      </c>
      <c r="DK412" t="n">
        <v>47.6</v>
      </c>
      <c r="DL412" t="n">
        <v>43.7</v>
      </c>
      <c r="DM412" t="n">
        <v>59</v>
      </c>
      <c r="DN412" t="n">
        <v>0</v>
      </c>
      <c r="DO412" t="n">
        <v>0</v>
      </c>
      <c r="DP412" t="n">
        <v>0</v>
      </c>
      <c r="DQ412" t="n">
        <v>0</v>
      </c>
      <c r="DR412" t="n">
        <v>0</v>
      </c>
      <c r="DS412" t="n">
        <v>0</v>
      </c>
      <c r="DT412" t="n">
        <v>0</v>
      </c>
      <c r="DU412" t="n">
        <v>0</v>
      </c>
      <c r="DV412" t="inlineStr">
        <is>
          <t>(CONTRACTS OF 42,000 GALLONS)</t>
        </is>
      </c>
    </row>
    <row r="413">
      <c r="A413" t="inlineStr">
        <is>
          <t>MT BELVIEU LDH PROPANE BALMO - NEW YORK MERCANTILE EXCHANGE</t>
        </is>
      </c>
      <c r="B413" t="n">
        <v>230110</v>
      </c>
      <c r="C413" s="1" t="n">
        <v>44936</v>
      </c>
      <c r="D413" t="inlineStr">
        <is>
          <t>06665W</t>
        </is>
      </c>
      <c r="E413" t="inlineStr">
        <is>
          <t>NYME</t>
        </is>
      </c>
      <c r="F413" t="inlineStr">
        <is>
          <t>01</t>
        </is>
      </c>
      <c r="G413" t="inlineStr">
        <is>
          <t xml:space="preserve">066 </t>
        </is>
      </c>
      <c r="H413" t="n">
        <v>1506</v>
      </c>
      <c r="I413" s="17" t="n">
        <v>0</v>
      </c>
      <c r="J413" s="17" t="n">
        <v>60</v>
      </c>
      <c r="K413" t="n">
        <v>82</v>
      </c>
      <c r="L413" t="n">
        <v>1405</v>
      </c>
      <c r="M413" t="n">
        <v>1317</v>
      </c>
      <c r="N413" t="n">
        <v>1487</v>
      </c>
      <c r="O413" t="n">
        <v>1459</v>
      </c>
      <c r="P413" t="n">
        <v>19</v>
      </c>
      <c r="Q413" t="n">
        <v>47</v>
      </c>
      <c r="R413" t="n">
        <v>1506</v>
      </c>
      <c r="S413" t="n">
        <v>0</v>
      </c>
      <c r="T413" t="n">
        <v>60</v>
      </c>
      <c r="U413" t="n">
        <v>82</v>
      </c>
      <c r="V413" t="n">
        <v>1405</v>
      </c>
      <c r="W413" t="n">
        <v>1317</v>
      </c>
      <c r="X413" t="n">
        <v>1487</v>
      </c>
      <c r="Y413" t="n">
        <v>1459</v>
      </c>
      <c r="Z413" t="n">
        <v>19</v>
      </c>
      <c r="AA413" t="n">
        <v>47</v>
      </c>
      <c r="AB413" t="n">
        <v>0</v>
      </c>
      <c r="AC413" t="n">
        <v>0</v>
      </c>
      <c r="AD413" t="n">
        <v>0</v>
      </c>
      <c r="AE413" t="n">
        <v>0</v>
      </c>
      <c r="AF413" t="n">
        <v>0</v>
      </c>
      <c r="AG413" t="n">
        <v>0</v>
      </c>
      <c r="AH413" t="n">
        <v>0</v>
      </c>
      <c r="AI413" t="n">
        <v>0</v>
      </c>
      <c r="AJ413" t="n">
        <v>0</v>
      </c>
      <c r="AK413" t="n">
        <v>0</v>
      </c>
      <c r="AV413" t="n">
        <v>100</v>
      </c>
      <c r="AW413" t="n">
        <v>0</v>
      </c>
      <c r="AX413" t="n">
        <v>4</v>
      </c>
      <c r="AY413" t="n">
        <v>5.4</v>
      </c>
      <c r="AZ413" t="n">
        <v>93.3</v>
      </c>
      <c r="BA413" t="n">
        <v>87.5</v>
      </c>
      <c r="BB413" t="n">
        <v>98.7</v>
      </c>
      <c r="BC413" t="n">
        <v>96.90000000000001</v>
      </c>
      <c r="BD413" t="n">
        <v>1.3</v>
      </c>
      <c r="BE413" t="n">
        <v>3.1</v>
      </c>
      <c r="BF413" t="n">
        <v>100</v>
      </c>
      <c r="BG413" t="n">
        <v>0</v>
      </c>
      <c r="BH413" t="n">
        <v>4</v>
      </c>
      <c r="BI413" t="n">
        <v>5.4</v>
      </c>
      <c r="BJ413" t="n">
        <v>93.3</v>
      </c>
      <c r="BK413" t="n">
        <v>87.5</v>
      </c>
      <c r="BL413" t="n">
        <v>98.7</v>
      </c>
      <c r="BM413" t="n">
        <v>96.90000000000001</v>
      </c>
      <c r="BN413" t="n">
        <v>1.3</v>
      </c>
      <c r="BO413" t="n">
        <v>3.1</v>
      </c>
      <c r="BP413" t="n">
        <v>0</v>
      </c>
      <c r="BQ413" t="n">
        <v>0</v>
      </c>
      <c r="BR413" t="n">
        <v>0</v>
      </c>
      <c r="BS413" t="n">
        <v>0</v>
      </c>
      <c r="BT413" t="n">
        <v>0</v>
      </c>
      <c r="BU413" t="n">
        <v>0</v>
      </c>
      <c r="BV413" t="n">
        <v>0</v>
      </c>
      <c r="BW413" t="n">
        <v>0</v>
      </c>
      <c r="BX413" t="n">
        <v>0</v>
      </c>
      <c r="BY413" t="n">
        <v>0</v>
      </c>
      <c r="BZ413" t="n">
        <v>22</v>
      </c>
      <c r="CA413" t="n">
        <v>0</v>
      </c>
      <c r="CB413" t="n">
        <v>1</v>
      </c>
      <c r="CC413" t="n">
        <v>1</v>
      </c>
      <c r="CD413" t="n">
        <v>10</v>
      </c>
      <c r="CE413" t="n">
        <v>15</v>
      </c>
      <c r="CF413" t="n">
        <v>11</v>
      </c>
      <c r="CG413" t="n">
        <v>16</v>
      </c>
      <c r="CH413" t="n">
        <v>22</v>
      </c>
      <c r="CI413" t="n">
        <v>0</v>
      </c>
      <c r="CJ413" t="n">
        <v>1</v>
      </c>
      <c r="CK413" t="n">
        <v>1</v>
      </c>
      <c r="CL413" t="n">
        <v>10</v>
      </c>
      <c r="CM413" t="n">
        <v>15</v>
      </c>
      <c r="CN413" t="n">
        <v>11</v>
      </c>
      <c r="CO413" t="n">
        <v>16</v>
      </c>
      <c r="CP413" t="n">
        <v>0</v>
      </c>
      <c r="CQ413" t="n">
        <v>0</v>
      </c>
      <c r="CR413" t="n">
        <v>0</v>
      </c>
      <c r="CS413" t="n">
        <v>0</v>
      </c>
      <c r="CT413" t="n">
        <v>0</v>
      </c>
      <c r="CU413" t="n">
        <v>0</v>
      </c>
      <c r="CV413" t="n">
        <v>0</v>
      </c>
      <c r="CW413" t="n">
        <v>0</v>
      </c>
      <c r="CX413" t="n">
        <v>56.8</v>
      </c>
      <c r="CY413" t="n">
        <v>41.6</v>
      </c>
      <c r="CZ413" t="n">
        <v>85.3</v>
      </c>
      <c r="DA413" t="n">
        <v>69.2</v>
      </c>
      <c r="DB413" t="n">
        <v>53.3</v>
      </c>
      <c r="DC413" t="n">
        <v>39.4</v>
      </c>
      <c r="DD413" t="n">
        <v>69.90000000000001</v>
      </c>
      <c r="DE413" t="n">
        <v>59.4</v>
      </c>
      <c r="DF413" t="n">
        <v>56.8</v>
      </c>
      <c r="DG413" t="n">
        <v>41.6</v>
      </c>
      <c r="DH413" t="n">
        <v>85.3</v>
      </c>
      <c r="DI413" t="n">
        <v>69.2</v>
      </c>
      <c r="DJ413" t="n">
        <v>53.3</v>
      </c>
      <c r="DK413" t="n">
        <v>39.4</v>
      </c>
      <c r="DL413" t="n">
        <v>69.90000000000001</v>
      </c>
      <c r="DM413" t="n">
        <v>59.4</v>
      </c>
      <c r="DN413" t="n">
        <v>0</v>
      </c>
      <c r="DO413" t="n">
        <v>0</v>
      </c>
      <c r="DP413" t="n">
        <v>0</v>
      </c>
      <c r="DQ413" t="n">
        <v>0</v>
      </c>
      <c r="DR413" t="n">
        <v>0</v>
      </c>
      <c r="DS413" t="n">
        <v>0</v>
      </c>
      <c r="DT413" t="n">
        <v>0</v>
      </c>
      <c r="DU413" t="n">
        <v>0</v>
      </c>
      <c r="DV413" t="inlineStr">
        <is>
          <t>(CONTRACTS OF 42,000 GALLONS)</t>
        </is>
      </c>
    </row>
    <row r="414">
      <c r="A414" t="inlineStr">
        <is>
          <t>CRUDE DIFF-WCS HOUSTON/WTI 1ST - ICE FUTURES ENERGY DIV</t>
        </is>
      </c>
      <c r="B414" t="n">
        <v>230110</v>
      </c>
      <c r="C414" s="1" t="n">
        <v>44936</v>
      </c>
      <c r="D414" t="inlineStr">
        <is>
          <t>06739C</t>
        </is>
      </c>
      <c r="E414" t="inlineStr">
        <is>
          <t>IFED</t>
        </is>
      </c>
      <c r="F414" t="inlineStr">
        <is>
          <t>01</t>
        </is>
      </c>
      <c r="G414" t="inlineStr">
        <is>
          <t xml:space="preserve">067 </t>
        </is>
      </c>
      <c r="H414" t="n">
        <v>25630</v>
      </c>
      <c r="I414" s="17" t="n">
        <v>1140</v>
      </c>
      <c r="J414" s="17" t="n">
        <v>0</v>
      </c>
      <c r="K414" t="n">
        <v>50</v>
      </c>
      <c r="L414" t="n">
        <v>24300</v>
      </c>
      <c r="M414" t="n">
        <v>25550</v>
      </c>
      <c r="N414" t="n">
        <v>25490</v>
      </c>
      <c r="O414" t="n">
        <v>25600</v>
      </c>
      <c r="P414" t="n">
        <v>140</v>
      </c>
      <c r="Q414" t="n">
        <v>30</v>
      </c>
      <c r="R414" t="n">
        <v>25630</v>
      </c>
      <c r="S414" t="n">
        <v>1140</v>
      </c>
      <c r="T414" t="n">
        <v>0</v>
      </c>
      <c r="U414" t="n">
        <v>50</v>
      </c>
      <c r="V414" t="n">
        <v>24300</v>
      </c>
      <c r="W414" t="n">
        <v>25550</v>
      </c>
      <c r="X414" t="n">
        <v>25490</v>
      </c>
      <c r="Y414" t="n">
        <v>25600</v>
      </c>
      <c r="Z414" t="n">
        <v>140</v>
      </c>
      <c r="AA414" t="n">
        <v>30</v>
      </c>
      <c r="AB414" t="n">
        <v>0</v>
      </c>
      <c r="AC414" t="n">
        <v>0</v>
      </c>
      <c r="AD414" t="n">
        <v>0</v>
      </c>
      <c r="AE414" t="n">
        <v>0</v>
      </c>
      <c r="AF414" t="n">
        <v>0</v>
      </c>
      <c r="AG414" t="n">
        <v>0</v>
      </c>
      <c r="AH414" t="n">
        <v>0</v>
      </c>
      <c r="AI414" t="n">
        <v>0</v>
      </c>
      <c r="AJ414" t="n">
        <v>0</v>
      </c>
      <c r="AK414" t="n">
        <v>0</v>
      </c>
      <c r="AL414" t="n">
        <v>5905</v>
      </c>
      <c r="AM414" t="n">
        <v>240</v>
      </c>
      <c r="AN414" t="n">
        <v>0</v>
      </c>
      <c r="AO414" t="n">
        <v>0</v>
      </c>
      <c r="AP414" t="n">
        <v>5665</v>
      </c>
      <c r="AQ414" t="n">
        <v>5905</v>
      </c>
      <c r="AR414" t="n">
        <v>5905</v>
      </c>
      <c r="AS414" t="n">
        <v>5905</v>
      </c>
      <c r="AT414" t="n">
        <v>0</v>
      </c>
      <c r="AU414" t="n">
        <v>0</v>
      </c>
      <c r="AV414" t="n">
        <v>100</v>
      </c>
      <c r="AW414" t="n">
        <v>4.4</v>
      </c>
      <c r="AX414" t="n">
        <v>0</v>
      </c>
      <c r="AY414" t="n">
        <v>0.2</v>
      </c>
      <c r="AZ414" t="n">
        <v>94.8</v>
      </c>
      <c r="BA414" t="n">
        <v>99.7</v>
      </c>
      <c r="BB414" t="n">
        <v>99.5</v>
      </c>
      <c r="BC414" t="n">
        <v>99.90000000000001</v>
      </c>
      <c r="BD414" t="n">
        <v>0.5</v>
      </c>
      <c r="BE414" t="n">
        <v>0.1</v>
      </c>
      <c r="BF414" t="n">
        <v>100</v>
      </c>
      <c r="BG414" t="n">
        <v>4.4</v>
      </c>
      <c r="BH414" t="n">
        <v>0</v>
      </c>
      <c r="BI414" t="n">
        <v>0.2</v>
      </c>
      <c r="BJ414" t="n">
        <v>94.8</v>
      </c>
      <c r="BK414" t="n">
        <v>99.7</v>
      </c>
      <c r="BL414" t="n">
        <v>99.5</v>
      </c>
      <c r="BM414" t="n">
        <v>99.90000000000001</v>
      </c>
      <c r="BN414" t="n">
        <v>0.5</v>
      </c>
      <c r="BO414" t="n">
        <v>0.1</v>
      </c>
      <c r="BP414" t="n">
        <v>0</v>
      </c>
      <c r="BQ414" t="n">
        <v>0</v>
      </c>
      <c r="BR414" t="n">
        <v>0</v>
      </c>
      <c r="BS414" t="n">
        <v>0</v>
      </c>
      <c r="BT414" t="n">
        <v>0</v>
      </c>
      <c r="BU414" t="n">
        <v>0</v>
      </c>
      <c r="BV414" t="n">
        <v>0</v>
      </c>
      <c r="BW414" t="n">
        <v>0</v>
      </c>
      <c r="BX414" t="n">
        <v>0</v>
      </c>
      <c r="BY414" t="n">
        <v>0</v>
      </c>
      <c r="BZ414" t="n">
        <v>30</v>
      </c>
      <c r="CA414" t="n">
        <v>1</v>
      </c>
      <c r="CB414" t="n">
        <v>0</v>
      </c>
      <c r="CC414" t="n">
        <v>1</v>
      </c>
      <c r="CD414" t="n">
        <v>23</v>
      </c>
      <c r="CE414" t="n">
        <v>20</v>
      </c>
      <c r="CF414" t="n">
        <v>25</v>
      </c>
      <c r="CG414" t="n">
        <v>21</v>
      </c>
      <c r="CH414" t="n">
        <v>30</v>
      </c>
      <c r="CI414" t="n">
        <v>1</v>
      </c>
      <c r="CJ414" t="n">
        <v>0</v>
      </c>
      <c r="CK414" t="n">
        <v>1</v>
      </c>
      <c r="CL414" t="n">
        <v>23</v>
      </c>
      <c r="CM414" t="n">
        <v>20</v>
      </c>
      <c r="CN414" t="n">
        <v>25</v>
      </c>
      <c r="CO414" t="n">
        <v>21</v>
      </c>
      <c r="CP414" t="n">
        <v>0</v>
      </c>
      <c r="CQ414" t="n">
        <v>0</v>
      </c>
      <c r="CR414" t="n">
        <v>0</v>
      </c>
      <c r="CS414" t="n">
        <v>0</v>
      </c>
      <c r="CT414" t="n">
        <v>0</v>
      </c>
      <c r="CU414" t="n">
        <v>0</v>
      </c>
      <c r="CV414" t="n">
        <v>0</v>
      </c>
      <c r="CW414" t="n">
        <v>0</v>
      </c>
      <c r="CX414" t="n">
        <v>48</v>
      </c>
      <c r="CY414" t="n">
        <v>55.8</v>
      </c>
      <c r="CZ414" t="n">
        <v>72.90000000000001</v>
      </c>
      <c r="DA414" t="n">
        <v>82.90000000000001</v>
      </c>
      <c r="DB414" t="n">
        <v>37</v>
      </c>
      <c r="DC414" t="n">
        <v>48.4</v>
      </c>
      <c r="DD414" t="n">
        <v>53.5</v>
      </c>
      <c r="DE414" t="n">
        <v>54.1</v>
      </c>
      <c r="DF414" t="n">
        <v>48</v>
      </c>
      <c r="DG414" t="n">
        <v>55.8</v>
      </c>
      <c r="DH414" t="n">
        <v>72.90000000000001</v>
      </c>
      <c r="DI414" t="n">
        <v>82.90000000000001</v>
      </c>
      <c r="DJ414" t="n">
        <v>37</v>
      </c>
      <c r="DK414" t="n">
        <v>48.4</v>
      </c>
      <c r="DL414" t="n">
        <v>53.5</v>
      </c>
      <c r="DM414" t="n">
        <v>54.1</v>
      </c>
      <c r="DN414" t="n">
        <v>0</v>
      </c>
      <c r="DO414" t="n">
        <v>0</v>
      </c>
      <c r="DP414" t="n">
        <v>0</v>
      </c>
      <c r="DQ414" t="n">
        <v>0</v>
      </c>
      <c r="DR414" t="n">
        <v>0</v>
      </c>
      <c r="DS414" t="n">
        <v>0</v>
      </c>
      <c r="DT414" t="n">
        <v>0</v>
      </c>
      <c r="DU414" t="n">
        <v>0</v>
      </c>
      <c r="DV414" t="inlineStr">
        <is>
          <t>1000 Barrels</t>
        </is>
      </c>
    </row>
    <row r="415">
      <c r="A415" t="inlineStr">
        <is>
          <t>CRUDE DIFF-WCS HOUSTON/WTI 1ST - ICE FUTURES ENERGY DIV</t>
        </is>
      </c>
      <c r="B415" t="n">
        <v>230103</v>
      </c>
      <c r="C415" s="1" t="n">
        <v>44929</v>
      </c>
      <c r="D415" t="inlineStr">
        <is>
          <t>06739C</t>
        </is>
      </c>
      <c r="E415" t="inlineStr">
        <is>
          <t>IFED</t>
        </is>
      </c>
      <c r="F415" t="inlineStr">
        <is>
          <t>01</t>
        </is>
      </c>
      <c r="G415" t="inlineStr">
        <is>
          <t xml:space="preserve">067 </t>
        </is>
      </c>
      <c r="H415" t="n">
        <v>19725</v>
      </c>
      <c r="I415" s="17" t="n">
        <v>900</v>
      </c>
      <c r="J415" s="17" t="n">
        <v>0</v>
      </c>
      <c r="K415" t="n">
        <v>50</v>
      </c>
      <c r="L415" t="n">
        <v>18635</v>
      </c>
      <c r="M415" t="n">
        <v>19645</v>
      </c>
      <c r="N415" t="n">
        <v>19585</v>
      </c>
      <c r="O415" t="n">
        <v>19695</v>
      </c>
      <c r="P415" t="n">
        <v>140</v>
      </c>
      <c r="Q415" t="n">
        <v>30</v>
      </c>
      <c r="R415" t="n">
        <v>19725</v>
      </c>
      <c r="S415" t="n">
        <v>900</v>
      </c>
      <c r="T415" t="n">
        <v>0</v>
      </c>
      <c r="U415" t="n">
        <v>50</v>
      </c>
      <c r="V415" t="n">
        <v>18635</v>
      </c>
      <c r="W415" t="n">
        <v>19645</v>
      </c>
      <c r="X415" t="n">
        <v>19585</v>
      </c>
      <c r="Y415" t="n">
        <v>19695</v>
      </c>
      <c r="Z415" t="n">
        <v>140</v>
      </c>
      <c r="AA415" t="n">
        <v>30</v>
      </c>
      <c r="AB415" t="n">
        <v>0</v>
      </c>
      <c r="AC415" t="n">
        <v>0</v>
      </c>
      <c r="AD415" t="n">
        <v>0</v>
      </c>
      <c r="AE415" t="n">
        <v>0</v>
      </c>
      <c r="AF415" t="n">
        <v>0</v>
      </c>
      <c r="AG415" t="n">
        <v>0</v>
      </c>
      <c r="AH415" t="n">
        <v>0</v>
      </c>
      <c r="AI415" t="n">
        <v>0</v>
      </c>
      <c r="AJ415" t="n">
        <v>0</v>
      </c>
      <c r="AK415" t="n">
        <v>0</v>
      </c>
      <c r="AL415" t="n">
        <v>-6885</v>
      </c>
      <c r="AM415" t="n">
        <v>0</v>
      </c>
      <c r="AN415" t="n">
        <v>0</v>
      </c>
      <c r="AO415" t="n">
        <v>0</v>
      </c>
      <c r="AP415" t="n">
        <v>-5870</v>
      </c>
      <c r="AQ415" t="n">
        <v>-6870</v>
      </c>
      <c r="AR415" t="n">
        <v>-5870</v>
      </c>
      <c r="AS415" t="n">
        <v>-6870</v>
      </c>
      <c r="AT415" t="n">
        <v>-1015</v>
      </c>
      <c r="AU415" t="n">
        <v>-15</v>
      </c>
      <c r="AV415" t="n">
        <v>100</v>
      </c>
      <c r="AW415" t="n">
        <v>4.6</v>
      </c>
      <c r="AX415" t="n">
        <v>0</v>
      </c>
      <c r="AY415" t="n">
        <v>0.3</v>
      </c>
      <c r="AZ415" t="n">
        <v>94.5</v>
      </c>
      <c r="BA415" t="n">
        <v>99.59999999999999</v>
      </c>
      <c r="BB415" t="n">
        <v>99.3</v>
      </c>
      <c r="BC415" t="n">
        <v>99.8</v>
      </c>
      <c r="BD415" t="n">
        <v>0.7</v>
      </c>
      <c r="BE415" t="n">
        <v>0.2</v>
      </c>
      <c r="BF415" t="n">
        <v>100</v>
      </c>
      <c r="BG415" t="n">
        <v>4.6</v>
      </c>
      <c r="BH415" t="n">
        <v>0</v>
      </c>
      <c r="BI415" t="n">
        <v>0.3</v>
      </c>
      <c r="BJ415" t="n">
        <v>94.5</v>
      </c>
      <c r="BK415" t="n">
        <v>99.59999999999999</v>
      </c>
      <c r="BL415" t="n">
        <v>99.3</v>
      </c>
      <c r="BM415" t="n">
        <v>99.8</v>
      </c>
      <c r="BN415" t="n">
        <v>0.7</v>
      </c>
      <c r="BO415" t="n">
        <v>0.2</v>
      </c>
      <c r="BP415" t="n">
        <v>0</v>
      </c>
      <c r="BQ415" t="n">
        <v>0</v>
      </c>
      <c r="BR415" t="n">
        <v>0</v>
      </c>
      <c r="BS415" t="n">
        <v>0</v>
      </c>
      <c r="BT415" t="n">
        <v>0</v>
      </c>
      <c r="BU415" t="n">
        <v>0</v>
      </c>
      <c r="BV415" t="n">
        <v>0</v>
      </c>
      <c r="BW415" t="n">
        <v>0</v>
      </c>
      <c r="BX415" t="n">
        <v>0</v>
      </c>
      <c r="BY415" t="n">
        <v>0</v>
      </c>
      <c r="BZ415" t="n">
        <v>30</v>
      </c>
      <c r="CA415" t="n">
        <v>1</v>
      </c>
      <c r="CB415" t="n">
        <v>0</v>
      </c>
      <c r="CC415" t="n">
        <v>1</v>
      </c>
      <c r="CD415" t="n">
        <v>21</v>
      </c>
      <c r="CE415" t="n">
        <v>18</v>
      </c>
      <c r="CF415" t="n">
        <v>23</v>
      </c>
      <c r="CG415" t="n">
        <v>19</v>
      </c>
      <c r="CH415" t="n">
        <v>30</v>
      </c>
      <c r="CI415" t="n">
        <v>1</v>
      </c>
      <c r="CJ415" t="n">
        <v>0</v>
      </c>
      <c r="CK415" t="n">
        <v>1</v>
      </c>
      <c r="CL415" t="n">
        <v>21</v>
      </c>
      <c r="CM415" t="n">
        <v>18</v>
      </c>
      <c r="CN415" t="n">
        <v>23</v>
      </c>
      <c r="CO415" t="n">
        <v>19</v>
      </c>
      <c r="CP415" t="n">
        <v>0</v>
      </c>
      <c r="CQ415" t="n">
        <v>0</v>
      </c>
      <c r="CR415" t="n">
        <v>0</v>
      </c>
      <c r="CS415" t="n">
        <v>0</v>
      </c>
      <c r="CT415" t="n">
        <v>0</v>
      </c>
      <c r="CU415" t="n">
        <v>0</v>
      </c>
      <c r="CV415" t="n">
        <v>0</v>
      </c>
      <c r="CW415" t="n">
        <v>0</v>
      </c>
      <c r="CX415" t="n">
        <v>57</v>
      </c>
      <c r="CY415" t="n">
        <v>58.2</v>
      </c>
      <c r="CZ415" t="n">
        <v>77.5</v>
      </c>
      <c r="DA415" t="n">
        <v>86.09999999999999</v>
      </c>
      <c r="DB415" t="n">
        <v>49.9</v>
      </c>
      <c r="DC415" t="n">
        <v>51.1</v>
      </c>
      <c r="DD415" t="n">
        <v>63</v>
      </c>
      <c r="DE415" t="n">
        <v>62.3</v>
      </c>
      <c r="DF415" t="n">
        <v>57</v>
      </c>
      <c r="DG415" t="n">
        <v>58.2</v>
      </c>
      <c r="DH415" t="n">
        <v>77.5</v>
      </c>
      <c r="DI415" t="n">
        <v>86.09999999999999</v>
      </c>
      <c r="DJ415" t="n">
        <v>49.9</v>
      </c>
      <c r="DK415" t="n">
        <v>51.1</v>
      </c>
      <c r="DL415" t="n">
        <v>63</v>
      </c>
      <c r="DM415" t="n">
        <v>62.3</v>
      </c>
      <c r="DN415" t="n">
        <v>0</v>
      </c>
      <c r="DO415" t="n">
        <v>0</v>
      </c>
      <c r="DP415" t="n">
        <v>0</v>
      </c>
      <c r="DQ415" t="n">
        <v>0</v>
      </c>
      <c r="DR415" t="n">
        <v>0</v>
      </c>
      <c r="DS415" t="n">
        <v>0</v>
      </c>
      <c r="DT415" t="n">
        <v>0</v>
      </c>
      <c r="DU415" t="n">
        <v>0</v>
      </c>
      <c r="DV415" t="inlineStr">
        <is>
          <t>1000 Barrels</t>
        </is>
      </c>
    </row>
    <row r="416">
      <c r="A416" t="inlineStr">
        <is>
          <t>CRUDE OIL, LIGHT SWEET-WTI - ICE FUTURES EUROPE</t>
        </is>
      </c>
      <c r="B416" t="n">
        <v>230110</v>
      </c>
      <c r="C416" s="1" t="n">
        <v>44936</v>
      </c>
      <c r="D416" t="inlineStr">
        <is>
          <t>067411</t>
        </is>
      </c>
      <c r="E416" t="inlineStr">
        <is>
          <t>ICEU</t>
        </is>
      </c>
      <c r="F416" t="inlineStr">
        <is>
          <t>01</t>
        </is>
      </c>
      <c r="G416" t="inlineStr">
        <is>
          <t xml:space="preserve">067 </t>
        </is>
      </c>
      <c r="H416" t="n">
        <v>375908</v>
      </c>
      <c r="I416" s="17" t="n">
        <v>97592</v>
      </c>
      <c r="J416" s="17" t="n">
        <v>51689</v>
      </c>
      <c r="K416" t="n">
        <v>73359</v>
      </c>
      <c r="L416" t="n">
        <v>193976</v>
      </c>
      <c r="M416" t="n">
        <v>237990</v>
      </c>
      <c r="N416" t="n">
        <v>364927</v>
      </c>
      <c r="O416" t="n">
        <v>363038</v>
      </c>
      <c r="P416" t="n">
        <v>10981</v>
      </c>
      <c r="Q416" t="n">
        <v>12870</v>
      </c>
      <c r="R416" t="n">
        <v>375908</v>
      </c>
      <c r="S416" t="n">
        <v>97592</v>
      </c>
      <c r="T416" t="n">
        <v>51689</v>
      </c>
      <c r="U416" t="n">
        <v>73359</v>
      </c>
      <c r="V416" t="n">
        <v>193976</v>
      </c>
      <c r="W416" t="n">
        <v>237990</v>
      </c>
      <c r="X416" t="n">
        <v>364927</v>
      </c>
      <c r="Y416" t="n">
        <v>363038</v>
      </c>
      <c r="Z416" t="n">
        <v>10981</v>
      </c>
      <c r="AA416" t="n">
        <v>12870</v>
      </c>
      <c r="AB416" t="n">
        <v>0</v>
      </c>
      <c r="AC416" t="n">
        <v>0</v>
      </c>
      <c r="AD416" t="n">
        <v>0</v>
      </c>
      <c r="AE416" t="n">
        <v>0</v>
      </c>
      <c r="AF416" t="n">
        <v>0</v>
      </c>
      <c r="AG416" t="n">
        <v>0</v>
      </c>
      <c r="AH416" t="n">
        <v>0</v>
      </c>
      <c r="AI416" t="n">
        <v>0</v>
      </c>
      <c r="AJ416" t="n">
        <v>0</v>
      </c>
      <c r="AK416" t="n">
        <v>0</v>
      </c>
      <c r="AL416" t="n">
        <v>12630</v>
      </c>
      <c r="AM416" t="n">
        <v>3076</v>
      </c>
      <c r="AN416" t="n">
        <v>622</v>
      </c>
      <c r="AO416" t="n">
        <v>5455</v>
      </c>
      <c r="AP416" t="n">
        <v>3889</v>
      </c>
      <c r="AQ416" t="n">
        <v>6796</v>
      </c>
      <c r="AR416" t="n">
        <v>12420</v>
      </c>
      <c r="AS416" t="n">
        <v>12873</v>
      </c>
      <c r="AT416" t="n">
        <v>210</v>
      </c>
      <c r="AU416" t="n">
        <v>-243</v>
      </c>
      <c r="AV416" t="n">
        <v>100</v>
      </c>
      <c r="AW416" t="n">
        <v>26</v>
      </c>
      <c r="AX416" t="n">
        <v>13.8</v>
      </c>
      <c r="AY416" t="n">
        <v>19.5</v>
      </c>
      <c r="AZ416" t="n">
        <v>51.6</v>
      </c>
      <c r="BA416" t="n">
        <v>63.3</v>
      </c>
      <c r="BB416" t="n">
        <v>97.09999999999999</v>
      </c>
      <c r="BC416" t="n">
        <v>96.59999999999999</v>
      </c>
      <c r="BD416" t="n">
        <v>2.9</v>
      </c>
      <c r="BE416" t="n">
        <v>3.4</v>
      </c>
      <c r="BF416" t="n">
        <v>100</v>
      </c>
      <c r="BG416" t="n">
        <v>26</v>
      </c>
      <c r="BH416" t="n">
        <v>13.8</v>
      </c>
      <c r="BI416" t="n">
        <v>19.5</v>
      </c>
      <c r="BJ416" t="n">
        <v>51.6</v>
      </c>
      <c r="BK416" t="n">
        <v>63.3</v>
      </c>
      <c r="BL416" t="n">
        <v>97.09999999999999</v>
      </c>
      <c r="BM416" t="n">
        <v>96.59999999999999</v>
      </c>
      <c r="BN416" t="n">
        <v>2.9</v>
      </c>
      <c r="BO416" t="n">
        <v>3.4</v>
      </c>
      <c r="BP416" t="n">
        <v>0</v>
      </c>
      <c r="BQ416" t="n">
        <v>0</v>
      </c>
      <c r="BR416" t="n">
        <v>0</v>
      </c>
      <c r="BS416" t="n">
        <v>0</v>
      </c>
      <c r="BT416" t="n">
        <v>0</v>
      </c>
      <c r="BU416" t="n">
        <v>0</v>
      </c>
      <c r="BV416" t="n">
        <v>0</v>
      </c>
      <c r="BW416" t="n">
        <v>0</v>
      </c>
      <c r="BX416" t="n">
        <v>0</v>
      </c>
      <c r="BY416" t="n">
        <v>0</v>
      </c>
      <c r="BZ416" t="n">
        <v>100</v>
      </c>
      <c r="CA416" t="n">
        <v>20</v>
      </c>
      <c r="CB416" t="n">
        <v>24</v>
      </c>
      <c r="CC416" t="n">
        <v>37</v>
      </c>
      <c r="CD416" t="n">
        <v>50</v>
      </c>
      <c r="CE416" t="n">
        <v>52</v>
      </c>
      <c r="CF416" t="n">
        <v>92</v>
      </c>
      <c r="CG416" t="n">
        <v>92</v>
      </c>
      <c r="CH416" t="n">
        <v>100</v>
      </c>
      <c r="CI416" t="n">
        <v>20</v>
      </c>
      <c r="CJ416" t="n">
        <v>24</v>
      </c>
      <c r="CK416" t="n">
        <v>37</v>
      </c>
      <c r="CL416" t="n">
        <v>50</v>
      </c>
      <c r="CM416" t="n">
        <v>52</v>
      </c>
      <c r="CN416" t="n">
        <v>92</v>
      </c>
      <c r="CO416" t="n">
        <v>92</v>
      </c>
      <c r="CP416" t="n">
        <v>0</v>
      </c>
      <c r="CQ416" t="n">
        <v>0</v>
      </c>
      <c r="CR416" t="n">
        <v>0</v>
      </c>
      <c r="CS416" t="n">
        <v>0</v>
      </c>
      <c r="CT416" t="n">
        <v>0</v>
      </c>
      <c r="CU416" t="n">
        <v>0</v>
      </c>
      <c r="CV416" t="n">
        <v>0</v>
      </c>
      <c r="CW416" t="n">
        <v>0</v>
      </c>
      <c r="CX416" t="n">
        <v>45.2</v>
      </c>
      <c r="CY416" t="n">
        <v>27.6</v>
      </c>
      <c r="CZ416" t="n">
        <v>59.1</v>
      </c>
      <c r="DA416" t="n">
        <v>43.7</v>
      </c>
      <c r="DB416" t="n">
        <v>38.5</v>
      </c>
      <c r="DC416" t="n">
        <v>22.8</v>
      </c>
      <c r="DD416" t="n">
        <v>46.8</v>
      </c>
      <c r="DE416" t="n">
        <v>34.4</v>
      </c>
      <c r="DF416" t="n">
        <v>45.2</v>
      </c>
      <c r="DG416" t="n">
        <v>27.6</v>
      </c>
      <c r="DH416" t="n">
        <v>59.1</v>
      </c>
      <c r="DI416" t="n">
        <v>43.7</v>
      </c>
      <c r="DJ416" t="n">
        <v>38.5</v>
      </c>
      <c r="DK416" t="n">
        <v>22.8</v>
      </c>
      <c r="DL416" t="n">
        <v>46.8</v>
      </c>
      <c r="DM416" t="n">
        <v>34.4</v>
      </c>
      <c r="DN416" t="n">
        <v>0</v>
      </c>
      <c r="DO416" t="n">
        <v>0</v>
      </c>
      <c r="DP416" t="n">
        <v>0</v>
      </c>
      <c r="DQ416" t="n">
        <v>0</v>
      </c>
      <c r="DR416" t="n">
        <v>0</v>
      </c>
      <c r="DS416" t="n">
        <v>0</v>
      </c>
      <c r="DT416" t="n">
        <v>0</v>
      </c>
      <c r="DU416" t="n">
        <v>0</v>
      </c>
      <c r="DV416" t="inlineStr">
        <is>
          <t>(CONTRACTS OF 1,000 BARRELS)</t>
        </is>
      </c>
    </row>
    <row r="417">
      <c r="A417" t="inlineStr">
        <is>
          <t>CRUDE OIL, LIGHT SWEET-WTI - ICE FUTURES EUROPE</t>
        </is>
      </c>
      <c r="B417" t="n">
        <v>230103</v>
      </c>
      <c r="C417" s="1" t="n">
        <v>44929</v>
      </c>
      <c r="D417" t="inlineStr">
        <is>
          <t>067411</t>
        </is>
      </c>
      <c r="E417" t="inlineStr">
        <is>
          <t>ICEU</t>
        </is>
      </c>
      <c r="F417" t="inlineStr">
        <is>
          <t>01</t>
        </is>
      </c>
      <c r="G417" t="inlineStr">
        <is>
          <t xml:space="preserve">067 </t>
        </is>
      </c>
      <c r="H417" t="n">
        <v>363278</v>
      </c>
      <c r="I417" s="17" t="n">
        <v>94516</v>
      </c>
      <c r="J417" s="17" t="n">
        <v>51067</v>
      </c>
      <c r="K417" t="n">
        <v>67904</v>
      </c>
      <c r="L417" t="n">
        <v>190087</v>
      </c>
      <c r="M417" t="n">
        <v>231194</v>
      </c>
      <c r="N417" t="n">
        <v>352507</v>
      </c>
      <c r="O417" t="n">
        <v>350165</v>
      </c>
      <c r="P417" t="n">
        <v>10771</v>
      </c>
      <c r="Q417" t="n">
        <v>13113</v>
      </c>
      <c r="R417" t="n">
        <v>363278</v>
      </c>
      <c r="S417" t="n">
        <v>94516</v>
      </c>
      <c r="T417" t="n">
        <v>51067</v>
      </c>
      <c r="U417" t="n">
        <v>67904</v>
      </c>
      <c r="V417" t="n">
        <v>190087</v>
      </c>
      <c r="W417" t="n">
        <v>231194</v>
      </c>
      <c r="X417" t="n">
        <v>352507</v>
      </c>
      <c r="Y417" t="n">
        <v>350165</v>
      </c>
      <c r="Z417" t="n">
        <v>10771</v>
      </c>
      <c r="AA417" t="n">
        <v>13113</v>
      </c>
      <c r="AB417" t="n">
        <v>0</v>
      </c>
      <c r="AC417" t="n">
        <v>0</v>
      </c>
      <c r="AD417" t="n">
        <v>0</v>
      </c>
      <c r="AE417" t="n">
        <v>0</v>
      </c>
      <c r="AF417" t="n">
        <v>0</v>
      </c>
      <c r="AG417" t="n">
        <v>0</v>
      </c>
      <c r="AH417" t="n">
        <v>0</v>
      </c>
      <c r="AI417" t="n">
        <v>0</v>
      </c>
      <c r="AJ417" t="n">
        <v>0</v>
      </c>
      <c r="AK417" t="n">
        <v>0</v>
      </c>
      <c r="AL417" t="n">
        <v>-3544</v>
      </c>
      <c r="AM417" t="n">
        <v>-10393</v>
      </c>
      <c r="AN417" t="n">
        <v>3176</v>
      </c>
      <c r="AO417" t="n">
        <v>913</v>
      </c>
      <c r="AP417" t="n">
        <v>5573</v>
      </c>
      <c r="AQ417" t="n">
        <v>-7908</v>
      </c>
      <c r="AR417" t="n">
        <v>-3907</v>
      </c>
      <c r="AS417" t="n">
        <v>-3819</v>
      </c>
      <c r="AT417" t="n">
        <v>363</v>
      </c>
      <c r="AU417" t="n">
        <v>275</v>
      </c>
      <c r="AV417" t="n">
        <v>100</v>
      </c>
      <c r="AW417" t="n">
        <v>26</v>
      </c>
      <c r="AX417" t="n">
        <v>14.1</v>
      </c>
      <c r="AY417" t="n">
        <v>18.7</v>
      </c>
      <c r="AZ417" t="n">
        <v>52.3</v>
      </c>
      <c r="BA417" t="n">
        <v>63.6</v>
      </c>
      <c r="BB417" t="n">
        <v>97</v>
      </c>
      <c r="BC417" t="n">
        <v>96.40000000000001</v>
      </c>
      <c r="BD417" t="n">
        <v>3</v>
      </c>
      <c r="BE417" t="n">
        <v>3.6</v>
      </c>
      <c r="BF417" t="n">
        <v>100</v>
      </c>
      <c r="BG417" t="n">
        <v>26</v>
      </c>
      <c r="BH417" t="n">
        <v>14.1</v>
      </c>
      <c r="BI417" t="n">
        <v>18.7</v>
      </c>
      <c r="BJ417" t="n">
        <v>52.3</v>
      </c>
      <c r="BK417" t="n">
        <v>63.6</v>
      </c>
      <c r="BL417" t="n">
        <v>97</v>
      </c>
      <c r="BM417" t="n">
        <v>96.40000000000001</v>
      </c>
      <c r="BN417" t="n">
        <v>3</v>
      </c>
      <c r="BO417" t="n">
        <v>3.6</v>
      </c>
      <c r="BP417" t="n">
        <v>0</v>
      </c>
      <c r="BQ417" t="n">
        <v>0</v>
      </c>
      <c r="BR417" t="n">
        <v>0</v>
      </c>
      <c r="BS417" t="n">
        <v>0</v>
      </c>
      <c r="BT417" t="n">
        <v>0</v>
      </c>
      <c r="BU417" t="n">
        <v>0</v>
      </c>
      <c r="BV417" t="n">
        <v>0</v>
      </c>
      <c r="BW417" t="n">
        <v>0</v>
      </c>
      <c r="BX417" t="n">
        <v>0</v>
      </c>
      <c r="BY417" t="n">
        <v>0</v>
      </c>
      <c r="BZ417" t="n">
        <v>100</v>
      </c>
      <c r="CA417" t="n">
        <v>18</v>
      </c>
      <c r="CB417" t="n">
        <v>27</v>
      </c>
      <c r="CC417" t="n">
        <v>31</v>
      </c>
      <c r="CD417" t="n">
        <v>48</v>
      </c>
      <c r="CE417" t="n">
        <v>50</v>
      </c>
      <c r="CF417" t="n">
        <v>88</v>
      </c>
      <c r="CG417" t="n">
        <v>87</v>
      </c>
      <c r="CH417" t="n">
        <v>100</v>
      </c>
      <c r="CI417" t="n">
        <v>18</v>
      </c>
      <c r="CJ417" t="n">
        <v>27</v>
      </c>
      <c r="CK417" t="n">
        <v>31</v>
      </c>
      <c r="CL417" t="n">
        <v>48</v>
      </c>
      <c r="CM417" t="n">
        <v>50</v>
      </c>
      <c r="CN417" t="n">
        <v>88</v>
      </c>
      <c r="CO417" t="n">
        <v>87</v>
      </c>
      <c r="CP417" t="n">
        <v>0</v>
      </c>
      <c r="CQ417" t="n">
        <v>0</v>
      </c>
      <c r="CR417" t="n">
        <v>0</v>
      </c>
      <c r="CS417" t="n">
        <v>0</v>
      </c>
      <c r="CT417" t="n">
        <v>0</v>
      </c>
      <c r="CU417" t="n">
        <v>0</v>
      </c>
      <c r="CV417" t="n">
        <v>0</v>
      </c>
      <c r="CW417" t="n">
        <v>0</v>
      </c>
      <c r="CX417" t="n">
        <v>45.7</v>
      </c>
      <c r="CY417" t="n">
        <v>27.1</v>
      </c>
      <c r="CZ417" t="n">
        <v>60.6</v>
      </c>
      <c r="DA417" t="n">
        <v>43.1</v>
      </c>
      <c r="DB417" t="n">
        <v>39.7</v>
      </c>
      <c r="DC417" t="n">
        <v>22.5</v>
      </c>
      <c r="DD417" t="n">
        <v>48.2</v>
      </c>
      <c r="DE417" t="n">
        <v>34.1</v>
      </c>
      <c r="DF417" t="n">
        <v>45.7</v>
      </c>
      <c r="DG417" t="n">
        <v>27.1</v>
      </c>
      <c r="DH417" t="n">
        <v>60.6</v>
      </c>
      <c r="DI417" t="n">
        <v>43.1</v>
      </c>
      <c r="DJ417" t="n">
        <v>39.7</v>
      </c>
      <c r="DK417" t="n">
        <v>22.5</v>
      </c>
      <c r="DL417" t="n">
        <v>48.2</v>
      </c>
      <c r="DM417" t="n">
        <v>34.1</v>
      </c>
      <c r="DN417" t="n">
        <v>0</v>
      </c>
      <c r="DO417" t="n">
        <v>0</v>
      </c>
      <c r="DP417" t="n">
        <v>0</v>
      </c>
      <c r="DQ417" t="n">
        <v>0</v>
      </c>
      <c r="DR417" t="n">
        <v>0</v>
      </c>
      <c r="DS417" t="n">
        <v>0</v>
      </c>
      <c r="DT417" t="n">
        <v>0</v>
      </c>
      <c r="DU417" t="n">
        <v>0</v>
      </c>
      <c r="DV417" t="inlineStr">
        <is>
          <t>(CONTRACTS OF 1,000 BARRELS)</t>
        </is>
      </c>
    </row>
    <row r="418">
      <c r="A418" t="inlineStr">
        <is>
          <t>CRUDE DIFF-TMX WCS 1A INDEX - ICE FUTURES ENERGY DIV</t>
        </is>
      </c>
      <c r="B418" t="n">
        <v>230110</v>
      </c>
      <c r="C418" s="1" t="n">
        <v>44936</v>
      </c>
      <c r="D418" t="inlineStr">
        <is>
          <t>06742G</t>
        </is>
      </c>
      <c r="E418" t="inlineStr">
        <is>
          <t>IFED</t>
        </is>
      </c>
      <c r="F418" t="inlineStr">
        <is>
          <t>01</t>
        </is>
      </c>
      <c r="G418" t="inlineStr">
        <is>
          <t xml:space="preserve">067 </t>
        </is>
      </c>
      <c r="H418" t="n">
        <v>21643</v>
      </c>
      <c r="I418" s="17" t="n">
        <v>0</v>
      </c>
      <c r="J418" s="17" t="n">
        <v>149</v>
      </c>
      <c r="K418" t="n">
        <v>0</v>
      </c>
      <c r="L418" t="n">
        <v>21568</v>
      </c>
      <c r="M418" t="n">
        <v>21344</v>
      </c>
      <c r="N418" t="n">
        <v>21568</v>
      </c>
      <c r="O418" t="n">
        <v>21493</v>
      </c>
      <c r="P418" t="n">
        <v>75</v>
      </c>
      <c r="Q418" t="n">
        <v>150</v>
      </c>
      <c r="R418" t="n">
        <v>21643</v>
      </c>
      <c r="S418" t="n">
        <v>0</v>
      </c>
      <c r="T418" t="n">
        <v>149</v>
      </c>
      <c r="U418" t="n">
        <v>0</v>
      </c>
      <c r="V418" t="n">
        <v>21568</v>
      </c>
      <c r="W418" t="n">
        <v>21344</v>
      </c>
      <c r="X418" t="n">
        <v>21568</v>
      </c>
      <c r="Y418" t="n">
        <v>21493</v>
      </c>
      <c r="Z418" t="n">
        <v>75</v>
      </c>
      <c r="AA418" t="n">
        <v>150</v>
      </c>
      <c r="AB418" t="n">
        <v>0</v>
      </c>
      <c r="AC418" t="n">
        <v>0</v>
      </c>
      <c r="AD418" t="n">
        <v>0</v>
      </c>
      <c r="AE418" t="n">
        <v>0</v>
      </c>
      <c r="AF418" t="n">
        <v>0</v>
      </c>
      <c r="AG418" t="n">
        <v>0</v>
      </c>
      <c r="AH418" t="n">
        <v>0</v>
      </c>
      <c r="AI418" t="n">
        <v>0</v>
      </c>
      <c r="AJ418" t="n">
        <v>0</v>
      </c>
      <c r="AK418" t="n">
        <v>0</v>
      </c>
      <c r="AL418" t="n">
        <v>803</v>
      </c>
      <c r="AM418" t="n">
        <v>0</v>
      </c>
      <c r="AN418" t="n">
        <v>-54</v>
      </c>
      <c r="AO418" t="n">
        <v>0</v>
      </c>
      <c r="AP418" t="n">
        <v>803</v>
      </c>
      <c r="AQ418" t="n">
        <v>857</v>
      </c>
      <c r="AR418" t="n">
        <v>803</v>
      </c>
      <c r="AS418" t="n">
        <v>803</v>
      </c>
      <c r="AT418" t="n">
        <v>0</v>
      </c>
      <c r="AU418" t="n">
        <v>0</v>
      </c>
      <c r="AV418" t="n">
        <v>100</v>
      </c>
      <c r="AW418" t="n">
        <v>0</v>
      </c>
      <c r="AX418" t="n">
        <v>0.7</v>
      </c>
      <c r="AY418" t="n">
        <v>0</v>
      </c>
      <c r="AZ418" t="n">
        <v>99.7</v>
      </c>
      <c r="BA418" t="n">
        <v>98.59999999999999</v>
      </c>
      <c r="BB418" t="n">
        <v>99.7</v>
      </c>
      <c r="BC418" t="n">
        <v>99.3</v>
      </c>
      <c r="BD418" t="n">
        <v>0.3</v>
      </c>
      <c r="BE418" t="n">
        <v>0.7</v>
      </c>
      <c r="BF418" t="n">
        <v>100</v>
      </c>
      <c r="BG418" t="n">
        <v>0</v>
      </c>
      <c r="BH418" t="n">
        <v>0.7</v>
      </c>
      <c r="BI418" t="n">
        <v>0</v>
      </c>
      <c r="BJ418" t="n">
        <v>99.7</v>
      </c>
      <c r="BK418" t="n">
        <v>98.59999999999999</v>
      </c>
      <c r="BL418" t="n">
        <v>99.7</v>
      </c>
      <c r="BM418" t="n">
        <v>99.3</v>
      </c>
      <c r="BN418" t="n">
        <v>0.3</v>
      </c>
      <c r="BO418" t="n">
        <v>0.7</v>
      </c>
      <c r="BP418" t="n">
        <v>0</v>
      </c>
      <c r="BQ418" t="n">
        <v>0</v>
      </c>
      <c r="BR418" t="n">
        <v>0</v>
      </c>
      <c r="BS418" t="n">
        <v>0</v>
      </c>
      <c r="BT418" t="n">
        <v>0</v>
      </c>
      <c r="BU418" t="n">
        <v>0</v>
      </c>
      <c r="BV418" t="n">
        <v>0</v>
      </c>
      <c r="BW418" t="n">
        <v>0</v>
      </c>
      <c r="BX418" t="n">
        <v>0</v>
      </c>
      <c r="BY418" t="n">
        <v>0</v>
      </c>
      <c r="BZ418" t="n">
        <v>30</v>
      </c>
      <c r="CA418" t="n">
        <v>0</v>
      </c>
      <c r="CB418" t="n">
        <v>1</v>
      </c>
      <c r="CC418" t="n">
        <v>0</v>
      </c>
      <c r="CD418" t="n">
        <v>21</v>
      </c>
      <c r="CE418" t="n">
        <v>22</v>
      </c>
      <c r="CF418" t="n">
        <v>21</v>
      </c>
      <c r="CG418" t="n">
        <v>23</v>
      </c>
      <c r="CH418" t="n">
        <v>30</v>
      </c>
      <c r="CI418" t="n">
        <v>0</v>
      </c>
      <c r="CJ418" t="n">
        <v>1</v>
      </c>
      <c r="CK418" t="n">
        <v>0</v>
      </c>
      <c r="CL418" t="n">
        <v>21</v>
      </c>
      <c r="CM418" t="n">
        <v>22</v>
      </c>
      <c r="CN418" t="n">
        <v>21</v>
      </c>
      <c r="CO418" t="n">
        <v>23</v>
      </c>
      <c r="CP418" t="n">
        <v>0</v>
      </c>
      <c r="CQ418" t="n">
        <v>0</v>
      </c>
      <c r="CR418" t="n">
        <v>0</v>
      </c>
      <c r="CS418" t="n">
        <v>0</v>
      </c>
      <c r="CT418" t="n">
        <v>0</v>
      </c>
      <c r="CU418" t="n">
        <v>0</v>
      </c>
      <c r="CV418" t="n">
        <v>0</v>
      </c>
      <c r="CW418" t="n">
        <v>0</v>
      </c>
      <c r="CX418" t="n">
        <v>56.9</v>
      </c>
      <c r="CY418" t="n">
        <v>54.4</v>
      </c>
      <c r="CZ418" t="n">
        <v>83.8</v>
      </c>
      <c r="DA418" t="n">
        <v>75.59999999999999</v>
      </c>
      <c r="DB418" t="n">
        <v>36.4</v>
      </c>
      <c r="DC418" t="n">
        <v>39.7</v>
      </c>
      <c r="DD418" t="n">
        <v>47.5</v>
      </c>
      <c r="DE418" t="n">
        <v>48.2</v>
      </c>
      <c r="DF418" t="n">
        <v>56.9</v>
      </c>
      <c r="DG418" t="n">
        <v>54.4</v>
      </c>
      <c r="DH418" t="n">
        <v>83.8</v>
      </c>
      <c r="DI418" t="n">
        <v>75.59999999999999</v>
      </c>
      <c r="DJ418" t="n">
        <v>36.4</v>
      </c>
      <c r="DK418" t="n">
        <v>39.7</v>
      </c>
      <c r="DL418" t="n">
        <v>47.5</v>
      </c>
      <c r="DM418" t="n">
        <v>48.2</v>
      </c>
      <c r="DN418" t="n">
        <v>0</v>
      </c>
      <c r="DO418" t="n">
        <v>0</v>
      </c>
      <c r="DP418" t="n">
        <v>0</v>
      </c>
      <c r="DQ418" t="n">
        <v>0</v>
      </c>
      <c r="DR418" t="n">
        <v>0</v>
      </c>
      <c r="DS418" t="n">
        <v>0</v>
      </c>
      <c r="DT418" t="n">
        <v>0</v>
      </c>
      <c r="DU418" t="n">
        <v>0</v>
      </c>
      <c r="DV418" t="inlineStr">
        <is>
          <t>1000 BARRELS</t>
        </is>
      </c>
    </row>
    <row r="419">
      <c r="A419" t="inlineStr">
        <is>
          <t>CRUDE DIFF-TMX WCS 1A INDEX - ICE FUTURES ENERGY DIV</t>
        </is>
      </c>
      <c r="B419" t="n">
        <v>230103</v>
      </c>
      <c r="C419" s="1" t="n">
        <v>44929</v>
      </c>
      <c r="D419" t="inlineStr">
        <is>
          <t>06742G</t>
        </is>
      </c>
      <c r="E419" t="inlineStr">
        <is>
          <t>IFED</t>
        </is>
      </c>
      <c r="F419" t="inlineStr">
        <is>
          <t>01</t>
        </is>
      </c>
      <c r="G419" t="inlineStr">
        <is>
          <t xml:space="preserve">067 </t>
        </is>
      </c>
      <c r="H419" t="n">
        <v>20840</v>
      </c>
      <c r="I419" s="17" t="n">
        <v>0</v>
      </c>
      <c r="J419" s="17" t="n">
        <v>203</v>
      </c>
      <c r="K419" t="n">
        <v>0</v>
      </c>
      <c r="L419" t="n">
        <v>20765</v>
      </c>
      <c r="M419" t="n">
        <v>20487</v>
      </c>
      <c r="N419" t="n">
        <v>20765</v>
      </c>
      <c r="O419" t="n">
        <v>20690</v>
      </c>
      <c r="P419" t="n">
        <v>75</v>
      </c>
      <c r="Q419" t="n">
        <v>150</v>
      </c>
      <c r="R419" t="n">
        <v>20840</v>
      </c>
      <c r="S419" t="n">
        <v>0</v>
      </c>
      <c r="T419" t="n">
        <v>203</v>
      </c>
      <c r="U419" t="n">
        <v>0</v>
      </c>
      <c r="V419" t="n">
        <v>20765</v>
      </c>
      <c r="W419" t="n">
        <v>20487</v>
      </c>
      <c r="X419" t="n">
        <v>20765</v>
      </c>
      <c r="Y419" t="n">
        <v>20690</v>
      </c>
      <c r="Z419" t="n">
        <v>75</v>
      </c>
      <c r="AA419" t="n">
        <v>150</v>
      </c>
      <c r="AB419" t="n">
        <v>0</v>
      </c>
      <c r="AC419" t="n">
        <v>0</v>
      </c>
      <c r="AD419" t="n">
        <v>0</v>
      </c>
      <c r="AE419" t="n">
        <v>0</v>
      </c>
      <c r="AF419" t="n">
        <v>0</v>
      </c>
      <c r="AG419" t="n">
        <v>0</v>
      </c>
      <c r="AH419" t="n">
        <v>0</v>
      </c>
      <c r="AI419" t="n">
        <v>0</v>
      </c>
      <c r="AJ419" t="n">
        <v>0</v>
      </c>
      <c r="AK419" t="n">
        <v>0</v>
      </c>
      <c r="AL419" t="n">
        <v>647</v>
      </c>
      <c r="AM419" t="n">
        <v>0</v>
      </c>
      <c r="AN419" t="n">
        <v>12</v>
      </c>
      <c r="AO419" t="n">
        <v>0</v>
      </c>
      <c r="AP419" t="n">
        <v>652</v>
      </c>
      <c r="AQ419" t="n">
        <v>620</v>
      </c>
      <c r="AR419" t="n">
        <v>652</v>
      </c>
      <c r="AS419" t="n">
        <v>632</v>
      </c>
      <c r="AT419" t="n">
        <v>-5</v>
      </c>
      <c r="AU419" t="n">
        <v>15</v>
      </c>
      <c r="AV419" t="n">
        <v>100</v>
      </c>
      <c r="AW419" t="n">
        <v>0</v>
      </c>
      <c r="AX419" t="n">
        <v>1</v>
      </c>
      <c r="AY419" t="n">
        <v>0</v>
      </c>
      <c r="AZ419" t="n">
        <v>99.59999999999999</v>
      </c>
      <c r="BA419" t="n">
        <v>98.3</v>
      </c>
      <c r="BB419" t="n">
        <v>99.59999999999999</v>
      </c>
      <c r="BC419" t="n">
        <v>99.3</v>
      </c>
      <c r="BD419" t="n">
        <v>0.4</v>
      </c>
      <c r="BE419" t="n">
        <v>0.7</v>
      </c>
      <c r="BF419" t="n">
        <v>100</v>
      </c>
      <c r="BG419" t="n">
        <v>0</v>
      </c>
      <c r="BH419" t="n">
        <v>1</v>
      </c>
      <c r="BI419" t="n">
        <v>0</v>
      </c>
      <c r="BJ419" t="n">
        <v>99.59999999999999</v>
      </c>
      <c r="BK419" t="n">
        <v>98.3</v>
      </c>
      <c r="BL419" t="n">
        <v>99.59999999999999</v>
      </c>
      <c r="BM419" t="n">
        <v>99.3</v>
      </c>
      <c r="BN419" t="n">
        <v>0.4</v>
      </c>
      <c r="BO419" t="n">
        <v>0.7</v>
      </c>
      <c r="BP419" t="n">
        <v>0</v>
      </c>
      <c r="BQ419" t="n">
        <v>0</v>
      </c>
      <c r="BR419" t="n">
        <v>0</v>
      </c>
      <c r="BS419" t="n">
        <v>0</v>
      </c>
      <c r="BT419" t="n">
        <v>0</v>
      </c>
      <c r="BU419" t="n">
        <v>0</v>
      </c>
      <c r="BV419" t="n">
        <v>0</v>
      </c>
      <c r="BW419" t="n">
        <v>0</v>
      </c>
      <c r="BX419" t="n">
        <v>0</v>
      </c>
      <c r="BY419" t="n">
        <v>0</v>
      </c>
      <c r="BZ419" t="n">
        <v>29</v>
      </c>
      <c r="CA419" t="n">
        <v>0</v>
      </c>
      <c r="CB419" t="n">
        <v>1</v>
      </c>
      <c r="CC419" t="n">
        <v>0</v>
      </c>
      <c r="CD419" t="n">
        <v>20</v>
      </c>
      <c r="CE419" t="n">
        <v>21</v>
      </c>
      <c r="CF419" t="n">
        <v>20</v>
      </c>
      <c r="CG419" t="n">
        <v>22</v>
      </c>
      <c r="CH419" t="n">
        <v>29</v>
      </c>
      <c r="CI419" t="n">
        <v>0</v>
      </c>
      <c r="CJ419" t="n">
        <v>1</v>
      </c>
      <c r="CK419" t="n">
        <v>0</v>
      </c>
      <c r="CL419" t="n">
        <v>20</v>
      </c>
      <c r="CM419" t="n">
        <v>21</v>
      </c>
      <c r="CN419" t="n">
        <v>20</v>
      </c>
      <c r="CO419" t="n">
        <v>22</v>
      </c>
      <c r="CP419" t="n">
        <v>0</v>
      </c>
      <c r="CQ419" t="n">
        <v>0</v>
      </c>
      <c r="CR419" t="n">
        <v>0</v>
      </c>
      <c r="CS419" t="n">
        <v>0</v>
      </c>
      <c r="CT419" t="n">
        <v>0</v>
      </c>
      <c r="CU419" t="n">
        <v>0</v>
      </c>
      <c r="CV419" t="n">
        <v>0</v>
      </c>
      <c r="CW419" t="n">
        <v>0</v>
      </c>
      <c r="CX419" t="n">
        <v>56.6</v>
      </c>
      <c r="CY419" t="n">
        <v>51.3</v>
      </c>
      <c r="CZ419" t="n">
        <v>84.2</v>
      </c>
      <c r="DA419" t="n">
        <v>74.2</v>
      </c>
      <c r="DB419" t="n">
        <v>37.1</v>
      </c>
      <c r="DC419" t="n">
        <v>38.8</v>
      </c>
      <c r="DD419" t="n">
        <v>47.5</v>
      </c>
      <c r="DE419" t="n">
        <v>49.8</v>
      </c>
      <c r="DF419" t="n">
        <v>56.6</v>
      </c>
      <c r="DG419" t="n">
        <v>51.3</v>
      </c>
      <c r="DH419" t="n">
        <v>84.2</v>
      </c>
      <c r="DI419" t="n">
        <v>74.2</v>
      </c>
      <c r="DJ419" t="n">
        <v>37.1</v>
      </c>
      <c r="DK419" t="n">
        <v>38.8</v>
      </c>
      <c r="DL419" t="n">
        <v>47.5</v>
      </c>
      <c r="DM419" t="n">
        <v>49.8</v>
      </c>
      <c r="DN419" t="n">
        <v>0</v>
      </c>
      <c r="DO419" t="n">
        <v>0</v>
      </c>
      <c r="DP419" t="n">
        <v>0</v>
      </c>
      <c r="DQ419" t="n">
        <v>0</v>
      </c>
      <c r="DR419" t="n">
        <v>0</v>
      </c>
      <c r="DS419" t="n">
        <v>0</v>
      </c>
      <c r="DT419" t="n">
        <v>0</v>
      </c>
      <c r="DU419" t="n">
        <v>0</v>
      </c>
      <c r="DV419" t="inlineStr">
        <is>
          <t>1000 BARRELS</t>
        </is>
      </c>
    </row>
    <row r="420">
      <c r="A420" t="inlineStr">
        <is>
          <t>CRUDE DIFF-TMX SW 1A INDEX - ICE FUTURES ENERGY DIV</t>
        </is>
      </c>
      <c r="B420" t="n">
        <v>230110</v>
      </c>
      <c r="C420" s="1" t="n">
        <v>44936</v>
      </c>
      <c r="D420" t="inlineStr">
        <is>
          <t>06742T</t>
        </is>
      </c>
      <c r="E420" t="inlineStr">
        <is>
          <t>IFED</t>
        </is>
      </c>
      <c r="F420" t="inlineStr">
        <is>
          <t>01</t>
        </is>
      </c>
      <c r="G420" t="inlineStr">
        <is>
          <t xml:space="preserve">067 </t>
        </is>
      </c>
      <c r="H420" t="n">
        <v>12517</v>
      </c>
      <c r="I420" s="17" t="n">
        <v>0</v>
      </c>
      <c r="J420" s="17" t="n">
        <v>0</v>
      </c>
      <c r="K420" t="n">
        <v>0</v>
      </c>
      <c r="L420" t="n">
        <v>12496</v>
      </c>
      <c r="M420" t="n">
        <v>12273</v>
      </c>
      <c r="N420" t="n">
        <v>12496</v>
      </c>
      <c r="O420" t="n">
        <v>12273</v>
      </c>
      <c r="P420" t="n">
        <v>21</v>
      </c>
      <c r="Q420" t="n">
        <v>244</v>
      </c>
      <c r="R420" t="n">
        <v>12517</v>
      </c>
      <c r="S420" t="n">
        <v>0</v>
      </c>
      <c r="T420" t="n">
        <v>0</v>
      </c>
      <c r="U420" t="n">
        <v>0</v>
      </c>
      <c r="V420" t="n">
        <v>12496</v>
      </c>
      <c r="W420" t="n">
        <v>12273</v>
      </c>
      <c r="X420" t="n">
        <v>12496</v>
      </c>
      <c r="Y420" t="n">
        <v>12273</v>
      </c>
      <c r="Z420" t="n">
        <v>21</v>
      </c>
      <c r="AA420" t="n">
        <v>244</v>
      </c>
      <c r="AB420" t="n">
        <v>0</v>
      </c>
      <c r="AC420" t="n">
        <v>0</v>
      </c>
      <c r="AD420" t="n">
        <v>0</v>
      </c>
      <c r="AE420" t="n">
        <v>0</v>
      </c>
      <c r="AF420" t="n">
        <v>0</v>
      </c>
      <c r="AG420" t="n">
        <v>0</v>
      </c>
      <c r="AH420" t="n">
        <v>0</v>
      </c>
      <c r="AI420" t="n">
        <v>0</v>
      </c>
      <c r="AJ420" t="n">
        <v>0</v>
      </c>
      <c r="AK420" t="n">
        <v>0</v>
      </c>
      <c r="AL420" t="n">
        <v>2090</v>
      </c>
      <c r="AM420" t="n">
        <v>0</v>
      </c>
      <c r="AN420" t="n">
        <v>0</v>
      </c>
      <c r="AO420" t="n">
        <v>0</v>
      </c>
      <c r="AP420" t="n">
        <v>2090</v>
      </c>
      <c r="AQ420" t="n">
        <v>2090</v>
      </c>
      <c r="AR420" t="n">
        <v>2090</v>
      </c>
      <c r="AS420" t="n">
        <v>2090</v>
      </c>
      <c r="AT420" t="n">
        <v>0</v>
      </c>
      <c r="AU420" t="n">
        <v>0</v>
      </c>
      <c r="AV420" t="n">
        <v>100</v>
      </c>
      <c r="AW420" t="n">
        <v>0</v>
      </c>
      <c r="AX420" t="n">
        <v>0</v>
      </c>
      <c r="AY420" t="n">
        <v>0</v>
      </c>
      <c r="AZ420" t="n">
        <v>99.8</v>
      </c>
      <c r="BA420" t="n">
        <v>98.09999999999999</v>
      </c>
      <c r="BB420" t="n">
        <v>99.8</v>
      </c>
      <c r="BC420" t="n">
        <v>98.09999999999999</v>
      </c>
      <c r="BD420" t="n">
        <v>0.2</v>
      </c>
      <c r="BE420" t="n">
        <v>1.9</v>
      </c>
      <c r="BF420" t="n">
        <v>100</v>
      </c>
      <c r="BG420" t="n">
        <v>0</v>
      </c>
      <c r="BH420" t="n">
        <v>0</v>
      </c>
      <c r="BI420" t="n">
        <v>0</v>
      </c>
      <c r="BJ420" t="n">
        <v>99.8</v>
      </c>
      <c r="BK420" t="n">
        <v>98.09999999999999</v>
      </c>
      <c r="BL420" t="n">
        <v>99.8</v>
      </c>
      <c r="BM420" t="n">
        <v>98.09999999999999</v>
      </c>
      <c r="BN420" t="n">
        <v>0.2</v>
      </c>
      <c r="BO420" t="n">
        <v>1.9</v>
      </c>
      <c r="BP420" t="n">
        <v>0</v>
      </c>
      <c r="BQ420" t="n">
        <v>0</v>
      </c>
      <c r="BR420" t="n">
        <v>0</v>
      </c>
      <c r="BS420" t="n">
        <v>0</v>
      </c>
      <c r="BT420" t="n">
        <v>0</v>
      </c>
      <c r="BU420" t="n">
        <v>0</v>
      </c>
      <c r="BV420" t="n">
        <v>0</v>
      </c>
      <c r="BW420" t="n">
        <v>0</v>
      </c>
      <c r="BX420" t="n">
        <v>0</v>
      </c>
      <c r="BY420" t="n">
        <v>0</v>
      </c>
      <c r="BZ420" t="n">
        <v>21</v>
      </c>
      <c r="CA420" t="n">
        <v>0</v>
      </c>
      <c r="CB420" t="n">
        <v>0</v>
      </c>
      <c r="CC420" t="n">
        <v>0</v>
      </c>
      <c r="CD420" t="n">
        <v>15</v>
      </c>
      <c r="CE420" t="n">
        <v>16</v>
      </c>
      <c r="CF420" t="n">
        <v>15</v>
      </c>
      <c r="CG420" t="n">
        <v>16</v>
      </c>
      <c r="CH420" t="n">
        <v>21</v>
      </c>
      <c r="CI420" t="n">
        <v>0</v>
      </c>
      <c r="CJ420" t="n">
        <v>0</v>
      </c>
      <c r="CK420" t="n">
        <v>0</v>
      </c>
      <c r="CL420" t="n">
        <v>15</v>
      </c>
      <c r="CM420" t="n">
        <v>16</v>
      </c>
      <c r="CN420" t="n">
        <v>15</v>
      </c>
      <c r="CO420" t="n">
        <v>16</v>
      </c>
      <c r="CP420" t="n">
        <v>0</v>
      </c>
      <c r="CQ420" t="n">
        <v>0</v>
      </c>
      <c r="CR420" t="n">
        <v>0</v>
      </c>
      <c r="CS420" t="n">
        <v>0</v>
      </c>
      <c r="CT420" t="n">
        <v>0</v>
      </c>
      <c r="CU420" t="n">
        <v>0</v>
      </c>
      <c r="CV420" t="n">
        <v>0</v>
      </c>
      <c r="CW420" t="n">
        <v>0</v>
      </c>
      <c r="CX420" t="n">
        <v>78.7</v>
      </c>
      <c r="CY420" t="n">
        <v>68.5</v>
      </c>
      <c r="CZ420" t="n">
        <v>94.3</v>
      </c>
      <c r="DA420" t="n">
        <v>85.7</v>
      </c>
      <c r="DB420" t="n">
        <v>72.90000000000001</v>
      </c>
      <c r="DC420" t="n">
        <v>67.90000000000001</v>
      </c>
      <c r="DD420" t="n">
        <v>84.5</v>
      </c>
      <c r="DE420" t="n">
        <v>79.59999999999999</v>
      </c>
      <c r="DF420" t="n">
        <v>78.7</v>
      </c>
      <c r="DG420" t="n">
        <v>68.5</v>
      </c>
      <c r="DH420" t="n">
        <v>94.3</v>
      </c>
      <c r="DI420" t="n">
        <v>85.7</v>
      </c>
      <c r="DJ420" t="n">
        <v>72.90000000000001</v>
      </c>
      <c r="DK420" t="n">
        <v>67.90000000000001</v>
      </c>
      <c r="DL420" t="n">
        <v>84.5</v>
      </c>
      <c r="DM420" t="n">
        <v>79.59999999999999</v>
      </c>
      <c r="DN420" t="n">
        <v>0</v>
      </c>
      <c r="DO420" t="n">
        <v>0</v>
      </c>
      <c r="DP420" t="n">
        <v>0</v>
      </c>
      <c r="DQ420" t="n">
        <v>0</v>
      </c>
      <c r="DR420" t="n">
        <v>0</v>
      </c>
      <c r="DS420" t="n">
        <v>0</v>
      </c>
      <c r="DT420" t="n">
        <v>0</v>
      </c>
      <c r="DU420" t="n">
        <v>0</v>
      </c>
      <c r="DV420" t="inlineStr">
        <is>
          <t>1000 BARRELS</t>
        </is>
      </c>
    </row>
    <row r="421">
      <c r="A421" t="inlineStr">
        <is>
          <t>CRUDE DIFF-TMX SW 1A INDEX - ICE FUTURES ENERGY DIV</t>
        </is>
      </c>
      <c r="B421" t="n">
        <v>230103</v>
      </c>
      <c r="C421" s="1" t="n">
        <v>44929</v>
      </c>
      <c r="D421" t="inlineStr">
        <is>
          <t>06742T</t>
        </is>
      </c>
      <c r="E421" t="inlineStr">
        <is>
          <t>IFED</t>
        </is>
      </c>
      <c r="F421" t="inlineStr">
        <is>
          <t>01</t>
        </is>
      </c>
      <c r="G421" t="inlineStr">
        <is>
          <t xml:space="preserve">067 </t>
        </is>
      </c>
      <c r="H421" t="n">
        <v>10427</v>
      </c>
      <c r="I421" s="17" t="n">
        <v>0</v>
      </c>
      <c r="J421" s="17" t="n">
        <v>0</v>
      </c>
      <c r="K421" t="n">
        <v>0</v>
      </c>
      <c r="L421" t="n">
        <v>10406</v>
      </c>
      <c r="M421" t="n">
        <v>10183</v>
      </c>
      <c r="N421" t="n">
        <v>10406</v>
      </c>
      <c r="O421" t="n">
        <v>10183</v>
      </c>
      <c r="P421" t="n">
        <v>21</v>
      </c>
      <c r="Q421" t="n">
        <v>244</v>
      </c>
      <c r="R421" t="n">
        <v>10427</v>
      </c>
      <c r="S421" t="n">
        <v>0</v>
      </c>
      <c r="T421" t="n">
        <v>0</v>
      </c>
      <c r="U421" t="n">
        <v>0</v>
      </c>
      <c r="V421" t="n">
        <v>10406</v>
      </c>
      <c r="W421" t="n">
        <v>10183</v>
      </c>
      <c r="X421" t="n">
        <v>10406</v>
      </c>
      <c r="Y421" t="n">
        <v>10183</v>
      </c>
      <c r="Z421" t="n">
        <v>21</v>
      </c>
      <c r="AA421" t="n">
        <v>244</v>
      </c>
      <c r="AB421" t="n">
        <v>0</v>
      </c>
      <c r="AC421" t="n">
        <v>0</v>
      </c>
      <c r="AD421" t="n">
        <v>0</v>
      </c>
      <c r="AE421" t="n">
        <v>0</v>
      </c>
      <c r="AF421" t="n">
        <v>0</v>
      </c>
      <c r="AG421" t="n">
        <v>0</v>
      </c>
      <c r="AH421" t="n">
        <v>0</v>
      </c>
      <c r="AI421" t="n">
        <v>0</v>
      </c>
      <c r="AJ421" t="n">
        <v>0</v>
      </c>
      <c r="AK421" t="n">
        <v>0</v>
      </c>
      <c r="AL421" t="n">
        <v>60</v>
      </c>
      <c r="AM421" t="n">
        <v>0</v>
      </c>
      <c r="AN421" t="n">
        <v>0</v>
      </c>
      <c r="AO421" t="n">
        <v>0</v>
      </c>
      <c r="AP421" t="n">
        <v>60</v>
      </c>
      <c r="AQ421" t="n">
        <v>60</v>
      </c>
      <c r="AR421" t="n">
        <v>60</v>
      </c>
      <c r="AS421" t="n">
        <v>60</v>
      </c>
      <c r="AT421" t="n">
        <v>0</v>
      </c>
      <c r="AU421" t="n">
        <v>0</v>
      </c>
      <c r="AV421" t="n">
        <v>100</v>
      </c>
      <c r="AW421" t="n">
        <v>0</v>
      </c>
      <c r="AX421" t="n">
        <v>0</v>
      </c>
      <c r="AY421" t="n">
        <v>0</v>
      </c>
      <c r="AZ421" t="n">
        <v>99.8</v>
      </c>
      <c r="BA421" t="n">
        <v>97.7</v>
      </c>
      <c r="BB421" t="n">
        <v>99.8</v>
      </c>
      <c r="BC421" t="n">
        <v>97.7</v>
      </c>
      <c r="BD421" t="n">
        <v>0.2</v>
      </c>
      <c r="BE421" t="n">
        <v>2.3</v>
      </c>
      <c r="BF421" t="n">
        <v>100</v>
      </c>
      <c r="BG421" t="n">
        <v>0</v>
      </c>
      <c r="BH421" t="n">
        <v>0</v>
      </c>
      <c r="BI421" t="n">
        <v>0</v>
      </c>
      <c r="BJ421" t="n">
        <v>99.8</v>
      </c>
      <c r="BK421" t="n">
        <v>97.7</v>
      </c>
      <c r="BL421" t="n">
        <v>99.8</v>
      </c>
      <c r="BM421" t="n">
        <v>97.7</v>
      </c>
      <c r="BN421" t="n">
        <v>0.2</v>
      </c>
      <c r="BO421" t="n">
        <v>2.3</v>
      </c>
      <c r="BP421" t="n">
        <v>0</v>
      </c>
      <c r="BQ421" t="n">
        <v>0</v>
      </c>
      <c r="BR421" t="n">
        <v>0</v>
      </c>
      <c r="BS421" t="n">
        <v>0</v>
      </c>
      <c r="BT421" t="n">
        <v>0</v>
      </c>
      <c r="BU421" t="n">
        <v>0</v>
      </c>
      <c r="BV421" t="n">
        <v>0</v>
      </c>
      <c r="BW421" t="n">
        <v>0</v>
      </c>
      <c r="BX421" t="n">
        <v>0</v>
      </c>
      <c r="BY421" t="n">
        <v>0</v>
      </c>
      <c r="BZ421" t="n">
        <v>20</v>
      </c>
      <c r="CA421" t="n">
        <v>0</v>
      </c>
      <c r="CB421" t="n">
        <v>0</v>
      </c>
      <c r="CC421" t="n">
        <v>0</v>
      </c>
      <c r="CD421" t="n">
        <v>14</v>
      </c>
      <c r="CE421" t="n">
        <v>15</v>
      </c>
      <c r="CF421" t="n">
        <v>14</v>
      </c>
      <c r="CG421" t="n">
        <v>15</v>
      </c>
      <c r="CH421" t="n">
        <v>20</v>
      </c>
      <c r="CI421" t="n">
        <v>0</v>
      </c>
      <c r="CJ421" t="n">
        <v>0</v>
      </c>
      <c r="CK421" t="n">
        <v>0</v>
      </c>
      <c r="CL421" t="n">
        <v>14</v>
      </c>
      <c r="CM421" t="n">
        <v>15</v>
      </c>
      <c r="CN421" t="n">
        <v>14</v>
      </c>
      <c r="CO421" t="n">
        <v>15</v>
      </c>
      <c r="CP421" t="n">
        <v>0</v>
      </c>
      <c r="CQ421" t="n">
        <v>0</v>
      </c>
      <c r="CR421" t="n">
        <v>0</v>
      </c>
      <c r="CS421" t="n">
        <v>0</v>
      </c>
      <c r="CT421" t="n">
        <v>0</v>
      </c>
      <c r="CU421" t="n">
        <v>0</v>
      </c>
      <c r="CV421" t="n">
        <v>0</v>
      </c>
      <c r="CW421" t="n">
        <v>0</v>
      </c>
      <c r="CX421" t="n">
        <v>79.7</v>
      </c>
      <c r="CY421" t="n">
        <v>68.40000000000001</v>
      </c>
      <c r="CZ421" t="n">
        <v>95.3</v>
      </c>
      <c r="DA421" t="n">
        <v>84.90000000000001</v>
      </c>
      <c r="DB421" t="n">
        <v>72.90000000000001</v>
      </c>
      <c r="DC421" t="n">
        <v>67.90000000000001</v>
      </c>
      <c r="DD421" t="n">
        <v>85.8</v>
      </c>
      <c r="DE421" t="n">
        <v>78.90000000000001</v>
      </c>
      <c r="DF421" t="n">
        <v>79.7</v>
      </c>
      <c r="DG421" t="n">
        <v>68.40000000000001</v>
      </c>
      <c r="DH421" t="n">
        <v>95.3</v>
      </c>
      <c r="DI421" t="n">
        <v>84.90000000000001</v>
      </c>
      <c r="DJ421" t="n">
        <v>72.90000000000001</v>
      </c>
      <c r="DK421" t="n">
        <v>67.90000000000001</v>
      </c>
      <c r="DL421" t="n">
        <v>85.8</v>
      </c>
      <c r="DM421" t="n">
        <v>78.90000000000001</v>
      </c>
      <c r="DN421" t="n">
        <v>0</v>
      </c>
      <c r="DO421" t="n">
        <v>0</v>
      </c>
      <c r="DP421" t="n">
        <v>0</v>
      </c>
      <c r="DQ421" t="n">
        <v>0</v>
      </c>
      <c r="DR421" t="n">
        <v>0</v>
      </c>
      <c r="DS421" t="n">
        <v>0</v>
      </c>
      <c r="DT421" t="n">
        <v>0</v>
      </c>
      <c r="DU421" t="n">
        <v>0</v>
      </c>
      <c r="DV421" t="inlineStr">
        <is>
          <t>1000 BARRELS</t>
        </is>
      </c>
    </row>
    <row r="422">
      <c r="A422" t="inlineStr">
        <is>
          <t>WTI-PHYSICAL - NEW YORK MERCANTILE EXCHANGE</t>
        </is>
      </c>
      <c r="B422" t="n">
        <v>230110</v>
      </c>
      <c r="C422" s="1" t="n">
        <v>44936</v>
      </c>
      <c r="D422" t="inlineStr">
        <is>
          <t>067651</t>
        </is>
      </c>
      <c r="E422" t="inlineStr">
        <is>
          <t>NYME</t>
        </is>
      </c>
      <c r="F422" t="inlineStr">
        <is>
          <t>01</t>
        </is>
      </c>
      <c r="G422" t="inlineStr">
        <is>
          <t xml:space="preserve">067 </t>
        </is>
      </c>
      <c r="H422" t="n">
        <v>1557092</v>
      </c>
      <c r="I422" s="17" t="n">
        <v>307170</v>
      </c>
      <c r="J422" s="17" t="n">
        <v>101934</v>
      </c>
      <c r="K422" t="n">
        <v>593747</v>
      </c>
      <c r="L422" t="n">
        <v>583480</v>
      </c>
      <c r="M422" t="n">
        <v>808982</v>
      </c>
      <c r="N422" t="n">
        <v>1484397</v>
      </c>
      <c r="O422" t="n">
        <v>1504663</v>
      </c>
      <c r="P422" t="n">
        <v>72695</v>
      </c>
      <c r="Q422" t="n">
        <v>52429</v>
      </c>
      <c r="R422" t="n">
        <v>1557092</v>
      </c>
      <c r="S422" t="n">
        <v>307170</v>
      </c>
      <c r="T422" t="n">
        <v>101934</v>
      </c>
      <c r="U422" t="n">
        <v>593747</v>
      </c>
      <c r="V422" t="n">
        <v>583480</v>
      </c>
      <c r="W422" t="n">
        <v>808982</v>
      </c>
      <c r="X422" t="n">
        <v>1484397</v>
      </c>
      <c r="Y422" t="n">
        <v>1504663</v>
      </c>
      <c r="Z422" t="n">
        <v>72695</v>
      </c>
      <c r="AA422" t="n">
        <v>52429</v>
      </c>
      <c r="AB422" t="n">
        <v>0</v>
      </c>
      <c r="AC422" t="n">
        <v>0</v>
      </c>
      <c r="AD422" t="n">
        <v>0</v>
      </c>
      <c r="AE422" t="n">
        <v>0</v>
      </c>
      <c r="AF422" t="n">
        <v>0</v>
      </c>
      <c r="AG422" t="n">
        <v>0</v>
      </c>
      <c r="AH422" t="n">
        <v>0</v>
      </c>
      <c r="AI422" t="n">
        <v>0</v>
      </c>
      <c r="AJ422" t="n">
        <v>0</v>
      </c>
      <c r="AK422" t="n">
        <v>0</v>
      </c>
      <c r="AL422" t="n">
        <v>97156</v>
      </c>
      <c r="AM422" t="n">
        <v>-16376</v>
      </c>
      <c r="AN422" t="n">
        <v>5995</v>
      </c>
      <c r="AO422" t="n">
        <v>60230</v>
      </c>
      <c r="AP422" t="n">
        <v>55707</v>
      </c>
      <c r="AQ422" t="n">
        <v>32169</v>
      </c>
      <c r="AR422" t="n">
        <v>99561</v>
      </c>
      <c r="AS422" t="n">
        <v>98394</v>
      </c>
      <c r="AT422" t="n">
        <v>-2405</v>
      </c>
      <c r="AU422" t="n">
        <v>-1238</v>
      </c>
      <c r="AV422" t="n">
        <v>100</v>
      </c>
      <c r="AW422" t="n">
        <v>19.7</v>
      </c>
      <c r="AX422" t="n">
        <v>6.5</v>
      </c>
      <c r="AY422" t="n">
        <v>38.1</v>
      </c>
      <c r="AZ422" t="n">
        <v>37.5</v>
      </c>
      <c r="BA422" t="n">
        <v>52</v>
      </c>
      <c r="BB422" t="n">
        <v>95.3</v>
      </c>
      <c r="BC422" t="n">
        <v>96.59999999999999</v>
      </c>
      <c r="BD422" t="n">
        <v>4.7</v>
      </c>
      <c r="BE422" t="n">
        <v>3.4</v>
      </c>
      <c r="BF422" t="n">
        <v>100</v>
      </c>
      <c r="BG422" t="n">
        <v>19.7</v>
      </c>
      <c r="BH422" t="n">
        <v>6.5</v>
      </c>
      <c r="BI422" t="n">
        <v>38.1</v>
      </c>
      <c r="BJ422" t="n">
        <v>37.5</v>
      </c>
      <c r="BK422" t="n">
        <v>52</v>
      </c>
      <c r="BL422" t="n">
        <v>95.3</v>
      </c>
      <c r="BM422" t="n">
        <v>96.59999999999999</v>
      </c>
      <c r="BN422" t="n">
        <v>4.7</v>
      </c>
      <c r="BO422" t="n">
        <v>3.4</v>
      </c>
      <c r="BP422" t="n">
        <v>0</v>
      </c>
      <c r="BQ422" t="n">
        <v>0</v>
      </c>
      <c r="BR422" t="n">
        <v>0</v>
      </c>
      <c r="BS422" t="n">
        <v>0</v>
      </c>
      <c r="BT422" t="n">
        <v>0</v>
      </c>
      <c r="BU422" t="n">
        <v>0</v>
      </c>
      <c r="BV422" t="n">
        <v>0</v>
      </c>
      <c r="BW422" t="n">
        <v>0</v>
      </c>
      <c r="BX422" t="n">
        <v>0</v>
      </c>
      <c r="BY422" t="n">
        <v>0</v>
      </c>
      <c r="BZ422" t="n">
        <v>347</v>
      </c>
      <c r="CA422" t="n">
        <v>150</v>
      </c>
      <c r="CB422" t="n">
        <v>66</v>
      </c>
      <c r="CC422" t="n">
        <v>138</v>
      </c>
      <c r="CD422" t="n">
        <v>97</v>
      </c>
      <c r="CE422" t="n">
        <v>108</v>
      </c>
      <c r="CF422" t="n">
        <v>308</v>
      </c>
      <c r="CG422" t="n">
        <v>265</v>
      </c>
      <c r="CH422" t="n">
        <v>347</v>
      </c>
      <c r="CI422" t="n">
        <v>150</v>
      </c>
      <c r="CJ422" t="n">
        <v>66</v>
      </c>
      <c r="CK422" t="n">
        <v>138</v>
      </c>
      <c r="CL422" t="n">
        <v>97</v>
      </c>
      <c r="CM422" t="n">
        <v>108</v>
      </c>
      <c r="CN422" t="n">
        <v>308</v>
      </c>
      <c r="CO422" t="n">
        <v>265</v>
      </c>
      <c r="CP422" t="n">
        <v>0</v>
      </c>
      <c r="CQ422" t="n">
        <v>0</v>
      </c>
      <c r="CR422" t="n">
        <v>0</v>
      </c>
      <c r="CS422" t="n">
        <v>0</v>
      </c>
      <c r="CT422" t="n">
        <v>0</v>
      </c>
      <c r="CU422" t="n">
        <v>0</v>
      </c>
      <c r="CV422" t="n">
        <v>0</v>
      </c>
      <c r="CW422" t="n">
        <v>0</v>
      </c>
      <c r="CX422" t="n">
        <v>21.2</v>
      </c>
      <c r="CY422" t="n">
        <v>23</v>
      </c>
      <c r="CZ422" t="n">
        <v>29.3</v>
      </c>
      <c r="DA422" t="n">
        <v>34.5</v>
      </c>
      <c r="DB422" t="n">
        <v>6.8</v>
      </c>
      <c r="DC422" t="n">
        <v>11.9</v>
      </c>
      <c r="DD422" t="n">
        <v>11.2</v>
      </c>
      <c r="DE422" t="n">
        <v>17.2</v>
      </c>
      <c r="DF422" t="n">
        <v>21.2</v>
      </c>
      <c r="DG422" t="n">
        <v>23</v>
      </c>
      <c r="DH422" t="n">
        <v>29.3</v>
      </c>
      <c r="DI422" t="n">
        <v>34.5</v>
      </c>
      <c r="DJ422" t="n">
        <v>6.8</v>
      </c>
      <c r="DK422" t="n">
        <v>11.9</v>
      </c>
      <c r="DL422" t="n">
        <v>11.2</v>
      </c>
      <c r="DM422" t="n">
        <v>17.2</v>
      </c>
      <c r="DN422" t="n">
        <v>0</v>
      </c>
      <c r="DO422" t="n">
        <v>0</v>
      </c>
      <c r="DP422" t="n">
        <v>0</v>
      </c>
      <c r="DQ422" t="n">
        <v>0</v>
      </c>
      <c r="DR422" t="n">
        <v>0</v>
      </c>
      <c r="DS422" t="n">
        <v>0</v>
      </c>
      <c r="DT422" t="n">
        <v>0</v>
      </c>
      <c r="DU422" t="n">
        <v>0</v>
      </c>
      <c r="DV422" t="inlineStr">
        <is>
          <t>(CONTRACTS OF 1,000 BARRELS)</t>
        </is>
      </c>
    </row>
    <row r="423">
      <c r="A423" t="inlineStr">
        <is>
          <t>WTI-PHYSICAL - NEW YORK MERCANTILE EXCHANGE</t>
        </is>
      </c>
      <c r="B423" t="n">
        <v>230103</v>
      </c>
      <c r="C423" s="1" t="n">
        <v>44929</v>
      </c>
      <c r="D423" t="inlineStr">
        <is>
          <t>067651</t>
        </is>
      </c>
      <c r="E423" t="inlineStr">
        <is>
          <t>NYME</t>
        </is>
      </c>
      <c r="F423" t="inlineStr">
        <is>
          <t>01</t>
        </is>
      </c>
      <c r="G423" t="inlineStr">
        <is>
          <t xml:space="preserve">067 </t>
        </is>
      </c>
      <c r="H423" t="n">
        <v>1459936</v>
      </c>
      <c r="I423" s="17" t="n">
        <v>323546</v>
      </c>
      <c r="J423" s="17" t="n">
        <v>95939</v>
      </c>
      <c r="K423" t="n">
        <v>533517</v>
      </c>
      <c r="L423" t="n">
        <v>527773</v>
      </c>
      <c r="M423" t="n">
        <v>776813</v>
      </c>
      <c r="N423" t="n">
        <v>1384836</v>
      </c>
      <c r="O423" t="n">
        <v>1406269</v>
      </c>
      <c r="P423" t="n">
        <v>75100</v>
      </c>
      <c r="Q423" t="n">
        <v>53667</v>
      </c>
      <c r="R423" t="n">
        <v>1459936</v>
      </c>
      <c r="S423" t="n">
        <v>323546</v>
      </c>
      <c r="T423" t="n">
        <v>95939</v>
      </c>
      <c r="U423" t="n">
        <v>533517</v>
      </c>
      <c r="V423" t="n">
        <v>527773</v>
      </c>
      <c r="W423" t="n">
        <v>776813</v>
      </c>
      <c r="X423" t="n">
        <v>1384836</v>
      </c>
      <c r="Y423" t="n">
        <v>1406269</v>
      </c>
      <c r="Z423" t="n">
        <v>75100</v>
      </c>
      <c r="AA423" t="n">
        <v>53667</v>
      </c>
      <c r="AB423" t="n">
        <v>0</v>
      </c>
      <c r="AC423" t="n">
        <v>0</v>
      </c>
      <c r="AD423" t="n">
        <v>0</v>
      </c>
      <c r="AE423" t="n">
        <v>0</v>
      </c>
      <c r="AF423" t="n">
        <v>0</v>
      </c>
      <c r="AG423" t="n">
        <v>0</v>
      </c>
      <c r="AH423" t="n">
        <v>0</v>
      </c>
      <c r="AI423" t="n">
        <v>0</v>
      </c>
      <c r="AJ423" t="n">
        <v>0</v>
      </c>
      <c r="AK423" t="n">
        <v>0</v>
      </c>
      <c r="AL423" t="n">
        <v>46391</v>
      </c>
      <c r="AM423" t="n">
        <v>-1471</v>
      </c>
      <c r="AN423" t="n">
        <v>18540</v>
      </c>
      <c r="AO423" t="n">
        <v>15925</v>
      </c>
      <c r="AP423" t="n">
        <v>30522</v>
      </c>
      <c r="AQ423" t="n">
        <v>13008</v>
      </c>
      <c r="AR423" t="n">
        <v>44976</v>
      </c>
      <c r="AS423" t="n">
        <v>47473</v>
      </c>
      <c r="AT423" t="n">
        <v>1415</v>
      </c>
      <c r="AU423" t="n">
        <v>-1082</v>
      </c>
      <c r="AV423" t="n">
        <v>100</v>
      </c>
      <c r="AW423" t="n">
        <v>22.2</v>
      </c>
      <c r="AX423" t="n">
        <v>6.6</v>
      </c>
      <c r="AY423" t="n">
        <v>36.5</v>
      </c>
      <c r="AZ423" t="n">
        <v>36.2</v>
      </c>
      <c r="BA423" t="n">
        <v>53.2</v>
      </c>
      <c r="BB423" t="n">
        <v>94.90000000000001</v>
      </c>
      <c r="BC423" t="n">
        <v>96.3</v>
      </c>
      <c r="BD423" t="n">
        <v>5.1</v>
      </c>
      <c r="BE423" t="n">
        <v>3.7</v>
      </c>
      <c r="BF423" t="n">
        <v>100</v>
      </c>
      <c r="BG423" t="n">
        <v>22.2</v>
      </c>
      <c r="BH423" t="n">
        <v>6.6</v>
      </c>
      <c r="BI423" t="n">
        <v>36.5</v>
      </c>
      <c r="BJ423" t="n">
        <v>36.2</v>
      </c>
      <c r="BK423" t="n">
        <v>53.2</v>
      </c>
      <c r="BL423" t="n">
        <v>94.90000000000001</v>
      </c>
      <c r="BM423" t="n">
        <v>96.3</v>
      </c>
      <c r="BN423" t="n">
        <v>5.1</v>
      </c>
      <c r="BO423" t="n">
        <v>3.7</v>
      </c>
      <c r="BP423" t="n">
        <v>0</v>
      </c>
      <c r="BQ423" t="n">
        <v>0</v>
      </c>
      <c r="BR423" t="n">
        <v>0</v>
      </c>
      <c r="BS423" t="n">
        <v>0</v>
      </c>
      <c r="BT423" t="n">
        <v>0</v>
      </c>
      <c r="BU423" t="n">
        <v>0</v>
      </c>
      <c r="BV423" t="n">
        <v>0</v>
      </c>
      <c r="BW423" t="n">
        <v>0</v>
      </c>
      <c r="BX423" t="n">
        <v>0</v>
      </c>
      <c r="BY423" t="n">
        <v>0</v>
      </c>
      <c r="BZ423" t="n">
        <v>329</v>
      </c>
      <c r="CA423" t="n">
        <v>140</v>
      </c>
      <c r="CB423" t="n">
        <v>67</v>
      </c>
      <c r="CC423" t="n">
        <v>136</v>
      </c>
      <c r="CD423" t="n">
        <v>92</v>
      </c>
      <c r="CE423" t="n">
        <v>105</v>
      </c>
      <c r="CF423" t="n">
        <v>293</v>
      </c>
      <c r="CG423" t="n">
        <v>258</v>
      </c>
      <c r="CH423" t="n">
        <v>329</v>
      </c>
      <c r="CI423" t="n">
        <v>140</v>
      </c>
      <c r="CJ423" t="n">
        <v>67</v>
      </c>
      <c r="CK423" t="n">
        <v>136</v>
      </c>
      <c r="CL423" t="n">
        <v>92</v>
      </c>
      <c r="CM423" t="n">
        <v>105</v>
      </c>
      <c r="CN423" t="n">
        <v>293</v>
      </c>
      <c r="CO423" t="n">
        <v>258</v>
      </c>
      <c r="CP423" t="n">
        <v>0</v>
      </c>
      <c r="CQ423" t="n">
        <v>0</v>
      </c>
      <c r="CR423" t="n">
        <v>0</v>
      </c>
      <c r="CS423" t="n">
        <v>0</v>
      </c>
      <c r="CT423" t="n">
        <v>0</v>
      </c>
      <c r="CU423" t="n">
        <v>0</v>
      </c>
      <c r="CV423" t="n">
        <v>0</v>
      </c>
      <c r="CW423" t="n">
        <v>0</v>
      </c>
      <c r="CX423" t="n">
        <v>21.3</v>
      </c>
      <c r="CY423" t="n">
        <v>22.9</v>
      </c>
      <c r="CZ423" t="n">
        <v>29.1</v>
      </c>
      <c r="DA423" t="n">
        <v>34.4</v>
      </c>
      <c r="DB423" t="n">
        <v>8.1</v>
      </c>
      <c r="DC423" t="n">
        <v>13.3</v>
      </c>
      <c r="DD423" t="n">
        <v>12.6</v>
      </c>
      <c r="DE423" t="n">
        <v>18.8</v>
      </c>
      <c r="DF423" t="n">
        <v>21.3</v>
      </c>
      <c r="DG423" t="n">
        <v>22.9</v>
      </c>
      <c r="DH423" t="n">
        <v>29.1</v>
      </c>
      <c r="DI423" t="n">
        <v>34.4</v>
      </c>
      <c r="DJ423" t="n">
        <v>8.1</v>
      </c>
      <c r="DK423" t="n">
        <v>13.3</v>
      </c>
      <c r="DL423" t="n">
        <v>12.6</v>
      </c>
      <c r="DM423" t="n">
        <v>18.8</v>
      </c>
      <c r="DN423" t="n">
        <v>0</v>
      </c>
      <c r="DO423" t="n">
        <v>0</v>
      </c>
      <c r="DP423" t="n">
        <v>0</v>
      </c>
      <c r="DQ423" t="n">
        <v>0</v>
      </c>
      <c r="DR423" t="n">
        <v>0</v>
      </c>
      <c r="DS423" t="n">
        <v>0</v>
      </c>
      <c r="DT423" t="n">
        <v>0</v>
      </c>
      <c r="DU423" t="n">
        <v>0</v>
      </c>
      <c r="DV423" t="inlineStr">
        <is>
          <t>(CONTRACTS OF 1,000 BARRELS)</t>
        </is>
      </c>
    </row>
    <row r="424">
      <c r="A424" t="inlineStr">
        <is>
          <t>WTI FINANCIAL CRUDE OIL - NEW YORK MERCANTILE EXCHANGE</t>
        </is>
      </c>
      <c r="B424" t="n">
        <v>230110</v>
      </c>
      <c r="C424" s="1" t="n">
        <v>44936</v>
      </c>
      <c r="D424" t="inlineStr">
        <is>
          <t>06765A</t>
        </is>
      </c>
      <c r="E424" t="inlineStr">
        <is>
          <t>NYME</t>
        </is>
      </c>
      <c r="F424" t="inlineStr">
        <is>
          <t>01</t>
        </is>
      </c>
      <c r="G424" t="inlineStr">
        <is>
          <t xml:space="preserve">067 </t>
        </is>
      </c>
      <c r="H424" t="n">
        <v>139987</v>
      </c>
      <c r="I424" s="17" t="n">
        <v>45094</v>
      </c>
      <c r="J424" s="17" t="n">
        <v>10831</v>
      </c>
      <c r="K424" t="n">
        <v>10847</v>
      </c>
      <c r="L424" t="n">
        <v>47426</v>
      </c>
      <c r="M424" t="n">
        <v>86368</v>
      </c>
      <c r="N424" t="n">
        <v>103367</v>
      </c>
      <c r="O424" t="n">
        <v>108046</v>
      </c>
      <c r="P424" t="n">
        <v>36620</v>
      </c>
      <c r="Q424" t="n">
        <v>31941</v>
      </c>
      <c r="R424" t="n">
        <v>139987</v>
      </c>
      <c r="S424" t="n">
        <v>45094</v>
      </c>
      <c r="T424" t="n">
        <v>10831</v>
      </c>
      <c r="U424" t="n">
        <v>10847</v>
      </c>
      <c r="V424" t="n">
        <v>47426</v>
      </c>
      <c r="W424" t="n">
        <v>86368</v>
      </c>
      <c r="X424" t="n">
        <v>103367</v>
      </c>
      <c r="Y424" t="n">
        <v>108046</v>
      </c>
      <c r="Z424" t="n">
        <v>36620</v>
      </c>
      <c r="AA424" t="n">
        <v>31941</v>
      </c>
      <c r="AB424" t="n">
        <v>0</v>
      </c>
      <c r="AC424" t="n">
        <v>0</v>
      </c>
      <c r="AD424" t="n">
        <v>0</v>
      </c>
      <c r="AE424" t="n">
        <v>0</v>
      </c>
      <c r="AF424" t="n">
        <v>0</v>
      </c>
      <c r="AG424" t="n">
        <v>0</v>
      </c>
      <c r="AH424" t="n">
        <v>0</v>
      </c>
      <c r="AI424" t="n">
        <v>0</v>
      </c>
      <c r="AJ424" t="n">
        <v>0</v>
      </c>
      <c r="AK424" t="n">
        <v>0</v>
      </c>
      <c r="AL424" t="n">
        <v>8861</v>
      </c>
      <c r="AM424" t="n">
        <v>-1961</v>
      </c>
      <c r="AN424" t="n">
        <v>-117</v>
      </c>
      <c r="AO424" t="n">
        <v>3857</v>
      </c>
      <c r="AP424" t="n">
        <v>6581</v>
      </c>
      <c r="AQ424" t="n">
        <v>4110</v>
      </c>
      <c r="AR424" t="n">
        <v>8477</v>
      </c>
      <c r="AS424" t="n">
        <v>7850</v>
      </c>
      <c r="AT424" t="n">
        <v>384</v>
      </c>
      <c r="AU424" t="n">
        <v>1011</v>
      </c>
      <c r="AV424" t="n">
        <v>100</v>
      </c>
      <c r="AW424" t="n">
        <v>32.2</v>
      </c>
      <c r="AX424" t="n">
        <v>7.7</v>
      </c>
      <c r="AY424" t="n">
        <v>7.7</v>
      </c>
      <c r="AZ424" t="n">
        <v>33.9</v>
      </c>
      <c r="BA424" t="n">
        <v>61.7</v>
      </c>
      <c r="BB424" t="n">
        <v>73.8</v>
      </c>
      <c r="BC424" t="n">
        <v>77.2</v>
      </c>
      <c r="BD424" t="n">
        <v>26.2</v>
      </c>
      <c r="BE424" t="n">
        <v>22.8</v>
      </c>
      <c r="BF424" t="n">
        <v>100</v>
      </c>
      <c r="BG424" t="n">
        <v>32.2</v>
      </c>
      <c r="BH424" t="n">
        <v>7.7</v>
      </c>
      <c r="BI424" t="n">
        <v>7.7</v>
      </c>
      <c r="BJ424" t="n">
        <v>33.9</v>
      </c>
      <c r="BK424" t="n">
        <v>61.7</v>
      </c>
      <c r="BL424" t="n">
        <v>73.8</v>
      </c>
      <c r="BM424" t="n">
        <v>77.2</v>
      </c>
      <c r="BN424" t="n">
        <v>26.2</v>
      </c>
      <c r="BO424" t="n">
        <v>22.8</v>
      </c>
      <c r="BP424" t="n">
        <v>0</v>
      </c>
      <c r="BQ424" t="n">
        <v>0</v>
      </c>
      <c r="BR424" t="n">
        <v>0</v>
      </c>
      <c r="BS424" t="n">
        <v>0</v>
      </c>
      <c r="BT424" t="n">
        <v>0</v>
      </c>
      <c r="BU424" t="n">
        <v>0</v>
      </c>
      <c r="BV424" t="n">
        <v>0</v>
      </c>
      <c r="BW424" t="n">
        <v>0</v>
      </c>
      <c r="BX424" t="n">
        <v>0</v>
      </c>
      <c r="BY424" t="n">
        <v>0</v>
      </c>
      <c r="BZ424" t="n">
        <v>31</v>
      </c>
      <c r="CA424" t="n">
        <v>6</v>
      </c>
      <c r="CB424" t="n">
        <v>2</v>
      </c>
      <c r="CC424" t="n">
        <v>6</v>
      </c>
      <c r="CD424" t="n">
        <v>16</v>
      </c>
      <c r="CE424" t="n">
        <v>20</v>
      </c>
      <c r="CF424" t="n">
        <v>23</v>
      </c>
      <c r="CG424" t="n">
        <v>27</v>
      </c>
      <c r="CH424" t="n">
        <v>31</v>
      </c>
      <c r="CI424" t="n">
        <v>6</v>
      </c>
      <c r="CJ424" t="n">
        <v>2</v>
      </c>
      <c r="CK424" t="n">
        <v>6</v>
      </c>
      <c r="CL424" t="n">
        <v>16</v>
      </c>
      <c r="CM424" t="n">
        <v>20</v>
      </c>
      <c r="CN424" t="n">
        <v>23</v>
      </c>
      <c r="CO424" t="n">
        <v>27</v>
      </c>
      <c r="CP424" t="n">
        <v>0</v>
      </c>
      <c r="CQ424" t="n">
        <v>0</v>
      </c>
      <c r="CR424" t="n">
        <v>0</v>
      </c>
      <c r="CS424" t="n">
        <v>0</v>
      </c>
      <c r="CT424" t="n">
        <v>0</v>
      </c>
      <c r="CU424" t="n">
        <v>0</v>
      </c>
      <c r="CV424" t="n">
        <v>0</v>
      </c>
      <c r="CW424" t="n">
        <v>0</v>
      </c>
      <c r="CX424" t="n">
        <v>51.1</v>
      </c>
      <c r="CY424" t="n">
        <v>34.6</v>
      </c>
      <c r="CZ424" t="n">
        <v>61.3</v>
      </c>
      <c r="DA424" t="n">
        <v>55.3</v>
      </c>
      <c r="DB424" t="n">
        <v>44.6</v>
      </c>
      <c r="DC424" t="n">
        <v>34.5</v>
      </c>
      <c r="DD424" t="n">
        <v>51.9</v>
      </c>
      <c r="DE424" t="n">
        <v>52.5</v>
      </c>
      <c r="DF424" t="n">
        <v>51.1</v>
      </c>
      <c r="DG424" t="n">
        <v>34.6</v>
      </c>
      <c r="DH424" t="n">
        <v>61.3</v>
      </c>
      <c r="DI424" t="n">
        <v>55.3</v>
      </c>
      <c r="DJ424" t="n">
        <v>44.6</v>
      </c>
      <c r="DK424" t="n">
        <v>34.5</v>
      </c>
      <c r="DL424" t="n">
        <v>51.9</v>
      </c>
      <c r="DM424" t="n">
        <v>52.5</v>
      </c>
      <c r="DN424" t="n">
        <v>0</v>
      </c>
      <c r="DO424" t="n">
        <v>0</v>
      </c>
      <c r="DP424" t="n">
        <v>0</v>
      </c>
      <c r="DQ424" t="n">
        <v>0</v>
      </c>
      <c r="DR424" t="n">
        <v>0</v>
      </c>
      <c r="DS424" t="n">
        <v>0</v>
      </c>
      <c r="DT424" t="n">
        <v>0</v>
      </c>
      <c r="DU424" t="n">
        <v>0</v>
      </c>
      <c r="DV424" t="inlineStr">
        <is>
          <t>(CONTRACTS OF 1,000 BARRELS)</t>
        </is>
      </c>
    </row>
    <row r="425">
      <c r="A425" t="inlineStr">
        <is>
          <t>WTI FINANCIAL CRUDE OIL - NEW YORK MERCANTILE EXCHANGE</t>
        </is>
      </c>
      <c r="B425" t="n">
        <v>230103</v>
      </c>
      <c r="C425" s="1" t="n">
        <v>44929</v>
      </c>
      <c r="D425" t="inlineStr">
        <is>
          <t>06765A</t>
        </is>
      </c>
      <c r="E425" t="inlineStr">
        <is>
          <t>NYME</t>
        </is>
      </c>
      <c r="F425" t="inlineStr">
        <is>
          <t>01</t>
        </is>
      </c>
      <c r="G425" t="inlineStr">
        <is>
          <t xml:space="preserve">067 </t>
        </is>
      </c>
      <c r="H425" t="n">
        <v>131126</v>
      </c>
      <c r="I425" s="17" t="n">
        <v>47055</v>
      </c>
      <c r="J425" s="17" t="n">
        <v>10948</v>
      </c>
      <c r="K425" t="n">
        <v>6990</v>
      </c>
      <c r="L425" t="n">
        <v>40845</v>
      </c>
      <c r="M425" t="n">
        <v>82258</v>
      </c>
      <c r="N425" t="n">
        <v>94890</v>
      </c>
      <c r="O425" t="n">
        <v>100196</v>
      </c>
      <c r="P425" t="n">
        <v>36236</v>
      </c>
      <c r="Q425" t="n">
        <v>30930</v>
      </c>
      <c r="R425" t="n">
        <v>131126</v>
      </c>
      <c r="S425" t="n">
        <v>47055</v>
      </c>
      <c r="T425" t="n">
        <v>10948</v>
      </c>
      <c r="U425" t="n">
        <v>6990</v>
      </c>
      <c r="V425" t="n">
        <v>40845</v>
      </c>
      <c r="W425" t="n">
        <v>82258</v>
      </c>
      <c r="X425" t="n">
        <v>94890</v>
      </c>
      <c r="Y425" t="n">
        <v>100196</v>
      </c>
      <c r="Z425" t="n">
        <v>36236</v>
      </c>
      <c r="AA425" t="n">
        <v>30930</v>
      </c>
      <c r="AB425" t="n">
        <v>0</v>
      </c>
      <c r="AC425" t="n">
        <v>0</v>
      </c>
      <c r="AD425" t="n">
        <v>0</v>
      </c>
      <c r="AE425" t="n">
        <v>0</v>
      </c>
      <c r="AF425" t="n">
        <v>0</v>
      </c>
      <c r="AG425" t="n">
        <v>0</v>
      </c>
      <c r="AH425" t="n">
        <v>0</v>
      </c>
      <c r="AI425" t="n">
        <v>0</v>
      </c>
      <c r="AJ425" t="n">
        <v>0</v>
      </c>
      <c r="AK425" t="n">
        <v>0</v>
      </c>
      <c r="AL425" t="n">
        <v>-16477</v>
      </c>
      <c r="AM425" t="n">
        <v>-6826</v>
      </c>
      <c r="AN425" t="n">
        <v>-6845</v>
      </c>
      <c r="AO425" t="n">
        <v>-1476</v>
      </c>
      <c r="AP425" t="n">
        <v>-13443</v>
      </c>
      <c r="AQ425" t="n">
        <v>-8168</v>
      </c>
      <c r="AR425" t="n">
        <v>-21745</v>
      </c>
      <c r="AS425" t="n">
        <v>-16489</v>
      </c>
      <c r="AT425" t="n">
        <v>5268</v>
      </c>
      <c r="AU425" t="n">
        <v>12</v>
      </c>
      <c r="AV425" t="n">
        <v>100</v>
      </c>
      <c r="AW425" t="n">
        <v>35.9</v>
      </c>
      <c r="AX425" t="n">
        <v>8.300000000000001</v>
      </c>
      <c r="AY425" t="n">
        <v>5.3</v>
      </c>
      <c r="AZ425" t="n">
        <v>31.1</v>
      </c>
      <c r="BA425" t="n">
        <v>62.7</v>
      </c>
      <c r="BB425" t="n">
        <v>72.40000000000001</v>
      </c>
      <c r="BC425" t="n">
        <v>76.40000000000001</v>
      </c>
      <c r="BD425" t="n">
        <v>27.6</v>
      </c>
      <c r="BE425" t="n">
        <v>23.6</v>
      </c>
      <c r="BF425" t="n">
        <v>100</v>
      </c>
      <c r="BG425" t="n">
        <v>35.9</v>
      </c>
      <c r="BH425" t="n">
        <v>8.300000000000001</v>
      </c>
      <c r="BI425" t="n">
        <v>5.3</v>
      </c>
      <c r="BJ425" t="n">
        <v>31.1</v>
      </c>
      <c r="BK425" t="n">
        <v>62.7</v>
      </c>
      <c r="BL425" t="n">
        <v>72.40000000000001</v>
      </c>
      <c r="BM425" t="n">
        <v>76.40000000000001</v>
      </c>
      <c r="BN425" t="n">
        <v>27.6</v>
      </c>
      <c r="BO425" t="n">
        <v>23.6</v>
      </c>
      <c r="BP425" t="n">
        <v>0</v>
      </c>
      <c r="BQ425" t="n">
        <v>0</v>
      </c>
      <c r="BR425" t="n">
        <v>0</v>
      </c>
      <c r="BS425" t="n">
        <v>0</v>
      </c>
      <c r="BT425" t="n">
        <v>0</v>
      </c>
      <c r="BU425" t="n">
        <v>0</v>
      </c>
      <c r="BV425" t="n">
        <v>0</v>
      </c>
      <c r="BW425" t="n">
        <v>0</v>
      </c>
      <c r="BX425" t="n">
        <v>0</v>
      </c>
      <c r="BY425" t="n">
        <v>0</v>
      </c>
      <c r="BZ425" t="n">
        <v>31</v>
      </c>
      <c r="CA425" t="n">
        <v>6</v>
      </c>
      <c r="CB425" t="n">
        <v>2</v>
      </c>
      <c r="CC425" t="n">
        <v>5</v>
      </c>
      <c r="CD425" t="n">
        <v>14</v>
      </c>
      <c r="CE425" t="n">
        <v>20</v>
      </c>
      <c r="CF425" t="n">
        <v>20</v>
      </c>
      <c r="CG425" t="n">
        <v>27</v>
      </c>
      <c r="CH425" t="n">
        <v>31</v>
      </c>
      <c r="CI425" t="n">
        <v>6</v>
      </c>
      <c r="CJ425" t="n">
        <v>2</v>
      </c>
      <c r="CK425" t="n">
        <v>5</v>
      </c>
      <c r="CL425" t="n">
        <v>14</v>
      </c>
      <c r="CM425" t="n">
        <v>20</v>
      </c>
      <c r="CN425" t="n">
        <v>20</v>
      </c>
      <c r="CO425" t="n">
        <v>27</v>
      </c>
      <c r="CP425" t="n">
        <v>0</v>
      </c>
      <c r="CQ425" t="n">
        <v>0</v>
      </c>
      <c r="CR425" t="n">
        <v>0</v>
      </c>
      <c r="CS425" t="n">
        <v>0</v>
      </c>
      <c r="CT425" t="n">
        <v>0</v>
      </c>
      <c r="CU425" t="n">
        <v>0</v>
      </c>
      <c r="CV425" t="n">
        <v>0</v>
      </c>
      <c r="CW425" t="n">
        <v>0</v>
      </c>
      <c r="CX425" t="n">
        <v>54.5</v>
      </c>
      <c r="CY425" t="n">
        <v>37</v>
      </c>
      <c r="CZ425" t="n">
        <v>63.6</v>
      </c>
      <c r="DA425" t="n">
        <v>58.9</v>
      </c>
      <c r="DB425" t="n">
        <v>48</v>
      </c>
      <c r="DC425" t="n">
        <v>37</v>
      </c>
      <c r="DD425" t="n">
        <v>55.8</v>
      </c>
      <c r="DE425" t="n">
        <v>56.1</v>
      </c>
      <c r="DF425" t="n">
        <v>54.5</v>
      </c>
      <c r="DG425" t="n">
        <v>37</v>
      </c>
      <c r="DH425" t="n">
        <v>63.6</v>
      </c>
      <c r="DI425" t="n">
        <v>58.9</v>
      </c>
      <c r="DJ425" t="n">
        <v>48</v>
      </c>
      <c r="DK425" t="n">
        <v>37</v>
      </c>
      <c r="DL425" t="n">
        <v>55.8</v>
      </c>
      <c r="DM425" t="n">
        <v>56.1</v>
      </c>
      <c r="DN425" t="n">
        <v>0</v>
      </c>
      <c r="DO425" t="n">
        <v>0</v>
      </c>
      <c r="DP425" t="n">
        <v>0</v>
      </c>
      <c r="DQ425" t="n">
        <v>0</v>
      </c>
      <c r="DR425" t="n">
        <v>0</v>
      </c>
      <c r="DS425" t="n">
        <v>0</v>
      </c>
      <c r="DT425" t="n">
        <v>0</v>
      </c>
      <c r="DU425" t="n">
        <v>0</v>
      </c>
      <c r="DV425" t="inlineStr">
        <is>
          <t>(CONTRACTS OF 1,000 BARRELS)</t>
        </is>
      </c>
    </row>
    <row r="426">
      <c r="A426" t="inlineStr">
        <is>
          <t>BRENT LAST DAY - NEW YORK MERCANTILE EXCHANGE</t>
        </is>
      </c>
      <c r="B426" t="n">
        <v>230110</v>
      </c>
      <c r="C426" s="1" t="n">
        <v>44936</v>
      </c>
      <c r="D426" t="inlineStr">
        <is>
          <t>06765T</t>
        </is>
      </c>
      <c r="E426" t="inlineStr">
        <is>
          <t>NYME</t>
        </is>
      </c>
      <c r="F426" t="inlineStr">
        <is>
          <t>01</t>
        </is>
      </c>
      <c r="G426" t="inlineStr">
        <is>
          <t xml:space="preserve">067 </t>
        </is>
      </c>
      <c r="H426" t="n">
        <v>140391</v>
      </c>
      <c r="I426" s="17" t="n">
        <v>36422</v>
      </c>
      <c r="J426" s="17" t="n">
        <v>62631</v>
      </c>
      <c r="K426" t="n">
        <v>27318</v>
      </c>
      <c r="L426" t="n">
        <v>67246</v>
      </c>
      <c r="M426" t="n">
        <v>44783</v>
      </c>
      <c r="N426" t="n">
        <v>130986</v>
      </c>
      <c r="O426" t="n">
        <v>134732</v>
      </c>
      <c r="P426" t="n">
        <v>9405</v>
      </c>
      <c r="Q426" t="n">
        <v>5659</v>
      </c>
      <c r="R426" t="n">
        <v>140391</v>
      </c>
      <c r="S426" t="n">
        <v>36422</v>
      </c>
      <c r="T426" t="n">
        <v>62631</v>
      </c>
      <c r="U426" t="n">
        <v>27318</v>
      </c>
      <c r="V426" t="n">
        <v>67246</v>
      </c>
      <c r="W426" t="n">
        <v>44783</v>
      </c>
      <c r="X426" t="n">
        <v>130986</v>
      </c>
      <c r="Y426" t="n">
        <v>134732</v>
      </c>
      <c r="Z426" t="n">
        <v>9405</v>
      </c>
      <c r="AA426" t="n">
        <v>5659</v>
      </c>
      <c r="AB426" t="n">
        <v>0</v>
      </c>
      <c r="AC426" t="n">
        <v>0</v>
      </c>
      <c r="AD426" t="n">
        <v>0</v>
      </c>
      <c r="AE426" t="n">
        <v>0</v>
      </c>
      <c r="AF426" t="n">
        <v>0</v>
      </c>
      <c r="AG426" t="n">
        <v>0</v>
      </c>
      <c r="AH426" t="n">
        <v>0</v>
      </c>
      <c r="AI426" t="n">
        <v>0</v>
      </c>
      <c r="AJ426" t="n">
        <v>0</v>
      </c>
      <c r="AK426" t="n">
        <v>0</v>
      </c>
      <c r="AL426" t="n">
        <v>704</v>
      </c>
      <c r="AM426" t="n">
        <v>-3170</v>
      </c>
      <c r="AN426" t="n">
        <v>-3475</v>
      </c>
      <c r="AO426" t="n">
        <v>540</v>
      </c>
      <c r="AP426" t="n">
        <v>2727</v>
      </c>
      <c r="AQ426" t="n">
        <v>3345</v>
      </c>
      <c r="AR426" t="n">
        <v>97</v>
      </c>
      <c r="AS426" t="n">
        <v>410</v>
      </c>
      <c r="AT426" t="n">
        <v>607</v>
      </c>
      <c r="AU426" t="n">
        <v>294</v>
      </c>
      <c r="AV426" t="n">
        <v>100</v>
      </c>
      <c r="AW426" t="n">
        <v>25.9</v>
      </c>
      <c r="AX426" t="n">
        <v>44.6</v>
      </c>
      <c r="AY426" t="n">
        <v>19.5</v>
      </c>
      <c r="AZ426" t="n">
        <v>47.9</v>
      </c>
      <c r="BA426" t="n">
        <v>31.9</v>
      </c>
      <c r="BB426" t="n">
        <v>93.3</v>
      </c>
      <c r="BC426" t="n">
        <v>96</v>
      </c>
      <c r="BD426" t="n">
        <v>6.7</v>
      </c>
      <c r="BE426" t="n">
        <v>4</v>
      </c>
      <c r="BF426" t="n">
        <v>100</v>
      </c>
      <c r="BG426" t="n">
        <v>25.9</v>
      </c>
      <c r="BH426" t="n">
        <v>44.6</v>
      </c>
      <c r="BI426" t="n">
        <v>19.5</v>
      </c>
      <c r="BJ426" t="n">
        <v>47.9</v>
      </c>
      <c r="BK426" t="n">
        <v>31.9</v>
      </c>
      <c r="BL426" t="n">
        <v>93.3</v>
      </c>
      <c r="BM426" t="n">
        <v>96</v>
      </c>
      <c r="BN426" t="n">
        <v>6.7</v>
      </c>
      <c r="BO426" t="n">
        <v>4</v>
      </c>
      <c r="BP426" t="n">
        <v>0</v>
      </c>
      <c r="BQ426" t="n">
        <v>0</v>
      </c>
      <c r="BR426" t="n">
        <v>0</v>
      </c>
      <c r="BS426" t="n">
        <v>0</v>
      </c>
      <c r="BT426" t="n">
        <v>0</v>
      </c>
      <c r="BU426" t="n">
        <v>0</v>
      </c>
      <c r="BV426" t="n">
        <v>0</v>
      </c>
      <c r="BW426" t="n">
        <v>0</v>
      </c>
      <c r="BX426" t="n">
        <v>0</v>
      </c>
      <c r="BY426" t="n">
        <v>0</v>
      </c>
      <c r="BZ426" t="n">
        <v>43</v>
      </c>
      <c r="CA426" t="n">
        <v>15</v>
      </c>
      <c r="CB426" t="n">
        <v>8</v>
      </c>
      <c r="CC426" t="n">
        <v>18</v>
      </c>
      <c r="CD426" t="n">
        <v>16</v>
      </c>
      <c r="CE426" t="n">
        <v>16</v>
      </c>
      <c r="CF426" t="n">
        <v>38</v>
      </c>
      <c r="CG426" t="n">
        <v>35</v>
      </c>
      <c r="CH426" t="n">
        <v>43</v>
      </c>
      <c r="CI426" t="n">
        <v>15</v>
      </c>
      <c r="CJ426" t="n">
        <v>8</v>
      </c>
      <c r="CK426" t="n">
        <v>18</v>
      </c>
      <c r="CL426" t="n">
        <v>16</v>
      </c>
      <c r="CM426" t="n">
        <v>16</v>
      </c>
      <c r="CN426" t="n">
        <v>38</v>
      </c>
      <c r="CO426" t="n">
        <v>35</v>
      </c>
      <c r="CP426" t="n">
        <v>0</v>
      </c>
      <c r="CQ426" t="n">
        <v>0</v>
      </c>
      <c r="CR426" t="n">
        <v>0</v>
      </c>
      <c r="CS426" t="n">
        <v>0</v>
      </c>
      <c r="CT426" t="n">
        <v>0</v>
      </c>
      <c r="CU426" t="n">
        <v>0</v>
      </c>
      <c r="CV426" t="n">
        <v>0</v>
      </c>
      <c r="CW426" t="n">
        <v>0</v>
      </c>
      <c r="CX426" t="n">
        <v>35.3</v>
      </c>
      <c r="CY426" t="n">
        <v>64.90000000000001</v>
      </c>
      <c r="CZ426" t="n">
        <v>57.8</v>
      </c>
      <c r="DA426" t="n">
        <v>77.90000000000001</v>
      </c>
      <c r="DB426" t="n">
        <v>32.4</v>
      </c>
      <c r="DC426" t="n">
        <v>57.7</v>
      </c>
      <c r="DD426" t="n">
        <v>48.4</v>
      </c>
      <c r="DE426" t="n">
        <v>62.6</v>
      </c>
      <c r="DF426" t="n">
        <v>35.3</v>
      </c>
      <c r="DG426" t="n">
        <v>64.90000000000001</v>
      </c>
      <c r="DH426" t="n">
        <v>57.8</v>
      </c>
      <c r="DI426" t="n">
        <v>77.90000000000001</v>
      </c>
      <c r="DJ426" t="n">
        <v>32.4</v>
      </c>
      <c r="DK426" t="n">
        <v>57.7</v>
      </c>
      <c r="DL426" t="n">
        <v>48.4</v>
      </c>
      <c r="DM426" t="n">
        <v>62.6</v>
      </c>
      <c r="DN426" t="n">
        <v>0</v>
      </c>
      <c r="DO426" t="n">
        <v>0</v>
      </c>
      <c r="DP426" t="n">
        <v>0</v>
      </c>
      <c r="DQ426" t="n">
        <v>0</v>
      </c>
      <c r="DR426" t="n">
        <v>0</v>
      </c>
      <c r="DS426" t="n">
        <v>0</v>
      </c>
      <c r="DT426" t="n">
        <v>0</v>
      </c>
      <c r="DU426" t="n">
        <v>0</v>
      </c>
      <c r="DV426" t="inlineStr">
        <is>
          <t>(CONTRACTS OF 1,000 BARRELS)</t>
        </is>
      </c>
    </row>
    <row r="427">
      <c r="A427" t="inlineStr">
        <is>
          <t>BRENT LAST DAY - NEW YORK MERCANTILE EXCHANGE</t>
        </is>
      </c>
      <c r="B427" t="n">
        <v>230103</v>
      </c>
      <c r="C427" s="1" t="n">
        <v>44929</v>
      </c>
      <c r="D427" t="inlineStr">
        <is>
          <t>06765T</t>
        </is>
      </c>
      <c r="E427" t="inlineStr">
        <is>
          <t>NYME</t>
        </is>
      </c>
      <c r="F427" t="inlineStr">
        <is>
          <t>01</t>
        </is>
      </c>
      <c r="G427" t="inlineStr">
        <is>
          <t xml:space="preserve">067 </t>
        </is>
      </c>
      <c r="H427" t="n">
        <v>139687</v>
      </c>
      <c r="I427" s="17" t="n">
        <v>39592</v>
      </c>
      <c r="J427" s="17" t="n">
        <v>66106</v>
      </c>
      <c r="K427" t="n">
        <v>26778</v>
      </c>
      <c r="L427" t="n">
        <v>64519</v>
      </c>
      <c r="M427" t="n">
        <v>41438</v>
      </c>
      <c r="N427" t="n">
        <v>130889</v>
      </c>
      <c r="O427" t="n">
        <v>134322</v>
      </c>
      <c r="P427" t="n">
        <v>8798</v>
      </c>
      <c r="Q427" t="n">
        <v>5365</v>
      </c>
      <c r="R427" t="n">
        <v>139687</v>
      </c>
      <c r="S427" t="n">
        <v>39592</v>
      </c>
      <c r="T427" t="n">
        <v>66106</v>
      </c>
      <c r="U427" t="n">
        <v>26778</v>
      </c>
      <c r="V427" t="n">
        <v>64519</v>
      </c>
      <c r="W427" t="n">
        <v>41438</v>
      </c>
      <c r="X427" t="n">
        <v>130889</v>
      </c>
      <c r="Y427" t="n">
        <v>134322</v>
      </c>
      <c r="Z427" t="n">
        <v>8798</v>
      </c>
      <c r="AA427" t="n">
        <v>5365</v>
      </c>
      <c r="AB427" t="n">
        <v>0</v>
      </c>
      <c r="AC427" t="n">
        <v>0</v>
      </c>
      <c r="AD427" t="n">
        <v>0</v>
      </c>
      <c r="AE427" t="n">
        <v>0</v>
      </c>
      <c r="AF427" t="n">
        <v>0</v>
      </c>
      <c r="AG427" t="n">
        <v>0</v>
      </c>
      <c r="AH427" t="n">
        <v>0</v>
      </c>
      <c r="AI427" t="n">
        <v>0</v>
      </c>
      <c r="AJ427" t="n">
        <v>0</v>
      </c>
      <c r="AK427" t="n">
        <v>0</v>
      </c>
      <c r="AL427" t="n">
        <v>-4128</v>
      </c>
      <c r="AM427" t="n">
        <v>1552</v>
      </c>
      <c r="AN427" t="n">
        <v>-2943</v>
      </c>
      <c r="AO427" t="n">
        <v>-1763</v>
      </c>
      <c r="AP427" t="n">
        <v>-3339</v>
      </c>
      <c r="AQ427" t="n">
        <v>1102</v>
      </c>
      <c r="AR427" t="n">
        <v>-3550</v>
      </c>
      <c r="AS427" t="n">
        <v>-3604</v>
      </c>
      <c r="AT427" t="n">
        <v>-578</v>
      </c>
      <c r="AU427" t="n">
        <v>-524</v>
      </c>
      <c r="AV427" t="n">
        <v>100</v>
      </c>
      <c r="AW427" t="n">
        <v>28.3</v>
      </c>
      <c r="AX427" t="n">
        <v>47.3</v>
      </c>
      <c r="AY427" t="n">
        <v>19.2</v>
      </c>
      <c r="AZ427" t="n">
        <v>46.2</v>
      </c>
      <c r="BA427" t="n">
        <v>29.7</v>
      </c>
      <c r="BB427" t="n">
        <v>93.7</v>
      </c>
      <c r="BC427" t="n">
        <v>96.2</v>
      </c>
      <c r="BD427" t="n">
        <v>6.3</v>
      </c>
      <c r="BE427" t="n">
        <v>3.8</v>
      </c>
      <c r="BF427" t="n">
        <v>100</v>
      </c>
      <c r="BG427" t="n">
        <v>28.3</v>
      </c>
      <c r="BH427" t="n">
        <v>47.3</v>
      </c>
      <c r="BI427" t="n">
        <v>19.2</v>
      </c>
      <c r="BJ427" t="n">
        <v>46.2</v>
      </c>
      <c r="BK427" t="n">
        <v>29.7</v>
      </c>
      <c r="BL427" t="n">
        <v>93.7</v>
      </c>
      <c r="BM427" t="n">
        <v>96.2</v>
      </c>
      <c r="BN427" t="n">
        <v>6.3</v>
      </c>
      <c r="BO427" t="n">
        <v>3.8</v>
      </c>
      <c r="BP427" t="n">
        <v>0</v>
      </c>
      <c r="BQ427" t="n">
        <v>0</v>
      </c>
      <c r="BR427" t="n">
        <v>0</v>
      </c>
      <c r="BS427" t="n">
        <v>0</v>
      </c>
      <c r="BT427" t="n">
        <v>0</v>
      </c>
      <c r="BU427" t="n">
        <v>0</v>
      </c>
      <c r="BV427" t="n">
        <v>0</v>
      </c>
      <c r="BW427" t="n">
        <v>0</v>
      </c>
      <c r="BX427" t="n">
        <v>0</v>
      </c>
      <c r="BY427" t="n">
        <v>0</v>
      </c>
      <c r="BZ427" t="n">
        <v>42</v>
      </c>
      <c r="CA427" t="n">
        <v>15</v>
      </c>
      <c r="CB427" t="n">
        <v>9</v>
      </c>
      <c r="CC427" t="n">
        <v>17</v>
      </c>
      <c r="CD427" t="n">
        <v>15</v>
      </c>
      <c r="CE427" t="n">
        <v>13</v>
      </c>
      <c r="CF427" t="n">
        <v>37</v>
      </c>
      <c r="CG427" t="n">
        <v>32</v>
      </c>
      <c r="CH427" t="n">
        <v>42</v>
      </c>
      <c r="CI427" t="n">
        <v>15</v>
      </c>
      <c r="CJ427" t="n">
        <v>9</v>
      </c>
      <c r="CK427" t="n">
        <v>17</v>
      </c>
      <c r="CL427" t="n">
        <v>15</v>
      </c>
      <c r="CM427" t="n">
        <v>13</v>
      </c>
      <c r="CN427" t="n">
        <v>37</v>
      </c>
      <c r="CO427" t="n">
        <v>32</v>
      </c>
      <c r="CP427" t="n">
        <v>0</v>
      </c>
      <c r="CQ427" t="n">
        <v>0</v>
      </c>
      <c r="CR427" t="n">
        <v>0</v>
      </c>
      <c r="CS427" t="n">
        <v>0</v>
      </c>
      <c r="CT427" t="n">
        <v>0</v>
      </c>
      <c r="CU427" t="n">
        <v>0</v>
      </c>
      <c r="CV427" t="n">
        <v>0</v>
      </c>
      <c r="CW427" t="n">
        <v>0</v>
      </c>
      <c r="CX427" t="n">
        <v>36.9</v>
      </c>
      <c r="CY427" t="n">
        <v>67.40000000000001</v>
      </c>
      <c r="CZ427" t="n">
        <v>57.3</v>
      </c>
      <c r="DA427" t="n">
        <v>80.5</v>
      </c>
      <c r="DB427" t="n">
        <v>33.9</v>
      </c>
      <c r="DC427" t="n">
        <v>60.3</v>
      </c>
      <c r="DD427" t="n">
        <v>48.8</v>
      </c>
      <c r="DE427" t="n">
        <v>64.40000000000001</v>
      </c>
      <c r="DF427" t="n">
        <v>36.9</v>
      </c>
      <c r="DG427" t="n">
        <v>67.40000000000001</v>
      </c>
      <c r="DH427" t="n">
        <v>57.3</v>
      </c>
      <c r="DI427" t="n">
        <v>80.5</v>
      </c>
      <c r="DJ427" t="n">
        <v>33.9</v>
      </c>
      <c r="DK427" t="n">
        <v>60.3</v>
      </c>
      <c r="DL427" t="n">
        <v>48.8</v>
      </c>
      <c r="DM427" t="n">
        <v>64.40000000000001</v>
      </c>
      <c r="DN427" t="n">
        <v>0</v>
      </c>
      <c r="DO427" t="n">
        <v>0</v>
      </c>
      <c r="DP427" t="n">
        <v>0</v>
      </c>
      <c r="DQ427" t="n">
        <v>0</v>
      </c>
      <c r="DR427" t="n">
        <v>0</v>
      </c>
      <c r="DS427" t="n">
        <v>0</v>
      </c>
      <c r="DT427" t="n">
        <v>0</v>
      </c>
      <c r="DU427" t="n">
        <v>0</v>
      </c>
      <c r="DV427" t="inlineStr">
        <is>
          <t>(CONTRACTS OF 1,000 BARRELS)</t>
        </is>
      </c>
    </row>
    <row r="428">
      <c r="A428" t="inlineStr">
        <is>
          <t>WTI  HOUSTON ARGUS/WTI TR MO - NEW YORK MERCANTILE EXCHANGE</t>
        </is>
      </c>
      <c r="B428" t="n">
        <v>230110</v>
      </c>
      <c r="C428" s="1" t="n">
        <v>44936</v>
      </c>
      <c r="D428" t="inlineStr">
        <is>
          <t>0676A5</t>
        </is>
      </c>
      <c r="E428" t="inlineStr">
        <is>
          <t>NYME</t>
        </is>
      </c>
      <c r="F428" t="inlineStr">
        <is>
          <t>01</t>
        </is>
      </c>
      <c r="G428" t="inlineStr">
        <is>
          <t xml:space="preserve">067 </t>
        </is>
      </c>
      <c r="H428" t="n">
        <v>147484</v>
      </c>
      <c r="I428" s="17" t="n">
        <v>6071</v>
      </c>
      <c r="J428" s="17" t="n">
        <v>12335</v>
      </c>
      <c r="K428" t="n">
        <v>1282</v>
      </c>
      <c r="L428" t="n">
        <v>131110</v>
      </c>
      <c r="M428" t="n">
        <v>122691</v>
      </c>
      <c r="N428" t="n">
        <v>138463</v>
      </c>
      <c r="O428" t="n">
        <v>136308</v>
      </c>
      <c r="P428" t="n">
        <v>9021</v>
      </c>
      <c r="Q428" t="n">
        <v>11176</v>
      </c>
      <c r="R428" t="n">
        <v>147484</v>
      </c>
      <c r="S428" t="n">
        <v>6071</v>
      </c>
      <c r="T428" t="n">
        <v>12335</v>
      </c>
      <c r="U428" t="n">
        <v>1282</v>
      </c>
      <c r="V428" t="n">
        <v>131110</v>
      </c>
      <c r="W428" t="n">
        <v>122691</v>
      </c>
      <c r="X428" t="n">
        <v>138463</v>
      </c>
      <c r="Y428" t="n">
        <v>136308</v>
      </c>
      <c r="Z428" t="n">
        <v>9021</v>
      </c>
      <c r="AA428" t="n">
        <v>11176</v>
      </c>
      <c r="AB428" t="n">
        <v>0</v>
      </c>
      <c r="AC428" t="n">
        <v>0</v>
      </c>
      <c r="AD428" t="n">
        <v>0</v>
      </c>
      <c r="AE428" t="n">
        <v>0</v>
      </c>
      <c r="AF428" t="n">
        <v>0</v>
      </c>
      <c r="AG428" t="n">
        <v>0</v>
      </c>
      <c r="AH428" t="n">
        <v>0</v>
      </c>
      <c r="AI428" t="n">
        <v>0</v>
      </c>
      <c r="AJ428" t="n">
        <v>0</v>
      </c>
      <c r="AK428" t="n">
        <v>0</v>
      </c>
      <c r="AL428" t="n">
        <v>6159</v>
      </c>
      <c r="AM428" t="n">
        <v>321</v>
      </c>
      <c r="AN428" t="n">
        <v>-206</v>
      </c>
      <c r="AO428" t="n">
        <v>-128</v>
      </c>
      <c r="AP428" t="n">
        <v>15172</v>
      </c>
      <c r="AQ428" t="n">
        <v>5000</v>
      </c>
      <c r="AR428" t="n">
        <v>15365</v>
      </c>
      <c r="AS428" t="n">
        <v>4666</v>
      </c>
      <c r="AT428" t="n">
        <v>-9206</v>
      </c>
      <c r="AU428" t="n">
        <v>1493</v>
      </c>
      <c r="AV428" t="n">
        <v>100</v>
      </c>
      <c r="AW428" t="n">
        <v>4.1</v>
      </c>
      <c r="AX428" t="n">
        <v>8.4</v>
      </c>
      <c r="AY428" t="n">
        <v>0.9</v>
      </c>
      <c r="AZ428" t="n">
        <v>88.90000000000001</v>
      </c>
      <c r="BA428" t="n">
        <v>83.2</v>
      </c>
      <c r="BB428" t="n">
        <v>93.90000000000001</v>
      </c>
      <c r="BC428" t="n">
        <v>92.40000000000001</v>
      </c>
      <c r="BD428" t="n">
        <v>6.1</v>
      </c>
      <c r="BE428" t="n">
        <v>7.6</v>
      </c>
      <c r="BF428" t="n">
        <v>100</v>
      </c>
      <c r="BG428" t="n">
        <v>4.1</v>
      </c>
      <c r="BH428" t="n">
        <v>8.4</v>
      </c>
      <c r="BI428" t="n">
        <v>0.9</v>
      </c>
      <c r="BJ428" t="n">
        <v>88.90000000000001</v>
      </c>
      <c r="BK428" t="n">
        <v>83.2</v>
      </c>
      <c r="BL428" t="n">
        <v>93.90000000000001</v>
      </c>
      <c r="BM428" t="n">
        <v>92.40000000000001</v>
      </c>
      <c r="BN428" t="n">
        <v>6.1</v>
      </c>
      <c r="BO428" t="n">
        <v>7.6</v>
      </c>
      <c r="BP428" t="n">
        <v>0</v>
      </c>
      <c r="BQ428" t="n">
        <v>0</v>
      </c>
      <c r="BR428" t="n">
        <v>0</v>
      </c>
      <c r="BS428" t="n">
        <v>0</v>
      </c>
      <c r="BT428" t="n">
        <v>0</v>
      </c>
      <c r="BU428" t="n">
        <v>0</v>
      </c>
      <c r="BV428" t="n">
        <v>0</v>
      </c>
      <c r="BW428" t="n">
        <v>0</v>
      </c>
      <c r="BX428" t="n">
        <v>0</v>
      </c>
      <c r="BY428" t="n">
        <v>0</v>
      </c>
      <c r="BZ428" t="n">
        <v>29</v>
      </c>
      <c r="CA428" t="n">
        <v>2</v>
      </c>
      <c r="CB428" t="n">
        <v>2</v>
      </c>
      <c r="CC428" t="n">
        <v>3</v>
      </c>
      <c r="CD428" t="n">
        <v>20</v>
      </c>
      <c r="CE428" t="n">
        <v>20</v>
      </c>
      <c r="CF428" t="n">
        <v>23</v>
      </c>
      <c r="CG428" t="n">
        <v>24</v>
      </c>
      <c r="CH428" t="n">
        <v>29</v>
      </c>
      <c r="CI428" t="n">
        <v>2</v>
      </c>
      <c r="CJ428" t="n">
        <v>2</v>
      </c>
      <c r="CK428" t="n">
        <v>3</v>
      </c>
      <c r="CL428" t="n">
        <v>20</v>
      </c>
      <c r="CM428" t="n">
        <v>20</v>
      </c>
      <c r="CN428" t="n">
        <v>23</v>
      </c>
      <c r="CO428" t="n">
        <v>24</v>
      </c>
      <c r="CP428" t="n">
        <v>0</v>
      </c>
      <c r="CQ428" t="n">
        <v>0</v>
      </c>
      <c r="CR428" t="n">
        <v>0</v>
      </c>
      <c r="CS428" t="n">
        <v>0</v>
      </c>
      <c r="CT428" t="n">
        <v>0</v>
      </c>
      <c r="CU428" t="n">
        <v>0</v>
      </c>
      <c r="CV428" t="n">
        <v>0</v>
      </c>
      <c r="CW428" t="n">
        <v>0</v>
      </c>
      <c r="CX428" t="n">
        <v>43.7</v>
      </c>
      <c r="CY428" t="n">
        <v>48.7</v>
      </c>
      <c r="CZ428" t="n">
        <v>67.7</v>
      </c>
      <c r="DA428" t="n">
        <v>71.09999999999999</v>
      </c>
      <c r="DB428" t="n">
        <v>37.2</v>
      </c>
      <c r="DC428" t="n">
        <v>38.9</v>
      </c>
      <c r="DD428" t="n">
        <v>57.8</v>
      </c>
      <c r="DE428" t="n">
        <v>56.6</v>
      </c>
      <c r="DF428" t="n">
        <v>43.7</v>
      </c>
      <c r="DG428" t="n">
        <v>48.7</v>
      </c>
      <c r="DH428" t="n">
        <v>67.7</v>
      </c>
      <c r="DI428" t="n">
        <v>71.09999999999999</v>
      </c>
      <c r="DJ428" t="n">
        <v>37.2</v>
      </c>
      <c r="DK428" t="n">
        <v>38.9</v>
      </c>
      <c r="DL428" t="n">
        <v>57.8</v>
      </c>
      <c r="DM428" t="n">
        <v>56.6</v>
      </c>
      <c r="DN428" t="n">
        <v>0</v>
      </c>
      <c r="DO428" t="n">
        <v>0</v>
      </c>
      <c r="DP428" t="n">
        <v>0</v>
      </c>
      <c r="DQ428" t="n">
        <v>0</v>
      </c>
      <c r="DR428" t="n">
        <v>0</v>
      </c>
      <c r="DS428" t="n">
        <v>0</v>
      </c>
      <c r="DT428" t="n">
        <v>0</v>
      </c>
      <c r="DU428" t="n">
        <v>0</v>
      </c>
      <c r="DV428" t="inlineStr">
        <is>
          <t>(CONTRACTS OF 1,000 BARRELS)</t>
        </is>
      </c>
    </row>
    <row r="429">
      <c r="A429" t="inlineStr">
        <is>
          <t>WTI  HOUSTON ARGUS/WTI TR MO - NEW YORK MERCANTILE EXCHANGE</t>
        </is>
      </c>
      <c r="B429" t="n">
        <v>230103</v>
      </c>
      <c r="C429" s="1" t="n">
        <v>44929</v>
      </c>
      <c r="D429" t="inlineStr">
        <is>
          <t>0676A5</t>
        </is>
      </c>
      <c r="E429" t="inlineStr">
        <is>
          <t>NYME</t>
        </is>
      </c>
      <c r="F429" t="inlineStr">
        <is>
          <t>01</t>
        </is>
      </c>
      <c r="G429" t="inlineStr">
        <is>
          <t xml:space="preserve">067 </t>
        </is>
      </c>
      <c r="H429" t="n">
        <v>141325</v>
      </c>
      <c r="I429" s="17" t="n">
        <v>5750</v>
      </c>
      <c r="J429" s="17" t="n">
        <v>12541</v>
      </c>
      <c r="K429" t="n">
        <v>1410</v>
      </c>
      <c r="L429" t="n">
        <v>115938</v>
      </c>
      <c r="M429" t="n">
        <v>117691</v>
      </c>
      <c r="N429" t="n">
        <v>123098</v>
      </c>
      <c r="O429" t="n">
        <v>131642</v>
      </c>
      <c r="P429" t="n">
        <v>18227</v>
      </c>
      <c r="Q429" t="n">
        <v>9683</v>
      </c>
      <c r="R429" t="n">
        <v>141325</v>
      </c>
      <c r="S429" t="n">
        <v>5750</v>
      </c>
      <c r="T429" t="n">
        <v>12541</v>
      </c>
      <c r="U429" t="n">
        <v>1410</v>
      </c>
      <c r="V429" t="n">
        <v>115938</v>
      </c>
      <c r="W429" t="n">
        <v>117691</v>
      </c>
      <c r="X429" t="n">
        <v>123098</v>
      </c>
      <c r="Y429" t="n">
        <v>131642</v>
      </c>
      <c r="Z429" t="n">
        <v>18227</v>
      </c>
      <c r="AA429" t="n">
        <v>9683</v>
      </c>
      <c r="AB429" t="n">
        <v>0</v>
      </c>
      <c r="AC429" t="n">
        <v>0</v>
      </c>
      <c r="AD429" t="n">
        <v>0</v>
      </c>
      <c r="AE429" t="n">
        <v>0</v>
      </c>
      <c r="AF429" t="n">
        <v>0</v>
      </c>
      <c r="AG429" t="n">
        <v>0</v>
      </c>
      <c r="AH429" t="n">
        <v>0</v>
      </c>
      <c r="AI429" t="n">
        <v>0</v>
      </c>
      <c r="AJ429" t="n">
        <v>0</v>
      </c>
      <c r="AK429" t="n">
        <v>0</v>
      </c>
      <c r="AL429" t="n">
        <v>687</v>
      </c>
      <c r="AM429" t="n">
        <v>500</v>
      </c>
      <c r="AN429" t="n">
        <v>426</v>
      </c>
      <c r="AO429" t="n">
        <v>66</v>
      </c>
      <c r="AP429" t="n">
        <v>350</v>
      </c>
      <c r="AQ429" t="n">
        <v>335</v>
      </c>
      <c r="AR429" t="n">
        <v>916</v>
      </c>
      <c r="AS429" t="n">
        <v>827</v>
      </c>
      <c r="AT429" t="n">
        <v>-229</v>
      </c>
      <c r="AU429" t="n">
        <v>-140</v>
      </c>
      <c r="AV429" t="n">
        <v>100</v>
      </c>
      <c r="AW429" t="n">
        <v>4.1</v>
      </c>
      <c r="AX429" t="n">
        <v>8.9</v>
      </c>
      <c r="AY429" t="n">
        <v>1</v>
      </c>
      <c r="AZ429" t="n">
        <v>82</v>
      </c>
      <c r="BA429" t="n">
        <v>83.3</v>
      </c>
      <c r="BB429" t="n">
        <v>87.09999999999999</v>
      </c>
      <c r="BC429" t="n">
        <v>93.09999999999999</v>
      </c>
      <c r="BD429" t="n">
        <v>12.9</v>
      </c>
      <c r="BE429" t="n">
        <v>6.9</v>
      </c>
      <c r="BF429" t="n">
        <v>100</v>
      </c>
      <c r="BG429" t="n">
        <v>4.1</v>
      </c>
      <c r="BH429" t="n">
        <v>8.9</v>
      </c>
      <c r="BI429" t="n">
        <v>1</v>
      </c>
      <c r="BJ429" t="n">
        <v>82</v>
      </c>
      <c r="BK429" t="n">
        <v>83.3</v>
      </c>
      <c r="BL429" t="n">
        <v>87.09999999999999</v>
      </c>
      <c r="BM429" t="n">
        <v>93.09999999999999</v>
      </c>
      <c r="BN429" t="n">
        <v>12.9</v>
      </c>
      <c r="BO429" t="n">
        <v>6.9</v>
      </c>
      <c r="BP429" t="n">
        <v>0</v>
      </c>
      <c r="BQ429" t="n">
        <v>0</v>
      </c>
      <c r="BR429" t="n">
        <v>0</v>
      </c>
      <c r="BS429" t="n">
        <v>0</v>
      </c>
      <c r="BT429" t="n">
        <v>0</v>
      </c>
      <c r="BU429" t="n">
        <v>0</v>
      </c>
      <c r="BV429" t="n">
        <v>0</v>
      </c>
      <c r="BW429" t="n">
        <v>0</v>
      </c>
      <c r="BX429" t="n">
        <v>0</v>
      </c>
      <c r="BY429" t="n">
        <v>0</v>
      </c>
      <c r="BZ429" t="n">
        <v>28</v>
      </c>
      <c r="CA429" t="n">
        <v>1</v>
      </c>
      <c r="CB429" t="n">
        <v>3</v>
      </c>
      <c r="CC429" t="n">
        <v>3</v>
      </c>
      <c r="CD429" t="n">
        <v>18</v>
      </c>
      <c r="CE429" t="n">
        <v>18</v>
      </c>
      <c r="CF429" t="n">
        <v>21</v>
      </c>
      <c r="CG429" t="n">
        <v>22</v>
      </c>
      <c r="CH429" t="n">
        <v>28</v>
      </c>
      <c r="CI429" t="n">
        <v>1</v>
      </c>
      <c r="CJ429" t="n">
        <v>3</v>
      </c>
      <c r="CK429" t="n">
        <v>3</v>
      </c>
      <c r="CL429" t="n">
        <v>18</v>
      </c>
      <c r="CM429" t="n">
        <v>18</v>
      </c>
      <c r="CN429" t="n">
        <v>21</v>
      </c>
      <c r="CO429" t="n">
        <v>22</v>
      </c>
      <c r="CP429" t="n">
        <v>0</v>
      </c>
      <c r="CQ429" t="n">
        <v>0</v>
      </c>
      <c r="CR429" t="n">
        <v>0</v>
      </c>
      <c r="CS429" t="n">
        <v>0</v>
      </c>
      <c r="CT429" t="n">
        <v>0</v>
      </c>
      <c r="CU429" t="n">
        <v>0</v>
      </c>
      <c r="CV429" t="n">
        <v>0</v>
      </c>
      <c r="CW429" t="n">
        <v>0</v>
      </c>
      <c r="CX429" t="n">
        <v>43.4</v>
      </c>
      <c r="CY429" t="n">
        <v>50.4</v>
      </c>
      <c r="CZ429" t="n">
        <v>66.5</v>
      </c>
      <c r="DA429" t="n">
        <v>71.8</v>
      </c>
      <c r="DB429" t="n">
        <v>35.5</v>
      </c>
      <c r="DC429" t="n">
        <v>39.3</v>
      </c>
      <c r="DD429" t="n">
        <v>55.3</v>
      </c>
      <c r="DE429" t="n">
        <v>57.8</v>
      </c>
      <c r="DF429" t="n">
        <v>43.4</v>
      </c>
      <c r="DG429" t="n">
        <v>50.4</v>
      </c>
      <c r="DH429" t="n">
        <v>66.5</v>
      </c>
      <c r="DI429" t="n">
        <v>71.8</v>
      </c>
      <c r="DJ429" t="n">
        <v>35.5</v>
      </c>
      <c r="DK429" t="n">
        <v>39.3</v>
      </c>
      <c r="DL429" t="n">
        <v>55.3</v>
      </c>
      <c r="DM429" t="n">
        <v>57.8</v>
      </c>
      <c r="DN429" t="n">
        <v>0</v>
      </c>
      <c r="DO429" t="n">
        <v>0</v>
      </c>
      <c r="DP429" t="n">
        <v>0</v>
      </c>
      <c r="DQ429" t="n">
        <v>0</v>
      </c>
      <c r="DR429" t="n">
        <v>0</v>
      </c>
      <c r="DS429" t="n">
        <v>0</v>
      </c>
      <c r="DT429" t="n">
        <v>0</v>
      </c>
      <c r="DU429" t="n">
        <v>0</v>
      </c>
      <c r="DV429" t="inlineStr">
        <is>
          <t>(CONTRACTS OF 1,000 BARRELS)</t>
        </is>
      </c>
    </row>
    <row r="430">
      <c r="A430" t="inlineStr">
        <is>
          <t>WTI MIDLAND ARGUS VS WTI TRADE - NEW YORK MERCANTILE EXCHANGE</t>
        </is>
      </c>
      <c r="B430" t="n">
        <v>230110</v>
      </c>
      <c r="C430" s="1" t="n">
        <v>44936</v>
      </c>
      <c r="D430" t="inlineStr">
        <is>
          <t>067A71</t>
        </is>
      </c>
      <c r="E430" t="inlineStr">
        <is>
          <t>NYME</t>
        </is>
      </c>
      <c r="F430" t="inlineStr">
        <is>
          <t>01</t>
        </is>
      </c>
      <c r="G430" t="inlineStr">
        <is>
          <t xml:space="preserve">067 </t>
        </is>
      </c>
      <c r="H430" t="n">
        <v>149923</v>
      </c>
      <c r="I430" s="17" t="n">
        <v>11835</v>
      </c>
      <c r="J430" s="17" t="n">
        <v>5770</v>
      </c>
      <c r="K430" t="n">
        <v>690</v>
      </c>
      <c r="L430" t="n">
        <v>126559</v>
      </c>
      <c r="M430" t="n">
        <v>124556</v>
      </c>
      <c r="N430" t="n">
        <v>139084</v>
      </c>
      <c r="O430" t="n">
        <v>131016</v>
      </c>
      <c r="P430" t="n">
        <v>10839</v>
      </c>
      <c r="Q430" t="n">
        <v>18907</v>
      </c>
      <c r="R430" t="n">
        <v>149923</v>
      </c>
      <c r="S430" t="n">
        <v>11835</v>
      </c>
      <c r="T430" t="n">
        <v>5770</v>
      </c>
      <c r="U430" t="n">
        <v>690</v>
      </c>
      <c r="V430" t="n">
        <v>126559</v>
      </c>
      <c r="W430" t="n">
        <v>124556</v>
      </c>
      <c r="X430" t="n">
        <v>139084</v>
      </c>
      <c r="Y430" t="n">
        <v>131016</v>
      </c>
      <c r="Z430" t="n">
        <v>10839</v>
      </c>
      <c r="AA430" t="n">
        <v>18907</v>
      </c>
      <c r="AB430" t="n">
        <v>0</v>
      </c>
      <c r="AC430" t="n">
        <v>0</v>
      </c>
      <c r="AD430" t="n">
        <v>0</v>
      </c>
      <c r="AE430" t="n">
        <v>0</v>
      </c>
      <c r="AF430" t="n">
        <v>0</v>
      </c>
      <c r="AG430" t="n">
        <v>0</v>
      </c>
      <c r="AH430" t="n">
        <v>0</v>
      </c>
      <c r="AI430" t="n">
        <v>0</v>
      </c>
      <c r="AJ430" t="n">
        <v>0</v>
      </c>
      <c r="AK430" t="n">
        <v>0</v>
      </c>
      <c r="AL430" t="n">
        <v>12065</v>
      </c>
      <c r="AM430" t="n">
        <v>0</v>
      </c>
      <c r="AN430" t="n">
        <v>240</v>
      </c>
      <c r="AO430" t="n">
        <v>0</v>
      </c>
      <c r="AP430" t="n">
        <v>11055</v>
      </c>
      <c r="AQ430" t="n">
        <v>10100</v>
      </c>
      <c r="AR430" t="n">
        <v>11055</v>
      </c>
      <c r="AS430" t="n">
        <v>10340</v>
      </c>
      <c r="AT430" t="n">
        <v>1010</v>
      </c>
      <c r="AU430" t="n">
        <v>1725</v>
      </c>
      <c r="AV430" t="n">
        <v>100</v>
      </c>
      <c r="AW430" t="n">
        <v>7.9</v>
      </c>
      <c r="AX430" t="n">
        <v>3.8</v>
      </c>
      <c r="AY430" t="n">
        <v>0.5</v>
      </c>
      <c r="AZ430" t="n">
        <v>84.40000000000001</v>
      </c>
      <c r="BA430" t="n">
        <v>83.09999999999999</v>
      </c>
      <c r="BB430" t="n">
        <v>92.8</v>
      </c>
      <c r="BC430" t="n">
        <v>87.40000000000001</v>
      </c>
      <c r="BD430" t="n">
        <v>7.2</v>
      </c>
      <c r="BE430" t="n">
        <v>12.6</v>
      </c>
      <c r="BF430" t="n">
        <v>100</v>
      </c>
      <c r="BG430" t="n">
        <v>7.9</v>
      </c>
      <c r="BH430" t="n">
        <v>3.8</v>
      </c>
      <c r="BI430" t="n">
        <v>0.5</v>
      </c>
      <c r="BJ430" t="n">
        <v>84.40000000000001</v>
      </c>
      <c r="BK430" t="n">
        <v>83.09999999999999</v>
      </c>
      <c r="BL430" t="n">
        <v>92.8</v>
      </c>
      <c r="BM430" t="n">
        <v>87.40000000000001</v>
      </c>
      <c r="BN430" t="n">
        <v>7.2</v>
      </c>
      <c r="BO430" t="n">
        <v>12.6</v>
      </c>
      <c r="BP430" t="n">
        <v>0</v>
      </c>
      <c r="BQ430" t="n">
        <v>0</v>
      </c>
      <c r="BR430" t="n">
        <v>0</v>
      </c>
      <c r="BS430" t="n">
        <v>0</v>
      </c>
      <c r="BT430" t="n">
        <v>0</v>
      </c>
      <c r="BU430" t="n">
        <v>0</v>
      </c>
      <c r="BV430" t="n">
        <v>0</v>
      </c>
      <c r="BW430" t="n">
        <v>0</v>
      </c>
      <c r="BX430" t="n">
        <v>0</v>
      </c>
      <c r="BY430" t="n">
        <v>0</v>
      </c>
      <c r="BZ430" t="n">
        <v>25</v>
      </c>
      <c r="CA430" t="n">
        <v>1</v>
      </c>
      <c r="CB430" t="n">
        <v>1</v>
      </c>
      <c r="CC430" t="n">
        <v>1</v>
      </c>
      <c r="CD430" t="n">
        <v>17</v>
      </c>
      <c r="CE430" t="n">
        <v>16</v>
      </c>
      <c r="CF430" t="n">
        <v>19</v>
      </c>
      <c r="CG430" t="n">
        <v>17</v>
      </c>
      <c r="CH430" t="n">
        <v>25</v>
      </c>
      <c r="CI430" t="n">
        <v>1</v>
      </c>
      <c r="CJ430" t="n">
        <v>1</v>
      </c>
      <c r="CK430" t="n">
        <v>1</v>
      </c>
      <c r="CL430" t="n">
        <v>17</v>
      </c>
      <c r="CM430" t="n">
        <v>16</v>
      </c>
      <c r="CN430" t="n">
        <v>19</v>
      </c>
      <c r="CO430" t="n">
        <v>17</v>
      </c>
      <c r="CP430" t="n">
        <v>0</v>
      </c>
      <c r="CQ430" t="n">
        <v>0</v>
      </c>
      <c r="CR430" t="n">
        <v>0</v>
      </c>
      <c r="CS430" t="n">
        <v>0</v>
      </c>
      <c r="CT430" t="n">
        <v>0</v>
      </c>
      <c r="CU430" t="n">
        <v>0</v>
      </c>
      <c r="CV430" t="n">
        <v>0</v>
      </c>
      <c r="CW430" t="n">
        <v>0</v>
      </c>
      <c r="CX430" t="n">
        <v>54.6</v>
      </c>
      <c r="CY430" t="n">
        <v>38.4</v>
      </c>
      <c r="CZ430" t="n">
        <v>85.3</v>
      </c>
      <c r="DA430" t="n">
        <v>63.2</v>
      </c>
      <c r="DB430" t="n">
        <v>53.9</v>
      </c>
      <c r="DC430" t="n">
        <v>38.2</v>
      </c>
      <c r="DD430" t="n">
        <v>83.8</v>
      </c>
      <c r="DE430" t="n">
        <v>62.2</v>
      </c>
      <c r="DF430" t="n">
        <v>54.6</v>
      </c>
      <c r="DG430" t="n">
        <v>38.4</v>
      </c>
      <c r="DH430" t="n">
        <v>85.3</v>
      </c>
      <c r="DI430" t="n">
        <v>63.2</v>
      </c>
      <c r="DJ430" t="n">
        <v>53.9</v>
      </c>
      <c r="DK430" t="n">
        <v>38.2</v>
      </c>
      <c r="DL430" t="n">
        <v>83.8</v>
      </c>
      <c r="DM430" t="n">
        <v>62.2</v>
      </c>
      <c r="DN430" t="n">
        <v>0</v>
      </c>
      <c r="DO430" t="n">
        <v>0</v>
      </c>
      <c r="DP430" t="n">
        <v>0</v>
      </c>
      <c r="DQ430" t="n">
        <v>0</v>
      </c>
      <c r="DR430" t="n">
        <v>0</v>
      </c>
      <c r="DS430" t="n">
        <v>0</v>
      </c>
      <c r="DT430" t="n">
        <v>0</v>
      </c>
      <c r="DU430" t="n">
        <v>0</v>
      </c>
      <c r="DV430" t="inlineStr">
        <is>
          <t>(CONTRACTS OF 1,000 BARRELS)</t>
        </is>
      </c>
    </row>
    <row r="431">
      <c r="A431" t="inlineStr">
        <is>
          <t>WTI MIDLAND ARGUS VS WTI TRADE - NEW YORK MERCANTILE EXCHANGE</t>
        </is>
      </c>
      <c r="B431" t="n">
        <v>230103</v>
      </c>
      <c r="C431" s="1" t="n">
        <v>44929</v>
      </c>
      <c r="D431" t="inlineStr">
        <is>
          <t>067A71</t>
        </is>
      </c>
      <c r="E431" t="inlineStr">
        <is>
          <t>NYME</t>
        </is>
      </c>
      <c r="F431" t="inlineStr">
        <is>
          <t>01</t>
        </is>
      </c>
      <c r="G431" t="inlineStr">
        <is>
          <t xml:space="preserve">067 </t>
        </is>
      </c>
      <c r="H431" t="n">
        <v>137858</v>
      </c>
      <c r="I431" s="17" t="n">
        <v>11835</v>
      </c>
      <c r="J431" s="17" t="n">
        <v>5530</v>
      </c>
      <c r="K431" t="n">
        <v>690</v>
      </c>
      <c r="L431" t="n">
        <v>115504</v>
      </c>
      <c r="M431" t="n">
        <v>114456</v>
      </c>
      <c r="N431" t="n">
        <v>128029</v>
      </c>
      <c r="O431" t="n">
        <v>120676</v>
      </c>
      <c r="P431" t="n">
        <v>9829</v>
      </c>
      <c r="Q431" t="n">
        <v>17182</v>
      </c>
      <c r="R431" t="n">
        <v>137858</v>
      </c>
      <c r="S431" t="n">
        <v>11835</v>
      </c>
      <c r="T431" t="n">
        <v>5530</v>
      </c>
      <c r="U431" t="n">
        <v>690</v>
      </c>
      <c r="V431" t="n">
        <v>115504</v>
      </c>
      <c r="W431" t="n">
        <v>114456</v>
      </c>
      <c r="X431" t="n">
        <v>128029</v>
      </c>
      <c r="Y431" t="n">
        <v>120676</v>
      </c>
      <c r="Z431" t="n">
        <v>9829</v>
      </c>
      <c r="AA431" t="n">
        <v>17182</v>
      </c>
      <c r="AB431" t="n">
        <v>0</v>
      </c>
      <c r="AC431" t="n">
        <v>0</v>
      </c>
      <c r="AD431" t="n">
        <v>0</v>
      </c>
      <c r="AE431" t="n">
        <v>0</v>
      </c>
      <c r="AF431" t="n">
        <v>0</v>
      </c>
      <c r="AG431" t="n">
        <v>0</v>
      </c>
      <c r="AH431" t="n">
        <v>0</v>
      </c>
      <c r="AI431" t="n">
        <v>0</v>
      </c>
      <c r="AJ431" t="n">
        <v>0</v>
      </c>
      <c r="AK431" t="n">
        <v>0</v>
      </c>
      <c r="AL431" t="n">
        <v>953</v>
      </c>
      <c r="AM431" t="n">
        <v>0</v>
      </c>
      <c r="AN431" t="n">
        <v>600</v>
      </c>
      <c r="AO431" t="n">
        <v>0</v>
      </c>
      <c r="AP431" t="n">
        <v>625</v>
      </c>
      <c r="AQ431" t="n">
        <v>80</v>
      </c>
      <c r="AR431" t="n">
        <v>625</v>
      </c>
      <c r="AS431" t="n">
        <v>680</v>
      </c>
      <c r="AT431" t="n">
        <v>328</v>
      </c>
      <c r="AU431" t="n">
        <v>273</v>
      </c>
      <c r="AV431" t="n">
        <v>100</v>
      </c>
      <c r="AW431" t="n">
        <v>8.6</v>
      </c>
      <c r="AX431" t="n">
        <v>4</v>
      </c>
      <c r="AY431" t="n">
        <v>0.5</v>
      </c>
      <c r="AZ431" t="n">
        <v>83.8</v>
      </c>
      <c r="BA431" t="n">
        <v>83</v>
      </c>
      <c r="BB431" t="n">
        <v>92.90000000000001</v>
      </c>
      <c r="BC431" t="n">
        <v>87.5</v>
      </c>
      <c r="BD431" t="n">
        <v>7.1</v>
      </c>
      <c r="BE431" t="n">
        <v>12.5</v>
      </c>
      <c r="BF431" t="n">
        <v>100</v>
      </c>
      <c r="BG431" t="n">
        <v>8.6</v>
      </c>
      <c r="BH431" t="n">
        <v>4</v>
      </c>
      <c r="BI431" t="n">
        <v>0.5</v>
      </c>
      <c r="BJ431" t="n">
        <v>83.8</v>
      </c>
      <c r="BK431" t="n">
        <v>83</v>
      </c>
      <c r="BL431" t="n">
        <v>92.90000000000001</v>
      </c>
      <c r="BM431" t="n">
        <v>87.5</v>
      </c>
      <c r="BN431" t="n">
        <v>7.1</v>
      </c>
      <c r="BO431" t="n">
        <v>12.5</v>
      </c>
      <c r="BP431" t="n">
        <v>0</v>
      </c>
      <c r="BQ431" t="n">
        <v>0</v>
      </c>
      <c r="BR431" t="n">
        <v>0</v>
      </c>
      <c r="BS431" t="n">
        <v>0</v>
      </c>
      <c r="BT431" t="n">
        <v>0</v>
      </c>
      <c r="BU431" t="n">
        <v>0</v>
      </c>
      <c r="BV431" t="n">
        <v>0</v>
      </c>
      <c r="BW431" t="n">
        <v>0</v>
      </c>
      <c r="BX431" t="n">
        <v>0</v>
      </c>
      <c r="BY431" t="n">
        <v>0</v>
      </c>
      <c r="BZ431" t="n">
        <v>24</v>
      </c>
      <c r="CA431" t="n">
        <v>1</v>
      </c>
      <c r="CB431" t="n">
        <v>1</v>
      </c>
      <c r="CC431" t="n">
        <v>1</v>
      </c>
      <c r="CD431" t="n">
        <v>15</v>
      </c>
      <c r="CE431" t="n">
        <v>15</v>
      </c>
      <c r="CF431" t="n">
        <v>17</v>
      </c>
      <c r="CG431" t="n">
        <v>16</v>
      </c>
      <c r="CH431" t="n">
        <v>24</v>
      </c>
      <c r="CI431" t="n">
        <v>1</v>
      </c>
      <c r="CJ431" t="n">
        <v>1</v>
      </c>
      <c r="CK431" t="n">
        <v>1</v>
      </c>
      <c r="CL431" t="n">
        <v>15</v>
      </c>
      <c r="CM431" t="n">
        <v>15</v>
      </c>
      <c r="CN431" t="n">
        <v>17</v>
      </c>
      <c r="CO431" t="n">
        <v>16</v>
      </c>
      <c r="CP431" t="n">
        <v>0</v>
      </c>
      <c r="CQ431" t="n">
        <v>0</v>
      </c>
      <c r="CR431" t="n">
        <v>0</v>
      </c>
      <c r="CS431" t="n">
        <v>0</v>
      </c>
      <c r="CT431" t="n">
        <v>0</v>
      </c>
      <c r="CU431" t="n">
        <v>0</v>
      </c>
      <c r="CV431" t="n">
        <v>0</v>
      </c>
      <c r="CW431" t="n">
        <v>0</v>
      </c>
      <c r="CX431" t="n">
        <v>58.5</v>
      </c>
      <c r="CY431" t="n">
        <v>38.7</v>
      </c>
      <c r="CZ431" t="n">
        <v>87.40000000000001</v>
      </c>
      <c r="DA431" t="n">
        <v>63.2</v>
      </c>
      <c r="DB431" t="n">
        <v>58.5</v>
      </c>
      <c r="DC431" t="n">
        <v>38.3</v>
      </c>
      <c r="DD431" t="n">
        <v>86.59999999999999</v>
      </c>
      <c r="DE431" t="n">
        <v>62.1</v>
      </c>
      <c r="DF431" t="n">
        <v>58.5</v>
      </c>
      <c r="DG431" t="n">
        <v>38.7</v>
      </c>
      <c r="DH431" t="n">
        <v>87.40000000000001</v>
      </c>
      <c r="DI431" t="n">
        <v>63.2</v>
      </c>
      <c r="DJ431" t="n">
        <v>58.5</v>
      </c>
      <c r="DK431" t="n">
        <v>38.3</v>
      </c>
      <c r="DL431" t="n">
        <v>86.59999999999999</v>
      </c>
      <c r="DM431" t="n">
        <v>62.1</v>
      </c>
      <c r="DN431" t="n">
        <v>0</v>
      </c>
      <c r="DO431" t="n">
        <v>0</v>
      </c>
      <c r="DP431" t="n">
        <v>0</v>
      </c>
      <c r="DQ431" t="n">
        <v>0</v>
      </c>
      <c r="DR431" t="n">
        <v>0</v>
      </c>
      <c r="DS431" t="n">
        <v>0</v>
      </c>
      <c r="DT431" t="n">
        <v>0</v>
      </c>
      <c r="DU431" t="n">
        <v>0</v>
      </c>
      <c r="DV431" t="inlineStr">
        <is>
          <t>(CONTRACTS OF 1,000 BARRELS)</t>
        </is>
      </c>
    </row>
    <row r="432">
      <c r="A432" t="inlineStr">
        <is>
          <t>COCOA - ICE FUTURES U.S.</t>
        </is>
      </c>
      <c r="B432" t="n">
        <v>230110</v>
      </c>
      <c r="C432" s="1" t="n">
        <v>44936</v>
      </c>
      <c r="D432" t="inlineStr">
        <is>
          <t>073732</t>
        </is>
      </c>
      <c r="E432" t="inlineStr">
        <is>
          <t>ICUS</t>
        </is>
      </c>
      <c r="F432" t="inlineStr">
        <is>
          <t>01</t>
        </is>
      </c>
      <c r="G432" t="inlineStr">
        <is>
          <t xml:space="preserve">073 </t>
        </is>
      </c>
      <c r="H432" t="n">
        <v>297723</v>
      </c>
      <c r="I432" s="17" t="n">
        <v>94218</v>
      </c>
      <c r="J432" s="17" t="n">
        <v>66997</v>
      </c>
      <c r="K432" t="n">
        <v>57780</v>
      </c>
      <c r="L432" t="n">
        <v>132109</v>
      </c>
      <c r="M432" t="n">
        <v>163308</v>
      </c>
      <c r="N432" t="n">
        <v>284107</v>
      </c>
      <c r="O432" t="n">
        <v>288085</v>
      </c>
      <c r="P432" t="n">
        <v>13616</v>
      </c>
      <c r="Q432" t="n">
        <v>9638</v>
      </c>
      <c r="R432" t="n">
        <v>253722</v>
      </c>
      <c r="S432" t="n">
        <v>94324</v>
      </c>
      <c r="T432" t="n">
        <v>68362</v>
      </c>
      <c r="U432" t="n">
        <v>47963</v>
      </c>
      <c r="V432" t="n">
        <v>99232</v>
      </c>
      <c r="W432" t="n">
        <v>128098</v>
      </c>
      <c r="X432" t="n">
        <v>241519</v>
      </c>
      <c r="Y432" t="n">
        <v>244423</v>
      </c>
      <c r="Z432" t="n">
        <v>12203</v>
      </c>
      <c r="AA432" t="n">
        <v>9299</v>
      </c>
      <c r="AB432" t="n">
        <v>44001</v>
      </c>
      <c r="AC432" t="n">
        <v>7580</v>
      </c>
      <c r="AD432" t="n">
        <v>6321</v>
      </c>
      <c r="AE432" t="n">
        <v>2131</v>
      </c>
      <c r="AF432" t="n">
        <v>32877</v>
      </c>
      <c r="AG432" t="n">
        <v>35210</v>
      </c>
      <c r="AH432" t="n">
        <v>42588</v>
      </c>
      <c r="AI432" t="n">
        <v>43662</v>
      </c>
      <c r="AJ432" t="n">
        <v>1413</v>
      </c>
      <c r="AK432" t="n">
        <v>339</v>
      </c>
      <c r="AL432" t="n">
        <v>17417</v>
      </c>
      <c r="AM432" t="n">
        <v>6244</v>
      </c>
      <c r="AN432" t="n">
        <v>6861</v>
      </c>
      <c r="AO432" t="n">
        <v>279</v>
      </c>
      <c r="AP432" t="n">
        <v>10265</v>
      </c>
      <c r="AQ432" t="n">
        <v>9486</v>
      </c>
      <c r="AR432" t="n">
        <v>16788</v>
      </c>
      <c r="AS432" t="n">
        <v>16626</v>
      </c>
      <c r="AT432" t="n">
        <v>629</v>
      </c>
      <c r="AU432" t="n">
        <v>791</v>
      </c>
      <c r="AV432" t="n">
        <v>100</v>
      </c>
      <c r="AW432" t="n">
        <v>31.6</v>
      </c>
      <c r="AX432" t="n">
        <v>22.5</v>
      </c>
      <c r="AY432" t="n">
        <v>19.4</v>
      </c>
      <c r="AZ432" t="n">
        <v>44.4</v>
      </c>
      <c r="BA432" t="n">
        <v>54.9</v>
      </c>
      <c r="BB432" t="n">
        <v>95.40000000000001</v>
      </c>
      <c r="BC432" t="n">
        <v>96.8</v>
      </c>
      <c r="BD432" t="n">
        <v>4.6</v>
      </c>
      <c r="BE432" t="n">
        <v>3.2</v>
      </c>
      <c r="BF432" t="n">
        <v>100</v>
      </c>
      <c r="BG432" t="n">
        <v>37.2</v>
      </c>
      <c r="BH432" t="n">
        <v>26.9</v>
      </c>
      <c r="BI432" t="n">
        <v>18.9</v>
      </c>
      <c r="BJ432" t="n">
        <v>39.1</v>
      </c>
      <c r="BK432" t="n">
        <v>50.5</v>
      </c>
      <c r="BL432" t="n">
        <v>95.2</v>
      </c>
      <c r="BM432" t="n">
        <v>96.3</v>
      </c>
      <c r="BN432" t="n">
        <v>4.8</v>
      </c>
      <c r="BO432" t="n">
        <v>3.7</v>
      </c>
      <c r="BP432" t="n">
        <v>100</v>
      </c>
      <c r="BQ432" t="n">
        <v>17.2</v>
      </c>
      <c r="BR432" t="n">
        <v>14.4</v>
      </c>
      <c r="BS432" t="n">
        <v>4.8</v>
      </c>
      <c r="BT432" t="n">
        <v>74.7</v>
      </c>
      <c r="BU432" t="n">
        <v>80</v>
      </c>
      <c r="BV432" t="n">
        <v>96.8</v>
      </c>
      <c r="BW432" t="n">
        <v>99.2</v>
      </c>
      <c r="BX432" t="n">
        <v>3.2</v>
      </c>
      <c r="BY432" t="n">
        <v>0.8</v>
      </c>
      <c r="BZ432" t="n">
        <v>234</v>
      </c>
      <c r="CA432" t="n">
        <v>98</v>
      </c>
      <c r="CB432" t="n">
        <v>65</v>
      </c>
      <c r="CC432" t="n">
        <v>72</v>
      </c>
      <c r="CD432" t="n">
        <v>61</v>
      </c>
      <c r="CE432" t="n">
        <v>45</v>
      </c>
      <c r="CF432" t="n">
        <v>197</v>
      </c>
      <c r="CG432" t="n">
        <v>149</v>
      </c>
      <c r="CH432" t="n">
        <v>234</v>
      </c>
      <c r="CI432" t="n">
        <v>99</v>
      </c>
      <c r="CJ432" t="n">
        <v>67</v>
      </c>
      <c r="CK432" t="n">
        <v>69</v>
      </c>
      <c r="CL432" t="n">
        <v>60</v>
      </c>
      <c r="CM432" t="n">
        <v>43</v>
      </c>
      <c r="CN432" t="n">
        <v>193</v>
      </c>
      <c r="CO432" t="n">
        <v>147</v>
      </c>
      <c r="CP432" t="n">
        <v>75</v>
      </c>
      <c r="CQ432" t="n">
        <v>25</v>
      </c>
      <c r="CR432" t="n">
        <v>6</v>
      </c>
      <c r="CS432" t="n">
        <v>12</v>
      </c>
      <c r="CT432" t="n">
        <v>36</v>
      </c>
      <c r="CU432" t="n">
        <v>21</v>
      </c>
      <c r="CV432" t="n">
        <v>63</v>
      </c>
      <c r="CW432" t="n">
        <v>37</v>
      </c>
      <c r="CX432" t="n">
        <v>14.6</v>
      </c>
      <c r="CY432" t="n">
        <v>22.9</v>
      </c>
      <c r="CZ432" t="n">
        <v>23.6</v>
      </c>
      <c r="DA432" t="n">
        <v>35.5</v>
      </c>
      <c r="DB432" t="n">
        <v>8.6</v>
      </c>
      <c r="DC432" t="n">
        <v>12.9</v>
      </c>
      <c r="DD432" t="n">
        <v>15.6</v>
      </c>
      <c r="DE432" t="n">
        <v>21.4</v>
      </c>
      <c r="DF432" t="n">
        <v>12.6</v>
      </c>
      <c r="DG432" t="n">
        <v>22.1</v>
      </c>
      <c r="DH432" t="n">
        <v>21.7</v>
      </c>
      <c r="DI432" t="n">
        <v>35.3</v>
      </c>
      <c r="DJ432" t="n">
        <v>9</v>
      </c>
      <c r="DK432" t="n">
        <v>13.5</v>
      </c>
      <c r="DL432" t="n">
        <v>16.8</v>
      </c>
      <c r="DM432" t="n">
        <v>23.3</v>
      </c>
      <c r="DN432" t="n">
        <v>40.5</v>
      </c>
      <c r="DO432" t="n">
        <v>56.6</v>
      </c>
      <c r="DP432" t="n">
        <v>55</v>
      </c>
      <c r="DQ432" t="n">
        <v>79</v>
      </c>
      <c r="DR432" t="n">
        <v>27.3</v>
      </c>
      <c r="DS432" t="n">
        <v>46.9</v>
      </c>
      <c r="DT432" t="n">
        <v>36</v>
      </c>
      <c r="DU432" t="n">
        <v>59.1</v>
      </c>
      <c r="DV432" t="inlineStr">
        <is>
          <t>(CONTRACTS OF 10 METRIC TONS)</t>
        </is>
      </c>
    </row>
    <row r="433">
      <c r="A433" t="inlineStr">
        <is>
          <t>COCOA - ICE FUTURES U.S.</t>
        </is>
      </c>
      <c r="B433" t="n">
        <v>230103</v>
      </c>
      <c r="C433" s="1" t="n">
        <v>44929</v>
      </c>
      <c r="D433" t="inlineStr">
        <is>
          <t>073732</t>
        </is>
      </c>
      <c r="E433" t="inlineStr">
        <is>
          <t>ICUS</t>
        </is>
      </c>
      <c r="F433" t="inlineStr">
        <is>
          <t>01</t>
        </is>
      </c>
      <c r="G433" t="inlineStr">
        <is>
          <t xml:space="preserve">073 </t>
        </is>
      </c>
      <c r="H433" t="n">
        <v>280306</v>
      </c>
      <c r="I433" s="17" t="n">
        <v>87974</v>
      </c>
      <c r="J433" s="17" t="n">
        <v>60136</v>
      </c>
      <c r="K433" t="n">
        <v>57501</v>
      </c>
      <c r="L433" t="n">
        <v>121844</v>
      </c>
      <c r="M433" t="n">
        <v>153822</v>
      </c>
      <c r="N433" t="n">
        <v>267319</v>
      </c>
      <c r="O433" t="n">
        <v>271459</v>
      </c>
      <c r="P433" t="n">
        <v>12987</v>
      </c>
      <c r="Q433" t="n">
        <v>8847</v>
      </c>
      <c r="R433" t="n">
        <v>238476</v>
      </c>
      <c r="S433" t="n">
        <v>90643</v>
      </c>
      <c r="T433" t="n">
        <v>63326</v>
      </c>
      <c r="U433" t="n">
        <v>46799</v>
      </c>
      <c r="V433" t="n">
        <v>89085</v>
      </c>
      <c r="W433" t="n">
        <v>119646</v>
      </c>
      <c r="X433" t="n">
        <v>226527</v>
      </c>
      <c r="Y433" t="n">
        <v>229771</v>
      </c>
      <c r="Z433" t="n">
        <v>11949</v>
      </c>
      <c r="AA433" t="n">
        <v>8705</v>
      </c>
      <c r="AB433" t="n">
        <v>41830</v>
      </c>
      <c r="AC433" t="n">
        <v>5659</v>
      </c>
      <c r="AD433" t="n">
        <v>5138</v>
      </c>
      <c r="AE433" t="n">
        <v>2374</v>
      </c>
      <c r="AF433" t="n">
        <v>32759</v>
      </c>
      <c r="AG433" t="n">
        <v>34176</v>
      </c>
      <c r="AH433" t="n">
        <v>40792</v>
      </c>
      <c r="AI433" t="n">
        <v>41688</v>
      </c>
      <c r="AJ433" t="n">
        <v>1038</v>
      </c>
      <c r="AK433" t="n">
        <v>142</v>
      </c>
      <c r="AL433" t="n">
        <v>9924</v>
      </c>
      <c r="AM433" t="n">
        <v>-921</v>
      </c>
      <c r="AN433" t="n">
        <v>2144</v>
      </c>
      <c r="AO433" t="n">
        <v>6745</v>
      </c>
      <c r="AP433" t="n">
        <v>3952</v>
      </c>
      <c r="AQ433" t="n">
        <v>-208</v>
      </c>
      <c r="AR433" t="n">
        <v>9776</v>
      </c>
      <c r="AS433" t="n">
        <v>8681</v>
      </c>
      <c r="AT433" t="n">
        <v>148</v>
      </c>
      <c r="AU433" t="n">
        <v>1243</v>
      </c>
      <c r="AV433" t="n">
        <v>100</v>
      </c>
      <c r="AW433" t="n">
        <v>31.4</v>
      </c>
      <c r="AX433" t="n">
        <v>21.5</v>
      </c>
      <c r="AY433" t="n">
        <v>20.5</v>
      </c>
      <c r="AZ433" t="n">
        <v>43.5</v>
      </c>
      <c r="BA433" t="n">
        <v>54.9</v>
      </c>
      <c r="BB433" t="n">
        <v>95.40000000000001</v>
      </c>
      <c r="BC433" t="n">
        <v>96.8</v>
      </c>
      <c r="BD433" t="n">
        <v>4.6</v>
      </c>
      <c r="BE433" t="n">
        <v>3.2</v>
      </c>
      <c r="BF433" t="n">
        <v>100</v>
      </c>
      <c r="BG433" t="n">
        <v>38</v>
      </c>
      <c r="BH433" t="n">
        <v>26.6</v>
      </c>
      <c r="BI433" t="n">
        <v>19.6</v>
      </c>
      <c r="BJ433" t="n">
        <v>37.4</v>
      </c>
      <c r="BK433" t="n">
        <v>50.2</v>
      </c>
      <c r="BL433" t="n">
        <v>95</v>
      </c>
      <c r="BM433" t="n">
        <v>96.3</v>
      </c>
      <c r="BN433" t="n">
        <v>5</v>
      </c>
      <c r="BO433" t="n">
        <v>3.7</v>
      </c>
      <c r="BP433" t="n">
        <v>100</v>
      </c>
      <c r="BQ433" t="n">
        <v>13.5</v>
      </c>
      <c r="BR433" t="n">
        <v>12.3</v>
      </c>
      <c r="BS433" t="n">
        <v>5.7</v>
      </c>
      <c r="BT433" t="n">
        <v>78.3</v>
      </c>
      <c r="BU433" t="n">
        <v>81.7</v>
      </c>
      <c r="BV433" t="n">
        <v>97.5</v>
      </c>
      <c r="BW433" t="n">
        <v>99.7</v>
      </c>
      <c r="BX433" t="n">
        <v>2.5</v>
      </c>
      <c r="BY433" t="n">
        <v>0.3</v>
      </c>
      <c r="BZ433" t="n">
        <v>227</v>
      </c>
      <c r="CA433" t="n">
        <v>92</v>
      </c>
      <c r="CB433" t="n">
        <v>63</v>
      </c>
      <c r="CC433" t="n">
        <v>69</v>
      </c>
      <c r="CD433" t="n">
        <v>62</v>
      </c>
      <c r="CE433" t="n">
        <v>46</v>
      </c>
      <c r="CF433" t="n">
        <v>192</v>
      </c>
      <c r="CG433" t="n">
        <v>145</v>
      </c>
      <c r="CH433" t="n">
        <v>226</v>
      </c>
      <c r="CI433" t="n">
        <v>92</v>
      </c>
      <c r="CJ433" t="n">
        <v>66</v>
      </c>
      <c r="CK433" t="n">
        <v>65</v>
      </c>
      <c r="CL433" t="n">
        <v>61</v>
      </c>
      <c r="CM433" t="n">
        <v>43</v>
      </c>
      <c r="CN433" t="n">
        <v>188</v>
      </c>
      <c r="CO433" t="n">
        <v>141</v>
      </c>
      <c r="CP433" t="n">
        <v>78</v>
      </c>
      <c r="CQ433" t="n">
        <v>27</v>
      </c>
      <c r="CR433" t="n">
        <v>5</v>
      </c>
      <c r="CS433" t="n">
        <v>12</v>
      </c>
      <c r="CT433" t="n">
        <v>36</v>
      </c>
      <c r="CU433" t="n">
        <v>22</v>
      </c>
      <c r="CV433" t="n">
        <v>67</v>
      </c>
      <c r="CW433" t="n">
        <v>36</v>
      </c>
      <c r="CX433" t="n">
        <v>14.1</v>
      </c>
      <c r="CY433" t="n">
        <v>22.9</v>
      </c>
      <c r="CZ433" t="n">
        <v>23.1</v>
      </c>
      <c r="DA433" t="n">
        <v>35.9</v>
      </c>
      <c r="DB433" t="n">
        <v>9.1</v>
      </c>
      <c r="DC433" t="n">
        <v>13.8</v>
      </c>
      <c r="DD433" t="n">
        <v>16.3</v>
      </c>
      <c r="DE433" t="n">
        <v>22.8</v>
      </c>
      <c r="DF433" t="n">
        <v>11.4</v>
      </c>
      <c r="DG433" t="n">
        <v>21.3</v>
      </c>
      <c r="DH433" t="n">
        <v>20.9</v>
      </c>
      <c r="DI433" t="n">
        <v>35.1</v>
      </c>
      <c r="DJ433" t="n">
        <v>9.4</v>
      </c>
      <c r="DK433" t="n">
        <v>14.5</v>
      </c>
      <c r="DL433" t="n">
        <v>17.5</v>
      </c>
      <c r="DM433" t="n">
        <v>24.8</v>
      </c>
      <c r="DN433" t="n">
        <v>41.6</v>
      </c>
      <c r="DO433" t="n">
        <v>58.9</v>
      </c>
      <c r="DP433" t="n">
        <v>56</v>
      </c>
      <c r="DQ433" t="n">
        <v>81.40000000000001</v>
      </c>
      <c r="DR433" t="n">
        <v>29.4</v>
      </c>
      <c r="DS433" t="n">
        <v>48.8</v>
      </c>
      <c r="DT433" t="n">
        <v>38.3</v>
      </c>
      <c r="DU433" t="n">
        <v>60.7</v>
      </c>
      <c r="DV433" t="inlineStr">
        <is>
          <t>(CONTRACTS OF 10 METRIC TONS)</t>
        </is>
      </c>
    </row>
    <row r="434">
      <c r="A434" t="inlineStr">
        <is>
          <t>PALLADIUM - NEW YORK MERCANTILE EXCHANGE</t>
        </is>
      </c>
      <c r="B434" t="n">
        <v>230110</v>
      </c>
      <c r="C434" s="1" t="n">
        <v>44936</v>
      </c>
      <c r="D434" t="inlineStr">
        <is>
          <t>075651</t>
        </is>
      </c>
      <c r="E434" t="inlineStr">
        <is>
          <t>NYME</t>
        </is>
      </c>
      <c r="F434" t="inlineStr">
        <is>
          <t>01</t>
        </is>
      </c>
      <c r="G434" t="inlineStr">
        <is>
          <t xml:space="preserve">075 </t>
        </is>
      </c>
      <c r="H434" t="n">
        <v>8352</v>
      </c>
      <c r="I434" s="17" t="n">
        <v>2114</v>
      </c>
      <c r="J434" s="17" t="n">
        <v>4604</v>
      </c>
      <c r="K434" t="n">
        <v>424</v>
      </c>
      <c r="L434" t="n">
        <v>4452</v>
      </c>
      <c r="M434" t="n">
        <v>2115</v>
      </c>
      <c r="N434" t="n">
        <v>6990</v>
      </c>
      <c r="O434" t="n">
        <v>7143</v>
      </c>
      <c r="P434" t="n">
        <v>1362</v>
      </c>
      <c r="Q434" t="n">
        <v>1209</v>
      </c>
      <c r="R434" t="n">
        <v>8352</v>
      </c>
      <c r="S434" t="n">
        <v>2114</v>
      </c>
      <c r="T434" t="n">
        <v>4604</v>
      </c>
      <c r="U434" t="n">
        <v>424</v>
      </c>
      <c r="V434" t="n">
        <v>4452</v>
      </c>
      <c r="W434" t="n">
        <v>2115</v>
      </c>
      <c r="X434" t="n">
        <v>6990</v>
      </c>
      <c r="Y434" t="n">
        <v>7143</v>
      </c>
      <c r="Z434" t="n">
        <v>1362</v>
      </c>
      <c r="AA434" t="n">
        <v>1209</v>
      </c>
      <c r="AB434" t="n">
        <v>0</v>
      </c>
      <c r="AC434" t="n">
        <v>0</v>
      </c>
      <c r="AD434" t="n">
        <v>0</v>
      </c>
      <c r="AE434" t="n">
        <v>0</v>
      </c>
      <c r="AF434" t="n">
        <v>0</v>
      </c>
      <c r="AG434" t="n">
        <v>0</v>
      </c>
      <c r="AH434" t="n">
        <v>0</v>
      </c>
      <c r="AI434" t="n">
        <v>0</v>
      </c>
      <c r="AJ434" t="n">
        <v>0</v>
      </c>
      <c r="AK434" t="n">
        <v>0</v>
      </c>
      <c r="AL434" t="n">
        <v>-104</v>
      </c>
      <c r="AM434" t="n">
        <v>-6</v>
      </c>
      <c r="AN434" t="n">
        <v>-58</v>
      </c>
      <c r="AO434" t="n">
        <v>58</v>
      </c>
      <c r="AP434" t="n">
        <v>-248</v>
      </c>
      <c r="AQ434" t="n">
        <v>-163</v>
      </c>
      <c r="AR434" t="n">
        <v>-196</v>
      </c>
      <c r="AS434" t="n">
        <v>-163</v>
      </c>
      <c r="AT434" t="n">
        <v>92</v>
      </c>
      <c r="AU434" t="n">
        <v>59</v>
      </c>
      <c r="AV434" t="n">
        <v>100</v>
      </c>
      <c r="AW434" t="n">
        <v>25.3</v>
      </c>
      <c r="AX434" t="n">
        <v>55.1</v>
      </c>
      <c r="AY434" t="n">
        <v>5.1</v>
      </c>
      <c r="AZ434" t="n">
        <v>53.3</v>
      </c>
      <c r="BA434" t="n">
        <v>25.3</v>
      </c>
      <c r="BB434" t="n">
        <v>83.7</v>
      </c>
      <c r="BC434" t="n">
        <v>85.5</v>
      </c>
      <c r="BD434" t="n">
        <v>16.3</v>
      </c>
      <c r="BE434" t="n">
        <v>14.5</v>
      </c>
      <c r="BF434" t="n">
        <v>100</v>
      </c>
      <c r="BG434" t="n">
        <v>25.3</v>
      </c>
      <c r="BH434" t="n">
        <v>55.1</v>
      </c>
      <c r="BI434" t="n">
        <v>5.1</v>
      </c>
      <c r="BJ434" t="n">
        <v>53.3</v>
      </c>
      <c r="BK434" t="n">
        <v>25.3</v>
      </c>
      <c r="BL434" t="n">
        <v>83.7</v>
      </c>
      <c r="BM434" t="n">
        <v>85.5</v>
      </c>
      <c r="BN434" t="n">
        <v>16.3</v>
      </c>
      <c r="BO434" t="n">
        <v>14.5</v>
      </c>
      <c r="BP434" t="n">
        <v>0</v>
      </c>
      <c r="BQ434" t="n">
        <v>0</v>
      </c>
      <c r="BR434" t="n">
        <v>0</v>
      </c>
      <c r="BS434" t="n">
        <v>0</v>
      </c>
      <c r="BT434" t="n">
        <v>0</v>
      </c>
      <c r="BU434" t="n">
        <v>0</v>
      </c>
      <c r="BV434" t="n">
        <v>0</v>
      </c>
      <c r="BW434" t="n">
        <v>0</v>
      </c>
      <c r="BX434" t="n">
        <v>0</v>
      </c>
      <c r="BY434" t="n">
        <v>0</v>
      </c>
      <c r="BZ434" t="n">
        <v>98</v>
      </c>
      <c r="CA434" t="n">
        <v>20</v>
      </c>
      <c r="CB434" t="n">
        <v>38</v>
      </c>
      <c r="CC434" t="n">
        <v>9</v>
      </c>
      <c r="CD434" t="n">
        <v>22</v>
      </c>
      <c r="CE434" t="n">
        <v>20</v>
      </c>
      <c r="CF434" t="n">
        <v>48</v>
      </c>
      <c r="CG434" t="n">
        <v>62</v>
      </c>
      <c r="CH434" t="n">
        <v>98</v>
      </c>
      <c r="CI434" t="n">
        <v>20</v>
      </c>
      <c r="CJ434" t="n">
        <v>38</v>
      </c>
      <c r="CK434" t="n">
        <v>9</v>
      </c>
      <c r="CL434" t="n">
        <v>22</v>
      </c>
      <c r="CM434" t="n">
        <v>20</v>
      </c>
      <c r="CN434" t="n">
        <v>48</v>
      </c>
      <c r="CO434" t="n">
        <v>62</v>
      </c>
      <c r="CP434" t="n">
        <v>0</v>
      </c>
      <c r="CQ434" t="n">
        <v>0</v>
      </c>
      <c r="CR434" t="n">
        <v>0</v>
      </c>
      <c r="CS434" t="n">
        <v>0</v>
      </c>
      <c r="CT434" t="n">
        <v>0</v>
      </c>
      <c r="CU434" t="n">
        <v>0</v>
      </c>
      <c r="CV434" t="n">
        <v>0</v>
      </c>
      <c r="CW434" t="n">
        <v>0</v>
      </c>
      <c r="CX434" t="n">
        <v>26.7</v>
      </c>
      <c r="CY434" t="n">
        <v>21.5</v>
      </c>
      <c r="CZ434" t="n">
        <v>42.3</v>
      </c>
      <c r="DA434" t="n">
        <v>37.6</v>
      </c>
      <c r="DB434" t="n">
        <v>26.6</v>
      </c>
      <c r="DC434" t="n">
        <v>21.5</v>
      </c>
      <c r="DD434" t="n">
        <v>42.2</v>
      </c>
      <c r="DE434" t="n">
        <v>37.2</v>
      </c>
      <c r="DF434" t="n">
        <v>26.7</v>
      </c>
      <c r="DG434" t="n">
        <v>21.5</v>
      </c>
      <c r="DH434" t="n">
        <v>42.3</v>
      </c>
      <c r="DI434" t="n">
        <v>37.6</v>
      </c>
      <c r="DJ434" t="n">
        <v>26.6</v>
      </c>
      <c r="DK434" t="n">
        <v>21.5</v>
      </c>
      <c r="DL434" t="n">
        <v>42.2</v>
      </c>
      <c r="DM434" t="n">
        <v>37.2</v>
      </c>
      <c r="DN434" t="n">
        <v>0</v>
      </c>
      <c r="DO434" t="n">
        <v>0</v>
      </c>
      <c r="DP434" t="n">
        <v>0</v>
      </c>
      <c r="DQ434" t="n">
        <v>0</v>
      </c>
      <c r="DR434" t="n">
        <v>0</v>
      </c>
      <c r="DS434" t="n">
        <v>0</v>
      </c>
      <c r="DT434" t="n">
        <v>0</v>
      </c>
      <c r="DU434" t="n">
        <v>0</v>
      </c>
      <c r="DV434" t="inlineStr">
        <is>
          <t>(CONTRACTS OF 100 TROY OUNCES)</t>
        </is>
      </c>
    </row>
    <row r="435">
      <c r="A435" t="inlineStr">
        <is>
          <t>PALLADIUM - NEW YORK MERCANTILE EXCHANGE</t>
        </is>
      </c>
      <c r="B435" t="n">
        <v>230103</v>
      </c>
      <c r="C435" s="1" t="n">
        <v>44929</v>
      </c>
      <c r="D435" t="inlineStr">
        <is>
          <t>075651</t>
        </is>
      </c>
      <c r="E435" t="inlineStr">
        <is>
          <t>NYME</t>
        </is>
      </c>
      <c r="F435" t="inlineStr">
        <is>
          <t>01</t>
        </is>
      </c>
      <c r="G435" t="inlineStr">
        <is>
          <t xml:space="preserve">075 </t>
        </is>
      </c>
      <c r="H435" t="n">
        <v>8456</v>
      </c>
      <c r="I435" s="17" t="n">
        <v>2120</v>
      </c>
      <c r="J435" s="17" t="n">
        <v>4662</v>
      </c>
      <c r="K435" t="n">
        <v>366</v>
      </c>
      <c r="L435" t="n">
        <v>4700</v>
      </c>
      <c r="M435" t="n">
        <v>2278</v>
      </c>
      <c r="N435" t="n">
        <v>7186</v>
      </c>
      <c r="O435" t="n">
        <v>7306</v>
      </c>
      <c r="P435" t="n">
        <v>1270</v>
      </c>
      <c r="Q435" t="n">
        <v>1150</v>
      </c>
      <c r="R435" t="n">
        <v>8456</v>
      </c>
      <c r="S435" t="n">
        <v>2120</v>
      </c>
      <c r="T435" t="n">
        <v>4662</v>
      </c>
      <c r="U435" t="n">
        <v>366</v>
      </c>
      <c r="V435" t="n">
        <v>4700</v>
      </c>
      <c r="W435" t="n">
        <v>2278</v>
      </c>
      <c r="X435" t="n">
        <v>7186</v>
      </c>
      <c r="Y435" t="n">
        <v>7306</v>
      </c>
      <c r="Z435" t="n">
        <v>1270</v>
      </c>
      <c r="AA435" t="n">
        <v>1150</v>
      </c>
      <c r="AB435" t="n">
        <v>0</v>
      </c>
      <c r="AC435" t="n">
        <v>0</v>
      </c>
      <c r="AD435" t="n">
        <v>0</v>
      </c>
      <c r="AE435" t="n">
        <v>0</v>
      </c>
      <c r="AF435" t="n">
        <v>0</v>
      </c>
      <c r="AG435" t="n">
        <v>0</v>
      </c>
      <c r="AH435" t="n">
        <v>0</v>
      </c>
      <c r="AI435" t="n">
        <v>0</v>
      </c>
      <c r="AJ435" t="n">
        <v>0</v>
      </c>
      <c r="AK435" t="n">
        <v>0</v>
      </c>
      <c r="AL435" t="n">
        <v>181</v>
      </c>
      <c r="AM435" t="n">
        <v>-38</v>
      </c>
      <c r="AN435" t="n">
        <v>298</v>
      </c>
      <c r="AO435" t="n">
        <v>2</v>
      </c>
      <c r="AP435" t="n">
        <v>107</v>
      </c>
      <c r="AQ435" t="n">
        <v>-7</v>
      </c>
      <c r="AR435" t="n">
        <v>71</v>
      </c>
      <c r="AS435" t="n">
        <v>293</v>
      </c>
      <c r="AT435" t="n">
        <v>110</v>
      </c>
      <c r="AU435" t="n">
        <v>-112</v>
      </c>
      <c r="AV435" t="n">
        <v>100</v>
      </c>
      <c r="AW435" t="n">
        <v>25.1</v>
      </c>
      <c r="AX435" t="n">
        <v>55.1</v>
      </c>
      <c r="AY435" t="n">
        <v>4.3</v>
      </c>
      <c r="AZ435" t="n">
        <v>55.6</v>
      </c>
      <c r="BA435" t="n">
        <v>26.9</v>
      </c>
      <c r="BB435" t="n">
        <v>85</v>
      </c>
      <c r="BC435" t="n">
        <v>86.40000000000001</v>
      </c>
      <c r="BD435" t="n">
        <v>15</v>
      </c>
      <c r="BE435" t="n">
        <v>13.6</v>
      </c>
      <c r="BF435" t="n">
        <v>100</v>
      </c>
      <c r="BG435" t="n">
        <v>25.1</v>
      </c>
      <c r="BH435" t="n">
        <v>55.1</v>
      </c>
      <c r="BI435" t="n">
        <v>4.3</v>
      </c>
      <c r="BJ435" t="n">
        <v>55.6</v>
      </c>
      <c r="BK435" t="n">
        <v>26.9</v>
      </c>
      <c r="BL435" t="n">
        <v>85</v>
      </c>
      <c r="BM435" t="n">
        <v>86.40000000000001</v>
      </c>
      <c r="BN435" t="n">
        <v>15</v>
      </c>
      <c r="BO435" t="n">
        <v>13.6</v>
      </c>
      <c r="BP435" t="n">
        <v>0</v>
      </c>
      <c r="BQ435" t="n">
        <v>0</v>
      </c>
      <c r="BR435" t="n">
        <v>0</v>
      </c>
      <c r="BS435" t="n">
        <v>0</v>
      </c>
      <c r="BT435" t="n">
        <v>0</v>
      </c>
      <c r="BU435" t="n">
        <v>0</v>
      </c>
      <c r="BV435" t="n">
        <v>0</v>
      </c>
      <c r="BW435" t="n">
        <v>0</v>
      </c>
      <c r="BX435" t="n">
        <v>0</v>
      </c>
      <c r="BY435" t="n">
        <v>0</v>
      </c>
      <c r="BZ435" t="n">
        <v>113</v>
      </c>
      <c r="CA435" t="n">
        <v>29</v>
      </c>
      <c r="CB435" t="n">
        <v>39</v>
      </c>
      <c r="CC435" t="n">
        <v>6</v>
      </c>
      <c r="CD435" t="n">
        <v>25</v>
      </c>
      <c r="CE435" t="n">
        <v>23</v>
      </c>
      <c r="CF435" t="n">
        <v>58</v>
      </c>
      <c r="CG435" t="n">
        <v>65</v>
      </c>
      <c r="CH435" t="n">
        <v>113</v>
      </c>
      <c r="CI435" t="n">
        <v>29</v>
      </c>
      <c r="CJ435" t="n">
        <v>39</v>
      </c>
      <c r="CK435" t="n">
        <v>6</v>
      </c>
      <c r="CL435" t="n">
        <v>25</v>
      </c>
      <c r="CM435" t="n">
        <v>23</v>
      </c>
      <c r="CN435" t="n">
        <v>58</v>
      </c>
      <c r="CO435" t="n">
        <v>65</v>
      </c>
      <c r="CP435" t="n">
        <v>0</v>
      </c>
      <c r="CQ435" t="n">
        <v>0</v>
      </c>
      <c r="CR435" t="n">
        <v>0</v>
      </c>
      <c r="CS435" t="n">
        <v>0</v>
      </c>
      <c r="CT435" t="n">
        <v>0</v>
      </c>
      <c r="CU435" t="n">
        <v>0</v>
      </c>
      <c r="CV435" t="n">
        <v>0</v>
      </c>
      <c r="CW435" t="n">
        <v>0</v>
      </c>
      <c r="CX435" t="n">
        <v>26.4</v>
      </c>
      <c r="CY435" t="n">
        <v>22</v>
      </c>
      <c r="CZ435" t="n">
        <v>42.2</v>
      </c>
      <c r="DA435" t="n">
        <v>37.9</v>
      </c>
      <c r="DB435" t="n">
        <v>26.3</v>
      </c>
      <c r="DC435" t="n">
        <v>22</v>
      </c>
      <c r="DD435" t="n">
        <v>42.1</v>
      </c>
      <c r="DE435" t="n">
        <v>37.9</v>
      </c>
      <c r="DF435" t="n">
        <v>26.4</v>
      </c>
      <c r="DG435" t="n">
        <v>22</v>
      </c>
      <c r="DH435" t="n">
        <v>42.2</v>
      </c>
      <c r="DI435" t="n">
        <v>37.9</v>
      </c>
      <c r="DJ435" t="n">
        <v>26.3</v>
      </c>
      <c r="DK435" t="n">
        <v>22</v>
      </c>
      <c r="DL435" t="n">
        <v>42.1</v>
      </c>
      <c r="DM435" t="n">
        <v>37.9</v>
      </c>
      <c r="DN435" t="n">
        <v>0</v>
      </c>
      <c r="DO435" t="n">
        <v>0</v>
      </c>
      <c r="DP435" t="n">
        <v>0</v>
      </c>
      <c r="DQ435" t="n">
        <v>0</v>
      </c>
      <c r="DR435" t="n">
        <v>0</v>
      </c>
      <c r="DS435" t="n">
        <v>0</v>
      </c>
      <c r="DT435" t="n">
        <v>0</v>
      </c>
      <c r="DU435" t="n">
        <v>0</v>
      </c>
      <c r="DV435" t="inlineStr">
        <is>
          <t>(CONTRACTS OF 100 TROY OUNCES)</t>
        </is>
      </c>
    </row>
    <row r="436">
      <c r="A436" t="inlineStr">
        <is>
          <t>PLATINUM - NEW YORK MERCANTILE EXCHANGE</t>
        </is>
      </c>
      <c r="B436" t="n">
        <v>230110</v>
      </c>
      <c r="C436" s="1" t="n">
        <v>44936</v>
      </c>
      <c r="D436" t="inlineStr">
        <is>
          <t>076651</t>
        </is>
      </c>
      <c r="E436" t="inlineStr">
        <is>
          <t>NYME</t>
        </is>
      </c>
      <c r="F436" t="inlineStr">
        <is>
          <t>01</t>
        </is>
      </c>
      <c r="G436" t="inlineStr">
        <is>
          <t xml:space="preserve">076 </t>
        </is>
      </c>
      <c r="H436" t="n">
        <v>72216</v>
      </c>
      <c r="I436" s="17" t="n">
        <v>43745</v>
      </c>
      <c r="J436" s="17" t="n">
        <v>13043</v>
      </c>
      <c r="K436" t="n">
        <v>2511</v>
      </c>
      <c r="L436" t="n">
        <v>19128</v>
      </c>
      <c r="M436" t="n">
        <v>53474</v>
      </c>
      <c r="N436" t="n">
        <v>65384</v>
      </c>
      <c r="O436" t="n">
        <v>69028</v>
      </c>
      <c r="P436" t="n">
        <v>6832</v>
      </c>
      <c r="Q436" t="n">
        <v>3188</v>
      </c>
      <c r="R436" t="n">
        <v>72216</v>
      </c>
      <c r="S436" t="n">
        <v>43745</v>
      </c>
      <c r="T436" t="n">
        <v>13043</v>
      </c>
      <c r="U436" t="n">
        <v>2511</v>
      </c>
      <c r="V436" t="n">
        <v>19128</v>
      </c>
      <c r="W436" t="n">
        <v>53474</v>
      </c>
      <c r="X436" t="n">
        <v>65384</v>
      </c>
      <c r="Y436" t="n">
        <v>69028</v>
      </c>
      <c r="Z436" t="n">
        <v>6832</v>
      </c>
      <c r="AA436" t="n">
        <v>3188</v>
      </c>
      <c r="AB436" t="n">
        <v>0</v>
      </c>
      <c r="AC436" t="n">
        <v>0</v>
      </c>
      <c r="AD436" t="n">
        <v>0</v>
      </c>
      <c r="AE436" t="n">
        <v>0</v>
      </c>
      <c r="AF436" t="n">
        <v>0</v>
      </c>
      <c r="AG436" t="n">
        <v>0</v>
      </c>
      <c r="AH436" t="n">
        <v>0</v>
      </c>
      <c r="AI436" t="n">
        <v>0</v>
      </c>
      <c r="AJ436" t="n">
        <v>0</v>
      </c>
      <c r="AK436" t="n">
        <v>0</v>
      </c>
      <c r="AL436" t="n">
        <v>2529</v>
      </c>
      <c r="AM436" t="n">
        <v>2190</v>
      </c>
      <c r="AN436" t="n">
        <v>1991</v>
      </c>
      <c r="AO436" t="n">
        <v>-8</v>
      </c>
      <c r="AP436" t="n">
        <v>394</v>
      </c>
      <c r="AQ436" t="n">
        <v>1583</v>
      </c>
      <c r="AR436" t="n">
        <v>2576</v>
      </c>
      <c r="AS436" t="n">
        <v>3566</v>
      </c>
      <c r="AT436" t="n">
        <v>-47</v>
      </c>
      <c r="AU436" t="n">
        <v>-1037</v>
      </c>
      <c r="AV436" t="n">
        <v>100</v>
      </c>
      <c r="AW436" t="n">
        <v>60.6</v>
      </c>
      <c r="AX436" t="n">
        <v>18.1</v>
      </c>
      <c r="AY436" t="n">
        <v>3.5</v>
      </c>
      <c r="AZ436" t="n">
        <v>26.5</v>
      </c>
      <c r="BA436" t="n">
        <v>74</v>
      </c>
      <c r="BB436" t="n">
        <v>90.5</v>
      </c>
      <c r="BC436" t="n">
        <v>95.59999999999999</v>
      </c>
      <c r="BD436" t="n">
        <v>9.5</v>
      </c>
      <c r="BE436" t="n">
        <v>4.4</v>
      </c>
      <c r="BF436" t="n">
        <v>100</v>
      </c>
      <c r="BG436" t="n">
        <v>60.6</v>
      </c>
      <c r="BH436" t="n">
        <v>18.1</v>
      </c>
      <c r="BI436" t="n">
        <v>3.5</v>
      </c>
      <c r="BJ436" t="n">
        <v>26.5</v>
      </c>
      <c r="BK436" t="n">
        <v>74</v>
      </c>
      <c r="BL436" t="n">
        <v>90.5</v>
      </c>
      <c r="BM436" t="n">
        <v>95.59999999999999</v>
      </c>
      <c r="BN436" t="n">
        <v>9.5</v>
      </c>
      <c r="BO436" t="n">
        <v>4.4</v>
      </c>
      <c r="BP436" t="n">
        <v>0</v>
      </c>
      <c r="BQ436" t="n">
        <v>0</v>
      </c>
      <c r="BR436" t="n">
        <v>0</v>
      </c>
      <c r="BS436" t="n">
        <v>0</v>
      </c>
      <c r="BT436" t="n">
        <v>0</v>
      </c>
      <c r="BU436" t="n">
        <v>0</v>
      </c>
      <c r="BV436" t="n">
        <v>0</v>
      </c>
      <c r="BW436" t="n">
        <v>0</v>
      </c>
      <c r="BX436" t="n">
        <v>0</v>
      </c>
      <c r="BY436" t="n">
        <v>0</v>
      </c>
      <c r="BZ436" t="n">
        <v>227</v>
      </c>
      <c r="CA436" t="n">
        <v>121</v>
      </c>
      <c r="CB436" t="n">
        <v>34</v>
      </c>
      <c r="CC436" t="n">
        <v>25</v>
      </c>
      <c r="CD436" t="n">
        <v>32</v>
      </c>
      <c r="CE436" t="n">
        <v>51</v>
      </c>
      <c r="CF436" t="n">
        <v>165</v>
      </c>
      <c r="CG436" t="n">
        <v>99</v>
      </c>
      <c r="CH436" t="n">
        <v>227</v>
      </c>
      <c r="CI436" t="n">
        <v>121</v>
      </c>
      <c r="CJ436" t="n">
        <v>34</v>
      </c>
      <c r="CK436" t="n">
        <v>25</v>
      </c>
      <c r="CL436" t="n">
        <v>32</v>
      </c>
      <c r="CM436" t="n">
        <v>51</v>
      </c>
      <c r="CN436" t="n">
        <v>165</v>
      </c>
      <c r="CO436" t="n">
        <v>99</v>
      </c>
      <c r="CP436" t="n">
        <v>0</v>
      </c>
      <c r="CQ436" t="n">
        <v>0</v>
      </c>
      <c r="CR436" t="n">
        <v>0</v>
      </c>
      <c r="CS436" t="n">
        <v>0</v>
      </c>
      <c r="CT436" t="n">
        <v>0</v>
      </c>
      <c r="CU436" t="n">
        <v>0</v>
      </c>
      <c r="CV436" t="n">
        <v>0</v>
      </c>
      <c r="CW436" t="n">
        <v>0</v>
      </c>
      <c r="CX436" t="n">
        <v>20.1</v>
      </c>
      <c r="CY436" t="n">
        <v>48</v>
      </c>
      <c r="CZ436" t="n">
        <v>30.4</v>
      </c>
      <c r="DA436" t="n">
        <v>62.7</v>
      </c>
      <c r="DB436" t="n">
        <v>20</v>
      </c>
      <c r="DC436" t="n">
        <v>44.3</v>
      </c>
      <c r="DD436" t="n">
        <v>30.3</v>
      </c>
      <c r="DE436" t="n">
        <v>58.9</v>
      </c>
      <c r="DF436" t="n">
        <v>20.1</v>
      </c>
      <c r="DG436" t="n">
        <v>48</v>
      </c>
      <c r="DH436" t="n">
        <v>30.4</v>
      </c>
      <c r="DI436" t="n">
        <v>62.7</v>
      </c>
      <c r="DJ436" t="n">
        <v>20</v>
      </c>
      <c r="DK436" t="n">
        <v>44.3</v>
      </c>
      <c r="DL436" t="n">
        <v>30.3</v>
      </c>
      <c r="DM436" t="n">
        <v>58.9</v>
      </c>
      <c r="DN436" t="n">
        <v>0</v>
      </c>
      <c r="DO436" t="n">
        <v>0</v>
      </c>
      <c r="DP436" t="n">
        <v>0</v>
      </c>
      <c r="DQ436" t="n">
        <v>0</v>
      </c>
      <c r="DR436" t="n">
        <v>0</v>
      </c>
      <c r="DS436" t="n">
        <v>0</v>
      </c>
      <c r="DT436" t="n">
        <v>0</v>
      </c>
      <c r="DU436" t="n">
        <v>0</v>
      </c>
      <c r="DV436" t="inlineStr">
        <is>
          <t>(CONTRACTS OF 50 TROY OUNCES)</t>
        </is>
      </c>
    </row>
    <row r="437">
      <c r="A437" t="inlineStr">
        <is>
          <t>PLATINUM - NEW YORK MERCANTILE EXCHANGE</t>
        </is>
      </c>
      <c r="B437" t="n">
        <v>230103</v>
      </c>
      <c r="C437" s="1" t="n">
        <v>44929</v>
      </c>
      <c r="D437" t="inlineStr">
        <is>
          <t>076651</t>
        </is>
      </c>
      <c r="E437" t="inlineStr">
        <is>
          <t>NYME</t>
        </is>
      </c>
      <c r="F437" t="inlineStr">
        <is>
          <t>01</t>
        </is>
      </c>
      <c r="G437" t="inlineStr">
        <is>
          <t xml:space="preserve">076 </t>
        </is>
      </c>
      <c r="H437" t="n">
        <v>69687</v>
      </c>
      <c r="I437" s="17" t="n">
        <v>41555</v>
      </c>
      <c r="J437" s="17" t="n">
        <v>11052</v>
      </c>
      <c r="K437" t="n">
        <v>2519</v>
      </c>
      <c r="L437" t="n">
        <v>18734</v>
      </c>
      <c r="M437" t="n">
        <v>51891</v>
      </c>
      <c r="N437" t="n">
        <v>62808</v>
      </c>
      <c r="O437" t="n">
        <v>65462</v>
      </c>
      <c r="P437" t="n">
        <v>6879</v>
      </c>
      <c r="Q437" t="n">
        <v>4225</v>
      </c>
      <c r="R437" t="n">
        <v>69687</v>
      </c>
      <c r="S437" t="n">
        <v>41555</v>
      </c>
      <c r="T437" t="n">
        <v>11052</v>
      </c>
      <c r="U437" t="n">
        <v>2519</v>
      </c>
      <c r="V437" t="n">
        <v>18734</v>
      </c>
      <c r="W437" t="n">
        <v>51891</v>
      </c>
      <c r="X437" t="n">
        <v>62808</v>
      </c>
      <c r="Y437" t="n">
        <v>65462</v>
      </c>
      <c r="Z437" t="n">
        <v>6879</v>
      </c>
      <c r="AA437" t="n">
        <v>4225</v>
      </c>
      <c r="AB437" t="n">
        <v>0</v>
      </c>
      <c r="AC437" t="n">
        <v>0</v>
      </c>
      <c r="AD437" t="n">
        <v>0</v>
      </c>
      <c r="AE437" t="n">
        <v>0</v>
      </c>
      <c r="AF437" t="n">
        <v>0</v>
      </c>
      <c r="AG437" t="n">
        <v>0</v>
      </c>
      <c r="AH437" t="n">
        <v>0</v>
      </c>
      <c r="AI437" t="n">
        <v>0</v>
      </c>
      <c r="AJ437" t="n">
        <v>0</v>
      </c>
      <c r="AK437" t="n">
        <v>0</v>
      </c>
      <c r="AL437" t="n">
        <v>2870</v>
      </c>
      <c r="AM437" t="n">
        <v>5229</v>
      </c>
      <c r="AN437" t="n">
        <v>-608</v>
      </c>
      <c r="AO437" t="n">
        <v>339</v>
      </c>
      <c r="AP437" t="n">
        <v>-1900</v>
      </c>
      <c r="AQ437" t="n">
        <v>1693</v>
      </c>
      <c r="AR437" t="n">
        <v>3668</v>
      </c>
      <c r="AS437" t="n">
        <v>1424</v>
      </c>
      <c r="AT437" t="n">
        <v>-798</v>
      </c>
      <c r="AU437" t="n">
        <v>1446</v>
      </c>
      <c r="AV437" t="n">
        <v>100</v>
      </c>
      <c r="AW437" t="n">
        <v>59.6</v>
      </c>
      <c r="AX437" t="n">
        <v>15.9</v>
      </c>
      <c r="AY437" t="n">
        <v>3.6</v>
      </c>
      <c r="AZ437" t="n">
        <v>26.9</v>
      </c>
      <c r="BA437" t="n">
        <v>74.5</v>
      </c>
      <c r="BB437" t="n">
        <v>90.09999999999999</v>
      </c>
      <c r="BC437" t="n">
        <v>93.90000000000001</v>
      </c>
      <c r="BD437" t="n">
        <v>9.9</v>
      </c>
      <c r="BE437" t="n">
        <v>6.1</v>
      </c>
      <c r="BF437" t="n">
        <v>100</v>
      </c>
      <c r="BG437" t="n">
        <v>59.6</v>
      </c>
      <c r="BH437" t="n">
        <v>15.9</v>
      </c>
      <c r="BI437" t="n">
        <v>3.6</v>
      </c>
      <c r="BJ437" t="n">
        <v>26.9</v>
      </c>
      <c r="BK437" t="n">
        <v>74.5</v>
      </c>
      <c r="BL437" t="n">
        <v>90.09999999999999</v>
      </c>
      <c r="BM437" t="n">
        <v>93.90000000000001</v>
      </c>
      <c r="BN437" t="n">
        <v>9.9</v>
      </c>
      <c r="BO437" t="n">
        <v>6.1</v>
      </c>
      <c r="BP437" t="n">
        <v>0</v>
      </c>
      <c r="BQ437" t="n">
        <v>0</v>
      </c>
      <c r="BR437" t="n">
        <v>0</v>
      </c>
      <c r="BS437" t="n">
        <v>0</v>
      </c>
      <c r="BT437" t="n">
        <v>0</v>
      </c>
      <c r="BU437" t="n">
        <v>0</v>
      </c>
      <c r="BV437" t="n">
        <v>0</v>
      </c>
      <c r="BW437" t="n">
        <v>0</v>
      </c>
      <c r="BX437" t="n">
        <v>0</v>
      </c>
      <c r="BY437" t="n">
        <v>0</v>
      </c>
      <c r="BZ437" t="n">
        <v>224</v>
      </c>
      <c r="CA437" t="n">
        <v>117</v>
      </c>
      <c r="CB437" t="n">
        <v>36</v>
      </c>
      <c r="CC437" t="n">
        <v>24</v>
      </c>
      <c r="CD437" t="n">
        <v>32</v>
      </c>
      <c r="CE437" t="n">
        <v>47</v>
      </c>
      <c r="CF437" t="n">
        <v>158</v>
      </c>
      <c r="CG437" t="n">
        <v>98</v>
      </c>
      <c r="CH437" t="n">
        <v>224</v>
      </c>
      <c r="CI437" t="n">
        <v>117</v>
      </c>
      <c r="CJ437" t="n">
        <v>36</v>
      </c>
      <c r="CK437" t="n">
        <v>24</v>
      </c>
      <c r="CL437" t="n">
        <v>32</v>
      </c>
      <c r="CM437" t="n">
        <v>47</v>
      </c>
      <c r="CN437" t="n">
        <v>158</v>
      </c>
      <c r="CO437" t="n">
        <v>98</v>
      </c>
      <c r="CP437" t="n">
        <v>0</v>
      </c>
      <c r="CQ437" t="n">
        <v>0</v>
      </c>
      <c r="CR437" t="n">
        <v>0</v>
      </c>
      <c r="CS437" t="n">
        <v>0</v>
      </c>
      <c r="CT437" t="n">
        <v>0</v>
      </c>
      <c r="CU437" t="n">
        <v>0</v>
      </c>
      <c r="CV437" t="n">
        <v>0</v>
      </c>
      <c r="CW437" t="n">
        <v>0</v>
      </c>
      <c r="CX437" t="n">
        <v>20.5</v>
      </c>
      <c r="CY437" t="n">
        <v>46.7</v>
      </c>
      <c r="CZ437" t="n">
        <v>29.9</v>
      </c>
      <c r="DA437" t="n">
        <v>61.6</v>
      </c>
      <c r="DB437" t="n">
        <v>20.5</v>
      </c>
      <c r="DC437" t="n">
        <v>43.6</v>
      </c>
      <c r="DD437" t="n">
        <v>29.9</v>
      </c>
      <c r="DE437" t="n">
        <v>58.5</v>
      </c>
      <c r="DF437" t="n">
        <v>20.5</v>
      </c>
      <c r="DG437" t="n">
        <v>46.7</v>
      </c>
      <c r="DH437" t="n">
        <v>29.9</v>
      </c>
      <c r="DI437" t="n">
        <v>61.6</v>
      </c>
      <c r="DJ437" t="n">
        <v>20.5</v>
      </c>
      <c r="DK437" t="n">
        <v>43.6</v>
      </c>
      <c r="DL437" t="n">
        <v>29.9</v>
      </c>
      <c r="DM437" t="n">
        <v>58.5</v>
      </c>
      <c r="DN437" t="n">
        <v>0</v>
      </c>
      <c r="DO437" t="n">
        <v>0</v>
      </c>
      <c r="DP437" t="n">
        <v>0</v>
      </c>
      <c r="DQ437" t="n">
        <v>0</v>
      </c>
      <c r="DR437" t="n">
        <v>0</v>
      </c>
      <c r="DS437" t="n">
        <v>0</v>
      </c>
      <c r="DT437" t="n">
        <v>0</v>
      </c>
      <c r="DU437" t="n">
        <v>0</v>
      </c>
      <c r="DV437" t="inlineStr">
        <is>
          <t>(CONTRACTS OF 50 TROY OUNCES)</t>
        </is>
      </c>
    </row>
    <row r="438">
      <c r="A438" t="inlineStr">
        <is>
          <t>SUGAR NO. 11 - ICE FUTURES U.S.</t>
        </is>
      </c>
      <c r="B438" t="n">
        <v>230110</v>
      </c>
      <c r="C438" s="1" t="n">
        <v>44936</v>
      </c>
      <c r="D438" t="inlineStr">
        <is>
          <t>080732</t>
        </is>
      </c>
      <c r="E438" t="inlineStr">
        <is>
          <t>ICUS</t>
        </is>
      </c>
      <c r="F438" t="inlineStr">
        <is>
          <t>01</t>
        </is>
      </c>
      <c r="G438" t="inlineStr">
        <is>
          <t xml:space="preserve">080 </t>
        </is>
      </c>
      <c r="H438" t="n">
        <v>905839</v>
      </c>
      <c r="I438" s="17" t="n">
        <v>274296</v>
      </c>
      <c r="J438" s="17" t="n">
        <v>86583</v>
      </c>
      <c r="K438" t="n">
        <v>141691</v>
      </c>
      <c r="L438" t="n">
        <v>399818</v>
      </c>
      <c r="M438" t="n">
        <v>632327</v>
      </c>
      <c r="N438" t="n">
        <v>815805</v>
      </c>
      <c r="O438" t="n">
        <v>860601</v>
      </c>
      <c r="P438" t="n">
        <v>90034</v>
      </c>
      <c r="Q438" t="n">
        <v>45238</v>
      </c>
      <c r="R438" t="n">
        <v>905839</v>
      </c>
      <c r="S438" t="n">
        <v>274296</v>
      </c>
      <c r="T438" t="n">
        <v>86583</v>
      </c>
      <c r="U438" t="n">
        <v>141691</v>
      </c>
      <c r="V438" t="n">
        <v>399818</v>
      </c>
      <c r="W438" t="n">
        <v>632327</v>
      </c>
      <c r="X438" t="n">
        <v>815805</v>
      </c>
      <c r="Y438" t="n">
        <v>860601</v>
      </c>
      <c r="Z438" t="n">
        <v>90034</v>
      </c>
      <c r="AA438" t="n">
        <v>45238</v>
      </c>
      <c r="AB438" t="n">
        <v>0</v>
      </c>
      <c r="AC438" t="n">
        <v>0</v>
      </c>
      <c r="AD438" t="n">
        <v>0</v>
      </c>
      <c r="AE438" t="n">
        <v>0</v>
      </c>
      <c r="AF438" t="n">
        <v>0</v>
      </c>
      <c r="AG438" t="n">
        <v>0</v>
      </c>
      <c r="AH438" t="n">
        <v>0</v>
      </c>
      <c r="AI438" t="n">
        <v>0</v>
      </c>
      <c r="AJ438" t="n">
        <v>0</v>
      </c>
      <c r="AK438" t="n">
        <v>0</v>
      </c>
      <c r="AL438" t="n">
        <v>-34182</v>
      </c>
      <c r="AM438" t="n">
        <v>-51389</v>
      </c>
      <c r="AN438" t="n">
        <v>-10610</v>
      </c>
      <c r="AO438" t="n">
        <v>2361</v>
      </c>
      <c r="AP438" t="n">
        <v>18732</v>
      </c>
      <c r="AQ438" t="n">
        <v>-22256</v>
      </c>
      <c r="AR438" t="n">
        <v>-30296</v>
      </c>
      <c r="AS438" t="n">
        <v>-30505</v>
      </c>
      <c r="AT438" t="n">
        <v>-3886</v>
      </c>
      <c r="AU438" t="n">
        <v>-3677</v>
      </c>
      <c r="AV438" t="n">
        <v>100</v>
      </c>
      <c r="AW438" t="n">
        <v>30.3</v>
      </c>
      <c r="AX438" t="n">
        <v>9.6</v>
      </c>
      <c r="AY438" t="n">
        <v>15.6</v>
      </c>
      <c r="AZ438" t="n">
        <v>44.1</v>
      </c>
      <c r="BA438" t="n">
        <v>69.8</v>
      </c>
      <c r="BB438" t="n">
        <v>90.09999999999999</v>
      </c>
      <c r="BC438" t="n">
        <v>95</v>
      </c>
      <c r="BD438" t="n">
        <v>9.9</v>
      </c>
      <c r="BE438" t="n">
        <v>5</v>
      </c>
      <c r="BF438" t="n">
        <v>100</v>
      </c>
      <c r="BG438" t="n">
        <v>30.3</v>
      </c>
      <c r="BH438" t="n">
        <v>9.6</v>
      </c>
      <c r="BI438" t="n">
        <v>15.6</v>
      </c>
      <c r="BJ438" t="n">
        <v>44.1</v>
      </c>
      <c r="BK438" t="n">
        <v>69.8</v>
      </c>
      <c r="BL438" t="n">
        <v>90.09999999999999</v>
      </c>
      <c r="BM438" t="n">
        <v>95</v>
      </c>
      <c r="BN438" t="n">
        <v>9.9</v>
      </c>
      <c r="BO438" t="n">
        <v>5</v>
      </c>
      <c r="BP438" t="n">
        <v>0</v>
      </c>
      <c r="BQ438" t="n">
        <v>0</v>
      </c>
      <c r="BR438" t="n">
        <v>0</v>
      </c>
      <c r="BS438" t="n">
        <v>0</v>
      </c>
      <c r="BT438" t="n">
        <v>0</v>
      </c>
      <c r="BU438" t="n">
        <v>0</v>
      </c>
      <c r="BV438" t="n">
        <v>0</v>
      </c>
      <c r="BW438" t="n">
        <v>0</v>
      </c>
      <c r="BX438" t="n">
        <v>0</v>
      </c>
      <c r="BY438" t="n">
        <v>0</v>
      </c>
      <c r="BZ438" t="n">
        <v>253</v>
      </c>
      <c r="CA438" t="n">
        <v>103</v>
      </c>
      <c r="CB438" t="n">
        <v>45</v>
      </c>
      <c r="CC438" t="n">
        <v>76</v>
      </c>
      <c r="CD438" t="n">
        <v>77</v>
      </c>
      <c r="CE438" t="n">
        <v>84</v>
      </c>
      <c r="CF438" t="n">
        <v>214</v>
      </c>
      <c r="CG438" t="n">
        <v>175</v>
      </c>
      <c r="CH438" t="n">
        <v>253</v>
      </c>
      <c r="CI438" t="n">
        <v>103</v>
      </c>
      <c r="CJ438" t="n">
        <v>45</v>
      </c>
      <c r="CK438" t="n">
        <v>76</v>
      </c>
      <c r="CL438" t="n">
        <v>77</v>
      </c>
      <c r="CM438" t="n">
        <v>84</v>
      </c>
      <c r="CN438" t="n">
        <v>214</v>
      </c>
      <c r="CO438" t="n">
        <v>175</v>
      </c>
      <c r="CP438" t="n">
        <v>0</v>
      </c>
      <c r="CQ438" t="n">
        <v>0</v>
      </c>
      <c r="CR438" t="n">
        <v>0</v>
      </c>
      <c r="CS438" t="n">
        <v>0</v>
      </c>
      <c r="CT438" t="n">
        <v>0</v>
      </c>
      <c r="CU438" t="n">
        <v>0</v>
      </c>
      <c r="CV438" t="n">
        <v>0</v>
      </c>
      <c r="CW438" t="n">
        <v>0</v>
      </c>
      <c r="CX438" t="n">
        <v>10.9</v>
      </c>
      <c r="CY438" t="n">
        <v>24.1</v>
      </c>
      <c r="CZ438" t="n">
        <v>19.1</v>
      </c>
      <c r="DA438" t="n">
        <v>39.5</v>
      </c>
      <c r="DB438" t="n">
        <v>8.199999999999999</v>
      </c>
      <c r="DC438" t="n">
        <v>19.3</v>
      </c>
      <c r="DD438" t="n">
        <v>14</v>
      </c>
      <c r="DE438" t="n">
        <v>29.6</v>
      </c>
      <c r="DF438" t="n">
        <v>10.9</v>
      </c>
      <c r="DG438" t="n">
        <v>24.1</v>
      </c>
      <c r="DH438" t="n">
        <v>19.1</v>
      </c>
      <c r="DI438" t="n">
        <v>39.5</v>
      </c>
      <c r="DJ438" t="n">
        <v>8.199999999999999</v>
      </c>
      <c r="DK438" t="n">
        <v>19.3</v>
      </c>
      <c r="DL438" t="n">
        <v>14</v>
      </c>
      <c r="DM438" t="n">
        <v>29.6</v>
      </c>
      <c r="DN438" t="n">
        <v>0</v>
      </c>
      <c r="DO438" t="n">
        <v>0</v>
      </c>
      <c r="DP438" t="n">
        <v>0</v>
      </c>
      <c r="DQ438" t="n">
        <v>0</v>
      </c>
      <c r="DR438" t="n">
        <v>0</v>
      </c>
      <c r="DS438" t="n">
        <v>0</v>
      </c>
      <c r="DT438" t="n">
        <v>0</v>
      </c>
      <c r="DU438" t="n">
        <v>0</v>
      </c>
      <c r="DV438" t="inlineStr">
        <is>
          <t>(CONTRACTS OF 112,000 POUNDS)</t>
        </is>
      </c>
    </row>
    <row r="439">
      <c r="A439" t="inlineStr">
        <is>
          <t>SUGAR NO. 11 - ICE FUTURES U.S.</t>
        </is>
      </c>
      <c r="B439" t="n">
        <v>230103</v>
      </c>
      <c r="C439" s="1" t="n">
        <v>44929</v>
      </c>
      <c r="D439" t="inlineStr">
        <is>
          <t>080732</t>
        </is>
      </c>
      <c r="E439" t="inlineStr">
        <is>
          <t>ICUS</t>
        </is>
      </c>
      <c r="F439" t="inlineStr">
        <is>
          <t>01</t>
        </is>
      </c>
      <c r="G439" t="inlineStr">
        <is>
          <t xml:space="preserve">080 </t>
        </is>
      </c>
      <c r="H439" t="n">
        <v>940021</v>
      </c>
      <c r="I439" s="17" t="n">
        <v>325685</v>
      </c>
      <c r="J439" s="17" t="n">
        <v>97193</v>
      </c>
      <c r="K439" t="n">
        <v>139330</v>
      </c>
      <c r="L439" t="n">
        <v>381086</v>
      </c>
      <c r="M439" t="n">
        <v>654583</v>
      </c>
      <c r="N439" t="n">
        <v>846101</v>
      </c>
      <c r="O439" t="n">
        <v>891106</v>
      </c>
      <c r="P439" t="n">
        <v>93920</v>
      </c>
      <c r="Q439" t="n">
        <v>48915</v>
      </c>
      <c r="R439" t="n">
        <v>940021</v>
      </c>
      <c r="S439" t="n">
        <v>325685</v>
      </c>
      <c r="T439" t="n">
        <v>97193</v>
      </c>
      <c r="U439" t="n">
        <v>139330</v>
      </c>
      <c r="V439" t="n">
        <v>381086</v>
      </c>
      <c r="W439" t="n">
        <v>654583</v>
      </c>
      <c r="X439" t="n">
        <v>846101</v>
      </c>
      <c r="Y439" t="n">
        <v>891106</v>
      </c>
      <c r="Z439" t="n">
        <v>93920</v>
      </c>
      <c r="AA439" t="n">
        <v>48915</v>
      </c>
      <c r="AB439" t="n">
        <v>0</v>
      </c>
      <c r="AC439" t="n">
        <v>0</v>
      </c>
      <c r="AD439" t="n">
        <v>0</v>
      </c>
      <c r="AE439" t="n">
        <v>0</v>
      </c>
      <c r="AF439" t="n">
        <v>0</v>
      </c>
      <c r="AG439" t="n">
        <v>0</v>
      </c>
      <c r="AH439" t="n">
        <v>0</v>
      </c>
      <c r="AI439" t="n">
        <v>0</v>
      </c>
      <c r="AJ439" t="n">
        <v>0</v>
      </c>
      <c r="AK439" t="n">
        <v>0</v>
      </c>
      <c r="AL439" t="n">
        <v>-3780</v>
      </c>
      <c r="AM439" t="n">
        <v>-16797</v>
      </c>
      <c r="AN439" t="n">
        <v>1141</v>
      </c>
      <c r="AO439" t="n">
        <v>11862</v>
      </c>
      <c r="AP439" t="n">
        <v>7453</v>
      </c>
      <c r="AQ439" t="n">
        <v>-15805</v>
      </c>
      <c r="AR439" t="n">
        <v>2518</v>
      </c>
      <c r="AS439" t="n">
        <v>-2802</v>
      </c>
      <c r="AT439" t="n">
        <v>-6298</v>
      </c>
      <c r="AU439" t="n">
        <v>-978</v>
      </c>
      <c r="AV439" t="n">
        <v>100</v>
      </c>
      <c r="AW439" t="n">
        <v>34.6</v>
      </c>
      <c r="AX439" t="n">
        <v>10.3</v>
      </c>
      <c r="AY439" t="n">
        <v>14.8</v>
      </c>
      <c r="AZ439" t="n">
        <v>40.5</v>
      </c>
      <c r="BA439" t="n">
        <v>69.59999999999999</v>
      </c>
      <c r="BB439" t="n">
        <v>90</v>
      </c>
      <c r="BC439" t="n">
        <v>94.8</v>
      </c>
      <c r="BD439" t="n">
        <v>10</v>
      </c>
      <c r="BE439" t="n">
        <v>5.2</v>
      </c>
      <c r="BF439" t="n">
        <v>100</v>
      </c>
      <c r="BG439" t="n">
        <v>34.6</v>
      </c>
      <c r="BH439" t="n">
        <v>10.3</v>
      </c>
      <c r="BI439" t="n">
        <v>14.8</v>
      </c>
      <c r="BJ439" t="n">
        <v>40.5</v>
      </c>
      <c r="BK439" t="n">
        <v>69.59999999999999</v>
      </c>
      <c r="BL439" t="n">
        <v>90</v>
      </c>
      <c r="BM439" t="n">
        <v>94.8</v>
      </c>
      <c r="BN439" t="n">
        <v>10</v>
      </c>
      <c r="BO439" t="n">
        <v>5.2</v>
      </c>
      <c r="BP439" t="n">
        <v>0</v>
      </c>
      <c r="BQ439" t="n">
        <v>0</v>
      </c>
      <c r="BR439" t="n">
        <v>0</v>
      </c>
      <c r="BS439" t="n">
        <v>0</v>
      </c>
      <c r="BT439" t="n">
        <v>0</v>
      </c>
      <c r="BU439" t="n">
        <v>0</v>
      </c>
      <c r="BV439" t="n">
        <v>0</v>
      </c>
      <c r="BW439" t="n">
        <v>0</v>
      </c>
      <c r="BX439" t="n">
        <v>0</v>
      </c>
      <c r="BY439" t="n">
        <v>0</v>
      </c>
      <c r="BZ439" t="n">
        <v>264</v>
      </c>
      <c r="CA439" t="n">
        <v>108</v>
      </c>
      <c r="CB439" t="n">
        <v>46</v>
      </c>
      <c r="CC439" t="n">
        <v>76</v>
      </c>
      <c r="CD439" t="n">
        <v>80</v>
      </c>
      <c r="CE439" t="n">
        <v>84</v>
      </c>
      <c r="CF439" t="n">
        <v>226</v>
      </c>
      <c r="CG439" t="n">
        <v>175</v>
      </c>
      <c r="CH439" t="n">
        <v>264</v>
      </c>
      <c r="CI439" t="n">
        <v>108</v>
      </c>
      <c r="CJ439" t="n">
        <v>46</v>
      </c>
      <c r="CK439" t="n">
        <v>76</v>
      </c>
      <c r="CL439" t="n">
        <v>80</v>
      </c>
      <c r="CM439" t="n">
        <v>84</v>
      </c>
      <c r="CN439" t="n">
        <v>226</v>
      </c>
      <c r="CO439" t="n">
        <v>175</v>
      </c>
      <c r="CP439" t="n">
        <v>0</v>
      </c>
      <c r="CQ439" t="n">
        <v>0</v>
      </c>
      <c r="CR439" t="n">
        <v>0</v>
      </c>
      <c r="CS439" t="n">
        <v>0</v>
      </c>
      <c r="CT439" t="n">
        <v>0</v>
      </c>
      <c r="CU439" t="n">
        <v>0</v>
      </c>
      <c r="CV439" t="n">
        <v>0</v>
      </c>
      <c r="CW439" t="n">
        <v>0</v>
      </c>
      <c r="CX439" t="n">
        <v>10.3</v>
      </c>
      <c r="CY439" t="n">
        <v>23.5</v>
      </c>
      <c r="CZ439" t="n">
        <v>18</v>
      </c>
      <c r="DA439" t="n">
        <v>38</v>
      </c>
      <c r="DB439" t="n">
        <v>8.5</v>
      </c>
      <c r="DC439" t="n">
        <v>19.2</v>
      </c>
      <c r="DD439" t="n">
        <v>14.8</v>
      </c>
      <c r="DE439" t="n">
        <v>30.1</v>
      </c>
      <c r="DF439" t="n">
        <v>10.3</v>
      </c>
      <c r="DG439" t="n">
        <v>23.5</v>
      </c>
      <c r="DH439" t="n">
        <v>18</v>
      </c>
      <c r="DI439" t="n">
        <v>38</v>
      </c>
      <c r="DJ439" t="n">
        <v>8.5</v>
      </c>
      <c r="DK439" t="n">
        <v>19.2</v>
      </c>
      <c r="DL439" t="n">
        <v>14.8</v>
      </c>
      <c r="DM439" t="n">
        <v>30.1</v>
      </c>
      <c r="DN439" t="n">
        <v>0</v>
      </c>
      <c r="DO439" t="n">
        <v>0</v>
      </c>
      <c r="DP439" t="n">
        <v>0</v>
      </c>
      <c r="DQ439" t="n">
        <v>0</v>
      </c>
      <c r="DR439" t="n">
        <v>0</v>
      </c>
      <c r="DS439" t="n">
        <v>0</v>
      </c>
      <c r="DT439" t="n">
        <v>0</v>
      </c>
      <c r="DU439" t="n">
        <v>0</v>
      </c>
      <c r="DV439" t="inlineStr">
        <is>
          <t>(CONTRACTS OF 112,000 POUNDS)</t>
        </is>
      </c>
    </row>
    <row r="440">
      <c r="A440" t="inlineStr">
        <is>
          <t>COFFEE C - ICE FUTURES U.S.</t>
        </is>
      </c>
      <c r="B440" t="n">
        <v>230110</v>
      </c>
      <c r="C440" s="1" t="n">
        <v>44936</v>
      </c>
      <c r="D440" t="inlineStr">
        <is>
          <t>083731</t>
        </is>
      </c>
      <c r="E440" t="inlineStr">
        <is>
          <t>ICUS</t>
        </is>
      </c>
      <c r="F440" t="inlineStr">
        <is>
          <t>01</t>
        </is>
      </c>
      <c r="G440" t="inlineStr">
        <is>
          <t xml:space="preserve">083 </t>
        </is>
      </c>
      <c r="H440" t="n">
        <v>210169</v>
      </c>
      <c r="I440" s="17" t="n">
        <v>48809</v>
      </c>
      <c r="J440" s="17" t="n">
        <v>63548</v>
      </c>
      <c r="K440" t="n">
        <v>40862</v>
      </c>
      <c r="L440" t="n">
        <v>108900</v>
      </c>
      <c r="M440" t="n">
        <v>97590</v>
      </c>
      <c r="N440" t="n">
        <v>198571</v>
      </c>
      <c r="O440" t="n">
        <v>202000</v>
      </c>
      <c r="P440" t="n">
        <v>11598</v>
      </c>
      <c r="Q440" t="n">
        <v>8169</v>
      </c>
      <c r="R440" t="n">
        <v>188108</v>
      </c>
      <c r="S440" t="n">
        <v>47947</v>
      </c>
      <c r="T440" t="n">
        <v>66632</v>
      </c>
      <c r="U440" t="n">
        <v>32241</v>
      </c>
      <c r="V440" t="n">
        <v>98865</v>
      </c>
      <c r="W440" t="n">
        <v>81451</v>
      </c>
      <c r="X440" t="n">
        <v>179053</v>
      </c>
      <c r="Y440" t="n">
        <v>180324</v>
      </c>
      <c r="Z440" t="n">
        <v>9055</v>
      </c>
      <c r="AA440" t="n">
        <v>7784</v>
      </c>
      <c r="AB440" t="n">
        <v>22061</v>
      </c>
      <c r="AC440" t="n">
        <v>8167</v>
      </c>
      <c r="AD440" t="n">
        <v>4221</v>
      </c>
      <c r="AE440" t="n">
        <v>1316</v>
      </c>
      <c r="AF440" t="n">
        <v>10035</v>
      </c>
      <c r="AG440" t="n">
        <v>16139</v>
      </c>
      <c r="AH440" t="n">
        <v>19518</v>
      </c>
      <c r="AI440" t="n">
        <v>21676</v>
      </c>
      <c r="AJ440" t="n">
        <v>2543</v>
      </c>
      <c r="AK440" t="n">
        <v>385</v>
      </c>
      <c r="AL440" t="n">
        <v>22402</v>
      </c>
      <c r="AM440" t="n">
        <v>2398</v>
      </c>
      <c r="AN440" t="n">
        <v>16325</v>
      </c>
      <c r="AO440" t="n">
        <v>5358</v>
      </c>
      <c r="AP440" t="n">
        <v>12477</v>
      </c>
      <c r="AQ440" t="n">
        <v>526</v>
      </c>
      <c r="AR440" t="n">
        <v>20233</v>
      </c>
      <c r="AS440" t="n">
        <v>22209</v>
      </c>
      <c r="AT440" t="n">
        <v>2169</v>
      </c>
      <c r="AU440" t="n">
        <v>193</v>
      </c>
      <c r="AV440" t="n">
        <v>100</v>
      </c>
      <c r="AW440" t="n">
        <v>23.2</v>
      </c>
      <c r="AX440" t="n">
        <v>30.2</v>
      </c>
      <c r="AY440" t="n">
        <v>19.4</v>
      </c>
      <c r="AZ440" t="n">
        <v>51.8</v>
      </c>
      <c r="BA440" t="n">
        <v>46.4</v>
      </c>
      <c r="BB440" t="n">
        <v>94.5</v>
      </c>
      <c r="BC440" t="n">
        <v>96.09999999999999</v>
      </c>
      <c r="BD440" t="n">
        <v>5.5</v>
      </c>
      <c r="BE440" t="n">
        <v>3.9</v>
      </c>
      <c r="BF440" t="n">
        <v>100</v>
      </c>
      <c r="BG440" t="n">
        <v>25.5</v>
      </c>
      <c r="BH440" t="n">
        <v>35.4</v>
      </c>
      <c r="BI440" t="n">
        <v>17.1</v>
      </c>
      <c r="BJ440" t="n">
        <v>52.6</v>
      </c>
      <c r="BK440" t="n">
        <v>43.3</v>
      </c>
      <c r="BL440" t="n">
        <v>95.2</v>
      </c>
      <c r="BM440" t="n">
        <v>95.90000000000001</v>
      </c>
      <c r="BN440" t="n">
        <v>4.8</v>
      </c>
      <c r="BO440" t="n">
        <v>4.1</v>
      </c>
      <c r="BP440" t="n">
        <v>100</v>
      </c>
      <c r="BQ440" t="n">
        <v>37</v>
      </c>
      <c r="BR440" t="n">
        <v>19.1</v>
      </c>
      <c r="BS440" t="n">
        <v>6</v>
      </c>
      <c r="BT440" t="n">
        <v>45.5</v>
      </c>
      <c r="BU440" t="n">
        <v>73.2</v>
      </c>
      <c r="BV440" t="n">
        <v>88.5</v>
      </c>
      <c r="BW440" t="n">
        <v>98.3</v>
      </c>
      <c r="BX440" t="n">
        <v>11.5</v>
      </c>
      <c r="BY440" t="n">
        <v>1.7</v>
      </c>
      <c r="BZ440" t="n">
        <v>378</v>
      </c>
      <c r="CA440" t="n">
        <v>127</v>
      </c>
      <c r="CB440" t="n">
        <v>102</v>
      </c>
      <c r="CC440" t="n">
        <v>108</v>
      </c>
      <c r="CD440" t="n">
        <v>125</v>
      </c>
      <c r="CE440" t="n">
        <v>104</v>
      </c>
      <c r="CF440" t="n">
        <v>306</v>
      </c>
      <c r="CG440" t="n">
        <v>269</v>
      </c>
      <c r="CH440" t="n">
        <v>374</v>
      </c>
      <c r="CI440" t="n">
        <v>127</v>
      </c>
      <c r="CJ440" t="n">
        <v>103</v>
      </c>
      <c r="CK440" t="n">
        <v>99</v>
      </c>
      <c r="CL440" t="n">
        <v>121</v>
      </c>
      <c r="CM440" t="n">
        <v>98</v>
      </c>
      <c r="CN440" t="n">
        <v>294</v>
      </c>
      <c r="CO440" t="n">
        <v>259</v>
      </c>
      <c r="CP440" t="n">
        <v>143</v>
      </c>
      <c r="CQ440" t="n">
        <v>26</v>
      </c>
      <c r="CR440" t="n">
        <v>23</v>
      </c>
      <c r="CS440" t="n">
        <v>16</v>
      </c>
      <c r="CT440" t="n">
        <v>73</v>
      </c>
      <c r="CU440" t="n">
        <v>47</v>
      </c>
      <c r="CV440" t="n">
        <v>107</v>
      </c>
      <c r="CW440" t="n">
        <v>80</v>
      </c>
      <c r="CX440" t="n">
        <v>18.5</v>
      </c>
      <c r="CY440" t="n">
        <v>16.9</v>
      </c>
      <c r="CZ440" t="n">
        <v>29.2</v>
      </c>
      <c r="DA440" t="n">
        <v>28.3</v>
      </c>
      <c r="DB440" t="n">
        <v>11.7</v>
      </c>
      <c r="DC440" t="n">
        <v>13.9</v>
      </c>
      <c r="DD440" t="n">
        <v>18.7</v>
      </c>
      <c r="DE440" t="n">
        <v>21.4</v>
      </c>
      <c r="DF440" t="n">
        <v>19.8</v>
      </c>
      <c r="DG440" t="n">
        <v>17.7</v>
      </c>
      <c r="DH440" t="n">
        <v>30.8</v>
      </c>
      <c r="DI440" t="n">
        <v>29.4</v>
      </c>
      <c r="DJ440" t="n">
        <v>14.8</v>
      </c>
      <c r="DK440" t="n">
        <v>15.6</v>
      </c>
      <c r="DL440" t="n">
        <v>22.1</v>
      </c>
      <c r="DM440" t="n">
        <v>23.8</v>
      </c>
      <c r="DN440" t="n">
        <v>26.7</v>
      </c>
      <c r="DO440" t="n">
        <v>40.6</v>
      </c>
      <c r="DP440" t="n">
        <v>41.3</v>
      </c>
      <c r="DQ440" t="n">
        <v>55.8</v>
      </c>
      <c r="DR440" t="n">
        <v>26</v>
      </c>
      <c r="DS440" t="n">
        <v>38.9</v>
      </c>
      <c r="DT440" t="n">
        <v>38.4</v>
      </c>
      <c r="DU440" t="n">
        <v>52.3</v>
      </c>
      <c r="DV440" t="inlineStr">
        <is>
          <t>(CONTRACTS OF 37,500 POUNDS)</t>
        </is>
      </c>
    </row>
    <row r="441">
      <c r="A441" t="inlineStr">
        <is>
          <t>COFFEE C - ICE FUTURES U.S.</t>
        </is>
      </c>
      <c r="B441" t="n">
        <v>230103</v>
      </c>
      <c r="C441" s="1" t="n">
        <v>44929</v>
      </c>
      <c r="D441" t="inlineStr">
        <is>
          <t>083731</t>
        </is>
      </c>
      <c r="E441" t="inlineStr">
        <is>
          <t>ICUS</t>
        </is>
      </c>
      <c r="F441" t="inlineStr">
        <is>
          <t>01</t>
        </is>
      </c>
      <c r="G441" t="inlineStr">
        <is>
          <t xml:space="preserve">083 </t>
        </is>
      </c>
      <c r="H441" t="n">
        <v>187767</v>
      </c>
      <c r="I441" s="17" t="n">
        <v>46411</v>
      </c>
      <c r="J441" s="17" t="n">
        <v>47223</v>
      </c>
      <c r="K441" t="n">
        <v>35504</v>
      </c>
      <c r="L441" t="n">
        <v>96423</v>
      </c>
      <c r="M441" t="n">
        <v>97064</v>
      </c>
      <c r="N441" t="n">
        <v>178338</v>
      </c>
      <c r="O441" t="n">
        <v>179791</v>
      </c>
      <c r="P441" t="n">
        <v>9429</v>
      </c>
      <c r="Q441" t="n">
        <v>7976</v>
      </c>
      <c r="R441" t="n">
        <v>167956</v>
      </c>
      <c r="S441" t="n">
        <v>44758</v>
      </c>
      <c r="T441" t="n">
        <v>49729</v>
      </c>
      <c r="U441" t="n">
        <v>27966</v>
      </c>
      <c r="V441" t="n">
        <v>87480</v>
      </c>
      <c r="W441" t="n">
        <v>82632</v>
      </c>
      <c r="X441" t="n">
        <v>160204</v>
      </c>
      <c r="Y441" t="n">
        <v>160327</v>
      </c>
      <c r="Z441" t="n">
        <v>7752</v>
      </c>
      <c r="AA441" t="n">
        <v>7629</v>
      </c>
      <c r="AB441" t="n">
        <v>19811</v>
      </c>
      <c r="AC441" t="n">
        <v>7545</v>
      </c>
      <c r="AD441" t="n">
        <v>3386</v>
      </c>
      <c r="AE441" t="n">
        <v>1646</v>
      </c>
      <c r="AF441" t="n">
        <v>8943</v>
      </c>
      <c r="AG441" t="n">
        <v>14432</v>
      </c>
      <c r="AH441" t="n">
        <v>18134</v>
      </c>
      <c r="AI441" t="n">
        <v>19464</v>
      </c>
      <c r="AJ441" t="n">
        <v>1677</v>
      </c>
      <c r="AK441" t="n">
        <v>347</v>
      </c>
      <c r="AL441" t="n">
        <v>2508</v>
      </c>
      <c r="AM441" t="n">
        <v>-753</v>
      </c>
      <c r="AN441" t="n">
        <v>-2645</v>
      </c>
      <c r="AO441" t="n">
        <v>1262</v>
      </c>
      <c r="AP441" t="n">
        <v>1280</v>
      </c>
      <c r="AQ441" t="n">
        <v>3725</v>
      </c>
      <c r="AR441" t="n">
        <v>1789</v>
      </c>
      <c r="AS441" t="n">
        <v>2342</v>
      </c>
      <c r="AT441" t="n">
        <v>719</v>
      </c>
      <c r="AU441" t="n">
        <v>166</v>
      </c>
      <c r="AV441" t="n">
        <v>100</v>
      </c>
      <c r="AW441" t="n">
        <v>24.7</v>
      </c>
      <c r="AX441" t="n">
        <v>25.1</v>
      </c>
      <c r="AY441" t="n">
        <v>18.9</v>
      </c>
      <c r="AZ441" t="n">
        <v>51.4</v>
      </c>
      <c r="BA441" t="n">
        <v>51.7</v>
      </c>
      <c r="BB441" t="n">
        <v>95</v>
      </c>
      <c r="BC441" t="n">
        <v>95.8</v>
      </c>
      <c r="BD441" t="n">
        <v>5</v>
      </c>
      <c r="BE441" t="n">
        <v>4.2</v>
      </c>
      <c r="BF441" t="n">
        <v>100</v>
      </c>
      <c r="BG441" t="n">
        <v>26.6</v>
      </c>
      <c r="BH441" t="n">
        <v>29.6</v>
      </c>
      <c r="BI441" t="n">
        <v>16.7</v>
      </c>
      <c r="BJ441" t="n">
        <v>52.1</v>
      </c>
      <c r="BK441" t="n">
        <v>49.2</v>
      </c>
      <c r="BL441" t="n">
        <v>95.40000000000001</v>
      </c>
      <c r="BM441" t="n">
        <v>95.5</v>
      </c>
      <c r="BN441" t="n">
        <v>4.6</v>
      </c>
      <c r="BO441" t="n">
        <v>4.5</v>
      </c>
      <c r="BP441" t="n">
        <v>100</v>
      </c>
      <c r="BQ441" t="n">
        <v>38.1</v>
      </c>
      <c r="BR441" t="n">
        <v>17.1</v>
      </c>
      <c r="BS441" t="n">
        <v>8.300000000000001</v>
      </c>
      <c r="BT441" t="n">
        <v>45.1</v>
      </c>
      <c r="BU441" t="n">
        <v>72.8</v>
      </c>
      <c r="BV441" t="n">
        <v>91.5</v>
      </c>
      <c r="BW441" t="n">
        <v>98.2</v>
      </c>
      <c r="BX441" t="n">
        <v>8.5</v>
      </c>
      <c r="BY441" t="n">
        <v>1.8</v>
      </c>
      <c r="BZ441" t="n">
        <v>354</v>
      </c>
      <c r="CA441" t="n">
        <v>120</v>
      </c>
      <c r="CB441" t="n">
        <v>83</v>
      </c>
      <c r="CC441" t="n">
        <v>103</v>
      </c>
      <c r="CD441" t="n">
        <v>123</v>
      </c>
      <c r="CE441" t="n">
        <v>106</v>
      </c>
      <c r="CF441" t="n">
        <v>293</v>
      </c>
      <c r="CG441" t="n">
        <v>255</v>
      </c>
      <c r="CH441" t="n">
        <v>350</v>
      </c>
      <c r="CI441" t="n">
        <v>119</v>
      </c>
      <c r="CJ441" t="n">
        <v>86</v>
      </c>
      <c r="CK441" t="n">
        <v>97</v>
      </c>
      <c r="CL441" t="n">
        <v>118</v>
      </c>
      <c r="CM441" t="n">
        <v>103</v>
      </c>
      <c r="CN441" t="n">
        <v>282</v>
      </c>
      <c r="CO441" t="n">
        <v>249</v>
      </c>
      <c r="CP441" t="n">
        <v>137</v>
      </c>
      <c r="CQ441" t="n">
        <v>21</v>
      </c>
      <c r="CR441" t="n">
        <v>25</v>
      </c>
      <c r="CS441" t="n">
        <v>16</v>
      </c>
      <c r="CT441" t="n">
        <v>72</v>
      </c>
      <c r="CU441" t="n">
        <v>46</v>
      </c>
      <c r="CV441" t="n">
        <v>101</v>
      </c>
      <c r="CW441" t="n">
        <v>80</v>
      </c>
      <c r="CX441" t="n">
        <v>17.5</v>
      </c>
      <c r="CY441" t="n">
        <v>18.9</v>
      </c>
      <c r="CZ441" t="n">
        <v>28.1</v>
      </c>
      <c r="DA441" t="n">
        <v>29.9</v>
      </c>
      <c r="DB441" t="n">
        <v>12.1</v>
      </c>
      <c r="DC441" t="n">
        <v>15.6</v>
      </c>
      <c r="DD441" t="n">
        <v>19.2</v>
      </c>
      <c r="DE441" t="n">
        <v>23.6</v>
      </c>
      <c r="DF441" t="n">
        <v>19.2</v>
      </c>
      <c r="DG441" t="n">
        <v>20</v>
      </c>
      <c r="DH441" t="n">
        <v>29.9</v>
      </c>
      <c r="DI441" t="n">
        <v>30.5</v>
      </c>
      <c r="DJ441" t="n">
        <v>15.1</v>
      </c>
      <c r="DK441" t="n">
        <v>17.2</v>
      </c>
      <c r="DL441" t="n">
        <v>23</v>
      </c>
      <c r="DM441" t="n">
        <v>25.9</v>
      </c>
      <c r="DN441" t="n">
        <v>29.9</v>
      </c>
      <c r="DO441" t="n">
        <v>39.1</v>
      </c>
      <c r="DP441" t="n">
        <v>46</v>
      </c>
      <c r="DQ441" t="n">
        <v>54.1</v>
      </c>
      <c r="DR441" t="n">
        <v>29.3</v>
      </c>
      <c r="DS441" t="n">
        <v>37.5</v>
      </c>
      <c r="DT441" t="n">
        <v>41.2</v>
      </c>
      <c r="DU441" t="n">
        <v>50.3</v>
      </c>
      <c r="DV441" t="inlineStr">
        <is>
          <t>(CONTRACTS OF 37,500 POUNDS)</t>
        </is>
      </c>
    </row>
    <row r="442">
      <c r="A442" t="inlineStr">
        <is>
          <t>SILVER - COMMODITY EXCHANGE INC.</t>
        </is>
      </c>
      <c r="B442" t="n">
        <v>230110</v>
      </c>
      <c r="C442" s="1" t="n">
        <v>44936</v>
      </c>
      <c r="D442" t="inlineStr">
        <is>
          <t>084691</t>
        </is>
      </c>
      <c r="E442" t="inlineStr">
        <is>
          <t xml:space="preserve">CMX </t>
        </is>
      </c>
      <c r="F442" t="inlineStr">
        <is>
          <t>01</t>
        </is>
      </c>
      <c r="G442" t="inlineStr">
        <is>
          <t xml:space="preserve">084 </t>
        </is>
      </c>
      <c r="H442" t="n">
        <v>129961</v>
      </c>
      <c r="I442" s="17" t="n">
        <v>56770</v>
      </c>
      <c r="J442" s="17" t="n">
        <v>27757</v>
      </c>
      <c r="K442" t="n">
        <v>6654</v>
      </c>
      <c r="L442" t="n">
        <v>42599</v>
      </c>
      <c r="M442" t="n">
        <v>85524</v>
      </c>
      <c r="N442" t="n">
        <v>106023</v>
      </c>
      <c r="O442" t="n">
        <v>119935</v>
      </c>
      <c r="P442" t="n">
        <v>23938</v>
      </c>
      <c r="Q442" t="n">
        <v>10026</v>
      </c>
      <c r="R442" t="n">
        <v>129961</v>
      </c>
      <c r="S442" t="n">
        <v>56770</v>
      </c>
      <c r="T442" t="n">
        <v>27757</v>
      </c>
      <c r="U442" t="n">
        <v>6654</v>
      </c>
      <c r="V442" t="n">
        <v>42599</v>
      </c>
      <c r="W442" t="n">
        <v>85524</v>
      </c>
      <c r="X442" t="n">
        <v>106023</v>
      </c>
      <c r="Y442" t="n">
        <v>119935</v>
      </c>
      <c r="Z442" t="n">
        <v>23938</v>
      </c>
      <c r="AA442" t="n">
        <v>10026</v>
      </c>
      <c r="AB442" t="n">
        <v>0</v>
      </c>
      <c r="AC442" t="n">
        <v>0</v>
      </c>
      <c r="AD442" t="n">
        <v>0</v>
      </c>
      <c r="AE442" t="n">
        <v>0</v>
      </c>
      <c r="AF442" t="n">
        <v>0</v>
      </c>
      <c r="AG442" t="n">
        <v>0</v>
      </c>
      <c r="AH442" t="n">
        <v>0</v>
      </c>
      <c r="AI442" t="n">
        <v>0</v>
      </c>
      <c r="AJ442" t="n">
        <v>0</v>
      </c>
      <c r="AK442" t="n">
        <v>0</v>
      </c>
      <c r="AL442" t="n">
        <v>-2029</v>
      </c>
      <c r="AM442" t="n">
        <v>-1031</v>
      </c>
      <c r="AN442" t="n">
        <v>890</v>
      </c>
      <c r="AO442" t="n">
        <v>270</v>
      </c>
      <c r="AP442" t="n">
        <v>-1630</v>
      </c>
      <c r="AQ442" t="n">
        <v>-2916</v>
      </c>
      <c r="AR442" t="n">
        <v>-2391</v>
      </c>
      <c r="AS442" t="n">
        <v>-1756</v>
      </c>
      <c r="AT442" t="n">
        <v>362</v>
      </c>
      <c r="AU442" t="n">
        <v>-273</v>
      </c>
      <c r="AV442" t="n">
        <v>100</v>
      </c>
      <c r="AW442" t="n">
        <v>43.7</v>
      </c>
      <c r="AX442" t="n">
        <v>21.4</v>
      </c>
      <c r="AY442" t="n">
        <v>5.1</v>
      </c>
      <c r="AZ442" t="n">
        <v>32.8</v>
      </c>
      <c r="BA442" t="n">
        <v>65.8</v>
      </c>
      <c r="BB442" t="n">
        <v>81.59999999999999</v>
      </c>
      <c r="BC442" t="n">
        <v>92.3</v>
      </c>
      <c r="BD442" t="n">
        <v>18.4</v>
      </c>
      <c r="BE442" t="n">
        <v>7.7</v>
      </c>
      <c r="BF442" t="n">
        <v>100</v>
      </c>
      <c r="BG442" t="n">
        <v>43.7</v>
      </c>
      <c r="BH442" t="n">
        <v>21.4</v>
      </c>
      <c r="BI442" t="n">
        <v>5.1</v>
      </c>
      <c r="BJ442" t="n">
        <v>32.8</v>
      </c>
      <c r="BK442" t="n">
        <v>65.8</v>
      </c>
      <c r="BL442" t="n">
        <v>81.59999999999999</v>
      </c>
      <c r="BM442" t="n">
        <v>92.3</v>
      </c>
      <c r="BN442" t="n">
        <v>18.4</v>
      </c>
      <c r="BO442" t="n">
        <v>7.7</v>
      </c>
      <c r="BP442" t="n">
        <v>0</v>
      </c>
      <c r="BQ442" t="n">
        <v>0</v>
      </c>
      <c r="BR442" t="n">
        <v>0</v>
      </c>
      <c r="BS442" t="n">
        <v>0</v>
      </c>
      <c r="BT442" t="n">
        <v>0</v>
      </c>
      <c r="BU442" t="n">
        <v>0</v>
      </c>
      <c r="BV442" t="n">
        <v>0</v>
      </c>
      <c r="BW442" t="n">
        <v>0</v>
      </c>
      <c r="BX442" t="n">
        <v>0</v>
      </c>
      <c r="BY442" t="n">
        <v>0</v>
      </c>
      <c r="BZ442" t="n">
        <v>206</v>
      </c>
      <c r="CA442" t="n">
        <v>94</v>
      </c>
      <c r="CB442" t="n">
        <v>49</v>
      </c>
      <c r="CC442" t="n">
        <v>50</v>
      </c>
      <c r="CD442" t="n">
        <v>28</v>
      </c>
      <c r="CE442" t="n">
        <v>44</v>
      </c>
      <c r="CF442" t="n">
        <v>147</v>
      </c>
      <c r="CG442" t="n">
        <v>122</v>
      </c>
      <c r="CH442" t="n">
        <v>206</v>
      </c>
      <c r="CI442" t="n">
        <v>94</v>
      </c>
      <c r="CJ442" t="n">
        <v>49</v>
      </c>
      <c r="CK442" t="n">
        <v>50</v>
      </c>
      <c r="CL442" t="n">
        <v>28</v>
      </c>
      <c r="CM442" t="n">
        <v>44</v>
      </c>
      <c r="CN442" t="n">
        <v>147</v>
      </c>
      <c r="CO442" t="n">
        <v>122</v>
      </c>
      <c r="CP442" t="n">
        <v>0</v>
      </c>
      <c r="CQ442" t="n">
        <v>0</v>
      </c>
      <c r="CR442" t="n">
        <v>0</v>
      </c>
      <c r="CS442" t="n">
        <v>0</v>
      </c>
      <c r="CT442" t="n">
        <v>0</v>
      </c>
      <c r="CU442" t="n">
        <v>0</v>
      </c>
      <c r="CV442" t="n">
        <v>0</v>
      </c>
      <c r="CW442" t="n">
        <v>0</v>
      </c>
      <c r="CX442" t="n">
        <v>17.8</v>
      </c>
      <c r="CY442" t="n">
        <v>36.4</v>
      </c>
      <c r="CZ442" t="n">
        <v>29.9</v>
      </c>
      <c r="DA442" t="n">
        <v>53.5</v>
      </c>
      <c r="DB442" t="n">
        <v>17.7</v>
      </c>
      <c r="DC442" t="n">
        <v>33.7</v>
      </c>
      <c r="DD442" t="n">
        <v>29.4</v>
      </c>
      <c r="DE442" t="n">
        <v>50.7</v>
      </c>
      <c r="DF442" t="n">
        <v>17.8</v>
      </c>
      <c r="DG442" t="n">
        <v>36.4</v>
      </c>
      <c r="DH442" t="n">
        <v>29.9</v>
      </c>
      <c r="DI442" t="n">
        <v>53.5</v>
      </c>
      <c r="DJ442" t="n">
        <v>17.7</v>
      </c>
      <c r="DK442" t="n">
        <v>33.7</v>
      </c>
      <c r="DL442" t="n">
        <v>29.4</v>
      </c>
      <c r="DM442" t="n">
        <v>50.7</v>
      </c>
      <c r="DN442" t="n">
        <v>0</v>
      </c>
      <c r="DO442" t="n">
        <v>0</v>
      </c>
      <c r="DP442" t="n">
        <v>0</v>
      </c>
      <c r="DQ442" t="n">
        <v>0</v>
      </c>
      <c r="DR442" t="n">
        <v>0</v>
      </c>
      <c r="DS442" t="n">
        <v>0</v>
      </c>
      <c r="DT442" t="n">
        <v>0</v>
      </c>
      <c r="DU442" t="n">
        <v>0</v>
      </c>
      <c r="DV442" t="inlineStr">
        <is>
          <t>(CONTRACTS OF 5,000 TROY OUNCES)</t>
        </is>
      </c>
    </row>
    <row r="443">
      <c r="A443" t="inlineStr">
        <is>
          <t>SILVER - COMMODITY EXCHANGE INC.</t>
        </is>
      </c>
      <c r="B443" t="n">
        <v>230103</v>
      </c>
      <c r="C443" s="1" t="n">
        <v>44929</v>
      </c>
      <c r="D443" t="inlineStr">
        <is>
          <t>084691</t>
        </is>
      </c>
      <c r="E443" t="inlineStr">
        <is>
          <t xml:space="preserve">CMX </t>
        </is>
      </c>
      <c r="F443" t="inlineStr">
        <is>
          <t>01</t>
        </is>
      </c>
      <c r="G443" t="inlineStr">
        <is>
          <t xml:space="preserve">084 </t>
        </is>
      </c>
      <c r="H443" t="n">
        <v>131990</v>
      </c>
      <c r="I443" s="17" t="n">
        <v>57801</v>
      </c>
      <c r="J443" s="17" t="n">
        <v>26867</v>
      </c>
      <c r="K443" t="n">
        <v>6384</v>
      </c>
      <c r="L443" t="n">
        <v>44229</v>
      </c>
      <c r="M443" t="n">
        <v>88440</v>
      </c>
      <c r="N443" t="n">
        <v>108414</v>
      </c>
      <c r="O443" t="n">
        <v>121691</v>
      </c>
      <c r="P443" t="n">
        <v>23576</v>
      </c>
      <c r="Q443" t="n">
        <v>10299</v>
      </c>
      <c r="R443" t="n">
        <v>131990</v>
      </c>
      <c r="S443" t="n">
        <v>57801</v>
      </c>
      <c r="T443" t="n">
        <v>26867</v>
      </c>
      <c r="U443" t="n">
        <v>6384</v>
      </c>
      <c r="V443" t="n">
        <v>44229</v>
      </c>
      <c r="W443" t="n">
        <v>88440</v>
      </c>
      <c r="X443" t="n">
        <v>108414</v>
      </c>
      <c r="Y443" t="n">
        <v>121691</v>
      </c>
      <c r="Z443" t="n">
        <v>23576</v>
      </c>
      <c r="AA443" t="n">
        <v>10299</v>
      </c>
      <c r="AB443" t="n">
        <v>0</v>
      </c>
      <c r="AC443" t="n">
        <v>0</v>
      </c>
      <c r="AD443" t="n">
        <v>0</v>
      </c>
      <c r="AE443" t="n">
        <v>0</v>
      </c>
      <c r="AF443" t="n">
        <v>0</v>
      </c>
      <c r="AG443" t="n">
        <v>0</v>
      </c>
      <c r="AH443" t="n">
        <v>0</v>
      </c>
      <c r="AI443" t="n">
        <v>0</v>
      </c>
      <c r="AJ443" t="n">
        <v>0</v>
      </c>
      <c r="AK443" t="n">
        <v>0</v>
      </c>
      <c r="AL443" t="n">
        <v>3523</v>
      </c>
      <c r="AM443" t="n">
        <v>1931</v>
      </c>
      <c r="AN443" t="n">
        <v>2024</v>
      </c>
      <c r="AO443" t="n">
        <v>1410</v>
      </c>
      <c r="AP443" t="n">
        <v>185</v>
      </c>
      <c r="AQ443" t="n">
        <v>1479</v>
      </c>
      <c r="AR443" t="n">
        <v>3526</v>
      </c>
      <c r="AS443" t="n">
        <v>4913</v>
      </c>
      <c r="AT443" t="n">
        <v>-3</v>
      </c>
      <c r="AU443" t="n">
        <v>-1390</v>
      </c>
      <c r="AV443" t="n">
        <v>100</v>
      </c>
      <c r="AW443" t="n">
        <v>43.8</v>
      </c>
      <c r="AX443" t="n">
        <v>20.4</v>
      </c>
      <c r="AY443" t="n">
        <v>4.8</v>
      </c>
      <c r="AZ443" t="n">
        <v>33.5</v>
      </c>
      <c r="BA443" t="n">
        <v>67</v>
      </c>
      <c r="BB443" t="n">
        <v>82.09999999999999</v>
      </c>
      <c r="BC443" t="n">
        <v>92.2</v>
      </c>
      <c r="BD443" t="n">
        <v>17.9</v>
      </c>
      <c r="BE443" t="n">
        <v>7.8</v>
      </c>
      <c r="BF443" t="n">
        <v>100</v>
      </c>
      <c r="BG443" t="n">
        <v>43.8</v>
      </c>
      <c r="BH443" t="n">
        <v>20.4</v>
      </c>
      <c r="BI443" t="n">
        <v>4.8</v>
      </c>
      <c r="BJ443" t="n">
        <v>33.5</v>
      </c>
      <c r="BK443" t="n">
        <v>67</v>
      </c>
      <c r="BL443" t="n">
        <v>82.09999999999999</v>
      </c>
      <c r="BM443" t="n">
        <v>92.2</v>
      </c>
      <c r="BN443" t="n">
        <v>17.9</v>
      </c>
      <c r="BO443" t="n">
        <v>7.8</v>
      </c>
      <c r="BP443" t="n">
        <v>0</v>
      </c>
      <c r="BQ443" t="n">
        <v>0</v>
      </c>
      <c r="BR443" t="n">
        <v>0</v>
      </c>
      <c r="BS443" t="n">
        <v>0</v>
      </c>
      <c r="BT443" t="n">
        <v>0</v>
      </c>
      <c r="BU443" t="n">
        <v>0</v>
      </c>
      <c r="BV443" t="n">
        <v>0</v>
      </c>
      <c r="BW443" t="n">
        <v>0</v>
      </c>
      <c r="BX443" t="n">
        <v>0</v>
      </c>
      <c r="BY443" t="n">
        <v>0</v>
      </c>
      <c r="BZ443" t="n">
        <v>215</v>
      </c>
      <c r="CA443" t="n">
        <v>94</v>
      </c>
      <c r="CB443" t="n">
        <v>55</v>
      </c>
      <c r="CC443" t="n">
        <v>47</v>
      </c>
      <c r="CD443" t="n">
        <v>28</v>
      </c>
      <c r="CE443" t="n">
        <v>49</v>
      </c>
      <c r="CF443" t="n">
        <v>149</v>
      </c>
      <c r="CG443" t="n">
        <v>127</v>
      </c>
      <c r="CH443" t="n">
        <v>215</v>
      </c>
      <c r="CI443" t="n">
        <v>94</v>
      </c>
      <c r="CJ443" t="n">
        <v>55</v>
      </c>
      <c r="CK443" t="n">
        <v>47</v>
      </c>
      <c r="CL443" t="n">
        <v>28</v>
      </c>
      <c r="CM443" t="n">
        <v>49</v>
      </c>
      <c r="CN443" t="n">
        <v>149</v>
      </c>
      <c r="CO443" t="n">
        <v>127</v>
      </c>
      <c r="CP443" t="n">
        <v>0</v>
      </c>
      <c r="CQ443" t="n">
        <v>0</v>
      </c>
      <c r="CR443" t="n">
        <v>0</v>
      </c>
      <c r="CS443" t="n">
        <v>0</v>
      </c>
      <c r="CT443" t="n">
        <v>0</v>
      </c>
      <c r="CU443" t="n">
        <v>0</v>
      </c>
      <c r="CV443" t="n">
        <v>0</v>
      </c>
      <c r="CW443" t="n">
        <v>0</v>
      </c>
      <c r="CX443" t="n">
        <v>17.7</v>
      </c>
      <c r="CY443" t="n">
        <v>36.1</v>
      </c>
      <c r="CZ443" t="n">
        <v>30.1</v>
      </c>
      <c r="DA443" t="n">
        <v>53</v>
      </c>
      <c r="DB443" t="n">
        <v>17.6</v>
      </c>
      <c r="DC443" t="n">
        <v>33.4</v>
      </c>
      <c r="DD443" t="n">
        <v>29.6</v>
      </c>
      <c r="DE443" t="n">
        <v>50.2</v>
      </c>
      <c r="DF443" t="n">
        <v>17.7</v>
      </c>
      <c r="DG443" t="n">
        <v>36.1</v>
      </c>
      <c r="DH443" t="n">
        <v>30.1</v>
      </c>
      <c r="DI443" t="n">
        <v>53</v>
      </c>
      <c r="DJ443" t="n">
        <v>17.6</v>
      </c>
      <c r="DK443" t="n">
        <v>33.4</v>
      </c>
      <c r="DL443" t="n">
        <v>29.6</v>
      </c>
      <c r="DM443" t="n">
        <v>50.2</v>
      </c>
      <c r="DN443" t="n">
        <v>0</v>
      </c>
      <c r="DO443" t="n">
        <v>0</v>
      </c>
      <c r="DP443" t="n">
        <v>0</v>
      </c>
      <c r="DQ443" t="n">
        <v>0</v>
      </c>
      <c r="DR443" t="n">
        <v>0</v>
      </c>
      <c r="DS443" t="n">
        <v>0</v>
      </c>
      <c r="DT443" t="n">
        <v>0</v>
      </c>
      <c r="DU443" t="n">
        <v>0</v>
      </c>
      <c r="DV443" t="inlineStr">
        <is>
          <t>(CONTRACTS OF 5,000 TROY OUNCES)</t>
        </is>
      </c>
    </row>
    <row r="444">
      <c r="A444" t="inlineStr">
        <is>
          <t>COPPER- #1 - COMMODITY EXCHANGE INC.</t>
        </is>
      </c>
      <c r="B444" t="n">
        <v>230110</v>
      </c>
      <c r="C444" s="1" t="n">
        <v>44936</v>
      </c>
      <c r="D444" t="inlineStr">
        <is>
          <t>085692</t>
        </is>
      </c>
      <c r="E444" t="inlineStr">
        <is>
          <t xml:space="preserve">CMX </t>
        </is>
      </c>
      <c r="F444" t="inlineStr">
        <is>
          <t>01</t>
        </is>
      </c>
      <c r="G444" t="inlineStr">
        <is>
          <t xml:space="preserve">085 </t>
        </is>
      </c>
      <c r="H444" t="n">
        <v>186383</v>
      </c>
      <c r="I444" s="17" t="n">
        <v>74753</v>
      </c>
      <c r="J444" s="17" t="n">
        <v>64526</v>
      </c>
      <c r="K444" t="n">
        <v>22152</v>
      </c>
      <c r="L444" t="n">
        <v>69787</v>
      </c>
      <c r="M444" t="n">
        <v>86040</v>
      </c>
      <c r="N444" t="n">
        <v>166692</v>
      </c>
      <c r="O444" t="n">
        <v>172718</v>
      </c>
      <c r="P444" t="n">
        <v>19691</v>
      </c>
      <c r="Q444" t="n">
        <v>13665</v>
      </c>
      <c r="R444" t="n">
        <v>186383</v>
      </c>
      <c r="S444" t="n">
        <v>74753</v>
      </c>
      <c r="T444" t="n">
        <v>64526</v>
      </c>
      <c r="U444" t="n">
        <v>22152</v>
      </c>
      <c r="V444" t="n">
        <v>69787</v>
      </c>
      <c r="W444" t="n">
        <v>86040</v>
      </c>
      <c r="X444" t="n">
        <v>166692</v>
      </c>
      <c r="Y444" t="n">
        <v>172718</v>
      </c>
      <c r="Z444" t="n">
        <v>19691</v>
      </c>
      <c r="AA444" t="n">
        <v>13665</v>
      </c>
      <c r="AB444" t="n">
        <v>0</v>
      </c>
      <c r="AC444" t="n">
        <v>0</v>
      </c>
      <c r="AD444" t="n">
        <v>0</v>
      </c>
      <c r="AE444" t="n">
        <v>0</v>
      </c>
      <c r="AF444" t="n">
        <v>0</v>
      </c>
      <c r="AG444" t="n">
        <v>0</v>
      </c>
      <c r="AH444" t="n">
        <v>0</v>
      </c>
      <c r="AI444" t="n">
        <v>0</v>
      </c>
      <c r="AJ444" t="n">
        <v>0</v>
      </c>
      <c r="AK444" t="n">
        <v>0</v>
      </c>
      <c r="AL444" t="n">
        <v>21789</v>
      </c>
      <c r="AM444" t="n">
        <v>17562</v>
      </c>
      <c r="AN444" t="n">
        <v>2660</v>
      </c>
      <c r="AO444" t="n">
        <v>733</v>
      </c>
      <c r="AP444" t="n">
        <v>882</v>
      </c>
      <c r="AQ444" t="n">
        <v>16972</v>
      </c>
      <c r="AR444" t="n">
        <v>19177</v>
      </c>
      <c r="AS444" t="n">
        <v>20365</v>
      </c>
      <c r="AT444" t="n">
        <v>2612</v>
      </c>
      <c r="AU444" t="n">
        <v>1424</v>
      </c>
      <c r="AV444" t="n">
        <v>100</v>
      </c>
      <c r="AW444" t="n">
        <v>40.1</v>
      </c>
      <c r="AX444" t="n">
        <v>34.6</v>
      </c>
      <c r="AY444" t="n">
        <v>11.9</v>
      </c>
      <c r="AZ444" t="n">
        <v>37.4</v>
      </c>
      <c r="BA444" t="n">
        <v>46.2</v>
      </c>
      <c r="BB444" t="n">
        <v>89.40000000000001</v>
      </c>
      <c r="BC444" t="n">
        <v>92.7</v>
      </c>
      <c r="BD444" t="n">
        <v>10.6</v>
      </c>
      <c r="BE444" t="n">
        <v>7.3</v>
      </c>
      <c r="BF444" t="n">
        <v>100</v>
      </c>
      <c r="BG444" t="n">
        <v>40.1</v>
      </c>
      <c r="BH444" t="n">
        <v>34.6</v>
      </c>
      <c r="BI444" t="n">
        <v>11.9</v>
      </c>
      <c r="BJ444" t="n">
        <v>37.4</v>
      </c>
      <c r="BK444" t="n">
        <v>46.2</v>
      </c>
      <c r="BL444" t="n">
        <v>89.40000000000001</v>
      </c>
      <c r="BM444" t="n">
        <v>92.7</v>
      </c>
      <c r="BN444" t="n">
        <v>10.6</v>
      </c>
      <c r="BO444" t="n">
        <v>7.3</v>
      </c>
      <c r="BP444" t="n">
        <v>0</v>
      </c>
      <c r="BQ444" t="n">
        <v>0</v>
      </c>
      <c r="BR444" t="n">
        <v>0</v>
      </c>
      <c r="BS444" t="n">
        <v>0</v>
      </c>
      <c r="BT444" t="n">
        <v>0</v>
      </c>
      <c r="BU444" t="n">
        <v>0</v>
      </c>
      <c r="BV444" t="n">
        <v>0</v>
      </c>
      <c r="BW444" t="n">
        <v>0</v>
      </c>
      <c r="BX444" t="n">
        <v>0</v>
      </c>
      <c r="BY444" t="n">
        <v>0</v>
      </c>
      <c r="BZ444" t="n">
        <v>280</v>
      </c>
      <c r="CA444" t="n">
        <v>116</v>
      </c>
      <c r="CB444" t="n">
        <v>77</v>
      </c>
      <c r="CC444" t="n">
        <v>70</v>
      </c>
      <c r="CD444" t="n">
        <v>56</v>
      </c>
      <c r="CE444" t="n">
        <v>69</v>
      </c>
      <c r="CF444" t="n">
        <v>201</v>
      </c>
      <c r="CG444" t="n">
        <v>189</v>
      </c>
      <c r="CH444" t="n">
        <v>280</v>
      </c>
      <c r="CI444" t="n">
        <v>116</v>
      </c>
      <c r="CJ444" t="n">
        <v>77</v>
      </c>
      <c r="CK444" t="n">
        <v>70</v>
      </c>
      <c r="CL444" t="n">
        <v>56</v>
      </c>
      <c r="CM444" t="n">
        <v>69</v>
      </c>
      <c r="CN444" t="n">
        <v>201</v>
      </c>
      <c r="CO444" t="n">
        <v>189</v>
      </c>
      <c r="CP444" t="n">
        <v>0</v>
      </c>
      <c r="CQ444" t="n">
        <v>0</v>
      </c>
      <c r="CR444" t="n">
        <v>0</v>
      </c>
      <c r="CS444" t="n">
        <v>0</v>
      </c>
      <c r="CT444" t="n">
        <v>0</v>
      </c>
      <c r="CU444" t="n">
        <v>0</v>
      </c>
      <c r="CV444" t="n">
        <v>0</v>
      </c>
      <c r="CW444" t="n">
        <v>0</v>
      </c>
      <c r="CX444" t="n">
        <v>18.9</v>
      </c>
      <c r="CY444" t="n">
        <v>29</v>
      </c>
      <c r="CZ444" t="n">
        <v>29.4</v>
      </c>
      <c r="DA444" t="n">
        <v>42</v>
      </c>
      <c r="DB444" t="n">
        <v>16.5</v>
      </c>
      <c r="DC444" t="n">
        <v>26</v>
      </c>
      <c r="DD444" t="n">
        <v>26.5</v>
      </c>
      <c r="DE444" t="n">
        <v>38.4</v>
      </c>
      <c r="DF444" t="n">
        <v>18.9</v>
      </c>
      <c r="DG444" t="n">
        <v>29</v>
      </c>
      <c r="DH444" t="n">
        <v>29.4</v>
      </c>
      <c r="DI444" t="n">
        <v>42</v>
      </c>
      <c r="DJ444" t="n">
        <v>16.5</v>
      </c>
      <c r="DK444" t="n">
        <v>26</v>
      </c>
      <c r="DL444" t="n">
        <v>26.5</v>
      </c>
      <c r="DM444" t="n">
        <v>38.4</v>
      </c>
      <c r="DN444" t="n">
        <v>0</v>
      </c>
      <c r="DO444" t="n">
        <v>0</v>
      </c>
      <c r="DP444" t="n">
        <v>0</v>
      </c>
      <c r="DQ444" t="n">
        <v>0</v>
      </c>
      <c r="DR444" t="n">
        <v>0</v>
      </c>
      <c r="DS444" t="n">
        <v>0</v>
      </c>
      <c r="DT444" t="n">
        <v>0</v>
      </c>
      <c r="DU444" t="n">
        <v>0</v>
      </c>
      <c r="DV444" t="inlineStr">
        <is>
          <t>(CONTRACTS OF 25,000 POUNDS)</t>
        </is>
      </c>
    </row>
    <row r="445">
      <c r="A445" t="inlineStr">
        <is>
          <t>COPPER- #1 - COMMODITY EXCHANGE INC.</t>
        </is>
      </c>
      <c r="B445" t="n">
        <v>230103</v>
      </c>
      <c r="C445" s="1" t="n">
        <v>44929</v>
      </c>
      <c r="D445" t="inlineStr">
        <is>
          <t>085692</t>
        </is>
      </c>
      <c r="E445" t="inlineStr">
        <is>
          <t xml:space="preserve">CMX </t>
        </is>
      </c>
      <c r="F445" t="inlineStr">
        <is>
          <t>01</t>
        </is>
      </c>
      <c r="G445" t="inlineStr">
        <is>
          <t xml:space="preserve">085 </t>
        </is>
      </c>
      <c r="H445" t="n">
        <v>164594</v>
      </c>
      <c r="I445" s="17" t="n">
        <v>57191</v>
      </c>
      <c r="J445" s="17" t="n">
        <v>61866</v>
      </c>
      <c r="K445" t="n">
        <v>21419</v>
      </c>
      <c r="L445" t="n">
        <v>68905</v>
      </c>
      <c r="M445" t="n">
        <v>69068</v>
      </c>
      <c r="N445" t="n">
        <v>147515</v>
      </c>
      <c r="O445" t="n">
        <v>152353</v>
      </c>
      <c r="P445" t="n">
        <v>17079</v>
      </c>
      <c r="Q445" t="n">
        <v>12241</v>
      </c>
      <c r="R445" t="n">
        <v>164594</v>
      </c>
      <c r="S445" t="n">
        <v>57191</v>
      </c>
      <c r="T445" t="n">
        <v>61866</v>
      </c>
      <c r="U445" t="n">
        <v>21419</v>
      </c>
      <c r="V445" t="n">
        <v>68905</v>
      </c>
      <c r="W445" t="n">
        <v>69068</v>
      </c>
      <c r="X445" t="n">
        <v>147515</v>
      </c>
      <c r="Y445" t="n">
        <v>152353</v>
      </c>
      <c r="Z445" t="n">
        <v>17079</v>
      </c>
      <c r="AA445" t="n">
        <v>12241</v>
      </c>
      <c r="AB445" t="n">
        <v>0</v>
      </c>
      <c r="AC445" t="n">
        <v>0</v>
      </c>
      <c r="AD445" t="n">
        <v>0</v>
      </c>
      <c r="AE445" t="n">
        <v>0</v>
      </c>
      <c r="AF445" t="n">
        <v>0</v>
      </c>
      <c r="AG445" t="n">
        <v>0</v>
      </c>
      <c r="AH445" t="n">
        <v>0</v>
      </c>
      <c r="AI445" t="n">
        <v>0</v>
      </c>
      <c r="AJ445" t="n">
        <v>0</v>
      </c>
      <c r="AK445" t="n">
        <v>0</v>
      </c>
      <c r="AL445" t="n">
        <v>4260</v>
      </c>
      <c r="AM445" t="n">
        <v>-1279</v>
      </c>
      <c r="AN445" t="n">
        <v>4120</v>
      </c>
      <c r="AO445" t="n">
        <v>2723</v>
      </c>
      <c r="AP445" t="n">
        <v>1840</v>
      </c>
      <c r="AQ445" t="n">
        <v>-2698</v>
      </c>
      <c r="AR445" t="n">
        <v>3284</v>
      </c>
      <c r="AS445" t="n">
        <v>4145</v>
      </c>
      <c r="AT445" t="n">
        <v>976</v>
      </c>
      <c r="AU445" t="n">
        <v>115</v>
      </c>
      <c r="AV445" t="n">
        <v>100</v>
      </c>
      <c r="AW445" t="n">
        <v>34.7</v>
      </c>
      <c r="AX445" t="n">
        <v>37.6</v>
      </c>
      <c r="AY445" t="n">
        <v>13</v>
      </c>
      <c r="AZ445" t="n">
        <v>41.9</v>
      </c>
      <c r="BA445" t="n">
        <v>42</v>
      </c>
      <c r="BB445" t="n">
        <v>89.59999999999999</v>
      </c>
      <c r="BC445" t="n">
        <v>92.59999999999999</v>
      </c>
      <c r="BD445" t="n">
        <v>10.4</v>
      </c>
      <c r="BE445" t="n">
        <v>7.4</v>
      </c>
      <c r="BF445" t="n">
        <v>100</v>
      </c>
      <c r="BG445" t="n">
        <v>34.7</v>
      </c>
      <c r="BH445" t="n">
        <v>37.6</v>
      </c>
      <c r="BI445" t="n">
        <v>13</v>
      </c>
      <c r="BJ445" t="n">
        <v>41.9</v>
      </c>
      <c r="BK445" t="n">
        <v>42</v>
      </c>
      <c r="BL445" t="n">
        <v>89.59999999999999</v>
      </c>
      <c r="BM445" t="n">
        <v>92.59999999999999</v>
      </c>
      <c r="BN445" t="n">
        <v>10.4</v>
      </c>
      <c r="BO445" t="n">
        <v>7.4</v>
      </c>
      <c r="BP445" t="n">
        <v>0</v>
      </c>
      <c r="BQ445" t="n">
        <v>0</v>
      </c>
      <c r="BR445" t="n">
        <v>0</v>
      </c>
      <c r="BS445" t="n">
        <v>0</v>
      </c>
      <c r="BT445" t="n">
        <v>0</v>
      </c>
      <c r="BU445" t="n">
        <v>0</v>
      </c>
      <c r="BV445" t="n">
        <v>0</v>
      </c>
      <c r="BW445" t="n">
        <v>0</v>
      </c>
      <c r="BX445" t="n">
        <v>0</v>
      </c>
      <c r="BY445" t="n">
        <v>0</v>
      </c>
      <c r="BZ445" t="n">
        <v>242</v>
      </c>
      <c r="CA445" t="n">
        <v>95</v>
      </c>
      <c r="CB445" t="n">
        <v>61</v>
      </c>
      <c r="CC445" t="n">
        <v>67</v>
      </c>
      <c r="CD445" t="n">
        <v>60</v>
      </c>
      <c r="CE445" t="n">
        <v>63</v>
      </c>
      <c r="CF445" t="n">
        <v>191</v>
      </c>
      <c r="CG445" t="n">
        <v>161</v>
      </c>
      <c r="CH445" t="n">
        <v>242</v>
      </c>
      <c r="CI445" t="n">
        <v>95</v>
      </c>
      <c r="CJ445" t="n">
        <v>61</v>
      </c>
      <c r="CK445" t="n">
        <v>67</v>
      </c>
      <c r="CL445" t="n">
        <v>60</v>
      </c>
      <c r="CM445" t="n">
        <v>63</v>
      </c>
      <c r="CN445" t="n">
        <v>191</v>
      </c>
      <c r="CO445" t="n">
        <v>161</v>
      </c>
      <c r="CP445" t="n">
        <v>0</v>
      </c>
      <c r="CQ445" t="n">
        <v>0</v>
      </c>
      <c r="CR445" t="n">
        <v>0</v>
      </c>
      <c r="CS445" t="n">
        <v>0</v>
      </c>
      <c r="CT445" t="n">
        <v>0</v>
      </c>
      <c r="CU445" t="n">
        <v>0</v>
      </c>
      <c r="CV445" t="n">
        <v>0</v>
      </c>
      <c r="CW445" t="n">
        <v>0</v>
      </c>
      <c r="CX445" t="n">
        <v>19</v>
      </c>
      <c r="CY445" t="n">
        <v>30</v>
      </c>
      <c r="CZ445" t="n">
        <v>29.3</v>
      </c>
      <c r="DA445" t="n">
        <v>46.7</v>
      </c>
      <c r="DB445" t="n">
        <v>17.8</v>
      </c>
      <c r="DC445" t="n">
        <v>26.9</v>
      </c>
      <c r="DD445" t="n">
        <v>27.9</v>
      </c>
      <c r="DE445" t="n">
        <v>42.8</v>
      </c>
      <c r="DF445" t="n">
        <v>19</v>
      </c>
      <c r="DG445" t="n">
        <v>30</v>
      </c>
      <c r="DH445" t="n">
        <v>29.3</v>
      </c>
      <c r="DI445" t="n">
        <v>46.7</v>
      </c>
      <c r="DJ445" t="n">
        <v>17.8</v>
      </c>
      <c r="DK445" t="n">
        <v>26.9</v>
      </c>
      <c r="DL445" t="n">
        <v>27.9</v>
      </c>
      <c r="DM445" t="n">
        <v>42.8</v>
      </c>
      <c r="DN445" t="n">
        <v>0</v>
      </c>
      <c r="DO445" t="n">
        <v>0</v>
      </c>
      <c r="DP445" t="n">
        <v>0</v>
      </c>
      <c r="DQ445" t="n">
        <v>0</v>
      </c>
      <c r="DR445" t="n">
        <v>0</v>
      </c>
      <c r="DS445" t="n">
        <v>0</v>
      </c>
      <c r="DT445" t="n">
        <v>0</v>
      </c>
      <c r="DU445" t="n">
        <v>0</v>
      </c>
      <c r="DV445" t="inlineStr">
        <is>
          <t>(CONTRACTS OF 25,000 POUNDS)</t>
        </is>
      </c>
    </row>
    <row r="446">
      <c r="A446" t="inlineStr">
        <is>
          <t>GOLD - COMMODITY EXCHANGE INC.</t>
        </is>
      </c>
      <c r="B446" t="n">
        <v>230110</v>
      </c>
      <c r="C446" s="1" t="n">
        <v>44936</v>
      </c>
      <c r="D446" t="inlineStr">
        <is>
          <t>088691</t>
        </is>
      </c>
      <c r="E446" t="inlineStr">
        <is>
          <t xml:space="preserve">CMX </t>
        </is>
      </c>
      <c r="F446" t="inlineStr">
        <is>
          <t>01</t>
        </is>
      </c>
      <c r="G446" t="inlineStr">
        <is>
          <t xml:space="preserve">088 </t>
        </is>
      </c>
      <c r="H446" t="n">
        <v>481519</v>
      </c>
      <c r="I446" s="17" t="n">
        <v>243566</v>
      </c>
      <c r="J446" s="17" t="n">
        <v>93031</v>
      </c>
      <c r="K446" t="n">
        <v>79862</v>
      </c>
      <c r="L446" t="n">
        <v>111718</v>
      </c>
      <c r="M446" t="n">
        <v>284196</v>
      </c>
      <c r="N446" t="n">
        <v>435146</v>
      </c>
      <c r="O446" t="n">
        <v>457089</v>
      </c>
      <c r="P446" t="n">
        <v>46373</v>
      </c>
      <c r="Q446" t="n">
        <v>24430</v>
      </c>
      <c r="R446" t="n">
        <v>481519</v>
      </c>
      <c r="S446" t="n">
        <v>243566</v>
      </c>
      <c r="T446" t="n">
        <v>93031</v>
      </c>
      <c r="U446" t="n">
        <v>79862</v>
      </c>
      <c r="V446" t="n">
        <v>111718</v>
      </c>
      <c r="W446" t="n">
        <v>284196</v>
      </c>
      <c r="X446" t="n">
        <v>435146</v>
      </c>
      <c r="Y446" t="n">
        <v>457089</v>
      </c>
      <c r="Z446" t="n">
        <v>46373</v>
      </c>
      <c r="AA446" t="n">
        <v>24430</v>
      </c>
      <c r="AB446" t="n">
        <v>0</v>
      </c>
      <c r="AC446" t="n">
        <v>0</v>
      </c>
      <c r="AD446" t="n">
        <v>0</v>
      </c>
      <c r="AE446" t="n">
        <v>0</v>
      </c>
      <c r="AF446" t="n">
        <v>0</v>
      </c>
      <c r="AG446" t="n">
        <v>0</v>
      </c>
      <c r="AH446" t="n">
        <v>0</v>
      </c>
      <c r="AI446" t="n">
        <v>0</v>
      </c>
      <c r="AJ446" t="n">
        <v>0</v>
      </c>
      <c r="AK446" t="n">
        <v>0</v>
      </c>
      <c r="AL446" t="n">
        <v>32126</v>
      </c>
      <c r="AM446" t="n">
        <v>12765</v>
      </c>
      <c r="AN446" t="n">
        <v>3896</v>
      </c>
      <c r="AO446" t="n">
        <v>17127</v>
      </c>
      <c r="AP446" t="n">
        <v>-1802</v>
      </c>
      <c r="AQ446" t="n">
        <v>10702</v>
      </c>
      <c r="AR446" t="n">
        <v>28090</v>
      </c>
      <c r="AS446" t="n">
        <v>31725</v>
      </c>
      <c r="AT446" t="n">
        <v>4036</v>
      </c>
      <c r="AU446" t="n">
        <v>401</v>
      </c>
      <c r="AV446" t="n">
        <v>100</v>
      </c>
      <c r="AW446" t="n">
        <v>50.6</v>
      </c>
      <c r="AX446" t="n">
        <v>19.3</v>
      </c>
      <c r="AY446" t="n">
        <v>16.6</v>
      </c>
      <c r="AZ446" t="n">
        <v>23.2</v>
      </c>
      <c r="BA446" t="n">
        <v>59</v>
      </c>
      <c r="BB446" t="n">
        <v>90.40000000000001</v>
      </c>
      <c r="BC446" t="n">
        <v>94.90000000000001</v>
      </c>
      <c r="BD446" t="n">
        <v>9.6</v>
      </c>
      <c r="BE446" t="n">
        <v>5.1</v>
      </c>
      <c r="BF446" t="n">
        <v>100</v>
      </c>
      <c r="BG446" t="n">
        <v>50.6</v>
      </c>
      <c r="BH446" t="n">
        <v>19.3</v>
      </c>
      <c r="BI446" t="n">
        <v>16.6</v>
      </c>
      <c r="BJ446" t="n">
        <v>23.2</v>
      </c>
      <c r="BK446" t="n">
        <v>59</v>
      </c>
      <c r="BL446" t="n">
        <v>90.40000000000001</v>
      </c>
      <c r="BM446" t="n">
        <v>94.90000000000001</v>
      </c>
      <c r="BN446" t="n">
        <v>9.6</v>
      </c>
      <c r="BO446" t="n">
        <v>5.1</v>
      </c>
      <c r="BP446" t="n">
        <v>0</v>
      </c>
      <c r="BQ446" t="n">
        <v>0</v>
      </c>
      <c r="BR446" t="n">
        <v>0</v>
      </c>
      <c r="BS446" t="n">
        <v>0</v>
      </c>
      <c r="BT446" t="n">
        <v>0</v>
      </c>
      <c r="BU446" t="n">
        <v>0</v>
      </c>
      <c r="BV446" t="n">
        <v>0</v>
      </c>
      <c r="BW446" t="n">
        <v>0</v>
      </c>
      <c r="BX446" t="n">
        <v>0</v>
      </c>
      <c r="BY446" t="n">
        <v>0</v>
      </c>
      <c r="BZ446" t="n">
        <v>305</v>
      </c>
      <c r="CA446" t="n">
        <v>177</v>
      </c>
      <c r="CB446" t="n">
        <v>64</v>
      </c>
      <c r="CC446" t="n">
        <v>76</v>
      </c>
      <c r="CD446" t="n">
        <v>40</v>
      </c>
      <c r="CE446" t="n">
        <v>53</v>
      </c>
      <c r="CF446" t="n">
        <v>247</v>
      </c>
      <c r="CG446" t="n">
        <v>165</v>
      </c>
      <c r="CH446" t="n">
        <v>305</v>
      </c>
      <c r="CI446" t="n">
        <v>177</v>
      </c>
      <c r="CJ446" t="n">
        <v>64</v>
      </c>
      <c r="CK446" t="n">
        <v>76</v>
      </c>
      <c r="CL446" t="n">
        <v>40</v>
      </c>
      <c r="CM446" t="n">
        <v>53</v>
      </c>
      <c r="CN446" t="n">
        <v>247</v>
      </c>
      <c r="CO446" t="n">
        <v>165</v>
      </c>
      <c r="CP446" t="n">
        <v>0</v>
      </c>
      <c r="CQ446" t="n">
        <v>0</v>
      </c>
      <c r="CR446" t="n">
        <v>0</v>
      </c>
      <c r="CS446" t="n">
        <v>0</v>
      </c>
      <c r="CT446" t="n">
        <v>0</v>
      </c>
      <c r="CU446" t="n">
        <v>0</v>
      </c>
      <c r="CV446" t="n">
        <v>0</v>
      </c>
      <c r="CW446" t="n">
        <v>0</v>
      </c>
      <c r="CX446" t="n">
        <v>18.1</v>
      </c>
      <c r="CY446" t="n">
        <v>30.8</v>
      </c>
      <c r="CZ446" t="n">
        <v>28.4</v>
      </c>
      <c r="DA446" t="n">
        <v>48</v>
      </c>
      <c r="DB446" t="n">
        <v>17.9</v>
      </c>
      <c r="DC446" t="n">
        <v>27.1</v>
      </c>
      <c r="DD446" t="n">
        <v>26.5</v>
      </c>
      <c r="DE446" t="n">
        <v>43.8</v>
      </c>
      <c r="DF446" t="n">
        <v>18.1</v>
      </c>
      <c r="DG446" t="n">
        <v>30.8</v>
      </c>
      <c r="DH446" t="n">
        <v>28.4</v>
      </c>
      <c r="DI446" t="n">
        <v>48</v>
      </c>
      <c r="DJ446" t="n">
        <v>17.9</v>
      </c>
      <c r="DK446" t="n">
        <v>27.1</v>
      </c>
      <c r="DL446" t="n">
        <v>26.5</v>
      </c>
      <c r="DM446" t="n">
        <v>43.8</v>
      </c>
      <c r="DN446" t="n">
        <v>0</v>
      </c>
      <c r="DO446" t="n">
        <v>0</v>
      </c>
      <c r="DP446" t="n">
        <v>0</v>
      </c>
      <c r="DQ446" t="n">
        <v>0</v>
      </c>
      <c r="DR446" t="n">
        <v>0</v>
      </c>
      <c r="DS446" t="n">
        <v>0</v>
      </c>
      <c r="DT446" t="n">
        <v>0</v>
      </c>
      <c r="DU446" t="n">
        <v>0</v>
      </c>
      <c r="DV446" t="inlineStr">
        <is>
          <t>(CONTRACTS OF 100 TROY OUNCES)</t>
        </is>
      </c>
    </row>
    <row r="447">
      <c r="A447" t="inlineStr">
        <is>
          <t>GOLD - COMMODITY EXCHANGE INC.</t>
        </is>
      </c>
      <c r="B447" t="n">
        <v>230103</v>
      </c>
      <c r="C447" s="1" t="n">
        <v>44929</v>
      </c>
      <c r="D447" t="inlineStr">
        <is>
          <t>088691</t>
        </is>
      </c>
      <c r="E447" t="inlineStr">
        <is>
          <t xml:space="preserve">CMX </t>
        </is>
      </c>
      <c r="F447" t="inlineStr">
        <is>
          <t>01</t>
        </is>
      </c>
      <c r="G447" t="inlineStr">
        <is>
          <t xml:space="preserve">088 </t>
        </is>
      </c>
      <c r="H447" t="n">
        <v>449393</v>
      </c>
      <c r="I447" s="17" t="n">
        <v>230801</v>
      </c>
      <c r="J447" s="17" t="n">
        <v>89135</v>
      </c>
      <c r="K447" t="n">
        <v>62735</v>
      </c>
      <c r="L447" t="n">
        <v>113520</v>
      </c>
      <c r="M447" t="n">
        <v>273494</v>
      </c>
      <c r="N447" t="n">
        <v>407056</v>
      </c>
      <c r="O447" t="n">
        <v>425364</v>
      </c>
      <c r="P447" t="n">
        <v>42337</v>
      </c>
      <c r="Q447" t="n">
        <v>24029</v>
      </c>
      <c r="R447" t="n">
        <v>449393</v>
      </c>
      <c r="S447" t="n">
        <v>230801</v>
      </c>
      <c r="T447" t="n">
        <v>89135</v>
      </c>
      <c r="U447" t="n">
        <v>62735</v>
      </c>
      <c r="V447" t="n">
        <v>113520</v>
      </c>
      <c r="W447" t="n">
        <v>273494</v>
      </c>
      <c r="X447" t="n">
        <v>407056</v>
      </c>
      <c r="Y447" t="n">
        <v>425364</v>
      </c>
      <c r="Z447" t="n">
        <v>42337</v>
      </c>
      <c r="AA447" t="n">
        <v>24029</v>
      </c>
      <c r="AB447" t="n">
        <v>0</v>
      </c>
      <c r="AC447" t="n">
        <v>0</v>
      </c>
      <c r="AD447" t="n">
        <v>0</v>
      </c>
      <c r="AE447" t="n">
        <v>0</v>
      </c>
      <c r="AF447" t="n">
        <v>0</v>
      </c>
      <c r="AG447" t="n">
        <v>0</v>
      </c>
      <c r="AH447" t="n">
        <v>0</v>
      </c>
      <c r="AI447" t="n">
        <v>0</v>
      </c>
      <c r="AJ447" t="n">
        <v>0</v>
      </c>
      <c r="AK447" t="n">
        <v>0</v>
      </c>
      <c r="AL447" t="n">
        <v>9353</v>
      </c>
      <c r="AM447" t="n">
        <v>1276</v>
      </c>
      <c r="AN447" t="n">
        <v>-3510</v>
      </c>
      <c r="AO447" t="n">
        <v>8388</v>
      </c>
      <c r="AP447" t="n">
        <v>-3224</v>
      </c>
      <c r="AQ447" t="n">
        <v>2974</v>
      </c>
      <c r="AR447" t="n">
        <v>6440</v>
      </c>
      <c r="AS447" t="n">
        <v>7852</v>
      </c>
      <c r="AT447" t="n">
        <v>2913</v>
      </c>
      <c r="AU447" t="n">
        <v>1501</v>
      </c>
      <c r="AV447" t="n">
        <v>100</v>
      </c>
      <c r="AW447" t="n">
        <v>51.4</v>
      </c>
      <c r="AX447" t="n">
        <v>19.8</v>
      </c>
      <c r="AY447" t="n">
        <v>14</v>
      </c>
      <c r="AZ447" t="n">
        <v>25.3</v>
      </c>
      <c r="BA447" t="n">
        <v>60.9</v>
      </c>
      <c r="BB447" t="n">
        <v>90.59999999999999</v>
      </c>
      <c r="BC447" t="n">
        <v>94.7</v>
      </c>
      <c r="BD447" t="n">
        <v>9.4</v>
      </c>
      <c r="BE447" t="n">
        <v>5.3</v>
      </c>
      <c r="BF447" t="n">
        <v>100</v>
      </c>
      <c r="BG447" t="n">
        <v>51.4</v>
      </c>
      <c r="BH447" t="n">
        <v>19.8</v>
      </c>
      <c r="BI447" t="n">
        <v>14</v>
      </c>
      <c r="BJ447" t="n">
        <v>25.3</v>
      </c>
      <c r="BK447" t="n">
        <v>60.9</v>
      </c>
      <c r="BL447" t="n">
        <v>90.59999999999999</v>
      </c>
      <c r="BM447" t="n">
        <v>94.7</v>
      </c>
      <c r="BN447" t="n">
        <v>9.4</v>
      </c>
      <c r="BO447" t="n">
        <v>5.3</v>
      </c>
      <c r="BP447" t="n">
        <v>0</v>
      </c>
      <c r="BQ447" t="n">
        <v>0</v>
      </c>
      <c r="BR447" t="n">
        <v>0</v>
      </c>
      <c r="BS447" t="n">
        <v>0</v>
      </c>
      <c r="BT447" t="n">
        <v>0</v>
      </c>
      <c r="BU447" t="n">
        <v>0</v>
      </c>
      <c r="BV447" t="n">
        <v>0</v>
      </c>
      <c r="BW447" t="n">
        <v>0</v>
      </c>
      <c r="BX447" t="n">
        <v>0</v>
      </c>
      <c r="BY447" t="n">
        <v>0</v>
      </c>
      <c r="BZ447" t="n">
        <v>293</v>
      </c>
      <c r="CA447" t="n">
        <v>164</v>
      </c>
      <c r="CB447" t="n">
        <v>63</v>
      </c>
      <c r="CC447" t="n">
        <v>74</v>
      </c>
      <c r="CD447" t="n">
        <v>42</v>
      </c>
      <c r="CE447" t="n">
        <v>47</v>
      </c>
      <c r="CF447" t="n">
        <v>234</v>
      </c>
      <c r="CG447" t="n">
        <v>160</v>
      </c>
      <c r="CH447" t="n">
        <v>293</v>
      </c>
      <c r="CI447" t="n">
        <v>164</v>
      </c>
      <c r="CJ447" t="n">
        <v>63</v>
      </c>
      <c r="CK447" t="n">
        <v>74</v>
      </c>
      <c r="CL447" t="n">
        <v>42</v>
      </c>
      <c r="CM447" t="n">
        <v>47</v>
      </c>
      <c r="CN447" t="n">
        <v>234</v>
      </c>
      <c r="CO447" t="n">
        <v>160</v>
      </c>
      <c r="CP447" t="n">
        <v>0</v>
      </c>
      <c r="CQ447" t="n">
        <v>0</v>
      </c>
      <c r="CR447" t="n">
        <v>0</v>
      </c>
      <c r="CS447" t="n">
        <v>0</v>
      </c>
      <c r="CT447" t="n">
        <v>0</v>
      </c>
      <c r="CU447" t="n">
        <v>0</v>
      </c>
      <c r="CV447" t="n">
        <v>0</v>
      </c>
      <c r="CW447" t="n">
        <v>0</v>
      </c>
      <c r="CX447" t="n">
        <v>19.4</v>
      </c>
      <c r="CY447" t="n">
        <v>32.8</v>
      </c>
      <c r="CZ447" t="n">
        <v>30.6</v>
      </c>
      <c r="DA447" t="n">
        <v>51.4</v>
      </c>
      <c r="DB447" t="n">
        <v>19.1</v>
      </c>
      <c r="DC447" t="n">
        <v>29</v>
      </c>
      <c r="DD447" t="n">
        <v>28.3</v>
      </c>
      <c r="DE447" t="n">
        <v>47</v>
      </c>
      <c r="DF447" t="n">
        <v>19.4</v>
      </c>
      <c r="DG447" t="n">
        <v>32.8</v>
      </c>
      <c r="DH447" t="n">
        <v>30.6</v>
      </c>
      <c r="DI447" t="n">
        <v>51.4</v>
      </c>
      <c r="DJ447" t="n">
        <v>19.1</v>
      </c>
      <c r="DK447" t="n">
        <v>29</v>
      </c>
      <c r="DL447" t="n">
        <v>28.3</v>
      </c>
      <c r="DM447" t="n">
        <v>47</v>
      </c>
      <c r="DN447" t="n">
        <v>0</v>
      </c>
      <c r="DO447" t="n">
        <v>0</v>
      </c>
      <c r="DP447" t="n">
        <v>0</v>
      </c>
      <c r="DQ447" t="n">
        <v>0</v>
      </c>
      <c r="DR447" t="n">
        <v>0</v>
      </c>
      <c r="DS447" t="n">
        <v>0</v>
      </c>
      <c r="DT447" t="n">
        <v>0</v>
      </c>
      <c r="DU447" t="n">
        <v>0</v>
      </c>
      <c r="DV447" t="inlineStr">
        <is>
          <t>(CONTRACTS OF 100 TROY OUNCES)</t>
        </is>
      </c>
    </row>
    <row r="448">
      <c r="A448" t="inlineStr">
        <is>
          <t>CANADIAN DOLLAR - CHICAGO MERCANTILE EXCHANGE</t>
        </is>
      </c>
      <c r="B448" t="n">
        <v>230110</v>
      </c>
      <c r="C448" s="1" t="n">
        <v>44936</v>
      </c>
      <c r="D448" t="inlineStr">
        <is>
          <t>090741</t>
        </is>
      </c>
      <c r="E448" t="inlineStr">
        <is>
          <t xml:space="preserve">CME </t>
        </is>
      </c>
      <c r="F448" t="inlineStr">
        <is>
          <t>00</t>
        </is>
      </c>
      <c r="G448" t="inlineStr">
        <is>
          <t xml:space="preserve">090 </t>
        </is>
      </c>
      <c r="H448" t="n">
        <v>133888</v>
      </c>
      <c r="I448" s="17" t="n">
        <v>22166</v>
      </c>
      <c r="J448" s="17" t="n">
        <v>53121</v>
      </c>
      <c r="K448" t="n">
        <v>3379</v>
      </c>
      <c r="L448" t="n">
        <v>75060</v>
      </c>
      <c r="M448" t="n">
        <v>47795</v>
      </c>
      <c r="N448" t="n">
        <v>100605</v>
      </c>
      <c r="O448" t="n">
        <v>104295</v>
      </c>
      <c r="P448" t="n">
        <v>33283</v>
      </c>
      <c r="Q448" t="n">
        <v>29593</v>
      </c>
      <c r="R448" t="n">
        <v>133888</v>
      </c>
      <c r="S448" t="n">
        <v>22166</v>
      </c>
      <c r="T448" t="n">
        <v>53121</v>
      </c>
      <c r="U448" t="n">
        <v>3379</v>
      </c>
      <c r="V448" t="n">
        <v>75060</v>
      </c>
      <c r="W448" t="n">
        <v>47795</v>
      </c>
      <c r="X448" t="n">
        <v>100605</v>
      </c>
      <c r="Y448" t="n">
        <v>104295</v>
      </c>
      <c r="Z448" t="n">
        <v>33283</v>
      </c>
      <c r="AA448" t="n">
        <v>29593</v>
      </c>
      <c r="AB448" t="n">
        <v>0</v>
      </c>
      <c r="AC448" t="n">
        <v>0</v>
      </c>
      <c r="AD448" t="n">
        <v>0</v>
      </c>
      <c r="AE448" t="n">
        <v>0</v>
      </c>
      <c r="AF448" t="n">
        <v>0</v>
      </c>
      <c r="AG448" t="n">
        <v>0</v>
      </c>
      <c r="AH448" t="n">
        <v>0</v>
      </c>
      <c r="AI448" t="n">
        <v>0</v>
      </c>
      <c r="AJ448" t="n">
        <v>0</v>
      </c>
      <c r="AK448" t="n">
        <v>0</v>
      </c>
      <c r="AL448" t="n">
        <v>-5107</v>
      </c>
      <c r="AM448" t="n">
        <v>-3331</v>
      </c>
      <c r="AN448" t="n">
        <v>858</v>
      </c>
      <c r="AO448" t="n">
        <v>-625</v>
      </c>
      <c r="AP448" t="n">
        <v>-2564</v>
      </c>
      <c r="AQ448" t="n">
        <v>-5288</v>
      </c>
      <c r="AR448" t="n">
        <v>-6520</v>
      </c>
      <c r="AS448" t="n">
        <v>-5055</v>
      </c>
      <c r="AT448" t="n">
        <v>1413</v>
      </c>
      <c r="AU448" t="n">
        <v>-52</v>
      </c>
      <c r="AV448" t="n">
        <v>100</v>
      </c>
      <c r="AW448" t="n">
        <v>16.6</v>
      </c>
      <c r="AX448" t="n">
        <v>39.7</v>
      </c>
      <c r="AY448" t="n">
        <v>2.5</v>
      </c>
      <c r="AZ448" t="n">
        <v>56.1</v>
      </c>
      <c r="BA448" t="n">
        <v>35.7</v>
      </c>
      <c r="BB448" t="n">
        <v>75.09999999999999</v>
      </c>
      <c r="BC448" t="n">
        <v>77.90000000000001</v>
      </c>
      <c r="BD448" t="n">
        <v>24.9</v>
      </c>
      <c r="BE448" t="n">
        <v>22.1</v>
      </c>
      <c r="BF448" t="n">
        <v>100</v>
      </c>
      <c r="BG448" t="n">
        <v>16.6</v>
      </c>
      <c r="BH448" t="n">
        <v>39.7</v>
      </c>
      <c r="BI448" t="n">
        <v>2.5</v>
      </c>
      <c r="BJ448" t="n">
        <v>56.1</v>
      </c>
      <c r="BK448" t="n">
        <v>35.7</v>
      </c>
      <c r="BL448" t="n">
        <v>75.09999999999999</v>
      </c>
      <c r="BM448" t="n">
        <v>77.90000000000001</v>
      </c>
      <c r="BN448" t="n">
        <v>24.9</v>
      </c>
      <c r="BO448" t="n">
        <v>22.1</v>
      </c>
      <c r="BP448" t="n">
        <v>0</v>
      </c>
      <c r="BQ448" t="n">
        <v>0</v>
      </c>
      <c r="BR448" t="n">
        <v>0</v>
      </c>
      <c r="BS448" t="n">
        <v>0</v>
      </c>
      <c r="BT448" t="n">
        <v>0</v>
      </c>
      <c r="BU448" t="n">
        <v>0</v>
      </c>
      <c r="BV448" t="n">
        <v>0</v>
      </c>
      <c r="BW448" t="n">
        <v>0</v>
      </c>
      <c r="BX448" t="n">
        <v>0</v>
      </c>
      <c r="BY448" t="n">
        <v>0</v>
      </c>
      <c r="BZ448" t="n">
        <v>93</v>
      </c>
      <c r="CA448" t="n">
        <v>13</v>
      </c>
      <c r="CB448" t="n">
        <v>28</v>
      </c>
      <c r="CC448" t="n">
        <v>10</v>
      </c>
      <c r="CD448" t="n">
        <v>32</v>
      </c>
      <c r="CE448" t="n">
        <v>29</v>
      </c>
      <c r="CF448" t="n">
        <v>52</v>
      </c>
      <c r="CG448" t="n">
        <v>60</v>
      </c>
      <c r="CH448" t="n">
        <v>93</v>
      </c>
      <c r="CI448" t="n">
        <v>13</v>
      </c>
      <c r="CJ448" t="n">
        <v>28</v>
      </c>
      <c r="CK448" t="n">
        <v>10</v>
      </c>
      <c r="CL448" t="n">
        <v>32</v>
      </c>
      <c r="CM448" t="n">
        <v>29</v>
      </c>
      <c r="CN448" t="n">
        <v>52</v>
      </c>
      <c r="CO448" t="n">
        <v>60</v>
      </c>
      <c r="CP448" t="n">
        <v>0</v>
      </c>
      <c r="CQ448" t="n">
        <v>0</v>
      </c>
      <c r="CR448" t="n">
        <v>0</v>
      </c>
      <c r="CS448" t="n">
        <v>0</v>
      </c>
      <c r="CT448" t="n">
        <v>0</v>
      </c>
      <c r="CU448" t="n">
        <v>0</v>
      </c>
      <c r="CV448" t="n">
        <v>0</v>
      </c>
      <c r="CW448" t="n">
        <v>0</v>
      </c>
      <c r="CX448" t="n">
        <v>27.2</v>
      </c>
      <c r="CY448" t="n">
        <v>23</v>
      </c>
      <c r="CZ448" t="n">
        <v>43</v>
      </c>
      <c r="DA448" t="n">
        <v>33</v>
      </c>
      <c r="DB448" t="n">
        <v>27.2</v>
      </c>
      <c r="DC448" t="n">
        <v>23</v>
      </c>
      <c r="DD448" t="n">
        <v>41.3</v>
      </c>
      <c r="DE448" t="n">
        <v>32.6</v>
      </c>
      <c r="DF448" t="n">
        <v>27.2</v>
      </c>
      <c r="DG448" t="n">
        <v>23</v>
      </c>
      <c r="DH448" t="n">
        <v>43</v>
      </c>
      <c r="DI448" t="n">
        <v>33</v>
      </c>
      <c r="DJ448" t="n">
        <v>27.2</v>
      </c>
      <c r="DK448" t="n">
        <v>23</v>
      </c>
      <c r="DL448" t="n">
        <v>41.3</v>
      </c>
      <c r="DM448" t="n">
        <v>32.6</v>
      </c>
      <c r="DN448" t="n">
        <v>0</v>
      </c>
      <c r="DO448" t="n">
        <v>0</v>
      </c>
      <c r="DP448" t="n">
        <v>0</v>
      </c>
      <c r="DQ448" t="n">
        <v>0</v>
      </c>
      <c r="DR448" t="n">
        <v>0</v>
      </c>
      <c r="DS448" t="n">
        <v>0</v>
      </c>
      <c r="DT448" t="n">
        <v>0</v>
      </c>
      <c r="DU448" t="n">
        <v>0</v>
      </c>
      <c r="DV448" t="inlineStr">
        <is>
          <t>(CONTRACTS OF CAD 100,000)</t>
        </is>
      </c>
    </row>
    <row r="449">
      <c r="A449" t="inlineStr">
        <is>
          <t>CANADIAN DOLLAR - CHICAGO MERCANTILE EXCHANGE</t>
        </is>
      </c>
      <c r="B449" t="n">
        <v>230103</v>
      </c>
      <c r="C449" s="1" t="n">
        <v>44929</v>
      </c>
      <c r="D449" t="inlineStr">
        <is>
          <t>090741</t>
        </is>
      </c>
      <c r="E449" t="inlineStr">
        <is>
          <t xml:space="preserve">CME </t>
        </is>
      </c>
      <c r="F449" t="inlineStr">
        <is>
          <t>00</t>
        </is>
      </c>
      <c r="G449" t="inlineStr">
        <is>
          <t xml:space="preserve">090 </t>
        </is>
      </c>
      <c r="H449" t="n">
        <v>138995</v>
      </c>
      <c r="I449" s="17" t="n">
        <v>25497</v>
      </c>
      <c r="J449" s="17" t="n">
        <v>52263</v>
      </c>
      <c r="K449" t="n">
        <v>4004</v>
      </c>
      <c r="L449" t="n">
        <v>77624</v>
      </c>
      <c r="M449" t="n">
        <v>53083</v>
      </c>
      <c r="N449" t="n">
        <v>107125</v>
      </c>
      <c r="O449" t="n">
        <v>109350</v>
      </c>
      <c r="P449" t="n">
        <v>31870</v>
      </c>
      <c r="Q449" t="n">
        <v>29645</v>
      </c>
      <c r="R449" t="n">
        <v>138995</v>
      </c>
      <c r="S449" t="n">
        <v>25497</v>
      </c>
      <c r="T449" t="n">
        <v>52263</v>
      </c>
      <c r="U449" t="n">
        <v>4004</v>
      </c>
      <c r="V449" t="n">
        <v>77624</v>
      </c>
      <c r="W449" t="n">
        <v>53083</v>
      </c>
      <c r="X449" t="n">
        <v>107125</v>
      </c>
      <c r="Y449" t="n">
        <v>109350</v>
      </c>
      <c r="Z449" t="n">
        <v>31870</v>
      </c>
      <c r="AA449" t="n">
        <v>29645</v>
      </c>
      <c r="AB449" t="n">
        <v>0</v>
      </c>
      <c r="AC449" t="n">
        <v>0</v>
      </c>
      <c r="AD449" t="n">
        <v>0</v>
      </c>
      <c r="AE449" t="n">
        <v>0</v>
      </c>
      <c r="AF449" t="n">
        <v>0</v>
      </c>
      <c r="AG449" t="n">
        <v>0</v>
      </c>
      <c r="AH449" t="n">
        <v>0</v>
      </c>
      <c r="AI449" t="n">
        <v>0</v>
      </c>
      <c r="AJ449" t="n">
        <v>0</v>
      </c>
      <c r="AK449" t="n">
        <v>0</v>
      </c>
      <c r="AL449" t="n">
        <v>-1549</v>
      </c>
      <c r="AM449" t="n">
        <v>-3382</v>
      </c>
      <c r="AN449" t="n">
        <v>-6649</v>
      </c>
      <c r="AO449" t="n">
        <v>1238</v>
      </c>
      <c r="AP449" t="n">
        <v>-1000</v>
      </c>
      <c r="AQ449" t="n">
        <v>2885</v>
      </c>
      <c r="AR449" t="n">
        <v>-3144</v>
      </c>
      <c r="AS449" t="n">
        <v>-2526</v>
      </c>
      <c r="AT449" t="n">
        <v>1595</v>
      </c>
      <c r="AU449" t="n">
        <v>977</v>
      </c>
      <c r="AV449" t="n">
        <v>100</v>
      </c>
      <c r="AW449" t="n">
        <v>18.3</v>
      </c>
      <c r="AX449" t="n">
        <v>37.6</v>
      </c>
      <c r="AY449" t="n">
        <v>2.9</v>
      </c>
      <c r="AZ449" t="n">
        <v>55.8</v>
      </c>
      <c r="BA449" t="n">
        <v>38.2</v>
      </c>
      <c r="BB449" t="n">
        <v>77.09999999999999</v>
      </c>
      <c r="BC449" t="n">
        <v>78.7</v>
      </c>
      <c r="BD449" t="n">
        <v>22.9</v>
      </c>
      <c r="BE449" t="n">
        <v>21.3</v>
      </c>
      <c r="BF449" t="n">
        <v>100</v>
      </c>
      <c r="BG449" t="n">
        <v>18.3</v>
      </c>
      <c r="BH449" t="n">
        <v>37.6</v>
      </c>
      <c r="BI449" t="n">
        <v>2.9</v>
      </c>
      <c r="BJ449" t="n">
        <v>55.8</v>
      </c>
      <c r="BK449" t="n">
        <v>38.2</v>
      </c>
      <c r="BL449" t="n">
        <v>77.09999999999999</v>
      </c>
      <c r="BM449" t="n">
        <v>78.7</v>
      </c>
      <c r="BN449" t="n">
        <v>22.9</v>
      </c>
      <c r="BO449" t="n">
        <v>21.3</v>
      </c>
      <c r="BP449" t="n">
        <v>0</v>
      </c>
      <c r="BQ449" t="n">
        <v>0</v>
      </c>
      <c r="BR449" t="n">
        <v>0</v>
      </c>
      <c r="BS449" t="n">
        <v>0</v>
      </c>
      <c r="BT449" t="n">
        <v>0</v>
      </c>
      <c r="BU449" t="n">
        <v>0</v>
      </c>
      <c r="BV449" t="n">
        <v>0</v>
      </c>
      <c r="BW449" t="n">
        <v>0</v>
      </c>
      <c r="BX449" t="n">
        <v>0</v>
      </c>
      <c r="BY449" t="n">
        <v>0</v>
      </c>
      <c r="BZ449" t="n">
        <v>105</v>
      </c>
      <c r="CA449" t="n">
        <v>18</v>
      </c>
      <c r="CB449" t="n">
        <v>32</v>
      </c>
      <c r="CC449" t="n">
        <v>13</v>
      </c>
      <c r="CD449" t="n">
        <v>36</v>
      </c>
      <c r="CE449" t="n">
        <v>31</v>
      </c>
      <c r="CF449" t="n">
        <v>62</v>
      </c>
      <c r="CG449" t="n">
        <v>68</v>
      </c>
      <c r="CH449" t="n">
        <v>105</v>
      </c>
      <c r="CI449" t="n">
        <v>18</v>
      </c>
      <c r="CJ449" t="n">
        <v>32</v>
      </c>
      <c r="CK449" t="n">
        <v>13</v>
      </c>
      <c r="CL449" t="n">
        <v>36</v>
      </c>
      <c r="CM449" t="n">
        <v>31</v>
      </c>
      <c r="CN449" t="n">
        <v>62</v>
      </c>
      <c r="CO449" t="n">
        <v>68</v>
      </c>
      <c r="CP449" t="n">
        <v>0</v>
      </c>
      <c r="CQ449" t="n">
        <v>0</v>
      </c>
      <c r="CR449" t="n">
        <v>0</v>
      </c>
      <c r="CS449" t="n">
        <v>0</v>
      </c>
      <c r="CT449" t="n">
        <v>0</v>
      </c>
      <c r="CU449" t="n">
        <v>0</v>
      </c>
      <c r="CV449" t="n">
        <v>0</v>
      </c>
      <c r="CW449" t="n">
        <v>0</v>
      </c>
      <c r="CX449" t="n">
        <v>27</v>
      </c>
      <c r="CY449" t="n">
        <v>22.5</v>
      </c>
      <c r="CZ449" t="n">
        <v>41.3</v>
      </c>
      <c r="DA449" t="n">
        <v>32.9</v>
      </c>
      <c r="DB449" t="n">
        <v>27</v>
      </c>
      <c r="DC449" t="n">
        <v>22.5</v>
      </c>
      <c r="DD449" t="n">
        <v>39.9</v>
      </c>
      <c r="DE449" t="n">
        <v>32.1</v>
      </c>
      <c r="DF449" t="n">
        <v>27</v>
      </c>
      <c r="DG449" t="n">
        <v>22.5</v>
      </c>
      <c r="DH449" t="n">
        <v>41.3</v>
      </c>
      <c r="DI449" t="n">
        <v>32.9</v>
      </c>
      <c r="DJ449" t="n">
        <v>27</v>
      </c>
      <c r="DK449" t="n">
        <v>22.5</v>
      </c>
      <c r="DL449" t="n">
        <v>39.9</v>
      </c>
      <c r="DM449" t="n">
        <v>32.1</v>
      </c>
      <c r="DN449" t="n">
        <v>0</v>
      </c>
      <c r="DO449" t="n">
        <v>0</v>
      </c>
      <c r="DP449" t="n">
        <v>0</v>
      </c>
      <c r="DQ449" t="n">
        <v>0</v>
      </c>
      <c r="DR449" t="n">
        <v>0</v>
      </c>
      <c r="DS449" t="n">
        <v>0</v>
      </c>
      <c r="DT449" t="n">
        <v>0</v>
      </c>
      <c r="DU449" t="n">
        <v>0</v>
      </c>
      <c r="DV449" t="inlineStr">
        <is>
          <t>(CONTRACTS OF CAD 100,000)</t>
        </is>
      </c>
    </row>
    <row r="450">
      <c r="A450" t="inlineStr">
        <is>
          <t>SWISS FRANC - CHICAGO MERCANTILE EXCHANGE</t>
        </is>
      </c>
      <c r="B450" t="n">
        <v>230110</v>
      </c>
      <c r="C450" s="1" t="n">
        <v>44936</v>
      </c>
      <c r="D450" t="inlineStr">
        <is>
          <t>092741</t>
        </is>
      </c>
      <c r="E450" t="inlineStr">
        <is>
          <t xml:space="preserve">CME </t>
        </is>
      </c>
      <c r="F450" t="inlineStr">
        <is>
          <t>00</t>
        </is>
      </c>
      <c r="G450" t="inlineStr">
        <is>
          <t xml:space="preserve">092 </t>
        </is>
      </c>
      <c r="H450" t="n">
        <v>33266</v>
      </c>
      <c r="I450" s="17" t="n">
        <v>3668</v>
      </c>
      <c r="J450" s="17" t="n">
        <v>11038</v>
      </c>
      <c r="K450" t="n">
        <v>22</v>
      </c>
      <c r="L450" t="n">
        <v>17034</v>
      </c>
      <c r="M450" t="n">
        <v>8828</v>
      </c>
      <c r="N450" t="n">
        <v>20724</v>
      </c>
      <c r="O450" t="n">
        <v>19888</v>
      </c>
      <c r="P450" t="n">
        <v>12542</v>
      </c>
      <c r="Q450" t="n">
        <v>13378</v>
      </c>
      <c r="R450" t="n">
        <v>33266</v>
      </c>
      <c r="S450" t="n">
        <v>3668</v>
      </c>
      <c r="T450" t="n">
        <v>11038</v>
      </c>
      <c r="U450" t="n">
        <v>22</v>
      </c>
      <c r="V450" t="n">
        <v>17034</v>
      </c>
      <c r="W450" t="n">
        <v>8828</v>
      </c>
      <c r="X450" t="n">
        <v>20724</v>
      </c>
      <c r="Y450" t="n">
        <v>19888</v>
      </c>
      <c r="Z450" t="n">
        <v>12542</v>
      </c>
      <c r="AA450" t="n">
        <v>13378</v>
      </c>
      <c r="AB450" t="n">
        <v>0</v>
      </c>
      <c r="AC450" t="n">
        <v>0</v>
      </c>
      <c r="AD450" t="n">
        <v>0</v>
      </c>
      <c r="AE450" t="n">
        <v>0</v>
      </c>
      <c r="AF450" t="n">
        <v>0</v>
      </c>
      <c r="AG450" t="n">
        <v>0</v>
      </c>
      <c r="AH450" t="n">
        <v>0</v>
      </c>
      <c r="AI450" t="n">
        <v>0</v>
      </c>
      <c r="AJ450" t="n">
        <v>0</v>
      </c>
      <c r="AK450" t="n">
        <v>0</v>
      </c>
      <c r="AL450" t="n">
        <v>16</v>
      </c>
      <c r="AM450" t="n">
        <v>-2964</v>
      </c>
      <c r="AN450" t="n">
        <v>1552</v>
      </c>
      <c r="AO450" t="n">
        <v>0</v>
      </c>
      <c r="AP450" t="n">
        <v>760</v>
      </c>
      <c r="AQ450" t="n">
        <v>-1015</v>
      </c>
      <c r="AR450" t="n">
        <v>-2204</v>
      </c>
      <c r="AS450" t="n">
        <v>537</v>
      </c>
      <c r="AT450" t="n">
        <v>2220</v>
      </c>
      <c r="AU450" t="n">
        <v>-521</v>
      </c>
      <c r="AV450" t="n">
        <v>100</v>
      </c>
      <c r="AW450" t="n">
        <v>11</v>
      </c>
      <c r="AX450" t="n">
        <v>33.2</v>
      </c>
      <c r="AY450" t="n">
        <v>0.1</v>
      </c>
      <c r="AZ450" t="n">
        <v>51.2</v>
      </c>
      <c r="BA450" t="n">
        <v>26.5</v>
      </c>
      <c r="BB450" t="n">
        <v>62.3</v>
      </c>
      <c r="BC450" t="n">
        <v>59.8</v>
      </c>
      <c r="BD450" t="n">
        <v>37.7</v>
      </c>
      <c r="BE450" t="n">
        <v>40.2</v>
      </c>
      <c r="BF450" t="n">
        <v>100</v>
      </c>
      <c r="BG450" t="n">
        <v>11</v>
      </c>
      <c r="BH450" t="n">
        <v>33.2</v>
      </c>
      <c r="BI450" t="n">
        <v>0.1</v>
      </c>
      <c r="BJ450" t="n">
        <v>51.2</v>
      </c>
      <c r="BK450" t="n">
        <v>26.5</v>
      </c>
      <c r="BL450" t="n">
        <v>62.3</v>
      </c>
      <c r="BM450" t="n">
        <v>59.8</v>
      </c>
      <c r="BN450" t="n">
        <v>37.7</v>
      </c>
      <c r="BO450" t="n">
        <v>40.2</v>
      </c>
      <c r="BP450" t="n">
        <v>0</v>
      </c>
      <c r="BQ450" t="n">
        <v>0</v>
      </c>
      <c r="BR450" t="n">
        <v>0</v>
      </c>
      <c r="BS450" t="n">
        <v>0</v>
      </c>
      <c r="BT450" t="n">
        <v>0</v>
      </c>
      <c r="BU450" t="n">
        <v>0</v>
      </c>
      <c r="BV450" t="n">
        <v>0</v>
      </c>
      <c r="BW450" t="n">
        <v>0</v>
      </c>
      <c r="BX450" t="n">
        <v>0</v>
      </c>
      <c r="BY450" t="n">
        <v>0</v>
      </c>
      <c r="BZ450" t="n">
        <v>32</v>
      </c>
      <c r="CA450" t="n">
        <v>6</v>
      </c>
      <c r="CB450" t="n">
        <v>7</v>
      </c>
      <c r="CC450" t="n">
        <v>2</v>
      </c>
      <c r="CD450" t="n">
        <v>12</v>
      </c>
      <c r="CE450" t="n">
        <v>10</v>
      </c>
      <c r="CF450" t="n">
        <v>18</v>
      </c>
      <c r="CG450" t="n">
        <v>19</v>
      </c>
      <c r="CH450" t="n">
        <v>32</v>
      </c>
      <c r="CI450" t="n">
        <v>6</v>
      </c>
      <c r="CJ450" t="n">
        <v>7</v>
      </c>
      <c r="CK450" t="n">
        <v>2</v>
      </c>
      <c r="CL450" t="n">
        <v>12</v>
      </c>
      <c r="CM450" t="n">
        <v>10</v>
      </c>
      <c r="CN450" t="n">
        <v>18</v>
      </c>
      <c r="CO450" t="n">
        <v>19</v>
      </c>
      <c r="CP450" t="n">
        <v>0</v>
      </c>
      <c r="CQ450" t="n">
        <v>0</v>
      </c>
      <c r="CR450" t="n">
        <v>0</v>
      </c>
      <c r="CS450" t="n">
        <v>0</v>
      </c>
      <c r="CT450" t="n">
        <v>0</v>
      </c>
      <c r="CU450" t="n">
        <v>0</v>
      </c>
      <c r="CV450" t="n">
        <v>0</v>
      </c>
      <c r="CW450" t="n">
        <v>0</v>
      </c>
      <c r="CX450" t="n">
        <v>42.2</v>
      </c>
      <c r="CY450" t="n">
        <v>27.5</v>
      </c>
      <c r="CZ450" t="n">
        <v>54.1</v>
      </c>
      <c r="DA450" t="n">
        <v>40.9</v>
      </c>
      <c r="DB450" t="n">
        <v>42.2</v>
      </c>
      <c r="DC450" t="n">
        <v>27.5</v>
      </c>
      <c r="DD450" t="n">
        <v>54.1</v>
      </c>
      <c r="DE450" t="n">
        <v>40.9</v>
      </c>
      <c r="DF450" t="n">
        <v>42.2</v>
      </c>
      <c r="DG450" t="n">
        <v>27.5</v>
      </c>
      <c r="DH450" t="n">
        <v>54.1</v>
      </c>
      <c r="DI450" t="n">
        <v>40.9</v>
      </c>
      <c r="DJ450" t="n">
        <v>42.2</v>
      </c>
      <c r="DK450" t="n">
        <v>27.5</v>
      </c>
      <c r="DL450" t="n">
        <v>54.1</v>
      </c>
      <c r="DM450" t="n">
        <v>40.9</v>
      </c>
      <c r="DN450" t="n">
        <v>0</v>
      </c>
      <c r="DO450" t="n">
        <v>0</v>
      </c>
      <c r="DP450" t="n">
        <v>0</v>
      </c>
      <c r="DQ450" t="n">
        <v>0</v>
      </c>
      <c r="DR450" t="n">
        <v>0</v>
      </c>
      <c r="DS450" t="n">
        <v>0</v>
      </c>
      <c r="DT450" t="n">
        <v>0</v>
      </c>
      <c r="DU450" t="n">
        <v>0</v>
      </c>
      <c r="DV450" t="inlineStr">
        <is>
          <t>(CONTRACTS OF CHF 125,000)</t>
        </is>
      </c>
    </row>
    <row r="451">
      <c r="A451" t="inlineStr">
        <is>
          <t>SWISS FRANC - CHICAGO MERCANTILE EXCHANGE</t>
        </is>
      </c>
      <c r="B451" t="n">
        <v>230103</v>
      </c>
      <c r="C451" s="1" t="n">
        <v>44929</v>
      </c>
      <c r="D451" t="inlineStr">
        <is>
          <t>092741</t>
        </is>
      </c>
      <c r="E451" t="inlineStr">
        <is>
          <t xml:space="preserve">CME </t>
        </is>
      </c>
      <c r="F451" t="inlineStr">
        <is>
          <t>00</t>
        </is>
      </c>
      <c r="G451" t="inlineStr">
        <is>
          <t xml:space="preserve">092 </t>
        </is>
      </c>
      <c r="H451" t="n">
        <v>33250</v>
      </c>
      <c r="I451" s="17" t="n">
        <v>6632</v>
      </c>
      <c r="J451" s="17" t="n">
        <v>9486</v>
      </c>
      <c r="K451" t="n">
        <v>22</v>
      </c>
      <c r="L451" t="n">
        <v>16274</v>
      </c>
      <c r="M451" t="n">
        <v>9843</v>
      </c>
      <c r="N451" t="n">
        <v>22928</v>
      </c>
      <c r="O451" t="n">
        <v>19351</v>
      </c>
      <c r="P451" t="n">
        <v>10322</v>
      </c>
      <c r="Q451" t="n">
        <v>13899</v>
      </c>
      <c r="R451" t="n">
        <v>33250</v>
      </c>
      <c r="S451" t="n">
        <v>6632</v>
      </c>
      <c r="T451" t="n">
        <v>9486</v>
      </c>
      <c r="U451" t="n">
        <v>22</v>
      </c>
      <c r="V451" t="n">
        <v>16274</v>
      </c>
      <c r="W451" t="n">
        <v>9843</v>
      </c>
      <c r="X451" t="n">
        <v>22928</v>
      </c>
      <c r="Y451" t="n">
        <v>19351</v>
      </c>
      <c r="Z451" t="n">
        <v>10322</v>
      </c>
      <c r="AA451" t="n">
        <v>13899</v>
      </c>
      <c r="AB451" t="n">
        <v>0</v>
      </c>
      <c r="AC451" t="n">
        <v>0</v>
      </c>
      <c r="AD451" t="n">
        <v>0</v>
      </c>
      <c r="AE451" t="n">
        <v>0</v>
      </c>
      <c r="AF451" t="n">
        <v>0</v>
      </c>
      <c r="AG451" t="n">
        <v>0</v>
      </c>
      <c r="AH451" t="n">
        <v>0</v>
      </c>
      <c r="AI451" t="n">
        <v>0</v>
      </c>
      <c r="AJ451" t="n">
        <v>0</v>
      </c>
      <c r="AK451" t="n">
        <v>0</v>
      </c>
      <c r="AL451" t="n">
        <v>3399</v>
      </c>
      <c r="AM451" t="n">
        <v>2703</v>
      </c>
      <c r="AN451" t="n">
        <v>1426</v>
      </c>
      <c r="AO451" t="n">
        <v>-64</v>
      </c>
      <c r="AP451" t="n">
        <v>2656</v>
      </c>
      <c r="AQ451" t="n">
        <v>392</v>
      </c>
      <c r="AR451" t="n">
        <v>5295</v>
      </c>
      <c r="AS451" t="n">
        <v>1754</v>
      </c>
      <c r="AT451" t="n">
        <v>-1896</v>
      </c>
      <c r="AU451" t="n">
        <v>1645</v>
      </c>
      <c r="AV451" t="n">
        <v>100</v>
      </c>
      <c r="AW451" t="n">
        <v>19.9</v>
      </c>
      <c r="AX451" t="n">
        <v>28.5</v>
      </c>
      <c r="AY451" t="n">
        <v>0.1</v>
      </c>
      <c r="AZ451" t="n">
        <v>48.9</v>
      </c>
      <c r="BA451" t="n">
        <v>29.6</v>
      </c>
      <c r="BB451" t="n">
        <v>69</v>
      </c>
      <c r="BC451" t="n">
        <v>58.2</v>
      </c>
      <c r="BD451" t="n">
        <v>31</v>
      </c>
      <c r="BE451" t="n">
        <v>41.8</v>
      </c>
      <c r="BF451" t="n">
        <v>100</v>
      </c>
      <c r="BG451" t="n">
        <v>19.9</v>
      </c>
      <c r="BH451" t="n">
        <v>28.5</v>
      </c>
      <c r="BI451" t="n">
        <v>0.1</v>
      </c>
      <c r="BJ451" t="n">
        <v>48.9</v>
      </c>
      <c r="BK451" t="n">
        <v>29.6</v>
      </c>
      <c r="BL451" t="n">
        <v>69</v>
      </c>
      <c r="BM451" t="n">
        <v>58.2</v>
      </c>
      <c r="BN451" t="n">
        <v>31</v>
      </c>
      <c r="BO451" t="n">
        <v>41.8</v>
      </c>
      <c r="BP451" t="n">
        <v>0</v>
      </c>
      <c r="BQ451" t="n">
        <v>0</v>
      </c>
      <c r="BR451" t="n">
        <v>0</v>
      </c>
      <c r="BS451" t="n">
        <v>0</v>
      </c>
      <c r="BT451" t="n">
        <v>0</v>
      </c>
      <c r="BU451" t="n">
        <v>0</v>
      </c>
      <c r="BV451" t="n">
        <v>0</v>
      </c>
      <c r="BW451" t="n">
        <v>0</v>
      </c>
      <c r="BX451" t="n">
        <v>0</v>
      </c>
      <c r="BY451" t="n">
        <v>0</v>
      </c>
      <c r="BZ451" t="n">
        <v>36</v>
      </c>
      <c r="CA451" t="n">
        <v>8</v>
      </c>
      <c r="CB451" t="n">
        <v>7</v>
      </c>
      <c r="CC451" t="n">
        <v>3</v>
      </c>
      <c r="CD451" t="n">
        <v>12</v>
      </c>
      <c r="CE451" t="n">
        <v>12</v>
      </c>
      <c r="CF451" t="n">
        <v>20</v>
      </c>
      <c r="CG451" t="n">
        <v>22</v>
      </c>
      <c r="CH451" t="n">
        <v>36</v>
      </c>
      <c r="CI451" t="n">
        <v>8</v>
      </c>
      <c r="CJ451" t="n">
        <v>7</v>
      </c>
      <c r="CK451" t="n">
        <v>3</v>
      </c>
      <c r="CL451" t="n">
        <v>12</v>
      </c>
      <c r="CM451" t="n">
        <v>12</v>
      </c>
      <c r="CN451" t="n">
        <v>20</v>
      </c>
      <c r="CO451" t="n">
        <v>22</v>
      </c>
      <c r="CP451" t="n">
        <v>0</v>
      </c>
      <c r="CQ451" t="n">
        <v>0</v>
      </c>
      <c r="CR451" t="n">
        <v>0</v>
      </c>
      <c r="CS451" t="n">
        <v>0</v>
      </c>
      <c r="CT451" t="n">
        <v>0</v>
      </c>
      <c r="CU451" t="n">
        <v>0</v>
      </c>
      <c r="CV451" t="n">
        <v>0</v>
      </c>
      <c r="CW451" t="n">
        <v>0</v>
      </c>
      <c r="CX451" t="n">
        <v>41.4</v>
      </c>
      <c r="CY451" t="n">
        <v>27.4</v>
      </c>
      <c r="CZ451" t="n">
        <v>54.4</v>
      </c>
      <c r="DA451" t="n">
        <v>42.6</v>
      </c>
      <c r="DB451" t="n">
        <v>41.4</v>
      </c>
      <c r="DC451" t="n">
        <v>27.4</v>
      </c>
      <c r="DD451" t="n">
        <v>54.3</v>
      </c>
      <c r="DE451" t="n">
        <v>42.6</v>
      </c>
      <c r="DF451" t="n">
        <v>41.4</v>
      </c>
      <c r="DG451" t="n">
        <v>27.4</v>
      </c>
      <c r="DH451" t="n">
        <v>54.4</v>
      </c>
      <c r="DI451" t="n">
        <v>42.6</v>
      </c>
      <c r="DJ451" t="n">
        <v>41.4</v>
      </c>
      <c r="DK451" t="n">
        <v>27.4</v>
      </c>
      <c r="DL451" t="n">
        <v>54.3</v>
      </c>
      <c r="DM451" t="n">
        <v>42.6</v>
      </c>
      <c r="DN451" t="n">
        <v>0</v>
      </c>
      <c r="DO451" t="n">
        <v>0</v>
      </c>
      <c r="DP451" t="n">
        <v>0</v>
      </c>
      <c r="DQ451" t="n">
        <v>0</v>
      </c>
      <c r="DR451" t="n">
        <v>0</v>
      </c>
      <c r="DS451" t="n">
        <v>0</v>
      </c>
      <c r="DT451" t="n">
        <v>0</v>
      </c>
      <c r="DU451" t="n">
        <v>0</v>
      </c>
      <c r="DV451" t="inlineStr">
        <is>
          <t>(CONTRACTS OF CHF 125,000)</t>
        </is>
      </c>
    </row>
    <row r="452">
      <c r="A452" t="inlineStr">
        <is>
          <t>MEXICAN PESO - CHICAGO MERCANTILE EXCHANGE</t>
        </is>
      </c>
      <c r="B452" t="n">
        <v>230110</v>
      </c>
      <c r="C452" s="1" t="n">
        <v>44936</v>
      </c>
      <c r="D452" t="inlineStr">
        <is>
          <t>095741</t>
        </is>
      </c>
      <c r="E452" t="inlineStr">
        <is>
          <t xml:space="preserve">CME </t>
        </is>
      </c>
      <c r="F452" t="inlineStr">
        <is>
          <t>00</t>
        </is>
      </c>
      <c r="G452" t="inlineStr">
        <is>
          <t xml:space="preserve">095 </t>
        </is>
      </c>
      <c r="H452" t="n">
        <v>270826</v>
      </c>
      <c r="I452" s="17" t="n">
        <v>149517</v>
      </c>
      <c r="J452" s="17" t="n">
        <v>202898</v>
      </c>
      <c r="K452" t="n">
        <v>746</v>
      </c>
      <c r="L452" t="n">
        <v>111970</v>
      </c>
      <c r="M452" t="n">
        <v>64764</v>
      </c>
      <c r="N452" t="n">
        <v>262233</v>
      </c>
      <c r="O452" t="n">
        <v>268408</v>
      </c>
      <c r="P452" t="n">
        <v>8593</v>
      </c>
      <c r="Q452" t="n">
        <v>2418</v>
      </c>
      <c r="R452" t="n">
        <v>270826</v>
      </c>
      <c r="S452" t="n">
        <v>149517</v>
      </c>
      <c r="T452" t="n">
        <v>202898</v>
      </c>
      <c r="U452" t="n">
        <v>746</v>
      </c>
      <c r="V452" t="n">
        <v>111970</v>
      </c>
      <c r="W452" t="n">
        <v>64764</v>
      </c>
      <c r="X452" t="n">
        <v>262233</v>
      </c>
      <c r="Y452" t="n">
        <v>268408</v>
      </c>
      <c r="Z452" t="n">
        <v>8593</v>
      </c>
      <c r="AA452" t="n">
        <v>2418</v>
      </c>
      <c r="AB452" t="n">
        <v>0</v>
      </c>
      <c r="AC452" t="n">
        <v>0</v>
      </c>
      <c r="AD452" t="n">
        <v>0</v>
      </c>
      <c r="AE452" t="n">
        <v>0</v>
      </c>
      <c r="AF452" t="n">
        <v>0</v>
      </c>
      <c r="AG452" t="n">
        <v>0</v>
      </c>
      <c r="AH452" t="n">
        <v>0</v>
      </c>
      <c r="AI452" t="n">
        <v>0</v>
      </c>
      <c r="AJ452" t="n">
        <v>0</v>
      </c>
      <c r="AK452" t="n">
        <v>0</v>
      </c>
      <c r="AL452" t="n">
        <v>25797</v>
      </c>
      <c r="AM452" t="n">
        <v>18316</v>
      </c>
      <c r="AN452" t="n">
        <v>15321</v>
      </c>
      <c r="AO452" t="n">
        <v>397</v>
      </c>
      <c r="AP452" t="n">
        <v>6569</v>
      </c>
      <c r="AQ452" t="n">
        <v>9625</v>
      </c>
      <c r="AR452" t="n">
        <v>25282</v>
      </c>
      <c r="AS452" t="n">
        <v>25343</v>
      </c>
      <c r="AT452" t="n">
        <v>515</v>
      </c>
      <c r="AU452" t="n">
        <v>454</v>
      </c>
      <c r="AV452" t="n">
        <v>100</v>
      </c>
      <c r="AW452" t="n">
        <v>55.2</v>
      </c>
      <c r="AX452" t="n">
        <v>74.90000000000001</v>
      </c>
      <c r="AY452" t="n">
        <v>0.3</v>
      </c>
      <c r="AZ452" t="n">
        <v>41.3</v>
      </c>
      <c r="BA452" t="n">
        <v>23.9</v>
      </c>
      <c r="BB452" t="n">
        <v>96.8</v>
      </c>
      <c r="BC452" t="n">
        <v>99.09999999999999</v>
      </c>
      <c r="BD452" t="n">
        <v>3.2</v>
      </c>
      <c r="BE452" t="n">
        <v>0.9</v>
      </c>
      <c r="BF452" t="n">
        <v>100</v>
      </c>
      <c r="BG452" t="n">
        <v>55.2</v>
      </c>
      <c r="BH452" t="n">
        <v>74.90000000000001</v>
      </c>
      <c r="BI452" t="n">
        <v>0.3</v>
      </c>
      <c r="BJ452" t="n">
        <v>41.3</v>
      </c>
      <c r="BK452" t="n">
        <v>23.9</v>
      </c>
      <c r="BL452" t="n">
        <v>96.8</v>
      </c>
      <c r="BM452" t="n">
        <v>99.09999999999999</v>
      </c>
      <c r="BN452" t="n">
        <v>3.2</v>
      </c>
      <c r="BO452" t="n">
        <v>0.9</v>
      </c>
      <c r="BP452" t="n">
        <v>0</v>
      </c>
      <c r="BQ452" t="n">
        <v>0</v>
      </c>
      <c r="BR452" t="n">
        <v>0</v>
      </c>
      <c r="BS452" t="n">
        <v>0</v>
      </c>
      <c r="BT452" t="n">
        <v>0</v>
      </c>
      <c r="BU452" t="n">
        <v>0</v>
      </c>
      <c r="BV452" t="n">
        <v>0</v>
      </c>
      <c r="BW452" t="n">
        <v>0</v>
      </c>
      <c r="BX452" t="n">
        <v>0</v>
      </c>
      <c r="BY452" t="n">
        <v>0</v>
      </c>
      <c r="BZ452" t="n">
        <v>182</v>
      </c>
      <c r="CA452" t="n">
        <v>88</v>
      </c>
      <c r="CB452" t="n">
        <v>25</v>
      </c>
      <c r="CC452" t="n">
        <v>4</v>
      </c>
      <c r="CD452" t="n">
        <v>44</v>
      </c>
      <c r="CE452" t="n">
        <v>36</v>
      </c>
      <c r="CF452" t="n">
        <v>134</v>
      </c>
      <c r="CG452" t="n">
        <v>64</v>
      </c>
      <c r="CH452" t="n">
        <v>182</v>
      </c>
      <c r="CI452" t="n">
        <v>88</v>
      </c>
      <c r="CJ452" t="n">
        <v>25</v>
      </c>
      <c r="CK452" t="n">
        <v>4</v>
      </c>
      <c r="CL452" t="n">
        <v>44</v>
      </c>
      <c r="CM452" t="n">
        <v>36</v>
      </c>
      <c r="CN452" t="n">
        <v>134</v>
      </c>
      <c r="CO452" t="n">
        <v>64</v>
      </c>
      <c r="CP452" t="n">
        <v>0</v>
      </c>
      <c r="CQ452" t="n">
        <v>0</v>
      </c>
      <c r="CR452" t="n">
        <v>0</v>
      </c>
      <c r="CS452" t="n">
        <v>0</v>
      </c>
      <c r="CT452" t="n">
        <v>0</v>
      </c>
      <c r="CU452" t="n">
        <v>0</v>
      </c>
      <c r="CV452" t="n">
        <v>0</v>
      </c>
      <c r="CW452" t="n">
        <v>0</v>
      </c>
      <c r="CX452" t="n">
        <v>26.6</v>
      </c>
      <c r="CY452" t="n">
        <v>73.8</v>
      </c>
      <c r="CZ452" t="n">
        <v>46.6</v>
      </c>
      <c r="DA452" t="n">
        <v>83.59999999999999</v>
      </c>
      <c r="DB452" t="n">
        <v>26.6</v>
      </c>
      <c r="DC452" t="n">
        <v>73.8</v>
      </c>
      <c r="DD452" t="n">
        <v>46.6</v>
      </c>
      <c r="DE452" t="n">
        <v>83.5</v>
      </c>
      <c r="DF452" t="n">
        <v>26.6</v>
      </c>
      <c r="DG452" t="n">
        <v>73.8</v>
      </c>
      <c r="DH452" t="n">
        <v>46.6</v>
      </c>
      <c r="DI452" t="n">
        <v>83.59999999999999</v>
      </c>
      <c r="DJ452" t="n">
        <v>26.6</v>
      </c>
      <c r="DK452" t="n">
        <v>73.8</v>
      </c>
      <c r="DL452" t="n">
        <v>46.6</v>
      </c>
      <c r="DM452" t="n">
        <v>83.5</v>
      </c>
      <c r="DN452" t="n">
        <v>0</v>
      </c>
      <c r="DO452" t="n">
        <v>0</v>
      </c>
      <c r="DP452" t="n">
        <v>0</v>
      </c>
      <c r="DQ452" t="n">
        <v>0</v>
      </c>
      <c r="DR452" t="n">
        <v>0</v>
      </c>
      <c r="DS452" t="n">
        <v>0</v>
      </c>
      <c r="DT452" t="n">
        <v>0</v>
      </c>
      <c r="DU452" t="n">
        <v>0</v>
      </c>
      <c r="DV452" t="inlineStr">
        <is>
          <t>(CONTRACTS OF MXN 500,000)</t>
        </is>
      </c>
    </row>
    <row r="453">
      <c r="A453" t="inlineStr">
        <is>
          <t>MEXICAN PESO - CHICAGO MERCANTILE EXCHANGE</t>
        </is>
      </c>
      <c r="B453" t="n">
        <v>230103</v>
      </c>
      <c r="C453" s="1" t="n">
        <v>44929</v>
      </c>
      <c r="D453" t="inlineStr">
        <is>
          <t>095741</t>
        </is>
      </c>
      <c r="E453" t="inlineStr">
        <is>
          <t xml:space="preserve">CME </t>
        </is>
      </c>
      <c r="F453" t="inlineStr">
        <is>
          <t>00</t>
        </is>
      </c>
      <c r="G453" t="inlineStr">
        <is>
          <t xml:space="preserve">095 </t>
        </is>
      </c>
      <c r="H453" t="n">
        <v>245029</v>
      </c>
      <c r="I453" s="17" t="n">
        <v>131201</v>
      </c>
      <c r="J453" s="17" t="n">
        <v>187577</v>
      </c>
      <c r="K453" t="n">
        <v>349</v>
      </c>
      <c r="L453" t="n">
        <v>105401</v>
      </c>
      <c r="M453" t="n">
        <v>55139</v>
      </c>
      <c r="N453" t="n">
        <v>236951</v>
      </c>
      <c r="O453" t="n">
        <v>243065</v>
      </c>
      <c r="P453" t="n">
        <v>8078</v>
      </c>
      <c r="Q453" t="n">
        <v>1964</v>
      </c>
      <c r="R453" t="n">
        <v>245029</v>
      </c>
      <c r="S453" t="n">
        <v>131201</v>
      </c>
      <c r="T453" t="n">
        <v>187577</v>
      </c>
      <c r="U453" t="n">
        <v>349</v>
      </c>
      <c r="V453" t="n">
        <v>105401</v>
      </c>
      <c r="W453" t="n">
        <v>55139</v>
      </c>
      <c r="X453" t="n">
        <v>236951</v>
      </c>
      <c r="Y453" t="n">
        <v>243065</v>
      </c>
      <c r="Z453" t="n">
        <v>8078</v>
      </c>
      <c r="AA453" t="n">
        <v>1964</v>
      </c>
      <c r="AB453" t="n">
        <v>0</v>
      </c>
      <c r="AC453" t="n">
        <v>0</v>
      </c>
      <c r="AD453" t="n">
        <v>0</v>
      </c>
      <c r="AE453" t="n">
        <v>0</v>
      </c>
      <c r="AF453" t="n">
        <v>0</v>
      </c>
      <c r="AG453" t="n">
        <v>0</v>
      </c>
      <c r="AH453" t="n">
        <v>0</v>
      </c>
      <c r="AI453" t="n">
        <v>0</v>
      </c>
      <c r="AJ453" t="n">
        <v>0</v>
      </c>
      <c r="AK453" t="n">
        <v>0</v>
      </c>
      <c r="AL453" t="n">
        <v>12622</v>
      </c>
      <c r="AM453" t="n">
        <v>5310</v>
      </c>
      <c r="AN453" t="n">
        <v>9960</v>
      </c>
      <c r="AO453" t="n">
        <v>127</v>
      </c>
      <c r="AP453" t="n">
        <v>6980</v>
      </c>
      <c r="AQ453" t="n">
        <v>2582</v>
      </c>
      <c r="AR453" t="n">
        <v>12417</v>
      </c>
      <c r="AS453" t="n">
        <v>12669</v>
      </c>
      <c r="AT453" t="n">
        <v>205</v>
      </c>
      <c r="AU453" t="n">
        <v>-47</v>
      </c>
      <c r="AV453" t="n">
        <v>100</v>
      </c>
      <c r="AW453" t="n">
        <v>53.5</v>
      </c>
      <c r="AX453" t="n">
        <v>76.59999999999999</v>
      </c>
      <c r="AY453" t="n">
        <v>0.1</v>
      </c>
      <c r="AZ453" t="n">
        <v>43</v>
      </c>
      <c r="BA453" t="n">
        <v>22.5</v>
      </c>
      <c r="BB453" t="n">
        <v>96.7</v>
      </c>
      <c r="BC453" t="n">
        <v>99.2</v>
      </c>
      <c r="BD453" t="n">
        <v>3.3</v>
      </c>
      <c r="BE453" t="n">
        <v>0.8</v>
      </c>
      <c r="BF453" t="n">
        <v>100</v>
      </c>
      <c r="BG453" t="n">
        <v>53.5</v>
      </c>
      <c r="BH453" t="n">
        <v>76.59999999999999</v>
      </c>
      <c r="BI453" t="n">
        <v>0.1</v>
      </c>
      <c r="BJ453" t="n">
        <v>43</v>
      </c>
      <c r="BK453" t="n">
        <v>22.5</v>
      </c>
      <c r="BL453" t="n">
        <v>96.7</v>
      </c>
      <c r="BM453" t="n">
        <v>99.2</v>
      </c>
      <c r="BN453" t="n">
        <v>3.3</v>
      </c>
      <c r="BO453" t="n">
        <v>0.8</v>
      </c>
      <c r="BP453" t="n">
        <v>0</v>
      </c>
      <c r="BQ453" t="n">
        <v>0</v>
      </c>
      <c r="BR453" t="n">
        <v>0</v>
      </c>
      <c r="BS453" t="n">
        <v>0</v>
      </c>
      <c r="BT453" t="n">
        <v>0</v>
      </c>
      <c r="BU453" t="n">
        <v>0</v>
      </c>
      <c r="BV453" t="n">
        <v>0</v>
      </c>
      <c r="BW453" t="n">
        <v>0</v>
      </c>
      <c r="BX453" t="n">
        <v>0</v>
      </c>
      <c r="BY453" t="n">
        <v>0</v>
      </c>
      <c r="BZ453" t="n">
        <v>165</v>
      </c>
      <c r="CA453" t="n">
        <v>82</v>
      </c>
      <c r="CB453" t="n">
        <v>19</v>
      </c>
      <c r="CC453" t="n">
        <v>4</v>
      </c>
      <c r="CD453" t="n">
        <v>45</v>
      </c>
      <c r="CE453" t="n">
        <v>30</v>
      </c>
      <c r="CF453" t="n">
        <v>127</v>
      </c>
      <c r="CG453" t="n">
        <v>53</v>
      </c>
      <c r="CH453" t="n">
        <v>165</v>
      </c>
      <c r="CI453" t="n">
        <v>82</v>
      </c>
      <c r="CJ453" t="n">
        <v>19</v>
      </c>
      <c r="CK453" t="n">
        <v>4</v>
      </c>
      <c r="CL453" t="n">
        <v>45</v>
      </c>
      <c r="CM453" t="n">
        <v>30</v>
      </c>
      <c r="CN453" t="n">
        <v>127</v>
      </c>
      <c r="CO453" t="n">
        <v>53</v>
      </c>
      <c r="CP453" t="n">
        <v>0</v>
      </c>
      <c r="CQ453" t="n">
        <v>0</v>
      </c>
      <c r="CR453" t="n">
        <v>0</v>
      </c>
      <c r="CS453" t="n">
        <v>0</v>
      </c>
      <c r="CT453" t="n">
        <v>0</v>
      </c>
      <c r="CU453" t="n">
        <v>0</v>
      </c>
      <c r="CV453" t="n">
        <v>0</v>
      </c>
      <c r="CW453" t="n">
        <v>0</v>
      </c>
      <c r="CX453" t="n">
        <v>25.9</v>
      </c>
      <c r="CY453" t="n">
        <v>77.5</v>
      </c>
      <c r="CZ453" t="n">
        <v>45.7</v>
      </c>
      <c r="DA453" t="n">
        <v>86.8</v>
      </c>
      <c r="DB453" t="n">
        <v>25.9</v>
      </c>
      <c r="DC453" t="n">
        <v>77.5</v>
      </c>
      <c r="DD453" t="n">
        <v>45.7</v>
      </c>
      <c r="DE453" t="n">
        <v>86.8</v>
      </c>
      <c r="DF453" t="n">
        <v>25.9</v>
      </c>
      <c r="DG453" t="n">
        <v>77.5</v>
      </c>
      <c r="DH453" t="n">
        <v>45.7</v>
      </c>
      <c r="DI453" t="n">
        <v>86.8</v>
      </c>
      <c r="DJ453" t="n">
        <v>25.9</v>
      </c>
      <c r="DK453" t="n">
        <v>77.5</v>
      </c>
      <c r="DL453" t="n">
        <v>45.7</v>
      </c>
      <c r="DM453" t="n">
        <v>86.8</v>
      </c>
      <c r="DN453" t="n">
        <v>0</v>
      </c>
      <c r="DO453" t="n">
        <v>0</v>
      </c>
      <c r="DP453" t="n">
        <v>0</v>
      </c>
      <c r="DQ453" t="n">
        <v>0</v>
      </c>
      <c r="DR453" t="n">
        <v>0</v>
      </c>
      <c r="DS453" t="n">
        <v>0</v>
      </c>
      <c r="DT453" t="n">
        <v>0</v>
      </c>
      <c r="DU453" t="n">
        <v>0</v>
      </c>
      <c r="DV453" t="inlineStr">
        <is>
          <t>(CONTRACTS OF MXN 500,000)</t>
        </is>
      </c>
    </row>
    <row r="454">
      <c r="A454" t="inlineStr">
        <is>
          <t>BRITISH POUND - CHICAGO MERCANTILE EXCHANGE</t>
        </is>
      </c>
      <c r="B454" t="n">
        <v>230110</v>
      </c>
      <c r="C454" s="1" t="n">
        <v>44936</v>
      </c>
      <c r="D454" t="inlineStr">
        <is>
          <t>096742</t>
        </is>
      </c>
      <c r="E454" t="inlineStr">
        <is>
          <t xml:space="preserve">CME </t>
        </is>
      </c>
      <c r="F454" t="inlineStr">
        <is>
          <t>00</t>
        </is>
      </c>
      <c r="G454" t="inlineStr">
        <is>
          <t xml:space="preserve">096 </t>
        </is>
      </c>
      <c r="H454" t="n">
        <v>202713</v>
      </c>
      <c r="I454" s="17" t="n">
        <v>36007</v>
      </c>
      <c r="J454" s="17" t="n">
        <v>65463</v>
      </c>
      <c r="K454" t="n">
        <v>4615</v>
      </c>
      <c r="L454" t="n">
        <v>138532</v>
      </c>
      <c r="M454" t="n">
        <v>103264</v>
      </c>
      <c r="N454" t="n">
        <v>179154</v>
      </c>
      <c r="O454" t="n">
        <v>173342</v>
      </c>
      <c r="P454" t="n">
        <v>23559</v>
      </c>
      <c r="Q454" t="n">
        <v>29371</v>
      </c>
      <c r="R454" t="n">
        <v>202713</v>
      </c>
      <c r="S454" t="n">
        <v>36007</v>
      </c>
      <c r="T454" t="n">
        <v>65463</v>
      </c>
      <c r="U454" t="n">
        <v>4615</v>
      </c>
      <c r="V454" t="n">
        <v>138532</v>
      </c>
      <c r="W454" t="n">
        <v>103264</v>
      </c>
      <c r="X454" t="n">
        <v>179154</v>
      </c>
      <c r="Y454" t="n">
        <v>173342</v>
      </c>
      <c r="Z454" t="n">
        <v>23559</v>
      </c>
      <c r="AA454" t="n">
        <v>29371</v>
      </c>
      <c r="AB454" t="n">
        <v>0</v>
      </c>
      <c r="AC454" t="n">
        <v>0</v>
      </c>
      <c r="AD454" t="n">
        <v>0</v>
      </c>
      <c r="AE454" t="n">
        <v>0</v>
      </c>
      <c r="AF454" t="n">
        <v>0</v>
      </c>
      <c r="AG454" t="n">
        <v>0</v>
      </c>
      <c r="AH454" t="n">
        <v>0</v>
      </c>
      <c r="AI454" t="n">
        <v>0</v>
      </c>
      <c r="AJ454" t="n">
        <v>0</v>
      </c>
      <c r="AK454" t="n">
        <v>0</v>
      </c>
      <c r="AL454" t="n">
        <v>-3009</v>
      </c>
      <c r="AM454" t="n">
        <v>-7618</v>
      </c>
      <c r="AN454" t="n">
        <v>1537</v>
      </c>
      <c r="AO454" t="n">
        <v>0</v>
      </c>
      <c r="AP454" t="n">
        <v>3218</v>
      </c>
      <c r="AQ454" t="n">
        <v>-2358</v>
      </c>
      <c r="AR454" t="n">
        <v>-4400</v>
      </c>
      <c r="AS454" t="n">
        <v>-821</v>
      </c>
      <c r="AT454" t="n">
        <v>1391</v>
      </c>
      <c r="AU454" t="n">
        <v>-2188</v>
      </c>
      <c r="AV454" t="n">
        <v>100</v>
      </c>
      <c r="AW454" t="n">
        <v>17.8</v>
      </c>
      <c r="AX454" t="n">
        <v>32.3</v>
      </c>
      <c r="AY454" t="n">
        <v>2.3</v>
      </c>
      <c r="AZ454" t="n">
        <v>68.3</v>
      </c>
      <c r="BA454" t="n">
        <v>50.9</v>
      </c>
      <c r="BB454" t="n">
        <v>88.40000000000001</v>
      </c>
      <c r="BC454" t="n">
        <v>85.5</v>
      </c>
      <c r="BD454" t="n">
        <v>11.6</v>
      </c>
      <c r="BE454" t="n">
        <v>14.5</v>
      </c>
      <c r="BF454" t="n">
        <v>100</v>
      </c>
      <c r="BG454" t="n">
        <v>17.8</v>
      </c>
      <c r="BH454" t="n">
        <v>32.3</v>
      </c>
      <c r="BI454" t="n">
        <v>2.3</v>
      </c>
      <c r="BJ454" t="n">
        <v>68.3</v>
      </c>
      <c r="BK454" t="n">
        <v>50.9</v>
      </c>
      <c r="BL454" t="n">
        <v>88.40000000000001</v>
      </c>
      <c r="BM454" t="n">
        <v>85.5</v>
      </c>
      <c r="BN454" t="n">
        <v>11.6</v>
      </c>
      <c r="BO454" t="n">
        <v>14.5</v>
      </c>
      <c r="BP454" t="n">
        <v>0</v>
      </c>
      <c r="BQ454" t="n">
        <v>0</v>
      </c>
      <c r="BR454" t="n">
        <v>0</v>
      </c>
      <c r="BS454" t="n">
        <v>0</v>
      </c>
      <c r="BT454" t="n">
        <v>0</v>
      </c>
      <c r="BU454" t="n">
        <v>0</v>
      </c>
      <c r="BV454" t="n">
        <v>0</v>
      </c>
      <c r="BW454" t="n">
        <v>0</v>
      </c>
      <c r="BX454" t="n">
        <v>0</v>
      </c>
      <c r="BY454" t="n">
        <v>0</v>
      </c>
      <c r="BZ454" t="n">
        <v>124</v>
      </c>
      <c r="CA454" t="n">
        <v>24</v>
      </c>
      <c r="CB454" t="n">
        <v>31</v>
      </c>
      <c r="CC454" t="n">
        <v>13</v>
      </c>
      <c r="CD454" t="n">
        <v>32</v>
      </c>
      <c r="CE454" t="n">
        <v>50</v>
      </c>
      <c r="CF454" t="n">
        <v>61</v>
      </c>
      <c r="CG454" t="n">
        <v>90</v>
      </c>
      <c r="CH454" t="n">
        <v>124</v>
      </c>
      <c r="CI454" t="n">
        <v>24</v>
      </c>
      <c r="CJ454" t="n">
        <v>31</v>
      </c>
      <c r="CK454" t="n">
        <v>13</v>
      </c>
      <c r="CL454" t="n">
        <v>32</v>
      </c>
      <c r="CM454" t="n">
        <v>50</v>
      </c>
      <c r="CN454" t="n">
        <v>61</v>
      </c>
      <c r="CO454" t="n">
        <v>90</v>
      </c>
      <c r="CP454" t="n">
        <v>0</v>
      </c>
      <c r="CQ454" t="n">
        <v>0</v>
      </c>
      <c r="CR454" t="n">
        <v>0</v>
      </c>
      <c r="CS454" t="n">
        <v>0</v>
      </c>
      <c r="CT454" t="n">
        <v>0</v>
      </c>
      <c r="CU454" t="n">
        <v>0</v>
      </c>
      <c r="CV454" t="n">
        <v>0</v>
      </c>
      <c r="CW454" t="n">
        <v>0</v>
      </c>
      <c r="CX454" t="n">
        <v>47.6</v>
      </c>
      <c r="CY454" t="n">
        <v>21.4</v>
      </c>
      <c r="CZ454" t="n">
        <v>61.9</v>
      </c>
      <c r="DA454" t="n">
        <v>31.9</v>
      </c>
      <c r="DB454" t="n">
        <v>44.9</v>
      </c>
      <c r="DC454" t="n">
        <v>21.3</v>
      </c>
      <c r="DD454" t="n">
        <v>58.7</v>
      </c>
      <c r="DE454" t="n">
        <v>31.4</v>
      </c>
      <c r="DF454" t="n">
        <v>47.6</v>
      </c>
      <c r="DG454" t="n">
        <v>21.4</v>
      </c>
      <c r="DH454" t="n">
        <v>61.9</v>
      </c>
      <c r="DI454" t="n">
        <v>31.9</v>
      </c>
      <c r="DJ454" t="n">
        <v>44.9</v>
      </c>
      <c r="DK454" t="n">
        <v>21.3</v>
      </c>
      <c r="DL454" t="n">
        <v>58.7</v>
      </c>
      <c r="DM454" t="n">
        <v>31.4</v>
      </c>
      <c r="DN454" t="n">
        <v>0</v>
      </c>
      <c r="DO454" t="n">
        <v>0</v>
      </c>
      <c r="DP454" t="n">
        <v>0</v>
      </c>
      <c r="DQ454" t="n">
        <v>0</v>
      </c>
      <c r="DR454" t="n">
        <v>0</v>
      </c>
      <c r="DS454" t="n">
        <v>0</v>
      </c>
      <c r="DT454" t="n">
        <v>0</v>
      </c>
      <c r="DU454" t="n">
        <v>0</v>
      </c>
      <c r="DV454" t="inlineStr">
        <is>
          <t>(CONTRACTS OF GBP 62,500)</t>
        </is>
      </c>
    </row>
    <row r="455">
      <c r="A455" t="inlineStr">
        <is>
          <t>BRITISH POUND - CHICAGO MERCANTILE EXCHANGE</t>
        </is>
      </c>
      <c r="B455" t="n">
        <v>230103</v>
      </c>
      <c r="C455" s="1" t="n">
        <v>44929</v>
      </c>
      <c r="D455" t="inlineStr">
        <is>
          <t>096742</t>
        </is>
      </c>
      <c r="E455" t="inlineStr">
        <is>
          <t xml:space="preserve">CME </t>
        </is>
      </c>
      <c r="F455" t="inlineStr">
        <is>
          <t>00</t>
        </is>
      </c>
      <c r="G455" t="inlineStr">
        <is>
          <t xml:space="preserve">096 </t>
        </is>
      </c>
      <c r="H455" t="n">
        <v>205722</v>
      </c>
      <c r="I455" s="17" t="n">
        <v>43625</v>
      </c>
      <c r="J455" s="17" t="n">
        <v>63926</v>
      </c>
      <c r="K455" t="n">
        <v>4615</v>
      </c>
      <c r="L455" t="n">
        <v>135314</v>
      </c>
      <c r="M455" t="n">
        <v>105622</v>
      </c>
      <c r="N455" t="n">
        <v>183554</v>
      </c>
      <c r="O455" t="n">
        <v>174163</v>
      </c>
      <c r="P455" t="n">
        <v>22168</v>
      </c>
      <c r="Q455" t="n">
        <v>31559</v>
      </c>
      <c r="R455" t="n">
        <v>205722</v>
      </c>
      <c r="S455" t="n">
        <v>43625</v>
      </c>
      <c r="T455" t="n">
        <v>63926</v>
      </c>
      <c r="U455" t="n">
        <v>4615</v>
      </c>
      <c r="V455" t="n">
        <v>135314</v>
      </c>
      <c r="W455" t="n">
        <v>105622</v>
      </c>
      <c r="X455" t="n">
        <v>183554</v>
      </c>
      <c r="Y455" t="n">
        <v>174163</v>
      </c>
      <c r="Z455" t="n">
        <v>22168</v>
      </c>
      <c r="AA455" t="n">
        <v>31559</v>
      </c>
      <c r="AB455" t="n">
        <v>0</v>
      </c>
      <c r="AC455" t="n">
        <v>0</v>
      </c>
      <c r="AD455" t="n">
        <v>0</v>
      </c>
      <c r="AE455" t="n">
        <v>0</v>
      </c>
      <c r="AF455" t="n">
        <v>0</v>
      </c>
      <c r="AG455" t="n">
        <v>0</v>
      </c>
      <c r="AH455" t="n">
        <v>0</v>
      </c>
      <c r="AI455" t="n">
        <v>0</v>
      </c>
      <c r="AJ455" t="n">
        <v>0</v>
      </c>
      <c r="AK455" t="n">
        <v>0</v>
      </c>
      <c r="AL455" t="n">
        <v>10282</v>
      </c>
      <c r="AM455" t="n">
        <v>3040</v>
      </c>
      <c r="AN455" t="n">
        <v>12454</v>
      </c>
      <c r="AO455" t="n">
        <v>-571</v>
      </c>
      <c r="AP455" t="n">
        <v>7224</v>
      </c>
      <c r="AQ455" t="n">
        <v>-3207</v>
      </c>
      <c r="AR455" t="n">
        <v>9693</v>
      </c>
      <c r="AS455" t="n">
        <v>8676</v>
      </c>
      <c r="AT455" t="n">
        <v>589</v>
      </c>
      <c r="AU455" t="n">
        <v>1606</v>
      </c>
      <c r="AV455" t="n">
        <v>100</v>
      </c>
      <c r="AW455" t="n">
        <v>21.2</v>
      </c>
      <c r="AX455" t="n">
        <v>31.1</v>
      </c>
      <c r="AY455" t="n">
        <v>2.2</v>
      </c>
      <c r="AZ455" t="n">
        <v>65.8</v>
      </c>
      <c r="BA455" t="n">
        <v>51.3</v>
      </c>
      <c r="BB455" t="n">
        <v>89.2</v>
      </c>
      <c r="BC455" t="n">
        <v>84.7</v>
      </c>
      <c r="BD455" t="n">
        <v>10.8</v>
      </c>
      <c r="BE455" t="n">
        <v>15.3</v>
      </c>
      <c r="BF455" t="n">
        <v>100</v>
      </c>
      <c r="BG455" t="n">
        <v>21.2</v>
      </c>
      <c r="BH455" t="n">
        <v>31.1</v>
      </c>
      <c r="BI455" t="n">
        <v>2.2</v>
      </c>
      <c r="BJ455" t="n">
        <v>65.8</v>
      </c>
      <c r="BK455" t="n">
        <v>51.3</v>
      </c>
      <c r="BL455" t="n">
        <v>89.2</v>
      </c>
      <c r="BM455" t="n">
        <v>84.7</v>
      </c>
      <c r="BN455" t="n">
        <v>10.8</v>
      </c>
      <c r="BO455" t="n">
        <v>15.3</v>
      </c>
      <c r="BP455" t="n">
        <v>0</v>
      </c>
      <c r="BQ455" t="n">
        <v>0</v>
      </c>
      <c r="BR455" t="n">
        <v>0</v>
      </c>
      <c r="BS455" t="n">
        <v>0</v>
      </c>
      <c r="BT455" t="n">
        <v>0</v>
      </c>
      <c r="BU455" t="n">
        <v>0</v>
      </c>
      <c r="BV455" t="n">
        <v>0</v>
      </c>
      <c r="BW455" t="n">
        <v>0</v>
      </c>
      <c r="BX455" t="n">
        <v>0</v>
      </c>
      <c r="BY455" t="n">
        <v>0</v>
      </c>
      <c r="BZ455" t="n">
        <v>127</v>
      </c>
      <c r="CA455" t="n">
        <v>21</v>
      </c>
      <c r="CB455" t="n">
        <v>35</v>
      </c>
      <c r="CC455" t="n">
        <v>12</v>
      </c>
      <c r="CD455" t="n">
        <v>32</v>
      </c>
      <c r="CE455" t="n">
        <v>51</v>
      </c>
      <c r="CF455" t="n">
        <v>58</v>
      </c>
      <c r="CG455" t="n">
        <v>94</v>
      </c>
      <c r="CH455" t="n">
        <v>127</v>
      </c>
      <c r="CI455" t="n">
        <v>21</v>
      </c>
      <c r="CJ455" t="n">
        <v>35</v>
      </c>
      <c r="CK455" t="n">
        <v>12</v>
      </c>
      <c r="CL455" t="n">
        <v>32</v>
      </c>
      <c r="CM455" t="n">
        <v>51</v>
      </c>
      <c r="CN455" t="n">
        <v>58</v>
      </c>
      <c r="CO455" t="n">
        <v>94</v>
      </c>
      <c r="CP455" t="n">
        <v>0</v>
      </c>
      <c r="CQ455" t="n">
        <v>0</v>
      </c>
      <c r="CR455" t="n">
        <v>0</v>
      </c>
      <c r="CS455" t="n">
        <v>0</v>
      </c>
      <c r="CT455" t="n">
        <v>0</v>
      </c>
      <c r="CU455" t="n">
        <v>0</v>
      </c>
      <c r="CV455" t="n">
        <v>0</v>
      </c>
      <c r="CW455" t="n">
        <v>0</v>
      </c>
      <c r="CX455" t="n">
        <v>46.4</v>
      </c>
      <c r="CY455" t="n">
        <v>20</v>
      </c>
      <c r="CZ455" t="n">
        <v>59.5</v>
      </c>
      <c r="DA455" t="n">
        <v>30.3</v>
      </c>
      <c r="DB455" t="n">
        <v>43.8</v>
      </c>
      <c r="DC455" t="n">
        <v>19.9</v>
      </c>
      <c r="DD455" t="n">
        <v>56.2</v>
      </c>
      <c r="DE455" t="n">
        <v>29.7</v>
      </c>
      <c r="DF455" t="n">
        <v>46.4</v>
      </c>
      <c r="DG455" t="n">
        <v>20</v>
      </c>
      <c r="DH455" t="n">
        <v>59.5</v>
      </c>
      <c r="DI455" t="n">
        <v>30.3</v>
      </c>
      <c r="DJ455" t="n">
        <v>43.8</v>
      </c>
      <c r="DK455" t="n">
        <v>19.9</v>
      </c>
      <c r="DL455" t="n">
        <v>56.2</v>
      </c>
      <c r="DM455" t="n">
        <v>29.7</v>
      </c>
      <c r="DN455" t="n">
        <v>0</v>
      </c>
      <c r="DO455" t="n">
        <v>0</v>
      </c>
      <c r="DP455" t="n">
        <v>0</v>
      </c>
      <c r="DQ455" t="n">
        <v>0</v>
      </c>
      <c r="DR455" t="n">
        <v>0</v>
      </c>
      <c r="DS455" t="n">
        <v>0</v>
      </c>
      <c r="DT455" t="n">
        <v>0</v>
      </c>
      <c r="DU455" t="n">
        <v>0</v>
      </c>
      <c r="DV455" t="inlineStr">
        <is>
          <t>(CONTRACTS OF GBP 62,500)</t>
        </is>
      </c>
    </row>
    <row r="456">
      <c r="A456" t="inlineStr">
        <is>
          <t>JAPANESE YEN - CHICAGO MERCANTILE EXCHANGE</t>
        </is>
      </c>
      <c r="B456" t="n">
        <v>230110</v>
      </c>
      <c r="C456" s="1" t="n">
        <v>44936</v>
      </c>
      <c r="D456" t="inlineStr">
        <is>
          <t>097741</t>
        </is>
      </c>
      <c r="E456" t="inlineStr">
        <is>
          <t xml:space="preserve">CME </t>
        </is>
      </c>
      <c r="F456" t="inlineStr">
        <is>
          <t>00</t>
        </is>
      </c>
      <c r="G456" t="inlineStr">
        <is>
          <t xml:space="preserve">097 </t>
        </is>
      </c>
      <c r="H456" t="n">
        <v>175745</v>
      </c>
      <c r="I456" s="17" t="n">
        <v>26395</v>
      </c>
      <c r="J456" s="17" t="n">
        <v>61772</v>
      </c>
      <c r="K456" t="n">
        <v>1211</v>
      </c>
      <c r="L456" t="n">
        <v>119166</v>
      </c>
      <c r="M456" t="n">
        <v>84678</v>
      </c>
      <c r="N456" t="n">
        <v>146772</v>
      </c>
      <c r="O456" t="n">
        <v>147661</v>
      </c>
      <c r="P456" t="n">
        <v>28973</v>
      </c>
      <c r="Q456" t="n">
        <v>28084</v>
      </c>
      <c r="R456" t="n">
        <v>175745</v>
      </c>
      <c r="S456" t="n">
        <v>26395</v>
      </c>
      <c r="T456" t="n">
        <v>61772</v>
      </c>
      <c r="U456" t="n">
        <v>1211</v>
      </c>
      <c r="V456" t="n">
        <v>119166</v>
      </c>
      <c r="W456" t="n">
        <v>84678</v>
      </c>
      <c r="X456" t="n">
        <v>146772</v>
      </c>
      <c r="Y456" t="n">
        <v>147661</v>
      </c>
      <c r="Z456" t="n">
        <v>28973</v>
      </c>
      <c r="AA456" t="n">
        <v>28084</v>
      </c>
      <c r="AB456" t="n">
        <v>0</v>
      </c>
      <c r="AC456" t="n">
        <v>0</v>
      </c>
      <c r="AD456" t="n">
        <v>0</v>
      </c>
      <c r="AE456" t="n">
        <v>0</v>
      </c>
      <c r="AF456" t="n">
        <v>0</v>
      </c>
      <c r="AG456" t="n">
        <v>0</v>
      </c>
      <c r="AH456" t="n">
        <v>0</v>
      </c>
      <c r="AI456" t="n">
        <v>0</v>
      </c>
      <c r="AJ456" t="n">
        <v>0</v>
      </c>
      <c r="AK456" t="n">
        <v>0</v>
      </c>
      <c r="AL456" t="n">
        <v>3155</v>
      </c>
      <c r="AM456" t="n">
        <v>1018</v>
      </c>
      <c r="AN456" t="n">
        <v>-10469</v>
      </c>
      <c r="AO456" t="n">
        <v>-776</v>
      </c>
      <c r="AP456" t="n">
        <v>1207</v>
      </c>
      <c r="AQ456" t="n">
        <v>13492</v>
      </c>
      <c r="AR456" t="n">
        <v>1449</v>
      </c>
      <c r="AS456" t="n">
        <v>2247</v>
      </c>
      <c r="AT456" t="n">
        <v>1706</v>
      </c>
      <c r="AU456" t="n">
        <v>908</v>
      </c>
      <c r="AV456" t="n">
        <v>100</v>
      </c>
      <c r="AW456" t="n">
        <v>15</v>
      </c>
      <c r="AX456" t="n">
        <v>35.1</v>
      </c>
      <c r="AY456" t="n">
        <v>0.7</v>
      </c>
      <c r="AZ456" t="n">
        <v>67.8</v>
      </c>
      <c r="BA456" t="n">
        <v>48.2</v>
      </c>
      <c r="BB456" t="n">
        <v>83.5</v>
      </c>
      <c r="BC456" t="n">
        <v>84</v>
      </c>
      <c r="BD456" t="n">
        <v>16.5</v>
      </c>
      <c r="BE456" t="n">
        <v>16</v>
      </c>
      <c r="BF456" t="n">
        <v>100</v>
      </c>
      <c r="BG456" t="n">
        <v>15</v>
      </c>
      <c r="BH456" t="n">
        <v>35.1</v>
      </c>
      <c r="BI456" t="n">
        <v>0.7</v>
      </c>
      <c r="BJ456" t="n">
        <v>67.8</v>
      </c>
      <c r="BK456" t="n">
        <v>48.2</v>
      </c>
      <c r="BL456" t="n">
        <v>83.5</v>
      </c>
      <c r="BM456" t="n">
        <v>84</v>
      </c>
      <c r="BN456" t="n">
        <v>16.5</v>
      </c>
      <c r="BO456" t="n">
        <v>16</v>
      </c>
      <c r="BP456" t="n">
        <v>0</v>
      </c>
      <c r="BQ456" t="n">
        <v>0</v>
      </c>
      <c r="BR456" t="n">
        <v>0</v>
      </c>
      <c r="BS456" t="n">
        <v>0</v>
      </c>
      <c r="BT456" t="n">
        <v>0</v>
      </c>
      <c r="BU456" t="n">
        <v>0</v>
      </c>
      <c r="BV456" t="n">
        <v>0</v>
      </c>
      <c r="BW456" t="n">
        <v>0</v>
      </c>
      <c r="BX456" t="n">
        <v>0</v>
      </c>
      <c r="BY456" t="n">
        <v>0</v>
      </c>
      <c r="BZ456" t="n">
        <v>107</v>
      </c>
      <c r="CA456" t="n">
        <v>17</v>
      </c>
      <c r="CB456" t="n">
        <v>31</v>
      </c>
      <c r="CC456" t="n">
        <v>8</v>
      </c>
      <c r="CD456" t="n">
        <v>41</v>
      </c>
      <c r="CE456" t="n">
        <v>37</v>
      </c>
      <c r="CF456" t="n">
        <v>62</v>
      </c>
      <c r="CG456" t="n">
        <v>72</v>
      </c>
      <c r="CH456" t="n">
        <v>107</v>
      </c>
      <c r="CI456" t="n">
        <v>17</v>
      </c>
      <c r="CJ456" t="n">
        <v>31</v>
      </c>
      <c r="CK456" t="n">
        <v>8</v>
      </c>
      <c r="CL456" t="n">
        <v>41</v>
      </c>
      <c r="CM456" t="n">
        <v>37</v>
      </c>
      <c r="CN456" t="n">
        <v>62</v>
      </c>
      <c r="CO456" t="n">
        <v>72</v>
      </c>
      <c r="CP456" t="n">
        <v>0</v>
      </c>
      <c r="CQ456" t="n">
        <v>0</v>
      </c>
      <c r="CR456" t="n">
        <v>0</v>
      </c>
      <c r="CS456" t="n">
        <v>0</v>
      </c>
      <c r="CT456" t="n">
        <v>0</v>
      </c>
      <c r="CU456" t="n">
        <v>0</v>
      </c>
      <c r="CV456" t="n">
        <v>0</v>
      </c>
      <c r="CW456" t="n">
        <v>0</v>
      </c>
      <c r="CX456" t="n">
        <v>42.2</v>
      </c>
      <c r="CY456" t="n">
        <v>36.8</v>
      </c>
      <c r="CZ456" t="n">
        <v>56.3</v>
      </c>
      <c r="DA456" t="n">
        <v>48.6</v>
      </c>
      <c r="DB456" t="n">
        <v>39.7</v>
      </c>
      <c r="DC456" t="n">
        <v>33.4</v>
      </c>
      <c r="DD456" t="n">
        <v>51</v>
      </c>
      <c r="DE456" t="n">
        <v>42.9</v>
      </c>
      <c r="DF456" t="n">
        <v>42.2</v>
      </c>
      <c r="DG456" t="n">
        <v>36.8</v>
      </c>
      <c r="DH456" t="n">
        <v>56.3</v>
      </c>
      <c r="DI456" t="n">
        <v>48.6</v>
      </c>
      <c r="DJ456" t="n">
        <v>39.7</v>
      </c>
      <c r="DK456" t="n">
        <v>33.4</v>
      </c>
      <c r="DL456" t="n">
        <v>51</v>
      </c>
      <c r="DM456" t="n">
        <v>42.9</v>
      </c>
      <c r="DN456" t="n">
        <v>0</v>
      </c>
      <c r="DO456" t="n">
        <v>0</v>
      </c>
      <c r="DP456" t="n">
        <v>0</v>
      </c>
      <c r="DQ456" t="n">
        <v>0</v>
      </c>
      <c r="DR456" t="n">
        <v>0</v>
      </c>
      <c r="DS456" t="n">
        <v>0</v>
      </c>
      <c r="DT456" t="n">
        <v>0</v>
      </c>
      <c r="DU456" t="n">
        <v>0</v>
      </c>
      <c r="DV456" t="inlineStr">
        <is>
          <t>(CONTRACTS OF JPY 12,500,000)</t>
        </is>
      </c>
    </row>
    <row r="457">
      <c r="A457" t="inlineStr">
        <is>
          <t>JAPANESE YEN - CHICAGO MERCANTILE EXCHANGE</t>
        </is>
      </c>
      <c r="B457" t="n">
        <v>230103</v>
      </c>
      <c r="C457" s="1" t="n">
        <v>44929</v>
      </c>
      <c r="D457" t="inlineStr">
        <is>
          <t>097741</t>
        </is>
      </c>
      <c r="E457" t="inlineStr">
        <is>
          <t xml:space="preserve">CME </t>
        </is>
      </c>
      <c r="F457" t="inlineStr">
        <is>
          <t>00</t>
        </is>
      </c>
      <c r="G457" t="inlineStr">
        <is>
          <t xml:space="preserve">097 </t>
        </is>
      </c>
      <c r="H457" t="n">
        <v>172590</v>
      </c>
      <c r="I457" s="17" t="n">
        <v>25377</v>
      </c>
      <c r="J457" s="17" t="n">
        <v>72241</v>
      </c>
      <c r="K457" t="n">
        <v>1987</v>
      </c>
      <c r="L457" t="n">
        <v>117959</v>
      </c>
      <c r="M457" t="n">
        <v>71186</v>
      </c>
      <c r="N457" t="n">
        <v>145323</v>
      </c>
      <c r="O457" t="n">
        <v>145414</v>
      </c>
      <c r="P457" t="n">
        <v>27267</v>
      </c>
      <c r="Q457" t="n">
        <v>27176</v>
      </c>
      <c r="R457" t="n">
        <v>172590</v>
      </c>
      <c r="S457" t="n">
        <v>25377</v>
      </c>
      <c r="T457" t="n">
        <v>72241</v>
      </c>
      <c r="U457" t="n">
        <v>1987</v>
      </c>
      <c r="V457" t="n">
        <v>117959</v>
      </c>
      <c r="W457" t="n">
        <v>71186</v>
      </c>
      <c r="X457" t="n">
        <v>145323</v>
      </c>
      <c r="Y457" t="n">
        <v>145414</v>
      </c>
      <c r="Z457" t="n">
        <v>27267</v>
      </c>
      <c r="AA457" t="n">
        <v>27176</v>
      </c>
      <c r="AB457" t="n">
        <v>0</v>
      </c>
      <c r="AC457" t="n">
        <v>0</v>
      </c>
      <c r="AD457" t="n">
        <v>0</v>
      </c>
      <c r="AE457" t="n">
        <v>0</v>
      </c>
      <c r="AF457" t="n">
        <v>0</v>
      </c>
      <c r="AG457" t="n">
        <v>0</v>
      </c>
      <c r="AH457" t="n">
        <v>0</v>
      </c>
      <c r="AI457" t="n">
        <v>0</v>
      </c>
      <c r="AJ457" t="n">
        <v>0</v>
      </c>
      <c r="AK457" t="n">
        <v>0</v>
      </c>
      <c r="AL457" t="n">
        <v>-546</v>
      </c>
      <c r="AM457" t="n">
        <v>-4308</v>
      </c>
      <c r="AN457" t="n">
        <v>4826</v>
      </c>
      <c r="AO457" t="n">
        <v>122</v>
      </c>
      <c r="AP457" t="n">
        <v>-640</v>
      </c>
      <c r="AQ457" t="n">
        <v>-1412</v>
      </c>
      <c r="AR457" t="n">
        <v>-4826</v>
      </c>
      <c r="AS457" t="n">
        <v>3536</v>
      </c>
      <c r="AT457" t="n">
        <v>4280</v>
      </c>
      <c r="AU457" t="n">
        <v>-4082</v>
      </c>
      <c r="AV457" t="n">
        <v>100</v>
      </c>
      <c r="AW457" t="n">
        <v>14.7</v>
      </c>
      <c r="AX457" t="n">
        <v>41.9</v>
      </c>
      <c r="AY457" t="n">
        <v>1.2</v>
      </c>
      <c r="AZ457" t="n">
        <v>68.3</v>
      </c>
      <c r="BA457" t="n">
        <v>41.2</v>
      </c>
      <c r="BB457" t="n">
        <v>84.2</v>
      </c>
      <c r="BC457" t="n">
        <v>84.3</v>
      </c>
      <c r="BD457" t="n">
        <v>15.8</v>
      </c>
      <c r="BE457" t="n">
        <v>15.7</v>
      </c>
      <c r="BF457" t="n">
        <v>100</v>
      </c>
      <c r="BG457" t="n">
        <v>14.7</v>
      </c>
      <c r="BH457" t="n">
        <v>41.9</v>
      </c>
      <c r="BI457" t="n">
        <v>1.2</v>
      </c>
      <c r="BJ457" t="n">
        <v>68.3</v>
      </c>
      <c r="BK457" t="n">
        <v>41.2</v>
      </c>
      <c r="BL457" t="n">
        <v>84.2</v>
      </c>
      <c r="BM457" t="n">
        <v>84.3</v>
      </c>
      <c r="BN457" t="n">
        <v>15.8</v>
      </c>
      <c r="BO457" t="n">
        <v>15.7</v>
      </c>
      <c r="BP457" t="n">
        <v>0</v>
      </c>
      <c r="BQ457" t="n">
        <v>0</v>
      </c>
      <c r="BR457" t="n">
        <v>0</v>
      </c>
      <c r="BS457" t="n">
        <v>0</v>
      </c>
      <c r="BT457" t="n">
        <v>0</v>
      </c>
      <c r="BU457" t="n">
        <v>0</v>
      </c>
      <c r="BV457" t="n">
        <v>0</v>
      </c>
      <c r="BW457" t="n">
        <v>0</v>
      </c>
      <c r="BX457" t="n">
        <v>0</v>
      </c>
      <c r="BY457" t="n">
        <v>0</v>
      </c>
      <c r="BZ457" t="n">
        <v>114</v>
      </c>
      <c r="CA457" t="n">
        <v>20</v>
      </c>
      <c r="CB457" t="n">
        <v>37</v>
      </c>
      <c r="CC457" t="n">
        <v>11</v>
      </c>
      <c r="CD457" t="n">
        <v>39</v>
      </c>
      <c r="CE457" t="n">
        <v>38</v>
      </c>
      <c r="CF457" t="n">
        <v>65</v>
      </c>
      <c r="CG457" t="n">
        <v>80</v>
      </c>
      <c r="CH457" t="n">
        <v>114</v>
      </c>
      <c r="CI457" t="n">
        <v>20</v>
      </c>
      <c r="CJ457" t="n">
        <v>37</v>
      </c>
      <c r="CK457" t="n">
        <v>11</v>
      </c>
      <c r="CL457" t="n">
        <v>39</v>
      </c>
      <c r="CM457" t="n">
        <v>38</v>
      </c>
      <c r="CN457" t="n">
        <v>65</v>
      </c>
      <c r="CO457" t="n">
        <v>80</v>
      </c>
      <c r="CP457" t="n">
        <v>0</v>
      </c>
      <c r="CQ457" t="n">
        <v>0</v>
      </c>
      <c r="CR457" t="n">
        <v>0</v>
      </c>
      <c r="CS457" t="n">
        <v>0</v>
      </c>
      <c r="CT457" t="n">
        <v>0</v>
      </c>
      <c r="CU457" t="n">
        <v>0</v>
      </c>
      <c r="CV457" t="n">
        <v>0</v>
      </c>
      <c r="CW457" t="n">
        <v>0</v>
      </c>
      <c r="CX457" t="n">
        <v>42.9</v>
      </c>
      <c r="CY457" t="n">
        <v>35.3</v>
      </c>
      <c r="CZ457" t="n">
        <v>56.2</v>
      </c>
      <c r="DA457" t="n">
        <v>46.9</v>
      </c>
      <c r="DB457" t="n">
        <v>39.7</v>
      </c>
      <c r="DC457" t="n">
        <v>31.9</v>
      </c>
      <c r="DD457" t="n">
        <v>51</v>
      </c>
      <c r="DE457" t="n">
        <v>41.9</v>
      </c>
      <c r="DF457" t="n">
        <v>42.9</v>
      </c>
      <c r="DG457" t="n">
        <v>35.3</v>
      </c>
      <c r="DH457" t="n">
        <v>56.2</v>
      </c>
      <c r="DI457" t="n">
        <v>46.9</v>
      </c>
      <c r="DJ457" t="n">
        <v>39.7</v>
      </c>
      <c r="DK457" t="n">
        <v>31.9</v>
      </c>
      <c r="DL457" t="n">
        <v>51</v>
      </c>
      <c r="DM457" t="n">
        <v>41.9</v>
      </c>
      <c r="DN457" t="n">
        <v>0</v>
      </c>
      <c r="DO457" t="n">
        <v>0</v>
      </c>
      <c r="DP457" t="n">
        <v>0</v>
      </c>
      <c r="DQ457" t="n">
        <v>0</v>
      </c>
      <c r="DR457" t="n">
        <v>0</v>
      </c>
      <c r="DS457" t="n">
        <v>0</v>
      </c>
      <c r="DT457" t="n">
        <v>0</v>
      </c>
      <c r="DU457" t="n">
        <v>0</v>
      </c>
      <c r="DV457" t="inlineStr">
        <is>
          <t>(CONTRACTS OF JPY 12,500,000)</t>
        </is>
      </c>
    </row>
    <row r="458">
      <c r="A458" t="inlineStr">
        <is>
          <t>USD INDEX - ICE FUTURES U.S.</t>
        </is>
      </c>
      <c r="B458" t="n">
        <v>230110</v>
      </c>
      <c r="C458" s="1" t="n">
        <v>44936</v>
      </c>
      <c r="D458" t="inlineStr">
        <is>
          <t>098662</t>
        </is>
      </c>
      <c r="E458" t="inlineStr">
        <is>
          <t>ICUS</t>
        </is>
      </c>
      <c r="F458" t="inlineStr">
        <is>
          <t>01</t>
        </is>
      </c>
      <c r="G458" t="inlineStr">
        <is>
          <t xml:space="preserve">098 </t>
        </is>
      </c>
      <c r="H458" t="n">
        <v>42307</v>
      </c>
      <c r="I458" s="17" t="n">
        <v>33928</v>
      </c>
      <c r="J458" s="17" t="n">
        <v>17388</v>
      </c>
      <c r="K458" t="n">
        <v>1437</v>
      </c>
      <c r="L458" t="n">
        <v>1158</v>
      </c>
      <c r="M458" t="n">
        <v>20438</v>
      </c>
      <c r="N458" t="n">
        <v>36523</v>
      </c>
      <c r="O458" t="n">
        <v>39263</v>
      </c>
      <c r="P458" t="n">
        <v>5784</v>
      </c>
      <c r="Q458" t="n">
        <v>3044</v>
      </c>
      <c r="R458" t="n">
        <v>42307</v>
      </c>
      <c r="S458" t="n">
        <v>33928</v>
      </c>
      <c r="T458" t="n">
        <v>17388</v>
      </c>
      <c r="U458" t="n">
        <v>1437</v>
      </c>
      <c r="V458" t="n">
        <v>1158</v>
      </c>
      <c r="W458" t="n">
        <v>20438</v>
      </c>
      <c r="X458" t="n">
        <v>36523</v>
      </c>
      <c r="Y458" t="n">
        <v>39263</v>
      </c>
      <c r="Z458" t="n">
        <v>5784</v>
      </c>
      <c r="AA458" t="n">
        <v>3044</v>
      </c>
      <c r="AB458" t="n">
        <v>0</v>
      </c>
      <c r="AC458" t="n">
        <v>0</v>
      </c>
      <c r="AD458" t="n">
        <v>0</v>
      </c>
      <c r="AE458" t="n">
        <v>0</v>
      </c>
      <c r="AF458" t="n">
        <v>0</v>
      </c>
      <c r="AG458" t="n">
        <v>0</v>
      </c>
      <c r="AH458" t="n">
        <v>0</v>
      </c>
      <c r="AI458" t="n">
        <v>0</v>
      </c>
      <c r="AJ458" t="n">
        <v>0</v>
      </c>
      <c r="AK458" t="n">
        <v>0</v>
      </c>
      <c r="AL458" t="n">
        <v>457</v>
      </c>
      <c r="AM458" t="n">
        <v>757</v>
      </c>
      <c r="AN458" t="n">
        <v>1978</v>
      </c>
      <c r="AO458" t="n">
        <v>-116</v>
      </c>
      <c r="AP458" t="n">
        <v>-430</v>
      </c>
      <c r="AQ458" t="n">
        <v>-1354</v>
      </c>
      <c r="AR458" t="n">
        <v>211</v>
      </c>
      <c r="AS458" t="n">
        <v>508</v>
      </c>
      <c r="AT458" t="n">
        <v>246</v>
      </c>
      <c r="AU458" t="n">
        <v>-51</v>
      </c>
      <c r="AV458" t="n">
        <v>100</v>
      </c>
      <c r="AW458" t="n">
        <v>80.2</v>
      </c>
      <c r="AX458" t="n">
        <v>41.1</v>
      </c>
      <c r="AY458" t="n">
        <v>3.4</v>
      </c>
      <c r="AZ458" t="n">
        <v>2.7</v>
      </c>
      <c r="BA458" t="n">
        <v>48.3</v>
      </c>
      <c r="BB458" t="n">
        <v>86.3</v>
      </c>
      <c r="BC458" t="n">
        <v>92.8</v>
      </c>
      <c r="BD458" t="n">
        <v>13.7</v>
      </c>
      <c r="BE458" t="n">
        <v>7.2</v>
      </c>
      <c r="BF458" t="n">
        <v>100</v>
      </c>
      <c r="BG458" t="n">
        <v>80.2</v>
      </c>
      <c r="BH458" t="n">
        <v>41.1</v>
      </c>
      <c r="BI458" t="n">
        <v>3.4</v>
      </c>
      <c r="BJ458" t="n">
        <v>2.7</v>
      </c>
      <c r="BK458" t="n">
        <v>48.3</v>
      </c>
      <c r="BL458" t="n">
        <v>86.3</v>
      </c>
      <c r="BM458" t="n">
        <v>92.8</v>
      </c>
      <c r="BN458" t="n">
        <v>13.7</v>
      </c>
      <c r="BO458" t="n">
        <v>7.2</v>
      </c>
      <c r="BP458" t="n">
        <v>0</v>
      </c>
      <c r="BQ458" t="n">
        <v>0</v>
      </c>
      <c r="BR458" t="n">
        <v>0</v>
      </c>
      <c r="BS458" t="n">
        <v>0</v>
      </c>
      <c r="BT458" t="n">
        <v>0</v>
      </c>
      <c r="BU458" t="n">
        <v>0</v>
      </c>
      <c r="BV458" t="n">
        <v>0</v>
      </c>
      <c r="BW458" t="n">
        <v>0</v>
      </c>
      <c r="BX458" t="n">
        <v>0</v>
      </c>
      <c r="BY458" t="n">
        <v>0</v>
      </c>
      <c r="BZ458" t="n">
        <v>85</v>
      </c>
      <c r="CA458" t="n">
        <v>44</v>
      </c>
      <c r="CB458" t="n">
        <v>32</v>
      </c>
      <c r="CC458" t="n">
        <v>5</v>
      </c>
      <c r="CD458" t="n">
        <v>4</v>
      </c>
      <c r="CE458" t="n">
        <v>6</v>
      </c>
      <c r="CF458" t="n">
        <v>52</v>
      </c>
      <c r="CG458" t="n">
        <v>39</v>
      </c>
      <c r="CH458" t="n">
        <v>85</v>
      </c>
      <c r="CI458" t="n">
        <v>44</v>
      </c>
      <c r="CJ458" t="n">
        <v>32</v>
      </c>
      <c r="CK458" t="n">
        <v>5</v>
      </c>
      <c r="CL458" t="n">
        <v>4</v>
      </c>
      <c r="CM458" t="n">
        <v>6</v>
      </c>
      <c r="CN458" t="n">
        <v>52</v>
      </c>
      <c r="CO458" t="n">
        <v>39</v>
      </c>
      <c r="CP458" t="n">
        <v>0</v>
      </c>
      <c r="CQ458" t="n">
        <v>0</v>
      </c>
      <c r="CR458" t="n">
        <v>0</v>
      </c>
      <c r="CS458" t="n">
        <v>0</v>
      </c>
      <c r="CT458" t="n">
        <v>0</v>
      </c>
      <c r="CU458" t="n">
        <v>0</v>
      </c>
      <c r="CV458" t="n">
        <v>0</v>
      </c>
      <c r="CW458" t="n">
        <v>0</v>
      </c>
      <c r="CX458" t="n">
        <v>55.1</v>
      </c>
      <c r="CY458" t="n">
        <v>65.5</v>
      </c>
      <c r="CZ458" t="n">
        <v>65</v>
      </c>
      <c r="DA458" t="n">
        <v>79.7</v>
      </c>
      <c r="DB458" t="n">
        <v>53</v>
      </c>
      <c r="DC458" t="n">
        <v>65.5</v>
      </c>
      <c r="DD458" t="n">
        <v>62.9</v>
      </c>
      <c r="DE458" t="n">
        <v>78.90000000000001</v>
      </c>
      <c r="DF458" t="n">
        <v>55.1</v>
      </c>
      <c r="DG458" t="n">
        <v>65.5</v>
      </c>
      <c r="DH458" t="n">
        <v>65</v>
      </c>
      <c r="DI458" t="n">
        <v>79.7</v>
      </c>
      <c r="DJ458" t="n">
        <v>53</v>
      </c>
      <c r="DK458" t="n">
        <v>65.5</v>
      </c>
      <c r="DL458" t="n">
        <v>62.9</v>
      </c>
      <c r="DM458" t="n">
        <v>78.90000000000001</v>
      </c>
      <c r="DN458" t="n">
        <v>0</v>
      </c>
      <c r="DO458" t="n">
        <v>0</v>
      </c>
      <c r="DP458" t="n">
        <v>0</v>
      </c>
      <c r="DQ458" t="n">
        <v>0</v>
      </c>
      <c r="DR458" t="n">
        <v>0</v>
      </c>
      <c r="DS458" t="n">
        <v>0</v>
      </c>
      <c r="DT458" t="n">
        <v>0</v>
      </c>
      <c r="DU458" t="n">
        <v>0</v>
      </c>
      <c r="DV458" t="inlineStr">
        <is>
          <t>(U.S. DOLLAR INDEX X $1000)</t>
        </is>
      </c>
    </row>
    <row r="459">
      <c r="A459" t="inlineStr">
        <is>
          <t>USD INDEX - ICE FUTURES U.S.</t>
        </is>
      </c>
      <c r="B459" t="n">
        <v>230103</v>
      </c>
      <c r="C459" s="1" t="n">
        <v>44929</v>
      </c>
      <c r="D459" t="inlineStr">
        <is>
          <t>098662</t>
        </is>
      </c>
      <c r="E459" t="inlineStr">
        <is>
          <t>ICUS</t>
        </is>
      </c>
      <c r="F459" t="inlineStr">
        <is>
          <t>01</t>
        </is>
      </c>
      <c r="G459" t="inlineStr">
        <is>
          <t xml:space="preserve">098 </t>
        </is>
      </c>
      <c r="H459" t="n">
        <v>41850</v>
      </c>
      <c r="I459" s="17" t="n">
        <v>33171</v>
      </c>
      <c r="J459" s="17" t="n">
        <v>15410</v>
      </c>
      <c r="K459" t="n">
        <v>1553</v>
      </c>
      <c r="L459" t="n">
        <v>1588</v>
      </c>
      <c r="M459" t="n">
        <v>21792</v>
      </c>
      <c r="N459" t="n">
        <v>36312</v>
      </c>
      <c r="O459" t="n">
        <v>38755</v>
      </c>
      <c r="P459" t="n">
        <v>5538</v>
      </c>
      <c r="Q459" t="n">
        <v>3095</v>
      </c>
      <c r="R459" t="n">
        <v>41850</v>
      </c>
      <c r="S459" t="n">
        <v>33171</v>
      </c>
      <c r="T459" t="n">
        <v>15410</v>
      </c>
      <c r="U459" t="n">
        <v>1553</v>
      </c>
      <c r="V459" t="n">
        <v>1588</v>
      </c>
      <c r="W459" t="n">
        <v>21792</v>
      </c>
      <c r="X459" t="n">
        <v>36312</v>
      </c>
      <c r="Y459" t="n">
        <v>38755</v>
      </c>
      <c r="Z459" t="n">
        <v>5538</v>
      </c>
      <c r="AA459" t="n">
        <v>3095</v>
      </c>
      <c r="AB459" t="n">
        <v>0</v>
      </c>
      <c r="AC459" t="n">
        <v>0</v>
      </c>
      <c r="AD459" t="n">
        <v>0</v>
      </c>
      <c r="AE459" t="n">
        <v>0</v>
      </c>
      <c r="AF459" t="n">
        <v>0</v>
      </c>
      <c r="AG459" t="n">
        <v>0</v>
      </c>
      <c r="AH459" t="n">
        <v>0</v>
      </c>
      <c r="AI459" t="n">
        <v>0</v>
      </c>
      <c r="AJ459" t="n">
        <v>0</v>
      </c>
      <c r="AK459" t="n">
        <v>0</v>
      </c>
      <c r="AL459" t="n">
        <v>197</v>
      </c>
      <c r="AM459" t="n">
        <v>29</v>
      </c>
      <c r="AN459" t="n">
        <v>-791</v>
      </c>
      <c r="AO459" t="n">
        <v>102</v>
      </c>
      <c r="AP459" t="n">
        <v>91</v>
      </c>
      <c r="AQ459" t="n">
        <v>175</v>
      </c>
      <c r="AR459" t="n">
        <v>222</v>
      </c>
      <c r="AS459" t="n">
        <v>-514</v>
      </c>
      <c r="AT459" t="n">
        <v>-25</v>
      </c>
      <c r="AU459" t="n">
        <v>711</v>
      </c>
      <c r="AV459" t="n">
        <v>100</v>
      </c>
      <c r="AW459" t="n">
        <v>79.3</v>
      </c>
      <c r="AX459" t="n">
        <v>36.8</v>
      </c>
      <c r="AY459" t="n">
        <v>3.7</v>
      </c>
      <c r="AZ459" t="n">
        <v>3.8</v>
      </c>
      <c r="BA459" t="n">
        <v>52.1</v>
      </c>
      <c r="BB459" t="n">
        <v>86.8</v>
      </c>
      <c r="BC459" t="n">
        <v>92.59999999999999</v>
      </c>
      <c r="BD459" t="n">
        <v>13.2</v>
      </c>
      <c r="BE459" t="n">
        <v>7.4</v>
      </c>
      <c r="BF459" t="n">
        <v>100</v>
      </c>
      <c r="BG459" t="n">
        <v>79.3</v>
      </c>
      <c r="BH459" t="n">
        <v>36.8</v>
      </c>
      <c r="BI459" t="n">
        <v>3.7</v>
      </c>
      <c r="BJ459" t="n">
        <v>3.8</v>
      </c>
      <c r="BK459" t="n">
        <v>52.1</v>
      </c>
      <c r="BL459" t="n">
        <v>86.8</v>
      </c>
      <c r="BM459" t="n">
        <v>92.59999999999999</v>
      </c>
      <c r="BN459" t="n">
        <v>13.2</v>
      </c>
      <c r="BO459" t="n">
        <v>7.4</v>
      </c>
      <c r="BP459" t="n">
        <v>0</v>
      </c>
      <c r="BQ459" t="n">
        <v>0</v>
      </c>
      <c r="BR459" t="n">
        <v>0</v>
      </c>
      <c r="BS459" t="n">
        <v>0</v>
      </c>
      <c r="BT459" t="n">
        <v>0</v>
      </c>
      <c r="BU459" t="n">
        <v>0</v>
      </c>
      <c r="BV459" t="n">
        <v>0</v>
      </c>
      <c r="BW459" t="n">
        <v>0</v>
      </c>
      <c r="BX459" t="n">
        <v>0</v>
      </c>
      <c r="BY459" t="n">
        <v>0</v>
      </c>
      <c r="BZ459" t="n">
        <v>86</v>
      </c>
      <c r="CA459" t="n">
        <v>48</v>
      </c>
      <c r="CB459" t="n">
        <v>29</v>
      </c>
      <c r="CC459" t="n">
        <v>7</v>
      </c>
      <c r="CD459" t="n">
        <v>5</v>
      </c>
      <c r="CE459" t="n">
        <v>5</v>
      </c>
      <c r="CF459" t="n">
        <v>57</v>
      </c>
      <c r="CG459" t="n">
        <v>37</v>
      </c>
      <c r="CH459" t="n">
        <v>86</v>
      </c>
      <c r="CI459" t="n">
        <v>48</v>
      </c>
      <c r="CJ459" t="n">
        <v>29</v>
      </c>
      <c r="CK459" t="n">
        <v>7</v>
      </c>
      <c r="CL459" t="n">
        <v>5</v>
      </c>
      <c r="CM459" t="n">
        <v>5</v>
      </c>
      <c r="CN459" t="n">
        <v>57</v>
      </c>
      <c r="CO459" t="n">
        <v>37</v>
      </c>
      <c r="CP459" t="n">
        <v>0</v>
      </c>
      <c r="CQ459" t="n">
        <v>0</v>
      </c>
      <c r="CR459" t="n">
        <v>0</v>
      </c>
      <c r="CS459" t="n">
        <v>0</v>
      </c>
      <c r="CT459" t="n">
        <v>0</v>
      </c>
      <c r="CU459" t="n">
        <v>0</v>
      </c>
      <c r="CV459" t="n">
        <v>0</v>
      </c>
      <c r="CW459" t="n">
        <v>0</v>
      </c>
      <c r="CX459" t="n">
        <v>55.5</v>
      </c>
      <c r="CY459" t="n">
        <v>67.5</v>
      </c>
      <c r="CZ459" t="n">
        <v>65.90000000000001</v>
      </c>
      <c r="DA459" t="n">
        <v>78.2</v>
      </c>
      <c r="DB459" t="n">
        <v>53.3</v>
      </c>
      <c r="DC459" t="n">
        <v>67.5</v>
      </c>
      <c r="DD459" t="n">
        <v>63.6</v>
      </c>
      <c r="DE459" t="n">
        <v>77.2</v>
      </c>
      <c r="DF459" t="n">
        <v>55.5</v>
      </c>
      <c r="DG459" t="n">
        <v>67.5</v>
      </c>
      <c r="DH459" t="n">
        <v>65.90000000000001</v>
      </c>
      <c r="DI459" t="n">
        <v>78.2</v>
      </c>
      <c r="DJ459" t="n">
        <v>53.3</v>
      </c>
      <c r="DK459" t="n">
        <v>67.5</v>
      </c>
      <c r="DL459" t="n">
        <v>63.6</v>
      </c>
      <c r="DM459" t="n">
        <v>77.2</v>
      </c>
      <c r="DN459" t="n">
        <v>0</v>
      </c>
      <c r="DO459" t="n">
        <v>0</v>
      </c>
      <c r="DP459" t="n">
        <v>0</v>
      </c>
      <c r="DQ459" t="n">
        <v>0</v>
      </c>
      <c r="DR459" t="n">
        <v>0</v>
      </c>
      <c r="DS459" t="n">
        <v>0</v>
      </c>
      <c r="DT459" t="n">
        <v>0</v>
      </c>
      <c r="DU459" t="n">
        <v>0</v>
      </c>
      <c r="DV459" t="inlineStr">
        <is>
          <t>(U.S. DOLLAR INDEX X $1000)</t>
        </is>
      </c>
    </row>
    <row r="460">
      <c r="A460" t="inlineStr">
        <is>
          <t>EURO FX - CHICAGO MERCANTILE EXCHANGE</t>
        </is>
      </c>
      <c r="B460" t="n">
        <v>230110</v>
      </c>
      <c r="C460" s="1" t="n">
        <v>44936</v>
      </c>
      <c r="D460" t="inlineStr">
        <is>
          <t>099741</t>
        </is>
      </c>
      <c r="E460" t="inlineStr">
        <is>
          <t xml:space="preserve">CME </t>
        </is>
      </c>
      <c r="F460" t="inlineStr">
        <is>
          <t>00</t>
        </is>
      </c>
      <c r="G460" t="inlineStr">
        <is>
          <t xml:space="preserve">099 </t>
        </is>
      </c>
      <c r="H460" t="n">
        <v>746163</v>
      </c>
      <c r="I460" s="17" t="n">
        <v>238623</v>
      </c>
      <c r="J460" s="17" t="n">
        <v>103641</v>
      </c>
      <c r="K460" t="n">
        <v>15490</v>
      </c>
      <c r="L460" t="n">
        <v>400775</v>
      </c>
      <c r="M460" t="n">
        <v>582985</v>
      </c>
      <c r="N460" t="n">
        <v>654888</v>
      </c>
      <c r="O460" t="n">
        <v>702116</v>
      </c>
      <c r="P460" t="n">
        <v>91275</v>
      </c>
      <c r="Q460" t="n">
        <v>44047</v>
      </c>
      <c r="R460" t="n">
        <v>746163</v>
      </c>
      <c r="S460" t="n">
        <v>238623</v>
      </c>
      <c r="T460" t="n">
        <v>103641</v>
      </c>
      <c r="U460" t="n">
        <v>15490</v>
      </c>
      <c r="V460" t="n">
        <v>400775</v>
      </c>
      <c r="W460" t="n">
        <v>582985</v>
      </c>
      <c r="X460" t="n">
        <v>654888</v>
      </c>
      <c r="Y460" t="n">
        <v>702116</v>
      </c>
      <c r="Z460" t="n">
        <v>91275</v>
      </c>
      <c r="AA460" t="n">
        <v>44047</v>
      </c>
      <c r="AB460" t="n">
        <v>0</v>
      </c>
      <c r="AC460" t="n">
        <v>0</v>
      </c>
      <c r="AD460" t="n">
        <v>0</v>
      </c>
      <c r="AE460" t="n">
        <v>0</v>
      </c>
      <c r="AF460" t="n">
        <v>0</v>
      </c>
      <c r="AG460" t="n">
        <v>0</v>
      </c>
      <c r="AH460" t="n">
        <v>0</v>
      </c>
      <c r="AI460" t="n">
        <v>0</v>
      </c>
      <c r="AJ460" t="n">
        <v>0</v>
      </c>
      <c r="AK460" t="n">
        <v>0</v>
      </c>
      <c r="AL460" t="n">
        <v>34133</v>
      </c>
      <c r="AM460" t="n">
        <v>16080</v>
      </c>
      <c r="AN460" t="n">
        <v>11013</v>
      </c>
      <c r="AO460" t="n">
        <v>1073</v>
      </c>
      <c r="AP460" t="n">
        <v>10914</v>
      </c>
      <c r="AQ460" t="n">
        <v>19043</v>
      </c>
      <c r="AR460" t="n">
        <v>28067</v>
      </c>
      <c r="AS460" t="n">
        <v>31129</v>
      </c>
      <c r="AT460" t="n">
        <v>6066</v>
      </c>
      <c r="AU460" t="n">
        <v>3004</v>
      </c>
      <c r="AV460" t="n">
        <v>100</v>
      </c>
      <c r="AW460" t="n">
        <v>32</v>
      </c>
      <c r="AX460" t="n">
        <v>13.9</v>
      </c>
      <c r="AY460" t="n">
        <v>2.1</v>
      </c>
      <c r="AZ460" t="n">
        <v>53.7</v>
      </c>
      <c r="BA460" t="n">
        <v>78.09999999999999</v>
      </c>
      <c r="BB460" t="n">
        <v>87.8</v>
      </c>
      <c r="BC460" t="n">
        <v>94.09999999999999</v>
      </c>
      <c r="BD460" t="n">
        <v>12.2</v>
      </c>
      <c r="BE460" t="n">
        <v>5.9</v>
      </c>
      <c r="BF460" t="n">
        <v>100</v>
      </c>
      <c r="BG460" t="n">
        <v>32</v>
      </c>
      <c r="BH460" t="n">
        <v>13.9</v>
      </c>
      <c r="BI460" t="n">
        <v>2.1</v>
      </c>
      <c r="BJ460" t="n">
        <v>53.7</v>
      </c>
      <c r="BK460" t="n">
        <v>78.09999999999999</v>
      </c>
      <c r="BL460" t="n">
        <v>87.8</v>
      </c>
      <c r="BM460" t="n">
        <v>94.09999999999999</v>
      </c>
      <c r="BN460" t="n">
        <v>12.2</v>
      </c>
      <c r="BO460" t="n">
        <v>5.9</v>
      </c>
      <c r="BP460" t="n">
        <v>0</v>
      </c>
      <c r="BQ460" t="n">
        <v>0</v>
      </c>
      <c r="BR460" t="n">
        <v>0</v>
      </c>
      <c r="BS460" t="n">
        <v>0</v>
      </c>
      <c r="BT460" t="n">
        <v>0</v>
      </c>
      <c r="BU460" t="n">
        <v>0</v>
      </c>
      <c r="BV460" t="n">
        <v>0</v>
      </c>
      <c r="BW460" t="n">
        <v>0</v>
      </c>
      <c r="BX460" t="n">
        <v>0</v>
      </c>
      <c r="BY460" t="n">
        <v>0</v>
      </c>
      <c r="BZ460" t="n">
        <v>304</v>
      </c>
      <c r="CA460" t="n">
        <v>100</v>
      </c>
      <c r="CB460" t="n">
        <v>43</v>
      </c>
      <c r="CC460" t="n">
        <v>36</v>
      </c>
      <c r="CD460" t="n">
        <v>131</v>
      </c>
      <c r="CE460" t="n">
        <v>81</v>
      </c>
      <c r="CF460" t="n">
        <v>239</v>
      </c>
      <c r="CG460" t="n">
        <v>152</v>
      </c>
      <c r="CH460" t="n">
        <v>304</v>
      </c>
      <c r="CI460" t="n">
        <v>100</v>
      </c>
      <c r="CJ460" t="n">
        <v>43</v>
      </c>
      <c r="CK460" t="n">
        <v>36</v>
      </c>
      <c r="CL460" t="n">
        <v>131</v>
      </c>
      <c r="CM460" t="n">
        <v>81</v>
      </c>
      <c r="CN460" t="n">
        <v>239</v>
      </c>
      <c r="CO460" t="n">
        <v>152</v>
      </c>
      <c r="CP460" t="n">
        <v>0</v>
      </c>
      <c r="CQ460" t="n">
        <v>0</v>
      </c>
      <c r="CR460" t="n">
        <v>0</v>
      </c>
      <c r="CS460" t="n">
        <v>0</v>
      </c>
      <c r="CT460" t="n">
        <v>0</v>
      </c>
      <c r="CU460" t="n">
        <v>0</v>
      </c>
      <c r="CV460" t="n">
        <v>0</v>
      </c>
      <c r="CW460" t="n">
        <v>0</v>
      </c>
      <c r="CX460" t="n">
        <v>14.5</v>
      </c>
      <c r="CY460" t="n">
        <v>57.9</v>
      </c>
      <c r="CZ460" t="n">
        <v>24.6</v>
      </c>
      <c r="DA460" t="n">
        <v>67.09999999999999</v>
      </c>
      <c r="DB460" t="n">
        <v>13.8</v>
      </c>
      <c r="DC460" t="n">
        <v>57.9</v>
      </c>
      <c r="DD460" t="n">
        <v>23.3</v>
      </c>
      <c r="DE460" t="n">
        <v>67</v>
      </c>
      <c r="DF460" t="n">
        <v>14.5</v>
      </c>
      <c r="DG460" t="n">
        <v>57.9</v>
      </c>
      <c r="DH460" t="n">
        <v>24.6</v>
      </c>
      <c r="DI460" t="n">
        <v>67.09999999999999</v>
      </c>
      <c r="DJ460" t="n">
        <v>13.8</v>
      </c>
      <c r="DK460" t="n">
        <v>57.9</v>
      </c>
      <c r="DL460" t="n">
        <v>23.3</v>
      </c>
      <c r="DM460" t="n">
        <v>67</v>
      </c>
      <c r="DN460" t="n">
        <v>0</v>
      </c>
      <c r="DO460" t="n">
        <v>0</v>
      </c>
      <c r="DP460" t="n">
        <v>0</v>
      </c>
      <c r="DQ460" t="n">
        <v>0</v>
      </c>
      <c r="DR460" t="n">
        <v>0</v>
      </c>
      <c r="DS460" t="n">
        <v>0</v>
      </c>
      <c r="DT460" t="n">
        <v>0</v>
      </c>
      <c r="DU460" t="n">
        <v>0</v>
      </c>
      <c r="DV460" t="inlineStr">
        <is>
          <t>(CONTRACTS OF EUR 125,000)</t>
        </is>
      </c>
    </row>
    <row r="461">
      <c r="A461" t="inlineStr">
        <is>
          <t>EURO FX - CHICAGO MERCANTILE EXCHANGE</t>
        </is>
      </c>
      <c r="B461" t="n">
        <v>230103</v>
      </c>
      <c r="C461" s="1" t="n">
        <v>44929</v>
      </c>
      <c r="D461" t="inlineStr">
        <is>
          <t>099741</t>
        </is>
      </c>
      <c r="E461" t="inlineStr">
        <is>
          <t xml:space="preserve">CME </t>
        </is>
      </c>
      <c r="F461" t="inlineStr">
        <is>
          <t>00</t>
        </is>
      </c>
      <c r="G461" t="inlineStr">
        <is>
          <t xml:space="preserve">099 </t>
        </is>
      </c>
      <c r="H461" t="n">
        <v>712030</v>
      </c>
      <c r="I461" s="17" t="n">
        <v>222543</v>
      </c>
      <c r="J461" s="17" t="n">
        <v>92628</v>
      </c>
      <c r="K461" t="n">
        <v>14417</v>
      </c>
      <c r="L461" t="n">
        <v>389861</v>
      </c>
      <c r="M461" t="n">
        <v>563942</v>
      </c>
      <c r="N461" t="n">
        <v>626821</v>
      </c>
      <c r="O461" t="n">
        <v>670987</v>
      </c>
      <c r="P461" t="n">
        <v>85209</v>
      </c>
      <c r="Q461" t="n">
        <v>41043</v>
      </c>
      <c r="R461" t="n">
        <v>712030</v>
      </c>
      <c r="S461" t="n">
        <v>222543</v>
      </c>
      <c r="T461" t="n">
        <v>92628</v>
      </c>
      <c r="U461" t="n">
        <v>14417</v>
      </c>
      <c r="V461" t="n">
        <v>389861</v>
      </c>
      <c r="W461" t="n">
        <v>563942</v>
      </c>
      <c r="X461" t="n">
        <v>626821</v>
      </c>
      <c r="Y461" t="n">
        <v>670987</v>
      </c>
      <c r="Z461" t="n">
        <v>85209</v>
      </c>
      <c r="AA461" t="n">
        <v>41043</v>
      </c>
      <c r="AB461" t="n">
        <v>0</v>
      </c>
      <c r="AC461" t="n">
        <v>0</v>
      </c>
      <c r="AD461" t="n">
        <v>0</v>
      </c>
      <c r="AE461" t="n">
        <v>0</v>
      </c>
      <c r="AF461" t="n">
        <v>0</v>
      </c>
      <c r="AG461" t="n">
        <v>0</v>
      </c>
      <c r="AH461" t="n">
        <v>0</v>
      </c>
      <c r="AI461" t="n">
        <v>0</v>
      </c>
      <c r="AJ461" t="n">
        <v>0</v>
      </c>
      <c r="AK461" t="n">
        <v>0</v>
      </c>
      <c r="AL461" t="n">
        <v>-16357</v>
      </c>
      <c r="AM461" t="n">
        <v>-29344</v>
      </c>
      <c r="AN461" t="n">
        <v>-13097</v>
      </c>
      <c r="AO461" t="n">
        <v>819</v>
      </c>
      <c r="AP461" t="n">
        <v>10785</v>
      </c>
      <c r="AQ461" t="n">
        <v>-1954</v>
      </c>
      <c r="AR461" t="n">
        <v>-17740</v>
      </c>
      <c r="AS461" t="n">
        <v>-14232</v>
      </c>
      <c r="AT461" t="n">
        <v>1383</v>
      </c>
      <c r="AU461" t="n">
        <v>-2125</v>
      </c>
      <c r="AV461" t="n">
        <v>100</v>
      </c>
      <c r="AW461" t="n">
        <v>31.3</v>
      </c>
      <c r="AX461" t="n">
        <v>13</v>
      </c>
      <c r="AY461" t="n">
        <v>2</v>
      </c>
      <c r="AZ461" t="n">
        <v>54.8</v>
      </c>
      <c r="BA461" t="n">
        <v>79.2</v>
      </c>
      <c r="BB461" t="n">
        <v>88</v>
      </c>
      <c r="BC461" t="n">
        <v>94.2</v>
      </c>
      <c r="BD461" t="n">
        <v>12</v>
      </c>
      <c r="BE461" t="n">
        <v>5.8</v>
      </c>
      <c r="BF461" t="n">
        <v>100</v>
      </c>
      <c r="BG461" t="n">
        <v>31.3</v>
      </c>
      <c r="BH461" t="n">
        <v>13</v>
      </c>
      <c r="BI461" t="n">
        <v>2</v>
      </c>
      <c r="BJ461" t="n">
        <v>54.8</v>
      </c>
      <c r="BK461" t="n">
        <v>79.2</v>
      </c>
      <c r="BL461" t="n">
        <v>88</v>
      </c>
      <c r="BM461" t="n">
        <v>94.2</v>
      </c>
      <c r="BN461" t="n">
        <v>12</v>
      </c>
      <c r="BO461" t="n">
        <v>5.8</v>
      </c>
      <c r="BP461" t="n">
        <v>0</v>
      </c>
      <c r="BQ461" t="n">
        <v>0</v>
      </c>
      <c r="BR461" t="n">
        <v>0</v>
      </c>
      <c r="BS461" t="n">
        <v>0</v>
      </c>
      <c r="BT461" t="n">
        <v>0</v>
      </c>
      <c r="BU461" t="n">
        <v>0</v>
      </c>
      <c r="BV461" t="n">
        <v>0</v>
      </c>
      <c r="BW461" t="n">
        <v>0</v>
      </c>
      <c r="BX461" t="n">
        <v>0</v>
      </c>
      <c r="BY461" t="n">
        <v>0</v>
      </c>
      <c r="BZ461" t="n">
        <v>299</v>
      </c>
      <c r="CA461" t="n">
        <v>89</v>
      </c>
      <c r="CB461" t="n">
        <v>48</v>
      </c>
      <c r="CC461" t="n">
        <v>35</v>
      </c>
      <c r="CD461" t="n">
        <v>127</v>
      </c>
      <c r="CE461" t="n">
        <v>81</v>
      </c>
      <c r="CF461" t="n">
        <v>225</v>
      </c>
      <c r="CG461" t="n">
        <v>155</v>
      </c>
      <c r="CH461" t="n">
        <v>299</v>
      </c>
      <c r="CI461" t="n">
        <v>89</v>
      </c>
      <c r="CJ461" t="n">
        <v>48</v>
      </c>
      <c r="CK461" t="n">
        <v>35</v>
      </c>
      <c r="CL461" t="n">
        <v>127</v>
      </c>
      <c r="CM461" t="n">
        <v>81</v>
      </c>
      <c r="CN461" t="n">
        <v>225</v>
      </c>
      <c r="CO461" t="n">
        <v>155</v>
      </c>
      <c r="CP461" t="n">
        <v>0</v>
      </c>
      <c r="CQ461" t="n">
        <v>0</v>
      </c>
      <c r="CR461" t="n">
        <v>0</v>
      </c>
      <c r="CS461" t="n">
        <v>0</v>
      </c>
      <c r="CT461" t="n">
        <v>0</v>
      </c>
      <c r="CU461" t="n">
        <v>0</v>
      </c>
      <c r="CV461" t="n">
        <v>0</v>
      </c>
      <c r="CW461" t="n">
        <v>0</v>
      </c>
      <c r="CX461" t="n">
        <v>16.1</v>
      </c>
      <c r="CY461" t="n">
        <v>58.4</v>
      </c>
      <c r="CZ461" t="n">
        <v>26.4</v>
      </c>
      <c r="DA461" t="n">
        <v>66.2</v>
      </c>
      <c r="DB461" t="n">
        <v>15.4</v>
      </c>
      <c r="DC461" t="n">
        <v>58.4</v>
      </c>
      <c r="DD461" t="n">
        <v>25.4</v>
      </c>
      <c r="DE461" t="n">
        <v>66</v>
      </c>
      <c r="DF461" t="n">
        <v>16.1</v>
      </c>
      <c r="DG461" t="n">
        <v>58.4</v>
      </c>
      <c r="DH461" t="n">
        <v>26.4</v>
      </c>
      <c r="DI461" t="n">
        <v>66.2</v>
      </c>
      <c r="DJ461" t="n">
        <v>15.4</v>
      </c>
      <c r="DK461" t="n">
        <v>58.4</v>
      </c>
      <c r="DL461" t="n">
        <v>25.4</v>
      </c>
      <c r="DM461" t="n">
        <v>66</v>
      </c>
      <c r="DN461" t="n">
        <v>0</v>
      </c>
      <c r="DO461" t="n">
        <v>0</v>
      </c>
      <c r="DP461" t="n">
        <v>0</v>
      </c>
      <c r="DQ461" t="n">
        <v>0</v>
      </c>
      <c r="DR461" t="n">
        <v>0</v>
      </c>
      <c r="DS461" t="n">
        <v>0</v>
      </c>
      <c r="DT461" t="n">
        <v>0</v>
      </c>
      <c r="DU461" t="n">
        <v>0</v>
      </c>
      <c r="DV461" t="inlineStr">
        <is>
          <t>(CONTRACTS OF EUR 125,000)</t>
        </is>
      </c>
    </row>
    <row r="462">
      <c r="A462" t="inlineStr">
        <is>
          <t>BRAZILIAN REAL - CHICAGO MERCANTILE EXCHANGE</t>
        </is>
      </c>
      <c r="B462" t="n">
        <v>230110</v>
      </c>
      <c r="C462" s="1" t="n">
        <v>44936</v>
      </c>
      <c r="D462" t="inlineStr">
        <is>
          <t>102741</t>
        </is>
      </c>
      <c r="E462" t="inlineStr">
        <is>
          <t xml:space="preserve">CME </t>
        </is>
      </c>
      <c r="F462" t="inlineStr">
        <is>
          <t>00</t>
        </is>
      </c>
      <c r="G462" t="inlineStr">
        <is>
          <t xml:space="preserve">102 </t>
        </is>
      </c>
      <c r="H462" t="n">
        <v>33429</v>
      </c>
      <c r="I462" s="17" t="n">
        <v>25210</v>
      </c>
      <c r="J462" s="17" t="n">
        <v>3509</v>
      </c>
      <c r="K462" t="n">
        <v>336</v>
      </c>
      <c r="L462" t="n">
        <v>4322</v>
      </c>
      <c r="M462" t="n">
        <v>27896</v>
      </c>
      <c r="N462" t="n">
        <v>29868</v>
      </c>
      <c r="O462" t="n">
        <v>31741</v>
      </c>
      <c r="P462" t="n">
        <v>3561</v>
      </c>
      <c r="Q462" t="n">
        <v>1688</v>
      </c>
      <c r="R462" t="n">
        <v>33429</v>
      </c>
      <c r="S462" t="n">
        <v>25210</v>
      </c>
      <c r="T462" t="n">
        <v>3509</v>
      </c>
      <c r="U462" t="n">
        <v>336</v>
      </c>
      <c r="V462" t="n">
        <v>4322</v>
      </c>
      <c r="W462" t="n">
        <v>27896</v>
      </c>
      <c r="X462" t="n">
        <v>29868</v>
      </c>
      <c r="Y462" t="n">
        <v>31741</v>
      </c>
      <c r="Z462" t="n">
        <v>3561</v>
      </c>
      <c r="AA462" t="n">
        <v>1688</v>
      </c>
      <c r="AB462" t="n">
        <v>0</v>
      </c>
      <c r="AC462" t="n">
        <v>0</v>
      </c>
      <c r="AD462" t="n">
        <v>0</v>
      </c>
      <c r="AE462" t="n">
        <v>0</v>
      </c>
      <c r="AF462" t="n">
        <v>0</v>
      </c>
      <c r="AG462" t="n">
        <v>0</v>
      </c>
      <c r="AH462" t="n">
        <v>0</v>
      </c>
      <c r="AI462" t="n">
        <v>0</v>
      </c>
      <c r="AJ462" t="n">
        <v>0</v>
      </c>
      <c r="AK462" t="n">
        <v>0</v>
      </c>
      <c r="AL462" t="n">
        <v>-4558</v>
      </c>
      <c r="AM462" t="n">
        <v>-6895</v>
      </c>
      <c r="AN462" t="n">
        <v>-385</v>
      </c>
      <c r="AO462" t="n">
        <v>329</v>
      </c>
      <c r="AP462" t="n">
        <v>1543</v>
      </c>
      <c r="AQ462" t="n">
        <v>-4531</v>
      </c>
      <c r="AR462" t="n">
        <v>-5023</v>
      </c>
      <c r="AS462" t="n">
        <v>-4587</v>
      </c>
      <c r="AT462" t="n">
        <v>465</v>
      </c>
      <c r="AU462" t="n">
        <v>29</v>
      </c>
      <c r="AV462" t="n">
        <v>100</v>
      </c>
      <c r="AW462" t="n">
        <v>75.40000000000001</v>
      </c>
      <c r="AX462" t="n">
        <v>10.5</v>
      </c>
      <c r="AY462" t="n">
        <v>1</v>
      </c>
      <c r="AZ462" t="n">
        <v>12.9</v>
      </c>
      <c r="BA462" t="n">
        <v>83.40000000000001</v>
      </c>
      <c r="BB462" t="n">
        <v>89.3</v>
      </c>
      <c r="BC462" t="n">
        <v>95</v>
      </c>
      <c r="BD462" t="n">
        <v>10.7</v>
      </c>
      <c r="BE462" t="n">
        <v>5</v>
      </c>
      <c r="BF462" t="n">
        <v>100</v>
      </c>
      <c r="BG462" t="n">
        <v>75.40000000000001</v>
      </c>
      <c r="BH462" t="n">
        <v>10.5</v>
      </c>
      <c r="BI462" t="n">
        <v>1</v>
      </c>
      <c r="BJ462" t="n">
        <v>12.9</v>
      </c>
      <c r="BK462" t="n">
        <v>83.40000000000001</v>
      </c>
      <c r="BL462" t="n">
        <v>89.3</v>
      </c>
      <c r="BM462" t="n">
        <v>95</v>
      </c>
      <c r="BN462" t="n">
        <v>10.7</v>
      </c>
      <c r="BO462" t="n">
        <v>5</v>
      </c>
      <c r="BP462" t="n">
        <v>0</v>
      </c>
      <c r="BQ462" t="n">
        <v>0</v>
      </c>
      <c r="BR462" t="n">
        <v>0</v>
      </c>
      <c r="BS462" t="n">
        <v>0</v>
      </c>
      <c r="BT462" t="n">
        <v>0</v>
      </c>
      <c r="BU462" t="n">
        <v>0</v>
      </c>
      <c r="BV462" t="n">
        <v>0</v>
      </c>
      <c r="BW462" t="n">
        <v>0</v>
      </c>
      <c r="BX462" t="n">
        <v>0</v>
      </c>
      <c r="BY462" t="n">
        <v>0</v>
      </c>
      <c r="BZ462" t="n">
        <v>68</v>
      </c>
      <c r="CA462" t="n">
        <v>27</v>
      </c>
      <c r="CB462" t="n">
        <v>12</v>
      </c>
      <c r="CC462" t="n">
        <v>3</v>
      </c>
      <c r="CD462" t="n">
        <v>16</v>
      </c>
      <c r="CE462" t="n">
        <v>16</v>
      </c>
      <c r="CF462" t="n">
        <v>44</v>
      </c>
      <c r="CG462" t="n">
        <v>30</v>
      </c>
      <c r="CH462" t="n">
        <v>68</v>
      </c>
      <c r="CI462" t="n">
        <v>27</v>
      </c>
      <c r="CJ462" t="n">
        <v>12</v>
      </c>
      <c r="CK462" t="n">
        <v>3</v>
      </c>
      <c r="CL462" t="n">
        <v>16</v>
      </c>
      <c r="CM462" t="n">
        <v>16</v>
      </c>
      <c r="CN462" t="n">
        <v>44</v>
      </c>
      <c r="CO462" t="n">
        <v>30</v>
      </c>
      <c r="CP462" t="n">
        <v>0</v>
      </c>
      <c r="CQ462" t="n">
        <v>0</v>
      </c>
      <c r="CR462" t="n">
        <v>0</v>
      </c>
      <c r="CS462" t="n">
        <v>0</v>
      </c>
      <c r="CT462" t="n">
        <v>0</v>
      </c>
      <c r="CU462" t="n">
        <v>0</v>
      </c>
      <c r="CV462" t="n">
        <v>0</v>
      </c>
      <c r="CW462" t="n">
        <v>0</v>
      </c>
      <c r="CX462" t="n">
        <v>47</v>
      </c>
      <c r="CY462" t="n">
        <v>69</v>
      </c>
      <c r="CZ462" t="n">
        <v>59</v>
      </c>
      <c r="DA462" t="n">
        <v>78.2</v>
      </c>
      <c r="DB462" t="n">
        <v>47</v>
      </c>
      <c r="DC462" t="n">
        <v>69</v>
      </c>
      <c r="DD462" t="n">
        <v>59</v>
      </c>
      <c r="DE462" t="n">
        <v>77.8</v>
      </c>
      <c r="DF462" t="n">
        <v>47</v>
      </c>
      <c r="DG462" t="n">
        <v>69</v>
      </c>
      <c r="DH462" t="n">
        <v>59</v>
      </c>
      <c r="DI462" t="n">
        <v>78.2</v>
      </c>
      <c r="DJ462" t="n">
        <v>47</v>
      </c>
      <c r="DK462" t="n">
        <v>69</v>
      </c>
      <c r="DL462" t="n">
        <v>59</v>
      </c>
      <c r="DM462" t="n">
        <v>77.8</v>
      </c>
      <c r="DN462" t="n">
        <v>0</v>
      </c>
      <c r="DO462" t="n">
        <v>0</v>
      </c>
      <c r="DP462" t="n">
        <v>0</v>
      </c>
      <c r="DQ462" t="n">
        <v>0</v>
      </c>
      <c r="DR462" t="n">
        <v>0</v>
      </c>
      <c r="DS462" t="n">
        <v>0</v>
      </c>
      <c r="DT462" t="n">
        <v>0</v>
      </c>
      <c r="DU462" t="n">
        <v>0</v>
      </c>
      <c r="DV462" t="inlineStr">
        <is>
          <t>(CONTRACTS OF BRL 100,000)</t>
        </is>
      </c>
    </row>
    <row r="463">
      <c r="A463" t="inlineStr">
        <is>
          <t>BRAZILIAN REAL - CHICAGO MERCANTILE EXCHANGE</t>
        </is>
      </c>
      <c r="B463" t="n">
        <v>230103</v>
      </c>
      <c r="C463" s="1" t="n">
        <v>44929</v>
      </c>
      <c r="D463" t="inlineStr">
        <is>
          <t>102741</t>
        </is>
      </c>
      <c r="E463" t="inlineStr">
        <is>
          <t xml:space="preserve">CME </t>
        </is>
      </c>
      <c r="F463" t="inlineStr">
        <is>
          <t>00</t>
        </is>
      </c>
      <c r="G463" t="inlineStr">
        <is>
          <t xml:space="preserve">102 </t>
        </is>
      </c>
      <c r="H463" t="n">
        <v>37987</v>
      </c>
      <c r="I463" s="17" t="n">
        <v>32105</v>
      </c>
      <c r="J463" s="17" t="n">
        <v>3894</v>
      </c>
      <c r="K463" t="n">
        <v>7</v>
      </c>
      <c r="L463" t="n">
        <v>2779</v>
      </c>
      <c r="M463" t="n">
        <v>32427</v>
      </c>
      <c r="N463" t="n">
        <v>34891</v>
      </c>
      <c r="O463" t="n">
        <v>36328</v>
      </c>
      <c r="P463" t="n">
        <v>3096</v>
      </c>
      <c r="Q463" t="n">
        <v>1659</v>
      </c>
      <c r="R463" t="n">
        <v>37987</v>
      </c>
      <c r="S463" t="n">
        <v>32105</v>
      </c>
      <c r="T463" t="n">
        <v>3894</v>
      </c>
      <c r="U463" t="n">
        <v>7</v>
      </c>
      <c r="V463" t="n">
        <v>2779</v>
      </c>
      <c r="W463" t="n">
        <v>32427</v>
      </c>
      <c r="X463" t="n">
        <v>34891</v>
      </c>
      <c r="Y463" t="n">
        <v>36328</v>
      </c>
      <c r="Z463" t="n">
        <v>3096</v>
      </c>
      <c r="AA463" t="n">
        <v>1659</v>
      </c>
      <c r="AB463" t="n">
        <v>0</v>
      </c>
      <c r="AC463" t="n">
        <v>0</v>
      </c>
      <c r="AD463" t="n">
        <v>0</v>
      </c>
      <c r="AE463" t="n">
        <v>0</v>
      </c>
      <c r="AF463" t="n">
        <v>0</v>
      </c>
      <c r="AG463" t="n">
        <v>0</v>
      </c>
      <c r="AH463" t="n">
        <v>0</v>
      </c>
      <c r="AI463" t="n">
        <v>0</v>
      </c>
      <c r="AJ463" t="n">
        <v>0</v>
      </c>
      <c r="AK463" t="n">
        <v>0</v>
      </c>
      <c r="AL463" t="n">
        <v>-22848</v>
      </c>
      <c r="AM463" t="n">
        <v>-572</v>
      </c>
      <c r="AN463" t="n">
        <v>-21368</v>
      </c>
      <c r="AO463" t="n">
        <v>-63</v>
      </c>
      <c r="AP463" t="n">
        <v>-21223</v>
      </c>
      <c r="AQ463" t="n">
        <v>-1005</v>
      </c>
      <c r="AR463" t="n">
        <v>-21858</v>
      </c>
      <c r="AS463" t="n">
        <v>-22436</v>
      </c>
      <c r="AT463" t="n">
        <v>-990</v>
      </c>
      <c r="AU463" t="n">
        <v>-412</v>
      </c>
      <c r="AV463" t="n">
        <v>100</v>
      </c>
      <c r="AW463" t="n">
        <v>84.5</v>
      </c>
      <c r="AX463" t="n">
        <v>10.3</v>
      </c>
      <c r="AY463" t="n">
        <v>0</v>
      </c>
      <c r="AZ463" t="n">
        <v>7.3</v>
      </c>
      <c r="BA463" t="n">
        <v>85.40000000000001</v>
      </c>
      <c r="BB463" t="n">
        <v>91.8</v>
      </c>
      <c r="BC463" t="n">
        <v>95.59999999999999</v>
      </c>
      <c r="BD463" t="n">
        <v>8.199999999999999</v>
      </c>
      <c r="BE463" t="n">
        <v>4.4</v>
      </c>
      <c r="BF463" t="n">
        <v>100</v>
      </c>
      <c r="BG463" t="n">
        <v>84.5</v>
      </c>
      <c r="BH463" t="n">
        <v>10.3</v>
      </c>
      <c r="BI463" t="n">
        <v>0</v>
      </c>
      <c r="BJ463" t="n">
        <v>7.3</v>
      </c>
      <c r="BK463" t="n">
        <v>85.40000000000001</v>
      </c>
      <c r="BL463" t="n">
        <v>91.8</v>
      </c>
      <c r="BM463" t="n">
        <v>95.59999999999999</v>
      </c>
      <c r="BN463" t="n">
        <v>8.199999999999999</v>
      </c>
      <c r="BO463" t="n">
        <v>4.4</v>
      </c>
      <c r="BP463" t="n">
        <v>0</v>
      </c>
      <c r="BQ463" t="n">
        <v>0</v>
      </c>
      <c r="BR463" t="n">
        <v>0</v>
      </c>
      <c r="BS463" t="n">
        <v>0</v>
      </c>
      <c r="BT463" t="n">
        <v>0</v>
      </c>
      <c r="BU463" t="n">
        <v>0</v>
      </c>
      <c r="BV463" t="n">
        <v>0</v>
      </c>
      <c r="BW463" t="n">
        <v>0</v>
      </c>
      <c r="BX463" t="n">
        <v>0</v>
      </c>
      <c r="BY463" t="n">
        <v>0</v>
      </c>
      <c r="BZ463" t="n">
        <v>64</v>
      </c>
      <c r="CA463" t="n">
        <v>26</v>
      </c>
      <c r="CB463" t="n">
        <v>12</v>
      </c>
      <c r="CC463" t="n">
        <v>2</v>
      </c>
      <c r="CD463" t="n">
        <v>12</v>
      </c>
      <c r="CE463" t="n">
        <v>17</v>
      </c>
      <c r="CF463" t="n">
        <v>39</v>
      </c>
      <c r="CG463" t="n">
        <v>30</v>
      </c>
      <c r="CH463" t="n">
        <v>64</v>
      </c>
      <c r="CI463" t="n">
        <v>26</v>
      </c>
      <c r="CJ463" t="n">
        <v>12</v>
      </c>
      <c r="CK463" t="n">
        <v>2</v>
      </c>
      <c r="CL463" t="n">
        <v>12</v>
      </c>
      <c r="CM463" t="n">
        <v>17</v>
      </c>
      <c r="CN463" t="n">
        <v>39</v>
      </c>
      <c r="CO463" t="n">
        <v>30</v>
      </c>
      <c r="CP463" t="n">
        <v>0</v>
      </c>
      <c r="CQ463" t="n">
        <v>0</v>
      </c>
      <c r="CR463" t="n">
        <v>0</v>
      </c>
      <c r="CS463" t="n">
        <v>0</v>
      </c>
      <c r="CT463" t="n">
        <v>0</v>
      </c>
      <c r="CU463" t="n">
        <v>0</v>
      </c>
      <c r="CV463" t="n">
        <v>0</v>
      </c>
      <c r="CW463" t="n">
        <v>0</v>
      </c>
      <c r="CX463" t="n">
        <v>61.5</v>
      </c>
      <c r="CY463" t="n">
        <v>67.3</v>
      </c>
      <c r="CZ463" t="n">
        <v>71.09999999999999</v>
      </c>
      <c r="DA463" t="n">
        <v>80.09999999999999</v>
      </c>
      <c r="DB463" t="n">
        <v>61.5</v>
      </c>
      <c r="DC463" t="n">
        <v>67.3</v>
      </c>
      <c r="DD463" t="n">
        <v>71.09999999999999</v>
      </c>
      <c r="DE463" t="n">
        <v>79.7</v>
      </c>
      <c r="DF463" t="n">
        <v>61.5</v>
      </c>
      <c r="DG463" t="n">
        <v>67.3</v>
      </c>
      <c r="DH463" t="n">
        <v>71.09999999999999</v>
      </c>
      <c r="DI463" t="n">
        <v>80.09999999999999</v>
      </c>
      <c r="DJ463" t="n">
        <v>61.5</v>
      </c>
      <c r="DK463" t="n">
        <v>67.3</v>
      </c>
      <c r="DL463" t="n">
        <v>71.09999999999999</v>
      </c>
      <c r="DM463" t="n">
        <v>79.7</v>
      </c>
      <c r="DN463" t="n">
        <v>0</v>
      </c>
      <c r="DO463" t="n">
        <v>0</v>
      </c>
      <c r="DP463" t="n">
        <v>0</v>
      </c>
      <c r="DQ463" t="n">
        <v>0</v>
      </c>
      <c r="DR463" t="n">
        <v>0</v>
      </c>
      <c r="DS463" t="n">
        <v>0</v>
      </c>
      <c r="DT463" t="n">
        <v>0</v>
      </c>
      <c r="DU463" t="n">
        <v>0</v>
      </c>
      <c r="DV463" t="inlineStr">
        <is>
          <t>(CONTRACTS OF BRL 100,000)</t>
        </is>
      </c>
    </row>
    <row r="464">
      <c r="A464" t="inlineStr">
        <is>
          <t>GASOLINE RBOB - NEW YORK MERCANTILE EXCHANGE</t>
        </is>
      </c>
      <c r="B464" t="n">
        <v>230110</v>
      </c>
      <c r="C464" s="1" t="n">
        <v>44936</v>
      </c>
      <c r="D464" t="inlineStr">
        <is>
          <t>111659</t>
        </is>
      </c>
      <c r="E464" t="inlineStr">
        <is>
          <t>NYME</t>
        </is>
      </c>
      <c r="F464" t="inlineStr">
        <is>
          <t>01</t>
        </is>
      </c>
      <c r="G464" t="inlineStr">
        <is>
          <t xml:space="preserve">111 </t>
        </is>
      </c>
      <c r="H464" t="n">
        <v>257742</v>
      </c>
      <c r="I464" s="17" t="n">
        <v>76471</v>
      </c>
      <c r="J464" s="17" t="n">
        <v>18783</v>
      </c>
      <c r="K464" t="n">
        <v>39232</v>
      </c>
      <c r="L464" t="n">
        <v>120957</v>
      </c>
      <c r="M464" t="n">
        <v>183765</v>
      </c>
      <c r="N464" t="n">
        <v>236660</v>
      </c>
      <c r="O464" t="n">
        <v>241780</v>
      </c>
      <c r="P464" t="n">
        <v>21082</v>
      </c>
      <c r="Q464" t="n">
        <v>15962</v>
      </c>
      <c r="R464" t="n">
        <v>257742</v>
      </c>
      <c r="S464" t="n">
        <v>76471</v>
      </c>
      <c r="T464" t="n">
        <v>18783</v>
      </c>
      <c r="U464" t="n">
        <v>39232</v>
      </c>
      <c r="V464" t="n">
        <v>120957</v>
      </c>
      <c r="W464" t="n">
        <v>183765</v>
      </c>
      <c r="X464" t="n">
        <v>236660</v>
      </c>
      <c r="Y464" t="n">
        <v>241780</v>
      </c>
      <c r="Z464" t="n">
        <v>21082</v>
      </c>
      <c r="AA464" t="n">
        <v>15962</v>
      </c>
      <c r="AB464" t="n">
        <v>0</v>
      </c>
      <c r="AC464" t="n">
        <v>0</v>
      </c>
      <c r="AD464" t="n">
        <v>0</v>
      </c>
      <c r="AE464" t="n">
        <v>0</v>
      </c>
      <c r="AF464" t="n">
        <v>0</v>
      </c>
      <c r="AG464" t="n">
        <v>0</v>
      </c>
      <c r="AH464" t="n">
        <v>0</v>
      </c>
      <c r="AI464" t="n">
        <v>0</v>
      </c>
      <c r="AJ464" t="n">
        <v>0</v>
      </c>
      <c r="AK464" t="n">
        <v>0</v>
      </c>
      <c r="AL464" t="n">
        <v>19325</v>
      </c>
      <c r="AM464" t="n">
        <v>3670</v>
      </c>
      <c r="AN464" t="n">
        <v>-2500</v>
      </c>
      <c r="AO464" t="n">
        <v>3141</v>
      </c>
      <c r="AP464" t="n">
        <v>11322</v>
      </c>
      <c r="AQ464" t="n">
        <v>16195</v>
      </c>
      <c r="AR464" t="n">
        <v>18133</v>
      </c>
      <c r="AS464" t="n">
        <v>16836</v>
      </c>
      <c r="AT464" t="n">
        <v>1192</v>
      </c>
      <c r="AU464" t="n">
        <v>2489</v>
      </c>
      <c r="AV464" t="n">
        <v>100</v>
      </c>
      <c r="AW464" t="n">
        <v>29.7</v>
      </c>
      <c r="AX464" t="n">
        <v>7.3</v>
      </c>
      <c r="AY464" t="n">
        <v>15.2</v>
      </c>
      <c r="AZ464" t="n">
        <v>46.9</v>
      </c>
      <c r="BA464" t="n">
        <v>71.3</v>
      </c>
      <c r="BB464" t="n">
        <v>91.8</v>
      </c>
      <c r="BC464" t="n">
        <v>93.8</v>
      </c>
      <c r="BD464" t="n">
        <v>8.199999999999999</v>
      </c>
      <c r="BE464" t="n">
        <v>6.2</v>
      </c>
      <c r="BF464" t="n">
        <v>100</v>
      </c>
      <c r="BG464" t="n">
        <v>29.7</v>
      </c>
      <c r="BH464" t="n">
        <v>7.3</v>
      </c>
      <c r="BI464" t="n">
        <v>15.2</v>
      </c>
      <c r="BJ464" t="n">
        <v>46.9</v>
      </c>
      <c r="BK464" t="n">
        <v>71.3</v>
      </c>
      <c r="BL464" t="n">
        <v>91.8</v>
      </c>
      <c r="BM464" t="n">
        <v>93.8</v>
      </c>
      <c r="BN464" t="n">
        <v>8.199999999999999</v>
      </c>
      <c r="BO464" t="n">
        <v>6.2</v>
      </c>
      <c r="BP464" t="n">
        <v>0</v>
      </c>
      <c r="BQ464" t="n">
        <v>0</v>
      </c>
      <c r="BR464" t="n">
        <v>0</v>
      </c>
      <c r="BS464" t="n">
        <v>0</v>
      </c>
      <c r="BT464" t="n">
        <v>0</v>
      </c>
      <c r="BU464" t="n">
        <v>0</v>
      </c>
      <c r="BV464" t="n">
        <v>0</v>
      </c>
      <c r="BW464" t="n">
        <v>0</v>
      </c>
      <c r="BX464" t="n">
        <v>0</v>
      </c>
      <c r="BY464" t="n">
        <v>0</v>
      </c>
      <c r="BZ464" t="n">
        <v>203</v>
      </c>
      <c r="CA464" t="n">
        <v>69</v>
      </c>
      <c r="CB464" t="n">
        <v>26</v>
      </c>
      <c r="CC464" t="n">
        <v>55</v>
      </c>
      <c r="CD464" t="n">
        <v>76</v>
      </c>
      <c r="CE464" t="n">
        <v>97</v>
      </c>
      <c r="CF464" t="n">
        <v>166</v>
      </c>
      <c r="CG464" t="n">
        <v>161</v>
      </c>
      <c r="CH464" t="n">
        <v>203</v>
      </c>
      <c r="CI464" t="n">
        <v>69</v>
      </c>
      <c r="CJ464" t="n">
        <v>26</v>
      </c>
      <c r="CK464" t="n">
        <v>55</v>
      </c>
      <c r="CL464" t="n">
        <v>76</v>
      </c>
      <c r="CM464" t="n">
        <v>97</v>
      </c>
      <c r="CN464" t="n">
        <v>166</v>
      </c>
      <c r="CO464" t="n">
        <v>161</v>
      </c>
      <c r="CP464" t="n">
        <v>0</v>
      </c>
      <c r="CQ464" t="n">
        <v>0</v>
      </c>
      <c r="CR464" t="n">
        <v>0</v>
      </c>
      <c r="CS464" t="n">
        <v>0</v>
      </c>
      <c r="CT464" t="n">
        <v>0</v>
      </c>
      <c r="CU464" t="n">
        <v>0</v>
      </c>
      <c r="CV464" t="n">
        <v>0</v>
      </c>
      <c r="CW464" t="n">
        <v>0</v>
      </c>
      <c r="CX464" t="n">
        <v>13.8</v>
      </c>
      <c r="CY464" t="n">
        <v>16.2</v>
      </c>
      <c r="CZ464" t="n">
        <v>23.5</v>
      </c>
      <c r="DA464" t="n">
        <v>25</v>
      </c>
      <c r="DB464" t="n">
        <v>10.4</v>
      </c>
      <c r="DC464" t="n">
        <v>11.5</v>
      </c>
      <c r="DD464" t="n">
        <v>17.3</v>
      </c>
      <c r="DE464" t="n">
        <v>18.9</v>
      </c>
      <c r="DF464" t="n">
        <v>13.8</v>
      </c>
      <c r="DG464" t="n">
        <v>16.2</v>
      </c>
      <c r="DH464" t="n">
        <v>23.5</v>
      </c>
      <c r="DI464" t="n">
        <v>25</v>
      </c>
      <c r="DJ464" t="n">
        <v>10.4</v>
      </c>
      <c r="DK464" t="n">
        <v>11.5</v>
      </c>
      <c r="DL464" t="n">
        <v>17.3</v>
      </c>
      <c r="DM464" t="n">
        <v>18.9</v>
      </c>
      <c r="DN464" t="n">
        <v>0</v>
      </c>
      <c r="DO464" t="n">
        <v>0</v>
      </c>
      <c r="DP464" t="n">
        <v>0</v>
      </c>
      <c r="DQ464" t="n">
        <v>0</v>
      </c>
      <c r="DR464" t="n">
        <v>0</v>
      </c>
      <c r="DS464" t="n">
        <v>0</v>
      </c>
      <c r="DT464" t="n">
        <v>0</v>
      </c>
      <c r="DU464" t="n">
        <v>0</v>
      </c>
      <c r="DV464" t="inlineStr">
        <is>
          <t>(CONTRACTS OF 42,000 U.S. GALLONS)</t>
        </is>
      </c>
    </row>
    <row r="465">
      <c r="A465" t="inlineStr">
        <is>
          <t>GASOLINE RBOB - NEW YORK MERCANTILE EXCHANGE</t>
        </is>
      </c>
      <c r="B465" t="n">
        <v>230103</v>
      </c>
      <c r="C465" s="1" t="n">
        <v>44929</v>
      </c>
      <c r="D465" t="inlineStr">
        <is>
          <t>111659</t>
        </is>
      </c>
      <c r="E465" t="inlineStr">
        <is>
          <t>NYME</t>
        </is>
      </c>
      <c r="F465" t="inlineStr">
        <is>
          <t>01</t>
        </is>
      </c>
      <c r="G465" t="inlineStr">
        <is>
          <t xml:space="preserve">111 </t>
        </is>
      </c>
      <c r="H465" t="n">
        <v>238417</v>
      </c>
      <c r="I465" s="17" t="n">
        <v>72801</v>
      </c>
      <c r="J465" s="17" t="n">
        <v>21283</v>
      </c>
      <c r="K465" t="n">
        <v>36091</v>
      </c>
      <c r="L465" t="n">
        <v>109635</v>
      </c>
      <c r="M465" t="n">
        <v>167570</v>
      </c>
      <c r="N465" t="n">
        <v>218527</v>
      </c>
      <c r="O465" t="n">
        <v>224944</v>
      </c>
      <c r="P465" t="n">
        <v>19890</v>
      </c>
      <c r="Q465" t="n">
        <v>13473</v>
      </c>
      <c r="R465" t="n">
        <v>238417</v>
      </c>
      <c r="S465" t="n">
        <v>72801</v>
      </c>
      <c r="T465" t="n">
        <v>21283</v>
      </c>
      <c r="U465" t="n">
        <v>36091</v>
      </c>
      <c r="V465" t="n">
        <v>109635</v>
      </c>
      <c r="W465" t="n">
        <v>167570</v>
      </c>
      <c r="X465" t="n">
        <v>218527</v>
      </c>
      <c r="Y465" t="n">
        <v>224944</v>
      </c>
      <c r="Z465" t="n">
        <v>19890</v>
      </c>
      <c r="AA465" t="n">
        <v>13473</v>
      </c>
      <c r="AB465" t="n">
        <v>0</v>
      </c>
      <c r="AC465" t="n">
        <v>0</v>
      </c>
      <c r="AD465" t="n">
        <v>0</v>
      </c>
      <c r="AE465" t="n">
        <v>0</v>
      </c>
      <c r="AF465" t="n">
        <v>0</v>
      </c>
      <c r="AG465" t="n">
        <v>0</v>
      </c>
      <c r="AH465" t="n">
        <v>0</v>
      </c>
      <c r="AI465" t="n">
        <v>0</v>
      </c>
      <c r="AJ465" t="n">
        <v>0</v>
      </c>
      <c r="AK465" t="n">
        <v>0</v>
      </c>
      <c r="AL465" t="n">
        <v>-8979</v>
      </c>
      <c r="AM465" t="n">
        <v>321</v>
      </c>
      <c r="AN465" t="n">
        <v>-322</v>
      </c>
      <c r="AO465" t="n">
        <v>-2601</v>
      </c>
      <c r="AP465" t="n">
        <v>-7130</v>
      </c>
      <c r="AQ465" t="n">
        <v>-4019</v>
      </c>
      <c r="AR465" t="n">
        <v>-9410</v>
      </c>
      <c r="AS465" t="n">
        <v>-6942</v>
      </c>
      <c r="AT465" t="n">
        <v>431</v>
      </c>
      <c r="AU465" t="n">
        <v>-2037</v>
      </c>
      <c r="AV465" t="n">
        <v>100</v>
      </c>
      <c r="AW465" t="n">
        <v>30.5</v>
      </c>
      <c r="AX465" t="n">
        <v>8.9</v>
      </c>
      <c r="AY465" t="n">
        <v>15.1</v>
      </c>
      <c r="AZ465" t="n">
        <v>46</v>
      </c>
      <c r="BA465" t="n">
        <v>70.3</v>
      </c>
      <c r="BB465" t="n">
        <v>91.7</v>
      </c>
      <c r="BC465" t="n">
        <v>94.3</v>
      </c>
      <c r="BD465" t="n">
        <v>8.300000000000001</v>
      </c>
      <c r="BE465" t="n">
        <v>5.7</v>
      </c>
      <c r="BF465" t="n">
        <v>100</v>
      </c>
      <c r="BG465" t="n">
        <v>30.5</v>
      </c>
      <c r="BH465" t="n">
        <v>8.9</v>
      </c>
      <c r="BI465" t="n">
        <v>15.1</v>
      </c>
      <c r="BJ465" t="n">
        <v>46</v>
      </c>
      <c r="BK465" t="n">
        <v>70.3</v>
      </c>
      <c r="BL465" t="n">
        <v>91.7</v>
      </c>
      <c r="BM465" t="n">
        <v>94.3</v>
      </c>
      <c r="BN465" t="n">
        <v>8.300000000000001</v>
      </c>
      <c r="BO465" t="n">
        <v>5.7</v>
      </c>
      <c r="BP465" t="n">
        <v>0</v>
      </c>
      <c r="BQ465" t="n">
        <v>0</v>
      </c>
      <c r="BR465" t="n">
        <v>0</v>
      </c>
      <c r="BS465" t="n">
        <v>0</v>
      </c>
      <c r="BT465" t="n">
        <v>0</v>
      </c>
      <c r="BU465" t="n">
        <v>0</v>
      </c>
      <c r="BV465" t="n">
        <v>0</v>
      </c>
      <c r="BW465" t="n">
        <v>0</v>
      </c>
      <c r="BX465" t="n">
        <v>0</v>
      </c>
      <c r="BY465" t="n">
        <v>0</v>
      </c>
      <c r="BZ465" t="n">
        <v>207</v>
      </c>
      <c r="CA465" t="n">
        <v>69</v>
      </c>
      <c r="CB465" t="n">
        <v>30</v>
      </c>
      <c r="CC465" t="n">
        <v>60</v>
      </c>
      <c r="CD465" t="n">
        <v>75</v>
      </c>
      <c r="CE465" t="n">
        <v>97</v>
      </c>
      <c r="CF465" t="n">
        <v>170</v>
      </c>
      <c r="CG465" t="n">
        <v>164</v>
      </c>
      <c r="CH465" t="n">
        <v>207</v>
      </c>
      <c r="CI465" t="n">
        <v>69</v>
      </c>
      <c r="CJ465" t="n">
        <v>30</v>
      </c>
      <c r="CK465" t="n">
        <v>60</v>
      </c>
      <c r="CL465" t="n">
        <v>75</v>
      </c>
      <c r="CM465" t="n">
        <v>97</v>
      </c>
      <c r="CN465" t="n">
        <v>170</v>
      </c>
      <c r="CO465" t="n">
        <v>164</v>
      </c>
      <c r="CP465" t="n">
        <v>0</v>
      </c>
      <c r="CQ465" t="n">
        <v>0</v>
      </c>
      <c r="CR465" t="n">
        <v>0</v>
      </c>
      <c r="CS465" t="n">
        <v>0</v>
      </c>
      <c r="CT465" t="n">
        <v>0</v>
      </c>
      <c r="CU465" t="n">
        <v>0</v>
      </c>
      <c r="CV465" t="n">
        <v>0</v>
      </c>
      <c r="CW465" t="n">
        <v>0</v>
      </c>
      <c r="CX465" t="n">
        <v>13.8</v>
      </c>
      <c r="CY465" t="n">
        <v>17.4</v>
      </c>
      <c r="CZ465" t="n">
        <v>23.7</v>
      </c>
      <c r="DA465" t="n">
        <v>26.9</v>
      </c>
      <c r="DB465" t="n">
        <v>11.7</v>
      </c>
      <c r="DC465" t="n">
        <v>12.4</v>
      </c>
      <c r="DD465" t="n">
        <v>18.6</v>
      </c>
      <c r="DE465" t="n">
        <v>19.7</v>
      </c>
      <c r="DF465" t="n">
        <v>13.8</v>
      </c>
      <c r="DG465" t="n">
        <v>17.4</v>
      </c>
      <c r="DH465" t="n">
        <v>23.7</v>
      </c>
      <c r="DI465" t="n">
        <v>26.9</v>
      </c>
      <c r="DJ465" t="n">
        <v>11.7</v>
      </c>
      <c r="DK465" t="n">
        <v>12.4</v>
      </c>
      <c r="DL465" t="n">
        <v>18.6</v>
      </c>
      <c r="DM465" t="n">
        <v>19.7</v>
      </c>
      <c r="DN465" t="n">
        <v>0</v>
      </c>
      <c r="DO465" t="n">
        <v>0</v>
      </c>
      <c r="DP465" t="n">
        <v>0</v>
      </c>
      <c r="DQ465" t="n">
        <v>0</v>
      </c>
      <c r="DR465" t="n">
        <v>0</v>
      </c>
      <c r="DS465" t="n">
        <v>0</v>
      </c>
      <c r="DT465" t="n">
        <v>0</v>
      </c>
      <c r="DU465" t="n">
        <v>0</v>
      </c>
      <c r="DV465" t="inlineStr">
        <is>
          <t>(CONTRACTS OF 42,000 U.S. GALLONS)</t>
        </is>
      </c>
    </row>
    <row r="466">
      <c r="A466" t="inlineStr">
        <is>
          <t>NZ DOLLAR - CHICAGO MERCANTILE EXCHANGE</t>
        </is>
      </c>
      <c r="B466" t="n">
        <v>230110</v>
      </c>
      <c r="C466" s="1" t="n">
        <v>44936</v>
      </c>
      <c r="D466" t="inlineStr">
        <is>
          <t>112741</t>
        </is>
      </c>
      <c r="E466" t="inlineStr">
        <is>
          <t xml:space="preserve">CME </t>
        </is>
      </c>
      <c r="F466" t="inlineStr">
        <is>
          <t>00</t>
        </is>
      </c>
      <c r="G466" t="inlineStr">
        <is>
          <t xml:space="preserve">112 </t>
        </is>
      </c>
      <c r="H466" t="n">
        <v>27566</v>
      </c>
      <c r="I466" s="17" t="n">
        <v>12607</v>
      </c>
      <c r="J466" s="17" t="n">
        <v>5257</v>
      </c>
      <c r="K466" t="n">
        <v>233</v>
      </c>
      <c r="L466" t="n">
        <v>10520</v>
      </c>
      <c r="M466" t="n">
        <v>19019</v>
      </c>
      <c r="N466" t="n">
        <v>23360</v>
      </c>
      <c r="O466" t="n">
        <v>24509</v>
      </c>
      <c r="P466" t="n">
        <v>4206</v>
      </c>
      <c r="Q466" t="n">
        <v>3057</v>
      </c>
      <c r="R466" t="n">
        <v>27566</v>
      </c>
      <c r="S466" t="n">
        <v>12607</v>
      </c>
      <c r="T466" t="n">
        <v>5257</v>
      </c>
      <c r="U466" t="n">
        <v>233</v>
      </c>
      <c r="V466" t="n">
        <v>10520</v>
      </c>
      <c r="W466" t="n">
        <v>19019</v>
      </c>
      <c r="X466" t="n">
        <v>23360</v>
      </c>
      <c r="Y466" t="n">
        <v>24509</v>
      </c>
      <c r="Z466" t="n">
        <v>4206</v>
      </c>
      <c r="AA466" t="n">
        <v>3057</v>
      </c>
      <c r="AB466" t="n">
        <v>0</v>
      </c>
      <c r="AC466" t="n">
        <v>0</v>
      </c>
      <c r="AD466" t="n">
        <v>0</v>
      </c>
      <c r="AE466" t="n">
        <v>0</v>
      </c>
      <c r="AF466" t="n">
        <v>0</v>
      </c>
      <c r="AG466" t="n">
        <v>0</v>
      </c>
      <c r="AH466" t="n">
        <v>0</v>
      </c>
      <c r="AI466" t="n">
        <v>0</v>
      </c>
      <c r="AJ466" t="n">
        <v>0</v>
      </c>
      <c r="AK466" t="n">
        <v>0</v>
      </c>
      <c r="AL466" t="n">
        <v>-2207</v>
      </c>
      <c r="AM466" t="n">
        <v>-759</v>
      </c>
      <c r="AN466" t="n">
        <v>-629</v>
      </c>
      <c r="AO466" t="n">
        <v>46</v>
      </c>
      <c r="AP466" t="n">
        <v>-1858</v>
      </c>
      <c r="AQ466" t="n">
        <v>-1529</v>
      </c>
      <c r="AR466" t="n">
        <v>-2571</v>
      </c>
      <c r="AS466" t="n">
        <v>-2112</v>
      </c>
      <c r="AT466" t="n">
        <v>364</v>
      </c>
      <c r="AU466" t="n">
        <v>-95</v>
      </c>
      <c r="AV466" t="n">
        <v>100</v>
      </c>
      <c r="AW466" t="n">
        <v>45.7</v>
      </c>
      <c r="AX466" t="n">
        <v>19.1</v>
      </c>
      <c r="AY466" t="n">
        <v>0.8</v>
      </c>
      <c r="AZ466" t="n">
        <v>38.2</v>
      </c>
      <c r="BA466" t="n">
        <v>69</v>
      </c>
      <c r="BB466" t="n">
        <v>84.7</v>
      </c>
      <c r="BC466" t="n">
        <v>88.90000000000001</v>
      </c>
      <c r="BD466" t="n">
        <v>15.3</v>
      </c>
      <c r="BE466" t="n">
        <v>11.1</v>
      </c>
      <c r="BF466" t="n">
        <v>100</v>
      </c>
      <c r="BG466" t="n">
        <v>45.7</v>
      </c>
      <c r="BH466" t="n">
        <v>19.1</v>
      </c>
      <c r="BI466" t="n">
        <v>0.8</v>
      </c>
      <c r="BJ466" t="n">
        <v>38.2</v>
      </c>
      <c r="BK466" t="n">
        <v>69</v>
      </c>
      <c r="BL466" t="n">
        <v>84.7</v>
      </c>
      <c r="BM466" t="n">
        <v>88.90000000000001</v>
      </c>
      <c r="BN466" t="n">
        <v>15.3</v>
      </c>
      <c r="BO466" t="n">
        <v>11.1</v>
      </c>
      <c r="BP466" t="n">
        <v>0</v>
      </c>
      <c r="BQ466" t="n">
        <v>0</v>
      </c>
      <c r="BR466" t="n">
        <v>0</v>
      </c>
      <c r="BS466" t="n">
        <v>0</v>
      </c>
      <c r="BT466" t="n">
        <v>0</v>
      </c>
      <c r="BU466" t="n">
        <v>0</v>
      </c>
      <c r="BV466" t="n">
        <v>0</v>
      </c>
      <c r="BW466" t="n">
        <v>0</v>
      </c>
      <c r="BX466" t="n">
        <v>0</v>
      </c>
      <c r="BY466" t="n">
        <v>0</v>
      </c>
      <c r="BZ466" t="n">
        <v>70</v>
      </c>
      <c r="CA466" t="n">
        <v>23</v>
      </c>
      <c r="CB466" t="n">
        <v>14</v>
      </c>
      <c r="CC466" t="n">
        <v>4</v>
      </c>
      <c r="CD466" t="n">
        <v>19</v>
      </c>
      <c r="CE466" t="n">
        <v>21</v>
      </c>
      <c r="CF466" t="n">
        <v>44</v>
      </c>
      <c r="CG466" t="n">
        <v>37</v>
      </c>
      <c r="CH466" t="n">
        <v>70</v>
      </c>
      <c r="CI466" t="n">
        <v>23</v>
      </c>
      <c r="CJ466" t="n">
        <v>14</v>
      </c>
      <c r="CK466" t="n">
        <v>4</v>
      </c>
      <c r="CL466" t="n">
        <v>19</v>
      </c>
      <c r="CM466" t="n">
        <v>21</v>
      </c>
      <c r="CN466" t="n">
        <v>44</v>
      </c>
      <c r="CO466" t="n">
        <v>37</v>
      </c>
      <c r="CP466" t="n">
        <v>0</v>
      </c>
      <c r="CQ466" t="n">
        <v>0</v>
      </c>
      <c r="CR466" t="n">
        <v>0</v>
      </c>
      <c r="CS466" t="n">
        <v>0</v>
      </c>
      <c r="CT466" t="n">
        <v>0</v>
      </c>
      <c r="CU466" t="n">
        <v>0</v>
      </c>
      <c r="CV466" t="n">
        <v>0</v>
      </c>
      <c r="CW466" t="n">
        <v>0</v>
      </c>
      <c r="CX466" t="n">
        <v>31.8</v>
      </c>
      <c r="CY466" t="n">
        <v>44.5</v>
      </c>
      <c r="CZ466" t="n">
        <v>48.8</v>
      </c>
      <c r="DA466" t="n">
        <v>62.8</v>
      </c>
      <c r="DB466" t="n">
        <v>31.5</v>
      </c>
      <c r="DC466" t="n">
        <v>43.9</v>
      </c>
      <c r="DD466" t="n">
        <v>48.6</v>
      </c>
      <c r="DE466" t="n">
        <v>62</v>
      </c>
      <c r="DF466" t="n">
        <v>31.8</v>
      </c>
      <c r="DG466" t="n">
        <v>44.5</v>
      </c>
      <c r="DH466" t="n">
        <v>48.8</v>
      </c>
      <c r="DI466" t="n">
        <v>62.8</v>
      </c>
      <c r="DJ466" t="n">
        <v>31.5</v>
      </c>
      <c r="DK466" t="n">
        <v>43.9</v>
      </c>
      <c r="DL466" t="n">
        <v>48.6</v>
      </c>
      <c r="DM466" t="n">
        <v>62</v>
      </c>
      <c r="DN466" t="n">
        <v>0</v>
      </c>
      <c r="DO466" t="n">
        <v>0</v>
      </c>
      <c r="DP466" t="n">
        <v>0</v>
      </c>
      <c r="DQ466" t="n">
        <v>0</v>
      </c>
      <c r="DR466" t="n">
        <v>0</v>
      </c>
      <c r="DS466" t="n">
        <v>0</v>
      </c>
      <c r="DT466" t="n">
        <v>0</v>
      </c>
      <c r="DU466" t="n">
        <v>0</v>
      </c>
      <c r="DV466" t="inlineStr">
        <is>
          <t>(CONTRACTS OF NZD 100,000)</t>
        </is>
      </c>
    </row>
    <row r="467">
      <c r="A467" t="inlineStr">
        <is>
          <t>NZ DOLLAR - CHICAGO MERCANTILE EXCHANGE</t>
        </is>
      </c>
      <c r="B467" t="n">
        <v>230103</v>
      </c>
      <c r="C467" s="1" t="n">
        <v>44929</v>
      </c>
      <c r="D467" t="inlineStr">
        <is>
          <t>112741</t>
        </is>
      </c>
      <c r="E467" t="inlineStr">
        <is>
          <t xml:space="preserve">CME </t>
        </is>
      </c>
      <c r="F467" t="inlineStr">
        <is>
          <t>00</t>
        </is>
      </c>
      <c r="G467" t="inlineStr">
        <is>
          <t xml:space="preserve">112 </t>
        </is>
      </c>
      <c r="H467" t="n">
        <v>29773</v>
      </c>
      <c r="I467" s="17" t="n">
        <v>13366</v>
      </c>
      <c r="J467" s="17" t="n">
        <v>5886</v>
      </c>
      <c r="K467" t="n">
        <v>187</v>
      </c>
      <c r="L467" t="n">
        <v>12378</v>
      </c>
      <c r="M467" t="n">
        <v>20548</v>
      </c>
      <c r="N467" t="n">
        <v>25931</v>
      </c>
      <c r="O467" t="n">
        <v>26621</v>
      </c>
      <c r="P467" t="n">
        <v>3842</v>
      </c>
      <c r="Q467" t="n">
        <v>3152</v>
      </c>
      <c r="R467" t="n">
        <v>29773</v>
      </c>
      <c r="S467" t="n">
        <v>13366</v>
      </c>
      <c r="T467" t="n">
        <v>5886</v>
      </c>
      <c r="U467" t="n">
        <v>187</v>
      </c>
      <c r="V467" t="n">
        <v>12378</v>
      </c>
      <c r="W467" t="n">
        <v>20548</v>
      </c>
      <c r="X467" t="n">
        <v>25931</v>
      </c>
      <c r="Y467" t="n">
        <v>26621</v>
      </c>
      <c r="Z467" t="n">
        <v>3842</v>
      </c>
      <c r="AA467" t="n">
        <v>3152</v>
      </c>
      <c r="AB467" t="n">
        <v>0</v>
      </c>
      <c r="AC467" t="n">
        <v>0</v>
      </c>
      <c r="AD467" t="n">
        <v>0</v>
      </c>
      <c r="AE467" t="n">
        <v>0</v>
      </c>
      <c r="AF467" t="n">
        <v>0</v>
      </c>
      <c r="AG467" t="n">
        <v>0</v>
      </c>
      <c r="AH467" t="n">
        <v>0</v>
      </c>
      <c r="AI467" t="n">
        <v>0</v>
      </c>
      <c r="AJ467" t="n">
        <v>0</v>
      </c>
      <c r="AK467" t="n">
        <v>0</v>
      </c>
      <c r="AL467" t="n">
        <v>-3779</v>
      </c>
      <c r="AM467" t="n">
        <v>-2210</v>
      </c>
      <c r="AN467" t="n">
        <v>-2783</v>
      </c>
      <c r="AO467" t="n">
        <v>-245</v>
      </c>
      <c r="AP467" t="n">
        <v>-1105</v>
      </c>
      <c r="AQ467" t="n">
        <v>-1207</v>
      </c>
      <c r="AR467" t="n">
        <v>-3560</v>
      </c>
      <c r="AS467" t="n">
        <v>-4235</v>
      </c>
      <c r="AT467" t="n">
        <v>-219</v>
      </c>
      <c r="AU467" t="n">
        <v>456</v>
      </c>
      <c r="AV467" t="n">
        <v>100</v>
      </c>
      <c r="AW467" t="n">
        <v>44.9</v>
      </c>
      <c r="AX467" t="n">
        <v>19.8</v>
      </c>
      <c r="AY467" t="n">
        <v>0.6</v>
      </c>
      <c r="AZ467" t="n">
        <v>41.6</v>
      </c>
      <c r="BA467" t="n">
        <v>69</v>
      </c>
      <c r="BB467" t="n">
        <v>87.09999999999999</v>
      </c>
      <c r="BC467" t="n">
        <v>89.40000000000001</v>
      </c>
      <c r="BD467" t="n">
        <v>12.9</v>
      </c>
      <c r="BE467" t="n">
        <v>10.6</v>
      </c>
      <c r="BF467" t="n">
        <v>100</v>
      </c>
      <c r="BG467" t="n">
        <v>44.9</v>
      </c>
      <c r="BH467" t="n">
        <v>19.8</v>
      </c>
      <c r="BI467" t="n">
        <v>0.6</v>
      </c>
      <c r="BJ467" t="n">
        <v>41.6</v>
      </c>
      <c r="BK467" t="n">
        <v>69</v>
      </c>
      <c r="BL467" t="n">
        <v>87.09999999999999</v>
      </c>
      <c r="BM467" t="n">
        <v>89.40000000000001</v>
      </c>
      <c r="BN467" t="n">
        <v>12.9</v>
      </c>
      <c r="BO467" t="n">
        <v>10.6</v>
      </c>
      <c r="BP467" t="n">
        <v>0</v>
      </c>
      <c r="BQ467" t="n">
        <v>0</v>
      </c>
      <c r="BR467" t="n">
        <v>0</v>
      </c>
      <c r="BS467" t="n">
        <v>0</v>
      </c>
      <c r="BT467" t="n">
        <v>0</v>
      </c>
      <c r="BU467" t="n">
        <v>0</v>
      </c>
      <c r="BV467" t="n">
        <v>0</v>
      </c>
      <c r="BW467" t="n">
        <v>0</v>
      </c>
      <c r="BX467" t="n">
        <v>0</v>
      </c>
      <c r="BY467" t="n">
        <v>0</v>
      </c>
      <c r="BZ467" t="n">
        <v>70</v>
      </c>
      <c r="CA467" t="n">
        <v>23</v>
      </c>
      <c r="CB467" t="n">
        <v>15</v>
      </c>
      <c r="CC467" t="n">
        <v>5</v>
      </c>
      <c r="CD467" t="n">
        <v>18</v>
      </c>
      <c r="CE467" t="n">
        <v>20</v>
      </c>
      <c r="CF467" t="n">
        <v>43</v>
      </c>
      <c r="CG467" t="n">
        <v>38</v>
      </c>
      <c r="CH467" t="n">
        <v>70</v>
      </c>
      <c r="CI467" t="n">
        <v>23</v>
      </c>
      <c r="CJ467" t="n">
        <v>15</v>
      </c>
      <c r="CK467" t="n">
        <v>5</v>
      </c>
      <c r="CL467" t="n">
        <v>18</v>
      </c>
      <c r="CM467" t="n">
        <v>20</v>
      </c>
      <c r="CN467" t="n">
        <v>43</v>
      </c>
      <c r="CO467" t="n">
        <v>38</v>
      </c>
      <c r="CP467" t="n">
        <v>0</v>
      </c>
      <c r="CQ467" t="n">
        <v>0</v>
      </c>
      <c r="CR467" t="n">
        <v>0</v>
      </c>
      <c r="CS467" t="n">
        <v>0</v>
      </c>
      <c r="CT467" t="n">
        <v>0</v>
      </c>
      <c r="CU467" t="n">
        <v>0</v>
      </c>
      <c r="CV467" t="n">
        <v>0</v>
      </c>
      <c r="CW467" t="n">
        <v>0</v>
      </c>
      <c r="CX467" t="n">
        <v>33.5</v>
      </c>
      <c r="CY467" t="n">
        <v>46.4</v>
      </c>
      <c r="CZ467" t="n">
        <v>53.4</v>
      </c>
      <c r="DA467" t="n">
        <v>65.2</v>
      </c>
      <c r="DB467" t="n">
        <v>33.5</v>
      </c>
      <c r="DC467" t="n">
        <v>46.2</v>
      </c>
      <c r="DD467" t="n">
        <v>53.3</v>
      </c>
      <c r="DE467" t="n">
        <v>64.59999999999999</v>
      </c>
      <c r="DF467" t="n">
        <v>33.5</v>
      </c>
      <c r="DG467" t="n">
        <v>46.4</v>
      </c>
      <c r="DH467" t="n">
        <v>53.4</v>
      </c>
      <c r="DI467" t="n">
        <v>65.2</v>
      </c>
      <c r="DJ467" t="n">
        <v>33.5</v>
      </c>
      <c r="DK467" t="n">
        <v>46.2</v>
      </c>
      <c r="DL467" t="n">
        <v>53.3</v>
      </c>
      <c r="DM467" t="n">
        <v>64.59999999999999</v>
      </c>
      <c r="DN467" t="n">
        <v>0</v>
      </c>
      <c r="DO467" t="n">
        <v>0</v>
      </c>
      <c r="DP467" t="n">
        <v>0</v>
      </c>
      <c r="DQ467" t="n">
        <v>0</v>
      </c>
      <c r="DR467" t="n">
        <v>0</v>
      </c>
      <c r="DS467" t="n">
        <v>0</v>
      </c>
      <c r="DT467" t="n">
        <v>0</v>
      </c>
      <c r="DU467" t="n">
        <v>0</v>
      </c>
      <c r="DV467" t="inlineStr">
        <is>
          <t>(CONTRACTS OF NZD 100,000)</t>
        </is>
      </c>
    </row>
    <row r="468">
      <c r="A468" t="inlineStr">
        <is>
          <t>VIX FUTURES - CBOE FUTURES EXCHANGE</t>
        </is>
      </c>
      <c r="B468" t="n">
        <v>230110</v>
      </c>
      <c r="C468" s="1" t="n">
        <v>44936</v>
      </c>
      <c r="D468" t="inlineStr">
        <is>
          <t>1170E1</t>
        </is>
      </c>
      <c r="E468" t="inlineStr">
        <is>
          <t xml:space="preserve">E   </t>
        </is>
      </c>
      <c r="F468" t="inlineStr">
        <is>
          <t>00</t>
        </is>
      </c>
      <c r="G468" t="inlineStr">
        <is>
          <t xml:space="preserve">117 </t>
        </is>
      </c>
      <c r="H468" t="n">
        <v>301215</v>
      </c>
      <c r="I468" s="17" t="n">
        <v>50080</v>
      </c>
      <c r="J468" s="17" t="n">
        <v>122887</v>
      </c>
      <c r="K468" t="n">
        <v>61162</v>
      </c>
      <c r="L468" t="n">
        <v>170766</v>
      </c>
      <c r="M468" t="n">
        <v>90956</v>
      </c>
      <c r="N468" t="n">
        <v>282008</v>
      </c>
      <c r="O468" t="n">
        <v>275005</v>
      </c>
      <c r="P468" t="n">
        <v>19207</v>
      </c>
      <c r="Q468" t="n">
        <v>26210</v>
      </c>
      <c r="R468" t="n">
        <v>301215</v>
      </c>
      <c r="S468" t="n">
        <v>50080</v>
      </c>
      <c r="T468" t="n">
        <v>122887</v>
      </c>
      <c r="U468" t="n">
        <v>61162</v>
      </c>
      <c r="V468" t="n">
        <v>170766</v>
      </c>
      <c r="W468" t="n">
        <v>90956</v>
      </c>
      <c r="X468" t="n">
        <v>282008</v>
      </c>
      <c r="Y468" t="n">
        <v>275005</v>
      </c>
      <c r="Z468" t="n">
        <v>19207</v>
      </c>
      <c r="AA468" t="n">
        <v>26210</v>
      </c>
      <c r="AB468" t="n">
        <v>0</v>
      </c>
      <c r="AC468" t="n">
        <v>0</v>
      </c>
      <c r="AD468" t="n">
        <v>0</v>
      </c>
      <c r="AE468" t="n">
        <v>0</v>
      </c>
      <c r="AF468" t="n">
        <v>0</v>
      </c>
      <c r="AG468" t="n">
        <v>0</v>
      </c>
      <c r="AH468" t="n">
        <v>0</v>
      </c>
      <c r="AI468" t="n">
        <v>0</v>
      </c>
      <c r="AJ468" t="n">
        <v>0</v>
      </c>
      <c r="AK468" t="n">
        <v>0</v>
      </c>
      <c r="AL468" t="n">
        <v>3886</v>
      </c>
      <c r="AM468" t="n">
        <v>-6633</v>
      </c>
      <c r="AN468" t="n">
        <v>-1826</v>
      </c>
      <c r="AO468" t="n">
        <v>7860</v>
      </c>
      <c r="AP468" t="n">
        <v>2440</v>
      </c>
      <c r="AQ468" t="n">
        <v>-2041</v>
      </c>
      <c r="AR468" t="n">
        <v>3667</v>
      </c>
      <c r="AS468" t="n">
        <v>3993</v>
      </c>
      <c r="AT468" t="n">
        <v>219</v>
      </c>
      <c r="AU468" t="n">
        <v>-107</v>
      </c>
      <c r="AV468" t="n">
        <v>100</v>
      </c>
      <c r="AW468" t="n">
        <v>16.6</v>
      </c>
      <c r="AX468" t="n">
        <v>40.8</v>
      </c>
      <c r="AY468" t="n">
        <v>20.3</v>
      </c>
      <c r="AZ468" t="n">
        <v>56.7</v>
      </c>
      <c r="BA468" t="n">
        <v>30.2</v>
      </c>
      <c r="BB468" t="n">
        <v>93.59999999999999</v>
      </c>
      <c r="BC468" t="n">
        <v>91.3</v>
      </c>
      <c r="BD468" t="n">
        <v>6.4</v>
      </c>
      <c r="BE468" t="n">
        <v>8.699999999999999</v>
      </c>
      <c r="BF468" t="n">
        <v>100</v>
      </c>
      <c r="BG468" t="n">
        <v>16.6</v>
      </c>
      <c r="BH468" t="n">
        <v>40.8</v>
      </c>
      <c r="BI468" t="n">
        <v>20.3</v>
      </c>
      <c r="BJ468" t="n">
        <v>56.7</v>
      </c>
      <c r="BK468" t="n">
        <v>30.2</v>
      </c>
      <c r="BL468" t="n">
        <v>93.59999999999999</v>
      </c>
      <c r="BM468" t="n">
        <v>91.3</v>
      </c>
      <c r="BN468" t="n">
        <v>6.4</v>
      </c>
      <c r="BO468" t="n">
        <v>8.699999999999999</v>
      </c>
      <c r="BP468" t="n">
        <v>0</v>
      </c>
      <c r="BQ468" t="n">
        <v>0</v>
      </c>
      <c r="BR468" t="n">
        <v>0</v>
      </c>
      <c r="BS468" t="n">
        <v>0</v>
      </c>
      <c r="BT468" t="n">
        <v>0</v>
      </c>
      <c r="BU468" t="n">
        <v>0</v>
      </c>
      <c r="BV468" t="n">
        <v>0</v>
      </c>
      <c r="BW468" t="n">
        <v>0</v>
      </c>
      <c r="BX468" t="n">
        <v>0</v>
      </c>
      <c r="BY468" t="n">
        <v>0</v>
      </c>
      <c r="BZ468" t="n">
        <v>175</v>
      </c>
      <c r="CA468" t="n">
        <v>47</v>
      </c>
      <c r="CB468" t="n">
        <v>67</v>
      </c>
      <c r="CC468" t="n">
        <v>65</v>
      </c>
      <c r="CD468" t="n">
        <v>45</v>
      </c>
      <c r="CE468" t="n">
        <v>40</v>
      </c>
      <c r="CF468" t="n">
        <v>127</v>
      </c>
      <c r="CG468" t="n">
        <v>143</v>
      </c>
      <c r="CH468" t="n">
        <v>175</v>
      </c>
      <c r="CI468" t="n">
        <v>47</v>
      </c>
      <c r="CJ468" t="n">
        <v>67</v>
      </c>
      <c r="CK468" t="n">
        <v>65</v>
      </c>
      <c r="CL468" t="n">
        <v>45</v>
      </c>
      <c r="CM468" t="n">
        <v>40</v>
      </c>
      <c r="CN468" t="n">
        <v>127</v>
      </c>
      <c r="CO468" t="n">
        <v>143</v>
      </c>
      <c r="CP468" t="n">
        <v>0</v>
      </c>
      <c r="CQ468" t="n">
        <v>0</v>
      </c>
      <c r="CR468" t="n">
        <v>0</v>
      </c>
      <c r="CS468" t="n">
        <v>0</v>
      </c>
      <c r="CT468" t="n">
        <v>0</v>
      </c>
      <c r="CU468" t="n">
        <v>0</v>
      </c>
      <c r="CV468" t="n">
        <v>0</v>
      </c>
      <c r="CW468" t="n">
        <v>0</v>
      </c>
      <c r="CX468" t="n">
        <v>31.2</v>
      </c>
      <c r="CY468" t="n">
        <v>19.7</v>
      </c>
      <c r="CZ468" t="n">
        <v>40.2</v>
      </c>
      <c r="DA468" t="n">
        <v>31.7</v>
      </c>
      <c r="DB468" t="n">
        <v>28.9</v>
      </c>
      <c r="DC468" t="n">
        <v>15.7</v>
      </c>
      <c r="DD468" t="n">
        <v>36.7</v>
      </c>
      <c r="DE468" t="n">
        <v>25.4</v>
      </c>
      <c r="DF468" t="n">
        <v>31.2</v>
      </c>
      <c r="DG468" t="n">
        <v>19.7</v>
      </c>
      <c r="DH468" t="n">
        <v>40.2</v>
      </c>
      <c r="DI468" t="n">
        <v>31.7</v>
      </c>
      <c r="DJ468" t="n">
        <v>28.9</v>
      </c>
      <c r="DK468" t="n">
        <v>15.7</v>
      </c>
      <c r="DL468" t="n">
        <v>36.7</v>
      </c>
      <c r="DM468" t="n">
        <v>25.4</v>
      </c>
      <c r="DN468" t="n">
        <v>0</v>
      </c>
      <c r="DO468" t="n">
        <v>0</v>
      </c>
      <c r="DP468" t="n">
        <v>0</v>
      </c>
      <c r="DQ468" t="n">
        <v>0</v>
      </c>
      <c r="DR468" t="n">
        <v>0</v>
      </c>
      <c r="DS468" t="n">
        <v>0</v>
      </c>
      <c r="DT468" t="n">
        <v>0</v>
      </c>
      <c r="DU468" t="n">
        <v>0</v>
      </c>
      <c r="DV468" t="inlineStr">
        <is>
          <t>($1000 X INDEX)</t>
        </is>
      </c>
    </row>
    <row r="469">
      <c r="A469" t="inlineStr">
        <is>
          <t>VIX FUTURES - CBOE FUTURES EXCHANGE</t>
        </is>
      </c>
      <c r="B469" t="n">
        <v>230103</v>
      </c>
      <c r="C469" s="1" t="n">
        <v>44929</v>
      </c>
      <c r="D469" t="inlineStr">
        <is>
          <t>1170E1</t>
        </is>
      </c>
      <c r="E469" t="inlineStr">
        <is>
          <t xml:space="preserve">E   </t>
        </is>
      </c>
      <c r="F469" t="inlineStr">
        <is>
          <t>00</t>
        </is>
      </c>
      <c r="G469" t="inlineStr">
        <is>
          <t xml:space="preserve">117 </t>
        </is>
      </c>
      <c r="H469" t="n">
        <v>297329</v>
      </c>
      <c r="I469" s="17" t="n">
        <v>56713</v>
      </c>
      <c r="J469" s="17" t="n">
        <v>124713</v>
      </c>
      <c r="K469" t="n">
        <v>53302</v>
      </c>
      <c r="L469" t="n">
        <v>168326</v>
      </c>
      <c r="M469" t="n">
        <v>92997</v>
      </c>
      <c r="N469" t="n">
        <v>278341</v>
      </c>
      <c r="O469" t="n">
        <v>271012</v>
      </c>
      <c r="P469" t="n">
        <v>18988</v>
      </c>
      <c r="Q469" t="n">
        <v>26317</v>
      </c>
      <c r="R469" t="n">
        <v>297329</v>
      </c>
      <c r="S469" t="n">
        <v>56713</v>
      </c>
      <c r="T469" t="n">
        <v>124713</v>
      </c>
      <c r="U469" t="n">
        <v>53302</v>
      </c>
      <c r="V469" t="n">
        <v>168326</v>
      </c>
      <c r="W469" t="n">
        <v>92997</v>
      </c>
      <c r="X469" t="n">
        <v>278341</v>
      </c>
      <c r="Y469" t="n">
        <v>271012</v>
      </c>
      <c r="Z469" t="n">
        <v>18988</v>
      </c>
      <c r="AA469" t="n">
        <v>26317</v>
      </c>
      <c r="AB469" t="n">
        <v>0</v>
      </c>
      <c r="AC469" t="n">
        <v>0</v>
      </c>
      <c r="AD469" t="n">
        <v>0</v>
      </c>
      <c r="AE469" t="n">
        <v>0</v>
      </c>
      <c r="AF469" t="n">
        <v>0</v>
      </c>
      <c r="AG469" t="n">
        <v>0</v>
      </c>
      <c r="AH469" t="n">
        <v>0</v>
      </c>
      <c r="AI469" t="n">
        <v>0</v>
      </c>
      <c r="AJ469" t="n">
        <v>0</v>
      </c>
      <c r="AK469" t="n">
        <v>0</v>
      </c>
      <c r="AL469" t="n">
        <v>7810</v>
      </c>
      <c r="AM469" t="n">
        <v>8108</v>
      </c>
      <c r="AN469" t="n">
        <v>7693</v>
      </c>
      <c r="AO469" t="n">
        <v>-3002</v>
      </c>
      <c r="AP469" t="n">
        <v>1771</v>
      </c>
      <c r="AQ469" t="n">
        <v>3323</v>
      </c>
      <c r="AR469" t="n">
        <v>6877</v>
      </c>
      <c r="AS469" t="n">
        <v>8014</v>
      </c>
      <c r="AT469" t="n">
        <v>933</v>
      </c>
      <c r="AU469" t="n">
        <v>-204</v>
      </c>
      <c r="AV469" t="n">
        <v>100</v>
      </c>
      <c r="AW469" t="n">
        <v>19.1</v>
      </c>
      <c r="AX469" t="n">
        <v>41.9</v>
      </c>
      <c r="AY469" t="n">
        <v>17.9</v>
      </c>
      <c r="AZ469" t="n">
        <v>56.6</v>
      </c>
      <c r="BA469" t="n">
        <v>31.3</v>
      </c>
      <c r="BB469" t="n">
        <v>93.59999999999999</v>
      </c>
      <c r="BC469" t="n">
        <v>91.09999999999999</v>
      </c>
      <c r="BD469" t="n">
        <v>6.4</v>
      </c>
      <c r="BE469" t="n">
        <v>8.9</v>
      </c>
      <c r="BF469" t="n">
        <v>100</v>
      </c>
      <c r="BG469" t="n">
        <v>19.1</v>
      </c>
      <c r="BH469" t="n">
        <v>41.9</v>
      </c>
      <c r="BI469" t="n">
        <v>17.9</v>
      </c>
      <c r="BJ469" t="n">
        <v>56.6</v>
      </c>
      <c r="BK469" t="n">
        <v>31.3</v>
      </c>
      <c r="BL469" t="n">
        <v>93.59999999999999</v>
      </c>
      <c r="BM469" t="n">
        <v>91.09999999999999</v>
      </c>
      <c r="BN469" t="n">
        <v>6.4</v>
      </c>
      <c r="BO469" t="n">
        <v>8.9</v>
      </c>
      <c r="BP469" t="n">
        <v>0</v>
      </c>
      <c r="BQ469" t="n">
        <v>0</v>
      </c>
      <c r="BR469" t="n">
        <v>0</v>
      </c>
      <c r="BS469" t="n">
        <v>0</v>
      </c>
      <c r="BT469" t="n">
        <v>0</v>
      </c>
      <c r="BU469" t="n">
        <v>0</v>
      </c>
      <c r="BV469" t="n">
        <v>0</v>
      </c>
      <c r="BW469" t="n">
        <v>0</v>
      </c>
      <c r="BX469" t="n">
        <v>0</v>
      </c>
      <c r="BY469" t="n">
        <v>0</v>
      </c>
      <c r="BZ469" t="n">
        <v>164</v>
      </c>
      <c r="CA469" t="n">
        <v>45</v>
      </c>
      <c r="CB469" t="n">
        <v>63</v>
      </c>
      <c r="CC469" t="n">
        <v>61</v>
      </c>
      <c r="CD469" t="n">
        <v>40</v>
      </c>
      <c r="CE469" t="n">
        <v>36</v>
      </c>
      <c r="CF469" t="n">
        <v>119</v>
      </c>
      <c r="CG469" t="n">
        <v>134</v>
      </c>
      <c r="CH469" t="n">
        <v>164</v>
      </c>
      <c r="CI469" t="n">
        <v>45</v>
      </c>
      <c r="CJ469" t="n">
        <v>63</v>
      </c>
      <c r="CK469" t="n">
        <v>61</v>
      </c>
      <c r="CL469" t="n">
        <v>40</v>
      </c>
      <c r="CM469" t="n">
        <v>36</v>
      </c>
      <c r="CN469" t="n">
        <v>119</v>
      </c>
      <c r="CO469" t="n">
        <v>134</v>
      </c>
      <c r="CP469" t="n">
        <v>0</v>
      </c>
      <c r="CQ469" t="n">
        <v>0</v>
      </c>
      <c r="CR469" t="n">
        <v>0</v>
      </c>
      <c r="CS469" t="n">
        <v>0</v>
      </c>
      <c r="CT469" t="n">
        <v>0</v>
      </c>
      <c r="CU469" t="n">
        <v>0</v>
      </c>
      <c r="CV469" t="n">
        <v>0</v>
      </c>
      <c r="CW469" t="n">
        <v>0</v>
      </c>
      <c r="CX469" t="n">
        <v>32.7</v>
      </c>
      <c r="CY469" t="n">
        <v>24.4</v>
      </c>
      <c r="CZ469" t="n">
        <v>43.4</v>
      </c>
      <c r="DA469" t="n">
        <v>39.6</v>
      </c>
      <c r="DB469" t="n">
        <v>28.9</v>
      </c>
      <c r="DC469" t="n">
        <v>19.4</v>
      </c>
      <c r="DD469" t="n">
        <v>36.4</v>
      </c>
      <c r="DE469" t="n">
        <v>28.2</v>
      </c>
      <c r="DF469" t="n">
        <v>32.7</v>
      </c>
      <c r="DG469" t="n">
        <v>24.4</v>
      </c>
      <c r="DH469" t="n">
        <v>43.4</v>
      </c>
      <c r="DI469" t="n">
        <v>39.6</v>
      </c>
      <c r="DJ469" t="n">
        <v>28.9</v>
      </c>
      <c r="DK469" t="n">
        <v>19.4</v>
      </c>
      <c r="DL469" t="n">
        <v>36.4</v>
      </c>
      <c r="DM469" t="n">
        <v>28.2</v>
      </c>
      <c r="DN469" t="n">
        <v>0</v>
      </c>
      <c r="DO469" t="n">
        <v>0</v>
      </c>
      <c r="DP469" t="n">
        <v>0</v>
      </c>
      <c r="DQ469" t="n">
        <v>0</v>
      </c>
      <c r="DR469" t="n">
        <v>0</v>
      </c>
      <c r="DS469" t="n">
        <v>0</v>
      </c>
      <c r="DT469" t="n">
        <v>0</v>
      </c>
      <c r="DU469" t="n">
        <v>0</v>
      </c>
      <c r="DV469" t="inlineStr">
        <is>
          <t>($1000 X INDEX)</t>
        </is>
      </c>
    </row>
    <row r="470">
      <c r="A470" t="inlineStr">
        <is>
          <t>SO AFRICAN RAND - CHICAGO MERCANTILE EXCHANGE</t>
        </is>
      </c>
      <c r="B470" t="n">
        <v>230110</v>
      </c>
      <c r="C470" s="1" t="n">
        <v>44936</v>
      </c>
      <c r="D470" t="inlineStr">
        <is>
          <t>122741</t>
        </is>
      </c>
      <c r="E470" t="inlineStr">
        <is>
          <t xml:space="preserve">CME </t>
        </is>
      </c>
      <c r="F470" t="inlineStr">
        <is>
          <t>00</t>
        </is>
      </c>
      <c r="G470" t="inlineStr">
        <is>
          <t xml:space="preserve">122 </t>
        </is>
      </c>
      <c r="H470" t="n">
        <v>10751</v>
      </c>
      <c r="I470" s="17" t="n">
        <v>7467</v>
      </c>
      <c r="J470" s="17" t="n">
        <v>5276</v>
      </c>
      <c r="K470" t="n">
        <v>0</v>
      </c>
      <c r="L470" t="n">
        <v>1698</v>
      </c>
      <c r="M470" t="n">
        <v>4292</v>
      </c>
      <c r="N470" t="n">
        <v>9165</v>
      </c>
      <c r="O470" t="n">
        <v>9568</v>
      </c>
      <c r="P470" t="n">
        <v>1586</v>
      </c>
      <c r="Q470" t="n">
        <v>1183</v>
      </c>
      <c r="R470" t="n">
        <v>10751</v>
      </c>
      <c r="S470" t="n">
        <v>7467</v>
      </c>
      <c r="T470" t="n">
        <v>5276</v>
      </c>
      <c r="U470" t="n">
        <v>0</v>
      </c>
      <c r="V470" t="n">
        <v>1698</v>
      </c>
      <c r="W470" t="n">
        <v>4292</v>
      </c>
      <c r="X470" t="n">
        <v>9165</v>
      </c>
      <c r="Y470" t="n">
        <v>9568</v>
      </c>
      <c r="Z470" t="n">
        <v>1586</v>
      </c>
      <c r="AA470" t="n">
        <v>1183</v>
      </c>
      <c r="AB470" t="n">
        <v>0</v>
      </c>
      <c r="AC470" t="n">
        <v>0</v>
      </c>
      <c r="AD470" t="n">
        <v>0</v>
      </c>
      <c r="AE470" t="n">
        <v>0</v>
      </c>
      <c r="AF470" t="n">
        <v>0</v>
      </c>
      <c r="AG470" t="n">
        <v>0</v>
      </c>
      <c r="AH470" t="n">
        <v>0</v>
      </c>
      <c r="AI470" t="n">
        <v>0</v>
      </c>
      <c r="AJ470" t="n">
        <v>0</v>
      </c>
      <c r="AK470" t="n">
        <v>0</v>
      </c>
      <c r="AL470" t="n">
        <v>2802</v>
      </c>
      <c r="AM470" t="n">
        <v>4061</v>
      </c>
      <c r="AN470" t="n">
        <v>2632</v>
      </c>
      <c r="AO470" t="n">
        <v>0</v>
      </c>
      <c r="AP470" t="n">
        <v>-1278</v>
      </c>
      <c r="AQ470" t="n">
        <v>210</v>
      </c>
      <c r="AR470" t="n">
        <v>2783</v>
      </c>
      <c r="AS470" t="n">
        <v>2842</v>
      </c>
      <c r="AT470" t="n">
        <v>19</v>
      </c>
      <c r="AU470" t="n">
        <v>-40</v>
      </c>
      <c r="AV470" t="n">
        <v>100</v>
      </c>
      <c r="AW470" t="n">
        <v>69.5</v>
      </c>
      <c r="AX470" t="n">
        <v>49.1</v>
      </c>
      <c r="AY470" t="n">
        <v>0</v>
      </c>
      <c r="AZ470" t="n">
        <v>15.8</v>
      </c>
      <c r="BA470" t="n">
        <v>39.9</v>
      </c>
      <c r="BB470" t="n">
        <v>85.2</v>
      </c>
      <c r="BC470" t="n">
        <v>89</v>
      </c>
      <c r="BD470" t="n">
        <v>14.8</v>
      </c>
      <c r="BE470" t="n">
        <v>11</v>
      </c>
      <c r="BF470" t="n">
        <v>100</v>
      </c>
      <c r="BG470" t="n">
        <v>69.5</v>
      </c>
      <c r="BH470" t="n">
        <v>49.1</v>
      </c>
      <c r="BI470" t="n">
        <v>0</v>
      </c>
      <c r="BJ470" t="n">
        <v>15.8</v>
      </c>
      <c r="BK470" t="n">
        <v>39.9</v>
      </c>
      <c r="BL470" t="n">
        <v>85.2</v>
      </c>
      <c r="BM470" t="n">
        <v>89</v>
      </c>
      <c r="BN470" t="n">
        <v>14.8</v>
      </c>
      <c r="BO470" t="n">
        <v>11</v>
      </c>
      <c r="BP470" t="n">
        <v>0</v>
      </c>
      <c r="BQ470" t="n">
        <v>0</v>
      </c>
      <c r="BR470" t="n">
        <v>0</v>
      </c>
      <c r="BS470" t="n">
        <v>0</v>
      </c>
      <c r="BT470" t="n">
        <v>0</v>
      </c>
      <c r="BU470" t="n">
        <v>0</v>
      </c>
      <c r="BV470" t="n">
        <v>0</v>
      </c>
      <c r="BW470" t="n">
        <v>0</v>
      </c>
      <c r="BX470" t="n">
        <v>0</v>
      </c>
      <c r="BY470" t="n">
        <v>0</v>
      </c>
      <c r="BZ470" t="n">
        <v>26</v>
      </c>
      <c r="CA470" t="n">
        <v>9</v>
      </c>
      <c r="CB470" t="n">
        <v>5</v>
      </c>
      <c r="CC470" t="n">
        <v>0</v>
      </c>
      <c r="CD470" t="n">
        <v>5</v>
      </c>
      <c r="CE470" t="n">
        <v>8</v>
      </c>
      <c r="CF470" t="n">
        <v>14</v>
      </c>
      <c r="CG470" t="n">
        <v>13</v>
      </c>
      <c r="CH470" t="n">
        <v>26</v>
      </c>
      <c r="CI470" t="n">
        <v>9</v>
      </c>
      <c r="CJ470" t="n">
        <v>5</v>
      </c>
      <c r="CK470" t="n">
        <v>0</v>
      </c>
      <c r="CL470" t="n">
        <v>5</v>
      </c>
      <c r="CM470" t="n">
        <v>8</v>
      </c>
      <c r="CN470" t="n">
        <v>14</v>
      </c>
      <c r="CO470" t="n">
        <v>13</v>
      </c>
      <c r="CP470" t="n">
        <v>0</v>
      </c>
      <c r="CQ470" t="n">
        <v>0</v>
      </c>
      <c r="CR470" t="n">
        <v>0</v>
      </c>
      <c r="CS470" t="n">
        <v>0</v>
      </c>
      <c r="CT470" t="n">
        <v>0</v>
      </c>
      <c r="CU470" t="n">
        <v>0</v>
      </c>
      <c r="CV470" t="n">
        <v>0</v>
      </c>
      <c r="CW470" t="n">
        <v>0</v>
      </c>
      <c r="CX470" t="n">
        <v>67.7</v>
      </c>
      <c r="CY470" t="n">
        <v>73.2</v>
      </c>
      <c r="CZ470" t="n">
        <v>77.8</v>
      </c>
      <c r="DA470" t="n">
        <v>84.40000000000001</v>
      </c>
      <c r="DB470" t="n">
        <v>67.59999999999999</v>
      </c>
      <c r="DC470" t="n">
        <v>73.2</v>
      </c>
      <c r="DD470" t="n">
        <v>77.7</v>
      </c>
      <c r="DE470" t="n">
        <v>84.40000000000001</v>
      </c>
      <c r="DF470" t="n">
        <v>67.7</v>
      </c>
      <c r="DG470" t="n">
        <v>73.2</v>
      </c>
      <c r="DH470" t="n">
        <v>77.8</v>
      </c>
      <c r="DI470" t="n">
        <v>84.40000000000001</v>
      </c>
      <c r="DJ470" t="n">
        <v>67.59999999999999</v>
      </c>
      <c r="DK470" t="n">
        <v>73.2</v>
      </c>
      <c r="DL470" t="n">
        <v>77.7</v>
      </c>
      <c r="DM470" t="n">
        <v>84.40000000000001</v>
      </c>
      <c r="DN470" t="n">
        <v>0</v>
      </c>
      <c r="DO470" t="n">
        <v>0</v>
      </c>
      <c r="DP470" t="n">
        <v>0</v>
      </c>
      <c r="DQ470" t="n">
        <v>0</v>
      </c>
      <c r="DR470" t="n">
        <v>0</v>
      </c>
      <c r="DS470" t="n">
        <v>0</v>
      </c>
      <c r="DT470" t="n">
        <v>0</v>
      </c>
      <c r="DU470" t="n">
        <v>0</v>
      </c>
      <c r="DV470" t="inlineStr">
        <is>
          <t>(CONTRACTS OF ZAR 500,000)</t>
        </is>
      </c>
    </row>
    <row r="471">
      <c r="A471" t="inlineStr">
        <is>
          <t>SO AFRICAN RAND - CHICAGO MERCANTILE EXCHANGE</t>
        </is>
      </c>
      <c r="B471" t="n">
        <v>230103</v>
      </c>
      <c r="C471" s="1" t="n">
        <v>44929</v>
      </c>
      <c r="D471" t="inlineStr">
        <is>
          <t>122741</t>
        </is>
      </c>
      <c r="E471" t="inlineStr">
        <is>
          <t xml:space="preserve">CME </t>
        </is>
      </c>
      <c r="F471" t="inlineStr">
        <is>
          <t>00</t>
        </is>
      </c>
      <c r="G471" t="inlineStr">
        <is>
          <t xml:space="preserve">122 </t>
        </is>
      </c>
      <c r="H471" t="n">
        <v>7949</v>
      </c>
      <c r="I471" s="17" t="n">
        <v>3406</v>
      </c>
      <c r="J471" s="17" t="n">
        <v>2644</v>
      </c>
      <c r="K471" t="n">
        <v>0</v>
      </c>
      <c r="L471" t="n">
        <v>2976</v>
      </c>
      <c r="M471" t="n">
        <v>4082</v>
      </c>
      <c r="N471" t="n">
        <v>6382</v>
      </c>
      <c r="O471" t="n">
        <v>6726</v>
      </c>
      <c r="P471" t="n">
        <v>1567</v>
      </c>
      <c r="Q471" t="n">
        <v>1223</v>
      </c>
      <c r="R471" t="n">
        <v>7949</v>
      </c>
      <c r="S471" t="n">
        <v>3406</v>
      </c>
      <c r="T471" t="n">
        <v>2644</v>
      </c>
      <c r="U471" t="n">
        <v>0</v>
      </c>
      <c r="V471" t="n">
        <v>2976</v>
      </c>
      <c r="W471" t="n">
        <v>4082</v>
      </c>
      <c r="X471" t="n">
        <v>6382</v>
      </c>
      <c r="Y471" t="n">
        <v>6726</v>
      </c>
      <c r="Z471" t="n">
        <v>1567</v>
      </c>
      <c r="AA471" t="n">
        <v>1223</v>
      </c>
      <c r="AB471" t="n">
        <v>0</v>
      </c>
      <c r="AC471" t="n">
        <v>0</v>
      </c>
      <c r="AD471" t="n">
        <v>0</v>
      </c>
      <c r="AE471" t="n">
        <v>0</v>
      </c>
      <c r="AF471" t="n">
        <v>0</v>
      </c>
      <c r="AG471" t="n">
        <v>0</v>
      </c>
      <c r="AH471" t="n">
        <v>0</v>
      </c>
      <c r="AI471" t="n">
        <v>0</v>
      </c>
      <c r="AJ471" t="n">
        <v>0</v>
      </c>
      <c r="AK471" t="n">
        <v>0</v>
      </c>
      <c r="AL471" t="n">
        <v>-247</v>
      </c>
      <c r="AM471" t="n">
        <v>54</v>
      </c>
      <c r="AN471" t="n">
        <v>353</v>
      </c>
      <c r="AO471" t="n">
        <v>0</v>
      </c>
      <c r="AP471" t="n">
        <v>-338</v>
      </c>
      <c r="AQ471" t="n">
        <v>-471</v>
      </c>
      <c r="AR471" t="n">
        <v>-284</v>
      </c>
      <c r="AS471" t="n">
        <v>-118</v>
      </c>
      <c r="AT471" t="n">
        <v>37</v>
      </c>
      <c r="AU471" t="n">
        <v>-129</v>
      </c>
      <c r="AV471" t="n">
        <v>100</v>
      </c>
      <c r="AW471" t="n">
        <v>42.8</v>
      </c>
      <c r="AX471" t="n">
        <v>33.3</v>
      </c>
      <c r="AY471" t="n">
        <v>0</v>
      </c>
      <c r="AZ471" t="n">
        <v>37.4</v>
      </c>
      <c r="BA471" t="n">
        <v>51.4</v>
      </c>
      <c r="BB471" t="n">
        <v>80.3</v>
      </c>
      <c r="BC471" t="n">
        <v>84.59999999999999</v>
      </c>
      <c r="BD471" t="n">
        <v>19.7</v>
      </c>
      <c r="BE471" t="n">
        <v>15.4</v>
      </c>
      <c r="BF471" t="n">
        <v>100</v>
      </c>
      <c r="BG471" t="n">
        <v>42.8</v>
      </c>
      <c r="BH471" t="n">
        <v>33.3</v>
      </c>
      <c r="BI471" t="n">
        <v>0</v>
      </c>
      <c r="BJ471" t="n">
        <v>37.4</v>
      </c>
      <c r="BK471" t="n">
        <v>51.4</v>
      </c>
      <c r="BL471" t="n">
        <v>80.3</v>
      </c>
      <c r="BM471" t="n">
        <v>84.59999999999999</v>
      </c>
      <c r="BN471" t="n">
        <v>19.7</v>
      </c>
      <c r="BO471" t="n">
        <v>15.4</v>
      </c>
      <c r="BP471" t="n">
        <v>0</v>
      </c>
      <c r="BQ471" t="n">
        <v>0</v>
      </c>
      <c r="BR471" t="n">
        <v>0</v>
      </c>
      <c r="BS471" t="n">
        <v>0</v>
      </c>
      <c r="BT471" t="n">
        <v>0</v>
      </c>
      <c r="BU471" t="n">
        <v>0</v>
      </c>
      <c r="BV471" t="n">
        <v>0</v>
      </c>
      <c r="BW471" t="n">
        <v>0</v>
      </c>
      <c r="BX471" t="n">
        <v>0</v>
      </c>
      <c r="BY471" t="n">
        <v>0</v>
      </c>
      <c r="BZ471" t="n">
        <v>26</v>
      </c>
      <c r="CA471" t="n">
        <v>5</v>
      </c>
      <c r="CB471" t="n">
        <v>6</v>
      </c>
      <c r="CC471" t="n">
        <v>0</v>
      </c>
      <c r="CD471" t="n">
        <v>9</v>
      </c>
      <c r="CE471" t="n">
        <v>7</v>
      </c>
      <c r="CF471" t="n">
        <v>14</v>
      </c>
      <c r="CG471" t="n">
        <v>13</v>
      </c>
      <c r="CH471" t="n">
        <v>26</v>
      </c>
      <c r="CI471" t="n">
        <v>5</v>
      </c>
      <c r="CJ471" t="n">
        <v>6</v>
      </c>
      <c r="CK471" t="n">
        <v>0</v>
      </c>
      <c r="CL471" t="n">
        <v>9</v>
      </c>
      <c r="CM471" t="n">
        <v>7</v>
      </c>
      <c r="CN471" t="n">
        <v>14</v>
      </c>
      <c r="CO471" t="n">
        <v>13</v>
      </c>
      <c r="CP471" t="n">
        <v>0</v>
      </c>
      <c r="CQ471" t="n">
        <v>0</v>
      </c>
      <c r="CR471" t="n">
        <v>0</v>
      </c>
      <c r="CS471" t="n">
        <v>0</v>
      </c>
      <c r="CT471" t="n">
        <v>0</v>
      </c>
      <c r="CU471" t="n">
        <v>0</v>
      </c>
      <c r="CV471" t="n">
        <v>0</v>
      </c>
      <c r="CW471" t="n">
        <v>0</v>
      </c>
      <c r="CX471" t="n">
        <v>53.2</v>
      </c>
      <c r="CY471" t="n">
        <v>63.3</v>
      </c>
      <c r="CZ471" t="n">
        <v>68.3</v>
      </c>
      <c r="DA471" t="n">
        <v>78</v>
      </c>
      <c r="DB471" t="n">
        <v>52.9</v>
      </c>
      <c r="DC471" t="n">
        <v>63.3</v>
      </c>
      <c r="DD471" t="n">
        <v>68.09999999999999</v>
      </c>
      <c r="DE471" t="n">
        <v>78</v>
      </c>
      <c r="DF471" t="n">
        <v>53.2</v>
      </c>
      <c r="DG471" t="n">
        <v>63.3</v>
      </c>
      <c r="DH471" t="n">
        <v>68.3</v>
      </c>
      <c r="DI471" t="n">
        <v>78</v>
      </c>
      <c r="DJ471" t="n">
        <v>52.9</v>
      </c>
      <c r="DK471" t="n">
        <v>63.3</v>
      </c>
      <c r="DL471" t="n">
        <v>68.09999999999999</v>
      </c>
      <c r="DM471" t="n">
        <v>78</v>
      </c>
      <c r="DN471" t="n">
        <v>0</v>
      </c>
      <c r="DO471" t="n">
        <v>0</v>
      </c>
      <c r="DP471" t="n">
        <v>0</v>
      </c>
      <c r="DQ471" t="n">
        <v>0</v>
      </c>
      <c r="DR471" t="n">
        <v>0</v>
      </c>
      <c r="DS471" t="n">
        <v>0</v>
      </c>
      <c r="DT471" t="n">
        <v>0</v>
      </c>
      <c r="DU471" t="n">
        <v>0</v>
      </c>
      <c r="DV471" t="inlineStr">
        <is>
          <t>(CONTRACTS OF ZAR 500,000)</t>
        </is>
      </c>
    </row>
    <row r="472">
      <c r="A472" t="inlineStr">
        <is>
          <t>DJIA Consolidated - CHICAGO BOARD OF TRADE</t>
        </is>
      </c>
      <c r="B472" t="n">
        <v>230110</v>
      </c>
      <c r="C472" s="1" t="n">
        <v>44936</v>
      </c>
      <c r="D472" t="inlineStr">
        <is>
          <t>12460+</t>
        </is>
      </c>
      <c r="E472" t="inlineStr">
        <is>
          <t xml:space="preserve">CBT </t>
        </is>
      </c>
      <c r="F472" t="inlineStr">
        <is>
          <t>00</t>
        </is>
      </c>
      <c r="G472" t="inlineStr">
        <is>
          <t xml:space="preserve">124 </t>
        </is>
      </c>
      <c r="H472" t="n">
        <v>38814</v>
      </c>
      <c r="I472" s="17" t="n">
        <v>12972</v>
      </c>
      <c r="J472" s="17" t="n">
        <v>17543</v>
      </c>
      <c r="K472" t="n">
        <v>1135</v>
      </c>
      <c r="L472" t="n">
        <v>18560</v>
      </c>
      <c r="M472" t="n">
        <v>12237</v>
      </c>
      <c r="N472" t="n">
        <v>32666</v>
      </c>
      <c r="O472" t="n">
        <v>30914</v>
      </c>
      <c r="P472" t="n">
        <v>6148</v>
      </c>
      <c r="Q472" t="n">
        <v>7901</v>
      </c>
      <c r="R472" t="n">
        <v>38814</v>
      </c>
      <c r="S472" t="n">
        <v>12972</v>
      </c>
      <c r="T472" t="n">
        <v>17543</v>
      </c>
      <c r="U472" t="n">
        <v>1135</v>
      </c>
      <c r="V472" t="n">
        <v>18560</v>
      </c>
      <c r="W472" t="n">
        <v>12237</v>
      </c>
      <c r="X472" t="n">
        <v>32666</v>
      </c>
      <c r="Y472" t="n">
        <v>30914</v>
      </c>
      <c r="Z472" t="n">
        <v>6148</v>
      </c>
      <c r="AA472" t="n">
        <v>7901</v>
      </c>
      <c r="AB472" t="n">
        <v>0</v>
      </c>
      <c r="AC472" t="n">
        <v>0</v>
      </c>
      <c r="AD472" t="n">
        <v>0</v>
      </c>
      <c r="AE472" t="n">
        <v>0</v>
      </c>
      <c r="AF472" t="n">
        <v>0</v>
      </c>
      <c r="AG472" t="n">
        <v>0</v>
      </c>
      <c r="AH472" t="n">
        <v>0</v>
      </c>
      <c r="AI472" t="n">
        <v>0</v>
      </c>
      <c r="AJ472" t="n">
        <v>0</v>
      </c>
      <c r="AK472" t="n">
        <v>0</v>
      </c>
      <c r="AL472" t="n">
        <v>-1052</v>
      </c>
      <c r="AM472" t="n">
        <v>348</v>
      </c>
      <c r="AN472" t="n">
        <v>-1027</v>
      </c>
      <c r="AO472" t="n">
        <v>114</v>
      </c>
      <c r="AP472" t="n">
        <v>-1890</v>
      </c>
      <c r="AQ472" t="n">
        <v>-194</v>
      </c>
      <c r="AR472" t="n">
        <v>-1429</v>
      </c>
      <c r="AS472" t="n">
        <v>-1108</v>
      </c>
      <c r="AT472" t="n">
        <v>378</v>
      </c>
      <c r="AU472" t="n">
        <v>56</v>
      </c>
      <c r="AV472" t="n">
        <v>100</v>
      </c>
      <c r="AW472" t="n">
        <v>33.4</v>
      </c>
      <c r="AX472" t="n">
        <v>45.2</v>
      </c>
      <c r="AY472" t="n">
        <v>2.9</v>
      </c>
      <c r="AZ472" t="n">
        <v>47.8</v>
      </c>
      <c r="BA472" t="n">
        <v>31.5</v>
      </c>
      <c r="BB472" t="n">
        <v>84.2</v>
      </c>
      <c r="BC472" t="n">
        <v>79.59999999999999</v>
      </c>
      <c r="BD472" t="n">
        <v>15.8</v>
      </c>
      <c r="BE472" t="n">
        <v>20.4</v>
      </c>
      <c r="BF472" t="n">
        <v>100</v>
      </c>
      <c r="BG472" t="n">
        <v>33.4</v>
      </c>
      <c r="BH472" t="n">
        <v>45.2</v>
      </c>
      <c r="BI472" t="n">
        <v>2.9</v>
      </c>
      <c r="BJ472" t="n">
        <v>47.8</v>
      </c>
      <c r="BK472" t="n">
        <v>31.5</v>
      </c>
      <c r="BL472" t="n">
        <v>84.2</v>
      </c>
      <c r="BM472" t="n">
        <v>79.59999999999999</v>
      </c>
      <c r="BN472" t="n">
        <v>15.8</v>
      </c>
      <c r="BO472" t="n">
        <v>20.4</v>
      </c>
      <c r="BP472" t="n">
        <v>0</v>
      </c>
      <c r="BQ472" t="n">
        <v>0</v>
      </c>
      <c r="BR472" t="n">
        <v>0</v>
      </c>
      <c r="BS472" t="n">
        <v>0</v>
      </c>
      <c r="BT472" t="n">
        <v>0</v>
      </c>
      <c r="BU472" t="n">
        <v>0</v>
      </c>
      <c r="BV472" t="n">
        <v>0</v>
      </c>
      <c r="BW472" t="n">
        <v>0</v>
      </c>
      <c r="BX472" t="n">
        <v>0</v>
      </c>
      <c r="BY472" t="n">
        <v>0</v>
      </c>
      <c r="BZ472" t="n">
        <v>87</v>
      </c>
      <c r="CA472" t="n">
        <v>22</v>
      </c>
      <c r="CB472" t="n">
        <v>23</v>
      </c>
      <c r="CC472" t="n">
        <v>11</v>
      </c>
      <c r="CD472" t="n">
        <v>27</v>
      </c>
      <c r="CE472" t="n">
        <v>20</v>
      </c>
      <c r="CF472" t="n">
        <v>55</v>
      </c>
      <c r="CG472" t="n">
        <v>48</v>
      </c>
      <c r="CH472" t="n">
        <v>87</v>
      </c>
      <c r="CI472" t="n">
        <v>22</v>
      </c>
      <c r="CJ472" t="n">
        <v>23</v>
      </c>
      <c r="CK472" t="n">
        <v>11</v>
      </c>
      <c r="CL472" t="n">
        <v>27</v>
      </c>
      <c r="CM472" t="n">
        <v>20</v>
      </c>
      <c r="CN472" t="n">
        <v>55</v>
      </c>
      <c r="CO472" t="n">
        <v>48</v>
      </c>
      <c r="CP472" t="n">
        <v>0</v>
      </c>
      <c r="CQ472" t="n">
        <v>0</v>
      </c>
      <c r="CR472" t="n">
        <v>0</v>
      </c>
      <c r="CS472" t="n">
        <v>0</v>
      </c>
      <c r="CT472" t="n">
        <v>0</v>
      </c>
      <c r="CU472" t="n">
        <v>0</v>
      </c>
      <c r="CV472" t="n">
        <v>0</v>
      </c>
      <c r="CW472" t="n">
        <v>0</v>
      </c>
      <c r="CX472" t="n">
        <v>35.8</v>
      </c>
      <c r="CY472" t="n">
        <v>42.1</v>
      </c>
      <c r="CZ472" t="n">
        <v>50.4</v>
      </c>
      <c r="DA472" t="n">
        <v>53.7</v>
      </c>
      <c r="DB472" t="n">
        <v>35.4</v>
      </c>
      <c r="DC472" t="n">
        <v>42.1</v>
      </c>
      <c r="DD472" t="n">
        <v>48.4</v>
      </c>
      <c r="DE472" t="n">
        <v>53.2</v>
      </c>
      <c r="DF472" t="n">
        <v>35.8</v>
      </c>
      <c r="DG472" t="n">
        <v>42.1</v>
      </c>
      <c r="DH472" t="n">
        <v>50.4</v>
      </c>
      <c r="DI472" t="n">
        <v>53.7</v>
      </c>
      <c r="DJ472" t="n">
        <v>35.4</v>
      </c>
      <c r="DK472" t="n">
        <v>42.1</v>
      </c>
      <c r="DL472" t="n">
        <v>48.4</v>
      </c>
      <c r="DM472" t="n">
        <v>53.2</v>
      </c>
      <c r="DN472" t="n">
        <v>0</v>
      </c>
      <c r="DO472" t="n">
        <v>0</v>
      </c>
      <c r="DP472" t="n">
        <v>0</v>
      </c>
      <c r="DQ472" t="n">
        <v>0</v>
      </c>
      <c r="DR472" t="n">
        <v>0</v>
      </c>
      <c r="DS472" t="n">
        <v>0</v>
      </c>
      <c r="DT472" t="n">
        <v>0</v>
      </c>
      <c r="DU472" t="n">
        <v>0</v>
      </c>
      <c r="DV472" t="inlineStr">
        <is>
          <t>($10 X DJIA INDEX)</t>
        </is>
      </c>
    </row>
    <row r="473">
      <c r="A473" t="inlineStr">
        <is>
          <t>DJIA Consolidated - CHICAGO BOARD OF TRADE</t>
        </is>
      </c>
      <c r="B473" t="n">
        <v>230103</v>
      </c>
      <c r="C473" s="1" t="n">
        <v>44929</v>
      </c>
      <c r="D473" t="inlineStr">
        <is>
          <t>12460+</t>
        </is>
      </c>
      <c r="E473" t="inlineStr">
        <is>
          <t xml:space="preserve">CBT </t>
        </is>
      </c>
      <c r="F473" t="inlineStr">
        <is>
          <t>00</t>
        </is>
      </c>
      <c r="G473" t="inlineStr">
        <is>
          <t xml:space="preserve">124 </t>
        </is>
      </c>
      <c r="H473" t="n">
        <v>39866</v>
      </c>
      <c r="I473" s="17" t="n">
        <v>12624</v>
      </c>
      <c r="J473" s="17" t="n">
        <v>18570</v>
      </c>
      <c r="K473" t="n">
        <v>1021</v>
      </c>
      <c r="L473" t="n">
        <v>20450</v>
      </c>
      <c r="M473" t="n">
        <v>12431</v>
      </c>
      <c r="N473" t="n">
        <v>34095</v>
      </c>
      <c r="O473" t="n">
        <v>32021</v>
      </c>
      <c r="P473" t="n">
        <v>5771</v>
      </c>
      <c r="Q473" t="n">
        <v>7845</v>
      </c>
      <c r="R473" t="n">
        <v>39866</v>
      </c>
      <c r="S473" t="n">
        <v>12624</v>
      </c>
      <c r="T473" t="n">
        <v>18570</v>
      </c>
      <c r="U473" t="n">
        <v>1021</v>
      </c>
      <c r="V473" t="n">
        <v>20450</v>
      </c>
      <c r="W473" t="n">
        <v>12431</v>
      </c>
      <c r="X473" t="n">
        <v>34095</v>
      </c>
      <c r="Y473" t="n">
        <v>32021</v>
      </c>
      <c r="Z473" t="n">
        <v>5771</v>
      </c>
      <c r="AA473" t="n">
        <v>7845</v>
      </c>
      <c r="AB473" t="n">
        <v>0</v>
      </c>
      <c r="AC473" t="n">
        <v>0</v>
      </c>
      <c r="AD473" t="n">
        <v>0</v>
      </c>
      <c r="AE473" t="n">
        <v>0</v>
      </c>
      <c r="AF473" t="n">
        <v>0</v>
      </c>
      <c r="AG473" t="n">
        <v>0</v>
      </c>
      <c r="AH473" t="n">
        <v>0</v>
      </c>
      <c r="AI473" t="n">
        <v>0</v>
      </c>
      <c r="AJ473" t="n">
        <v>0</v>
      </c>
      <c r="AK473" t="n">
        <v>0</v>
      </c>
      <c r="AL473" t="n">
        <v>2391</v>
      </c>
      <c r="AM473" t="n">
        <v>888</v>
      </c>
      <c r="AN473" t="n">
        <v>811</v>
      </c>
      <c r="AO473" t="n">
        <v>459</v>
      </c>
      <c r="AP473" t="n">
        <v>1629</v>
      </c>
      <c r="AQ473" t="n">
        <v>1088</v>
      </c>
      <c r="AR473" t="n">
        <v>2975</v>
      </c>
      <c r="AS473" t="n">
        <v>2357</v>
      </c>
      <c r="AT473" t="n">
        <v>-584</v>
      </c>
      <c r="AU473" t="n">
        <v>34</v>
      </c>
      <c r="AV473" t="n">
        <v>100</v>
      </c>
      <c r="AW473" t="n">
        <v>31.7</v>
      </c>
      <c r="AX473" t="n">
        <v>46.6</v>
      </c>
      <c r="AY473" t="n">
        <v>2.6</v>
      </c>
      <c r="AZ473" t="n">
        <v>51.3</v>
      </c>
      <c r="BA473" t="n">
        <v>31.2</v>
      </c>
      <c r="BB473" t="n">
        <v>85.5</v>
      </c>
      <c r="BC473" t="n">
        <v>80.3</v>
      </c>
      <c r="BD473" t="n">
        <v>14.5</v>
      </c>
      <c r="BE473" t="n">
        <v>19.7</v>
      </c>
      <c r="BF473" t="n">
        <v>100</v>
      </c>
      <c r="BG473" t="n">
        <v>31.7</v>
      </c>
      <c r="BH473" t="n">
        <v>46.6</v>
      </c>
      <c r="BI473" t="n">
        <v>2.6</v>
      </c>
      <c r="BJ473" t="n">
        <v>51.3</v>
      </c>
      <c r="BK473" t="n">
        <v>31.2</v>
      </c>
      <c r="BL473" t="n">
        <v>85.5</v>
      </c>
      <c r="BM473" t="n">
        <v>80.3</v>
      </c>
      <c r="BN473" t="n">
        <v>14.5</v>
      </c>
      <c r="BO473" t="n">
        <v>19.7</v>
      </c>
      <c r="BP473" t="n">
        <v>0</v>
      </c>
      <c r="BQ473" t="n">
        <v>0</v>
      </c>
      <c r="BR473" t="n">
        <v>0</v>
      </c>
      <c r="BS473" t="n">
        <v>0</v>
      </c>
      <c r="BT473" t="n">
        <v>0</v>
      </c>
      <c r="BU473" t="n">
        <v>0</v>
      </c>
      <c r="BV473" t="n">
        <v>0</v>
      </c>
      <c r="BW473" t="n">
        <v>0</v>
      </c>
      <c r="BX473" t="n">
        <v>0</v>
      </c>
      <c r="BY473" t="n">
        <v>0</v>
      </c>
      <c r="BZ473" t="n">
        <v>87</v>
      </c>
      <c r="CA473" t="n">
        <v>22</v>
      </c>
      <c r="CB473" t="n">
        <v>24</v>
      </c>
      <c r="CC473" t="n">
        <v>10</v>
      </c>
      <c r="CD473" t="n">
        <v>28</v>
      </c>
      <c r="CE473" t="n">
        <v>19</v>
      </c>
      <c r="CF473" t="n">
        <v>57</v>
      </c>
      <c r="CG473" t="n">
        <v>46</v>
      </c>
      <c r="CH473" t="n">
        <v>87</v>
      </c>
      <c r="CI473" t="n">
        <v>22</v>
      </c>
      <c r="CJ473" t="n">
        <v>24</v>
      </c>
      <c r="CK473" t="n">
        <v>10</v>
      </c>
      <c r="CL473" t="n">
        <v>28</v>
      </c>
      <c r="CM473" t="n">
        <v>19</v>
      </c>
      <c r="CN473" t="n">
        <v>57</v>
      </c>
      <c r="CO473" t="n">
        <v>46</v>
      </c>
      <c r="CP473" t="n">
        <v>0</v>
      </c>
      <c r="CQ473" t="n">
        <v>0</v>
      </c>
      <c r="CR473" t="n">
        <v>0</v>
      </c>
      <c r="CS473" t="n">
        <v>0</v>
      </c>
      <c r="CT473" t="n">
        <v>0</v>
      </c>
      <c r="CU473" t="n">
        <v>0</v>
      </c>
      <c r="CV473" t="n">
        <v>0</v>
      </c>
      <c r="CW473" t="n">
        <v>0</v>
      </c>
      <c r="CX473" t="n">
        <v>35.1</v>
      </c>
      <c r="CY473" t="n">
        <v>40.8</v>
      </c>
      <c r="CZ473" t="n">
        <v>48.7</v>
      </c>
      <c r="DA473" t="n">
        <v>55.7</v>
      </c>
      <c r="DB473" t="n">
        <v>34</v>
      </c>
      <c r="DC473" t="n">
        <v>40.8</v>
      </c>
      <c r="DD473" t="n">
        <v>46.7</v>
      </c>
      <c r="DE473" t="n">
        <v>53.9</v>
      </c>
      <c r="DF473" t="n">
        <v>35.1</v>
      </c>
      <c r="DG473" t="n">
        <v>40.8</v>
      </c>
      <c r="DH473" t="n">
        <v>48.7</v>
      </c>
      <c r="DI473" t="n">
        <v>55.7</v>
      </c>
      <c r="DJ473" t="n">
        <v>34</v>
      </c>
      <c r="DK473" t="n">
        <v>40.8</v>
      </c>
      <c r="DL473" t="n">
        <v>46.7</v>
      </c>
      <c r="DM473" t="n">
        <v>53.9</v>
      </c>
      <c r="DN473" t="n">
        <v>0</v>
      </c>
      <c r="DO473" t="n">
        <v>0</v>
      </c>
      <c r="DP473" t="n">
        <v>0</v>
      </c>
      <c r="DQ473" t="n">
        <v>0</v>
      </c>
      <c r="DR473" t="n">
        <v>0</v>
      </c>
      <c r="DS473" t="n">
        <v>0</v>
      </c>
      <c r="DT473" t="n">
        <v>0</v>
      </c>
      <c r="DU473" t="n">
        <v>0</v>
      </c>
      <c r="DV473" t="inlineStr">
        <is>
          <t>($10 X DJIA INDEX)</t>
        </is>
      </c>
    </row>
    <row r="474">
      <c r="A474" t="inlineStr">
        <is>
          <t>DJIA x $5 - CHICAGO BOARD OF TRADE</t>
        </is>
      </c>
      <c r="B474" t="n">
        <v>230110</v>
      </c>
      <c r="C474" s="1" t="n">
        <v>44936</v>
      </c>
      <c r="D474" t="inlineStr">
        <is>
          <t>124603</t>
        </is>
      </c>
      <c r="E474" t="inlineStr">
        <is>
          <t xml:space="preserve">CBT </t>
        </is>
      </c>
      <c r="F474" t="inlineStr">
        <is>
          <t>00</t>
        </is>
      </c>
      <c r="G474" t="inlineStr">
        <is>
          <t xml:space="preserve">124 </t>
        </is>
      </c>
      <c r="H474" t="n">
        <v>77628</v>
      </c>
      <c r="I474" s="17" t="n">
        <v>25943</v>
      </c>
      <c r="J474" s="17" t="n">
        <v>35085</v>
      </c>
      <c r="K474" t="n">
        <v>2269</v>
      </c>
      <c r="L474" t="n">
        <v>37120</v>
      </c>
      <c r="M474" t="n">
        <v>24473</v>
      </c>
      <c r="N474" t="n">
        <v>65332</v>
      </c>
      <c r="O474" t="n">
        <v>61827</v>
      </c>
      <c r="P474" t="n">
        <v>12296</v>
      </c>
      <c r="Q474" t="n">
        <v>15801</v>
      </c>
      <c r="R474" t="n">
        <v>77628</v>
      </c>
      <c r="S474" t="n">
        <v>25943</v>
      </c>
      <c r="T474" t="n">
        <v>35085</v>
      </c>
      <c r="U474" t="n">
        <v>2269</v>
      </c>
      <c r="V474" t="n">
        <v>37120</v>
      </c>
      <c r="W474" t="n">
        <v>24473</v>
      </c>
      <c r="X474" t="n">
        <v>65332</v>
      </c>
      <c r="Y474" t="n">
        <v>61827</v>
      </c>
      <c r="Z474" t="n">
        <v>12296</v>
      </c>
      <c r="AA474" t="n">
        <v>15801</v>
      </c>
      <c r="AB474" t="n">
        <v>0</v>
      </c>
      <c r="AC474" t="n">
        <v>0</v>
      </c>
      <c r="AD474" t="n">
        <v>0</v>
      </c>
      <c r="AE474" t="n">
        <v>0</v>
      </c>
      <c r="AF474" t="n">
        <v>0</v>
      </c>
      <c r="AG474" t="n">
        <v>0</v>
      </c>
      <c r="AH474" t="n">
        <v>0</v>
      </c>
      <c r="AI474" t="n">
        <v>0</v>
      </c>
      <c r="AJ474" t="n">
        <v>0</v>
      </c>
      <c r="AK474" t="n">
        <v>0</v>
      </c>
      <c r="AL474" t="n">
        <v>-2103</v>
      </c>
      <c r="AM474" t="n">
        <v>695</v>
      </c>
      <c r="AN474" t="n">
        <v>-2054</v>
      </c>
      <c r="AO474" t="n">
        <v>227</v>
      </c>
      <c r="AP474" t="n">
        <v>-3780</v>
      </c>
      <c r="AQ474" t="n">
        <v>-388</v>
      </c>
      <c r="AR474" t="n">
        <v>-2858</v>
      </c>
      <c r="AS474" t="n">
        <v>-2215</v>
      </c>
      <c r="AT474" t="n">
        <v>755</v>
      </c>
      <c r="AU474" t="n">
        <v>112</v>
      </c>
      <c r="AV474" t="n">
        <v>100</v>
      </c>
      <c r="AW474" t="n">
        <v>33.4</v>
      </c>
      <c r="AX474" t="n">
        <v>45.2</v>
      </c>
      <c r="AY474" t="n">
        <v>2.9</v>
      </c>
      <c r="AZ474" t="n">
        <v>47.8</v>
      </c>
      <c r="BA474" t="n">
        <v>31.5</v>
      </c>
      <c r="BB474" t="n">
        <v>84.2</v>
      </c>
      <c r="BC474" t="n">
        <v>79.59999999999999</v>
      </c>
      <c r="BD474" t="n">
        <v>15.8</v>
      </c>
      <c r="BE474" t="n">
        <v>20.4</v>
      </c>
      <c r="BF474" t="n">
        <v>100</v>
      </c>
      <c r="BG474" t="n">
        <v>33.4</v>
      </c>
      <c r="BH474" t="n">
        <v>45.2</v>
      </c>
      <c r="BI474" t="n">
        <v>2.9</v>
      </c>
      <c r="BJ474" t="n">
        <v>47.8</v>
      </c>
      <c r="BK474" t="n">
        <v>31.5</v>
      </c>
      <c r="BL474" t="n">
        <v>84.2</v>
      </c>
      <c r="BM474" t="n">
        <v>79.59999999999999</v>
      </c>
      <c r="BN474" t="n">
        <v>15.8</v>
      </c>
      <c r="BO474" t="n">
        <v>20.4</v>
      </c>
      <c r="BP474" t="n">
        <v>0</v>
      </c>
      <c r="BQ474" t="n">
        <v>0</v>
      </c>
      <c r="BR474" t="n">
        <v>0</v>
      </c>
      <c r="BS474" t="n">
        <v>0</v>
      </c>
      <c r="BT474" t="n">
        <v>0</v>
      </c>
      <c r="BU474" t="n">
        <v>0</v>
      </c>
      <c r="BV474" t="n">
        <v>0</v>
      </c>
      <c r="BW474" t="n">
        <v>0</v>
      </c>
      <c r="BX474" t="n">
        <v>0</v>
      </c>
      <c r="BY474" t="n">
        <v>0</v>
      </c>
      <c r="BZ474" t="n">
        <v>87</v>
      </c>
      <c r="CA474" t="n">
        <v>22</v>
      </c>
      <c r="CB474" t="n">
        <v>23</v>
      </c>
      <c r="CC474" t="n">
        <v>11</v>
      </c>
      <c r="CD474" t="n">
        <v>27</v>
      </c>
      <c r="CE474" t="n">
        <v>20</v>
      </c>
      <c r="CF474" t="n">
        <v>55</v>
      </c>
      <c r="CG474" t="n">
        <v>48</v>
      </c>
      <c r="CH474" t="n">
        <v>87</v>
      </c>
      <c r="CI474" t="n">
        <v>22</v>
      </c>
      <c r="CJ474" t="n">
        <v>23</v>
      </c>
      <c r="CK474" t="n">
        <v>11</v>
      </c>
      <c r="CL474" t="n">
        <v>27</v>
      </c>
      <c r="CM474" t="n">
        <v>20</v>
      </c>
      <c r="CN474" t="n">
        <v>55</v>
      </c>
      <c r="CO474" t="n">
        <v>48</v>
      </c>
      <c r="CP474" t="n">
        <v>0</v>
      </c>
      <c r="CQ474" t="n">
        <v>0</v>
      </c>
      <c r="CR474" t="n">
        <v>0</v>
      </c>
      <c r="CS474" t="n">
        <v>0</v>
      </c>
      <c r="CT474" t="n">
        <v>0</v>
      </c>
      <c r="CU474" t="n">
        <v>0</v>
      </c>
      <c r="CV474" t="n">
        <v>0</v>
      </c>
      <c r="CW474" t="n">
        <v>0</v>
      </c>
      <c r="CX474" t="n">
        <v>35.8</v>
      </c>
      <c r="CY474" t="n">
        <v>42.1</v>
      </c>
      <c r="CZ474" t="n">
        <v>50.4</v>
      </c>
      <c r="DA474" t="n">
        <v>53.7</v>
      </c>
      <c r="DB474" t="n">
        <v>35.4</v>
      </c>
      <c r="DC474" t="n">
        <v>42.1</v>
      </c>
      <c r="DD474" t="n">
        <v>48.4</v>
      </c>
      <c r="DE474" t="n">
        <v>53.2</v>
      </c>
      <c r="DF474" t="n">
        <v>35.8</v>
      </c>
      <c r="DG474" t="n">
        <v>42.1</v>
      </c>
      <c r="DH474" t="n">
        <v>50.4</v>
      </c>
      <c r="DI474" t="n">
        <v>53.7</v>
      </c>
      <c r="DJ474" t="n">
        <v>35.4</v>
      </c>
      <c r="DK474" t="n">
        <v>42.1</v>
      </c>
      <c r="DL474" t="n">
        <v>48.4</v>
      </c>
      <c r="DM474" t="n">
        <v>53.2</v>
      </c>
      <c r="DN474" t="n">
        <v>0</v>
      </c>
      <c r="DO474" t="n">
        <v>0</v>
      </c>
      <c r="DP474" t="n">
        <v>0</v>
      </c>
      <c r="DQ474" t="n">
        <v>0</v>
      </c>
      <c r="DR474" t="n">
        <v>0</v>
      </c>
      <c r="DS474" t="n">
        <v>0</v>
      </c>
      <c r="DT474" t="n">
        <v>0</v>
      </c>
      <c r="DU474" t="n">
        <v>0</v>
      </c>
      <c r="DV474" t="inlineStr">
        <is>
          <t>($5 X DJIA INDEX)</t>
        </is>
      </c>
    </row>
    <row r="475">
      <c r="A475" t="inlineStr">
        <is>
          <t>DJIA x $5 - CHICAGO BOARD OF TRADE</t>
        </is>
      </c>
      <c r="B475" t="n">
        <v>230103</v>
      </c>
      <c r="C475" s="1" t="n">
        <v>44929</v>
      </c>
      <c r="D475" t="inlineStr">
        <is>
          <t>124603</t>
        </is>
      </c>
      <c r="E475" t="inlineStr">
        <is>
          <t xml:space="preserve">CBT </t>
        </is>
      </c>
      <c r="F475" t="inlineStr">
        <is>
          <t>00</t>
        </is>
      </c>
      <c r="G475" t="inlineStr">
        <is>
          <t xml:space="preserve">124 </t>
        </is>
      </c>
      <c r="H475" t="n">
        <v>79731</v>
      </c>
      <c r="I475" s="17" t="n">
        <v>25248</v>
      </c>
      <c r="J475" s="17" t="n">
        <v>37139</v>
      </c>
      <c r="K475" t="n">
        <v>2042</v>
      </c>
      <c r="L475" t="n">
        <v>40900</v>
      </c>
      <c r="M475" t="n">
        <v>24861</v>
      </c>
      <c r="N475" t="n">
        <v>68190</v>
      </c>
      <c r="O475" t="n">
        <v>64042</v>
      </c>
      <c r="P475" t="n">
        <v>11541</v>
      </c>
      <c r="Q475" t="n">
        <v>15689</v>
      </c>
      <c r="R475" t="n">
        <v>79731</v>
      </c>
      <c r="S475" t="n">
        <v>25248</v>
      </c>
      <c r="T475" t="n">
        <v>37139</v>
      </c>
      <c r="U475" t="n">
        <v>2042</v>
      </c>
      <c r="V475" t="n">
        <v>40900</v>
      </c>
      <c r="W475" t="n">
        <v>24861</v>
      </c>
      <c r="X475" t="n">
        <v>68190</v>
      </c>
      <c r="Y475" t="n">
        <v>64042</v>
      </c>
      <c r="Z475" t="n">
        <v>11541</v>
      </c>
      <c r="AA475" t="n">
        <v>15689</v>
      </c>
      <c r="AB475" t="n">
        <v>0</v>
      </c>
      <c r="AC475" t="n">
        <v>0</v>
      </c>
      <c r="AD475" t="n">
        <v>0</v>
      </c>
      <c r="AE475" t="n">
        <v>0</v>
      </c>
      <c r="AF475" t="n">
        <v>0</v>
      </c>
      <c r="AG475" t="n">
        <v>0</v>
      </c>
      <c r="AH475" t="n">
        <v>0</v>
      </c>
      <c r="AI475" t="n">
        <v>0</v>
      </c>
      <c r="AJ475" t="n">
        <v>0</v>
      </c>
      <c r="AK475" t="n">
        <v>0</v>
      </c>
      <c r="AL475" t="n">
        <v>4781</v>
      </c>
      <c r="AM475" t="n">
        <v>1775</v>
      </c>
      <c r="AN475" t="n">
        <v>1621</v>
      </c>
      <c r="AO475" t="n">
        <v>917</v>
      </c>
      <c r="AP475" t="n">
        <v>3257</v>
      </c>
      <c r="AQ475" t="n">
        <v>2175</v>
      </c>
      <c r="AR475" t="n">
        <v>5949</v>
      </c>
      <c r="AS475" t="n">
        <v>4713</v>
      </c>
      <c r="AT475" t="n">
        <v>-1168</v>
      </c>
      <c r="AU475" t="n">
        <v>68</v>
      </c>
      <c r="AV475" t="n">
        <v>100</v>
      </c>
      <c r="AW475" t="n">
        <v>31.7</v>
      </c>
      <c r="AX475" t="n">
        <v>46.6</v>
      </c>
      <c r="AY475" t="n">
        <v>2.6</v>
      </c>
      <c r="AZ475" t="n">
        <v>51.3</v>
      </c>
      <c r="BA475" t="n">
        <v>31.2</v>
      </c>
      <c r="BB475" t="n">
        <v>85.5</v>
      </c>
      <c r="BC475" t="n">
        <v>80.3</v>
      </c>
      <c r="BD475" t="n">
        <v>14.5</v>
      </c>
      <c r="BE475" t="n">
        <v>19.7</v>
      </c>
      <c r="BF475" t="n">
        <v>100</v>
      </c>
      <c r="BG475" t="n">
        <v>31.7</v>
      </c>
      <c r="BH475" t="n">
        <v>46.6</v>
      </c>
      <c r="BI475" t="n">
        <v>2.6</v>
      </c>
      <c r="BJ475" t="n">
        <v>51.3</v>
      </c>
      <c r="BK475" t="n">
        <v>31.2</v>
      </c>
      <c r="BL475" t="n">
        <v>85.5</v>
      </c>
      <c r="BM475" t="n">
        <v>80.3</v>
      </c>
      <c r="BN475" t="n">
        <v>14.5</v>
      </c>
      <c r="BO475" t="n">
        <v>19.7</v>
      </c>
      <c r="BP475" t="n">
        <v>0</v>
      </c>
      <c r="BQ475" t="n">
        <v>0</v>
      </c>
      <c r="BR475" t="n">
        <v>0</v>
      </c>
      <c r="BS475" t="n">
        <v>0</v>
      </c>
      <c r="BT475" t="n">
        <v>0</v>
      </c>
      <c r="BU475" t="n">
        <v>0</v>
      </c>
      <c r="BV475" t="n">
        <v>0</v>
      </c>
      <c r="BW475" t="n">
        <v>0</v>
      </c>
      <c r="BX475" t="n">
        <v>0</v>
      </c>
      <c r="BY475" t="n">
        <v>0</v>
      </c>
      <c r="BZ475" t="n">
        <v>87</v>
      </c>
      <c r="CA475" t="n">
        <v>22</v>
      </c>
      <c r="CB475" t="n">
        <v>24</v>
      </c>
      <c r="CC475" t="n">
        <v>10</v>
      </c>
      <c r="CD475" t="n">
        <v>28</v>
      </c>
      <c r="CE475" t="n">
        <v>19</v>
      </c>
      <c r="CF475" t="n">
        <v>57</v>
      </c>
      <c r="CG475" t="n">
        <v>46</v>
      </c>
      <c r="CH475" t="n">
        <v>87</v>
      </c>
      <c r="CI475" t="n">
        <v>22</v>
      </c>
      <c r="CJ475" t="n">
        <v>24</v>
      </c>
      <c r="CK475" t="n">
        <v>10</v>
      </c>
      <c r="CL475" t="n">
        <v>28</v>
      </c>
      <c r="CM475" t="n">
        <v>19</v>
      </c>
      <c r="CN475" t="n">
        <v>57</v>
      </c>
      <c r="CO475" t="n">
        <v>46</v>
      </c>
      <c r="CP475" t="n">
        <v>0</v>
      </c>
      <c r="CQ475" t="n">
        <v>0</v>
      </c>
      <c r="CR475" t="n">
        <v>0</v>
      </c>
      <c r="CS475" t="n">
        <v>0</v>
      </c>
      <c r="CT475" t="n">
        <v>0</v>
      </c>
      <c r="CU475" t="n">
        <v>0</v>
      </c>
      <c r="CV475" t="n">
        <v>0</v>
      </c>
      <c r="CW475" t="n">
        <v>0</v>
      </c>
      <c r="CX475" t="n">
        <v>35.1</v>
      </c>
      <c r="CY475" t="n">
        <v>40.8</v>
      </c>
      <c r="CZ475" t="n">
        <v>48.7</v>
      </c>
      <c r="DA475" t="n">
        <v>55.7</v>
      </c>
      <c r="DB475" t="n">
        <v>34</v>
      </c>
      <c r="DC475" t="n">
        <v>40.8</v>
      </c>
      <c r="DD475" t="n">
        <v>46.7</v>
      </c>
      <c r="DE475" t="n">
        <v>53.9</v>
      </c>
      <c r="DF475" t="n">
        <v>35.1</v>
      </c>
      <c r="DG475" t="n">
        <v>40.8</v>
      </c>
      <c r="DH475" t="n">
        <v>48.7</v>
      </c>
      <c r="DI475" t="n">
        <v>55.7</v>
      </c>
      <c r="DJ475" t="n">
        <v>34</v>
      </c>
      <c r="DK475" t="n">
        <v>40.8</v>
      </c>
      <c r="DL475" t="n">
        <v>46.7</v>
      </c>
      <c r="DM475" t="n">
        <v>53.9</v>
      </c>
      <c r="DN475" t="n">
        <v>0</v>
      </c>
      <c r="DO475" t="n">
        <v>0</v>
      </c>
      <c r="DP475" t="n">
        <v>0</v>
      </c>
      <c r="DQ475" t="n">
        <v>0</v>
      </c>
      <c r="DR475" t="n">
        <v>0</v>
      </c>
      <c r="DS475" t="n">
        <v>0</v>
      </c>
      <c r="DT475" t="n">
        <v>0</v>
      </c>
      <c r="DU475" t="n">
        <v>0</v>
      </c>
      <c r="DV475" t="inlineStr">
        <is>
          <t>($5 X DJIA INDEX)</t>
        </is>
      </c>
    </row>
    <row r="476">
      <c r="A476" t="inlineStr">
        <is>
          <t>DOW JONES U.S. REAL ESTATE IDX - CHICAGO BOARD OF TRADE</t>
        </is>
      </c>
      <c r="B476" t="n">
        <v>230110</v>
      </c>
      <c r="C476" s="1" t="n">
        <v>44936</v>
      </c>
      <c r="D476" t="inlineStr">
        <is>
          <t>124606</t>
        </is>
      </c>
      <c r="E476" t="inlineStr">
        <is>
          <t xml:space="preserve">CBT </t>
        </is>
      </c>
      <c r="F476" t="inlineStr">
        <is>
          <t>00</t>
        </is>
      </c>
      <c r="G476" t="inlineStr">
        <is>
          <t xml:space="preserve">124 </t>
        </is>
      </c>
      <c r="H476" t="n">
        <v>47920</v>
      </c>
      <c r="I476" s="17" t="n">
        <v>2702</v>
      </c>
      <c r="J476" s="17" t="n">
        <v>795</v>
      </c>
      <c r="K476" t="n">
        <v>0</v>
      </c>
      <c r="L476" t="n">
        <v>42836</v>
      </c>
      <c r="M476" t="n">
        <v>46146</v>
      </c>
      <c r="N476" t="n">
        <v>45538</v>
      </c>
      <c r="O476" t="n">
        <v>46941</v>
      </c>
      <c r="P476" t="n">
        <v>2382</v>
      </c>
      <c r="Q476" t="n">
        <v>979</v>
      </c>
      <c r="R476" t="n">
        <v>47920</v>
      </c>
      <c r="S476" t="n">
        <v>2702</v>
      </c>
      <c r="T476" t="n">
        <v>795</v>
      </c>
      <c r="U476" t="n">
        <v>0</v>
      </c>
      <c r="V476" t="n">
        <v>42836</v>
      </c>
      <c r="W476" t="n">
        <v>46146</v>
      </c>
      <c r="X476" t="n">
        <v>45538</v>
      </c>
      <c r="Y476" t="n">
        <v>46941</v>
      </c>
      <c r="Z476" t="n">
        <v>2382</v>
      </c>
      <c r="AA476" t="n">
        <v>979</v>
      </c>
      <c r="AB476" t="n">
        <v>0</v>
      </c>
      <c r="AC476" t="n">
        <v>0</v>
      </c>
      <c r="AD476" t="n">
        <v>0</v>
      </c>
      <c r="AE476" t="n">
        <v>0</v>
      </c>
      <c r="AF476" t="n">
        <v>0</v>
      </c>
      <c r="AG476" t="n">
        <v>0</v>
      </c>
      <c r="AH476" t="n">
        <v>0</v>
      </c>
      <c r="AI476" t="n">
        <v>0</v>
      </c>
      <c r="AJ476" t="n">
        <v>0</v>
      </c>
      <c r="AK476" t="n">
        <v>0</v>
      </c>
      <c r="AL476" t="n">
        <v>-2066</v>
      </c>
      <c r="AM476" t="n">
        <v>-191</v>
      </c>
      <c r="AN476" t="n">
        <v>-517</v>
      </c>
      <c r="AO476" t="n">
        <v>0</v>
      </c>
      <c r="AP476" t="n">
        <v>-2095</v>
      </c>
      <c r="AQ476" t="n">
        <v>-1429</v>
      </c>
      <c r="AR476" t="n">
        <v>-2286</v>
      </c>
      <c r="AS476" t="n">
        <v>-1946</v>
      </c>
      <c r="AT476" t="n">
        <v>220</v>
      </c>
      <c r="AU476" t="n">
        <v>-120</v>
      </c>
      <c r="AV476" t="n">
        <v>100</v>
      </c>
      <c r="AW476" t="n">
        <v>5.6</v>
      </c>
      <c r="AX476" t="n">
        <v>1.7</v>
      </c>
      <c r="AY476" t="n">
        <v>0</v>
      </c>
      <c r="AZ476" t="n">
        <v>89.40000000000001</v>
      </c>
      <c r="BA476" t="n">
        <v>96.3</v>
      </c>
      <c r="BB476" t="n">
        <v>95</v>
      </c>
      <c r="BC476" t="n">
        <v>98</v>
      </c>
      <c r="BD476" t="n">
        <v>5</v>
      </c>
      <c r="BE476" t="n">
        <v>2</v>
      </c>
      <c r="BF476" t="n">
        <v>100</v>
      </c>
      <c r="BG476" t="n">
        <v>5.6</v>
      </c>
      <c r="BH476" t="n">
        <v>1.7</v>
      </c>
      <c r="BI476" t="n">
        <v>0</v>
      </c>
      <c r="BJ476" t="n">
        <v>89.40000000000001</v>
      </c>
      <c r="BK476" t="n">
        <v>96.3</v>
      </c>
      <c r="BL476" t="n">
        <v>95</v>
      </c>
      <c r="BM476" t="n">
        <v>98</v>
      </c>
      <c r="BN476" t="n">
        <v>5</v>
      </c>
      <c r="BO476" t="n">
        <v>2</v>
      </c>
      <c r="BP476" t="n">
        <v>0</v>
      </c>
      <c r="BQ476" t="n">
        <v>0</v>
      </c>
      <c r="BR476" t="n">
        <v>0</v>
      </c>
      <c r="BS476" t="n">
        <v>0</v>
      </c>
      <c r="BT476" t="n">
        <v>0</v>
      </c>
      <c r="BU476" t="n">
        <v>0</v>
      </c>
      <c r="BV476" t="n">
        <v>0</v>
      </c>
      <c r="BW476" t="n">
        <v>0</v>
      </c>
      <c r="BX476" t="n">
        <v>0</v>
      </c>
      <c r="BY476" t="n">
        <v>0</v>
      </c>
      <c r="BZ476" t="n">
        <v>33</v>
      </c>
      <c r="CA476" t="n">
        <v>3</v>
      </c>
      <c r="CB476" t="n">
        <v>2</v>
      </c>
      <c r="CC476" t="n">
        <v>0</v>
      </c>
      <c r="CD476" t="n">
        <v>21</v>
      </c>
      <c r="CE476" t="n">
        <v>10</v>
      </c>
      <c r="CF476" t="n">
        <v>24</v>
      </c>
      <c r="CG476" t="n">
        <v>12</v>
      </c>
      <c r="CH476" t="n">
        <v>33</v>
      </c>
      <c r="CI476" t="n">
        <v>3</v>
      </c>
      <c r="CJ476" t="n">
        <v>2</v>
      </c>
      <c r="CK476" t="n">
        <v>0</v>
      </c>
      <c r="CL476" t="n">
        <v>21</v>
      </c>
      <c r="CM476" t="n">
        <v>10</v>
      </c>
      <c r="CN476" t="n">
        <v>24</v>
      </c>
      <c r="CO476" t="n">
        <v>12</v>
      </c>
      <c r="CP476" t="n">
        <v>0</v>
      </c>
      <c r="CQ476" t="n">
        <v>0</v>
      </c>
      <c r="CR476" t="n">
        <v>0</v>
      </c>
      <c r="CS476" t="n">
        <v>0</v>
      </c>
      <c r="CT476" t="n">
        <v>0</v>
      </c>
      <c r="CU476" t="n">
        <v>0</v>
      </c>
      <c r="CV476" t="n">
        <v>0</v>
      </c>
      <c r="CW476" t="n">
        <v>0</v>
      </c>
      <c r="CX476" t="n">
        <v>49.4</v>
      </c>
      <c r="CY476" t="n">
        <v>72.7</v>
      </c>
      <c r="CZ476" t="n">
        <v>68</v>
      </c>
      <c r="DA476" t="n">
        <v>94.59999999999999</v>
      </c>
      <c r="DB476" t="n">
        <v>49.2</v>
      </c>
      <c r="DC476" t="n">
        <v>70.59999999999999</v>
      </c>
      <c r="DD476" t="n">
        <v>65.40000000000001</v>
      </c>
      <c r="DE476" t="n">
        <v>91.5</v>
      </c>
      <c r="DF476" t="n">
        <v>49.4</v>
      </c>
      <c r="DG476" t="n">
        <v>72.7</v>
      </c>
      <c r="DH476" t="n">
        <v>68</v>
      </c>
      <c r="DI476" t="n">
        <v>94.59999999999999</v>
      </c>
      <c r="DJ476" t="n">
        <v>49.2</v>
      </c>
      <c r="DK476" t="n">
        <v>70.59999999999999</v>
      </c>
      <c r="DL476" t="n">
        <v>65.40000000000001</v>
      </c>
      <c r="DM476" t="n">
        <v>91.5</v>
      </c>
      <c r="DN476" t="n">
        <v>0</v>
      </c>
      <c r="DO476" t="n">
        <v>0</v>
      </c>
      <c r="DP476" t="n">
        <v>0</v>
      </c>
      <c r="DQ476" t="n">
        <v>0</v>
      </c>
      <c r="DR476" t="n">
        <v>0</v>
      </c>
      <c r="DS476" t="n">
        <v>0</v>
      </c>
      <c r="DT476" t="n">
        <v>0</v>
      </c>
      <c r="DU476" t="n">
        <v>0</v>
      </c>
      <c r="DV476" t="inlineStr">
        <is>
          <t>($100 X DJ US REAL ESTATE INDEX)</t>
        </is>
      </c>
    </row>
    <row r="477">
      <c r="A477" t="inlineStr">
        <is>
          <t>DOW JONES U.S. REAL ESTATE IDX - CHICAGO BOARD OF TRADE</t>
        </is>
      </c>
      <c r="B477" t="n">
        <v>230103</v>
      </c>
      <c r="C477" s="1" t="n">
        <v>44929</v>
      </c>
      <c r="D477" t="inlineStr">
        <is>
          <t>124606</t>
        </is>
      </c>
      <c r="E477" t="inlineStr">
        <is>
          <t xml:space="preserve">CBT </t>
        </is>
      </c>
      <c r="F477" t="inlineStr">
        <is>
          <t>00</t>
        </is>
      </c>
      <c r="G477" t="inlineStr">
        <is>
          <t xml:space="preserve">124 </t>
        </is>
      </c>
      <c r="H477" t="n">
        <v>49986</v>
      </c>
      <c r="I477" s="17" t="n">
        <v>2893</v>
      </c>
      <c r="J477" s="17" t="n">
        <v>1312</v>
      </c>
      <c r="K477" t="n">
        <v>0</v>
      </c>
      <c r="L477" t="n">
        <v>44931</v>
      </c>
      <c r="M477" t="n">
        <v>47575</v>
      </c>
      <c r="N477" t="n">
        <v>47824</v>
      </c>
      <c r="O477" t="n">
        <v>48887</v>
      </c>
      <c r="P477" t="n">
        <v>2162</v>
      </c>
      <c r="Q477" t="n">
        <v>1099</v>
      </c>
      <c r="R477" t="n">
        <v>49986</v>
      </c>
      <c r="S477" t="n">
        <v>2893</v>
      </c>
      <c r="T477" t="n">
        <v>1312</v>
      </c>
      <c r="U477" t="n">
        <v>0</v>
      </c>
      <c r="V477" t="n">
        <v>44931</v>
      </c>
      <c r="W477" t="n">
        <v>47575</v>
      </c>
      <c r="X477" t="n">
        <v>47824</v>
      </c>
      <c r="Y477" t="n">
        <v>48887</v>
      </c>
      <c r="Z477" t="n">
        <v>2162</v>
      </c>
      <c r="AA477" t="n">
        <v>1099</v>
      </c>
      <c r="AB477" t="n">
        <v>0</v>
      </c>
      <c r="AC477" t="n">
        <v>0</v>
      </c>
      <c r="AD477" t="n">
        <v>0</v>
      </c>
      <c r="AE477" t="n">
        <v>0</v>
      </c>
      <c r="AF477" t="n">
        <v>0</v>
      </c>
      <c r="AG477" t="n">
        <v>0</v>
      </c>
      <c r="AH477" t="n">
        <v>0</v>
      </c>
      <c r="AI477" t="n">
        <v>0</v>
      </c>
      <c r="AJ477" t="n">
        <v>0</v>
      </c>
      <c r="AK477" t="n">
        <v>0</v>
      </c>
      <c r="AL477" t="n">
        <v>5574</v>
      </c>
      <c r="AM477" t="n">
        <v>845</v>
      </c>
      <c r="AN477" t="n">
        <v>438</v>
      </c>
      <c r="AO477" t="n">
        <v>-2</v>
      </c>
      <c r="AP477" t="n">
        <v>4931</v>
      </c>
      <c r="AQ477" t="n">
        <v>5042</v>
      </c>
      <c r="AR477" t="n">
        <v>5774</v>
      </c>
      <c r="AS477" t="n">
        <v>5478</v>
      </c>
      <c r="AT477" t="n">
        <v>-200</v>
      </c>
      <c r="AU477" t="n">
        <v>96</v>
      </c>
      <c r="AV477" t="n">
        <v>100</v>
      </c>
      <c r="AW477" t="n">
        <v>5.8</v>
      </c>
      <c r="AX477" t="n">
        <v>2.6</v>
      </c>
      <c r="AY477" t="n">
        <v>0</v>
      </c>
      <c r="AZ477" t="n">
        <v>89.90000000000001</v>
      </c>
      <c r="BA477" t="n">
        <v>95.2</v>
      </c>
      <c r="BB477" t="n">
        <v>95.7</v>
      </c>
      <c r="BC477" t="n">
        <v>97.8</v>
      </c>
      <c r="BD477" t="n">
        <v>4.3</v>
      </c>
      <c r="BE477" t="n">
        <v>2.2</v>
      </c>
      <c r="BF477" t="n">
        <v>100</v>
      </c>
      <c r="BG477" t="n">
        <v>5.8</v>
      </c>
      <c r="BH477" t="n">
        <v>2.6</v>
      </c>
      <c r="BI477" t="n">
        <v>0</v>
      </c>
      <c r="BJ477" t="n">
        <v>89.90000000000001</v>
      </c>
      <c r="BK477" t="n">
        <v>95.2</v>
      </c>
      <c r="BL477" t="n">
        <v>95.7</v>
      </c>
      <c r="BM477" t="n">
        <v>97.8</v>
      </c>
      <c r="BN477" t="n">
        <v>4.3</v>
      </c>
      <c r="BO477" t="n">
        <v>2.2</v>
      </c>
      <c r="BP477" t="n">
        <v>0</v>
      </c>
      <c r="BQ477" t="n">
        <v>0</v>
      </c>
      <c r="BR477" t="n">
        <v>0</v>
      </c>
      <c r="BS477" t="n">
        <v>0</v>
      </c>
      <c r="BT477" t="n">
        <v>0</v>
      </c>
      <c r="BU477" t="n">
        <v>0</v>
      </c>
      <c r="BV477" t="n">
        <v>0</v>
      </c>
      <c r="BW477" t="n">
        <v>0</v>
      </c>
      <c r="BX477" t="n">
        <v>0</v>
      </c>
      <c r="BY477" t="n">
        <v>0</v>
      </c>
      <c r="BZ477" t="n">
        <v>33</v>
      </c>
      <c r="CA477" t="n">
        <v>3</v>
      </c>
      <c r="CB477" t="n">
        <v>2</v>
      </c>
      <c r="CC477" t="n">
        <v>0</v>
      </c>
      <c r="CD477" t="n">
        <v>21</v>
      </c>
      <c r="CE477" t="n">
        <v>10</v>
      </c>
      <c r="CF477" t="n">
        <v>24</v>
      </c>
      <c r="CG477" t="n">
        <v>12</v>
      </c>
      <c r="CH477" t="n">
        <v>33</v>
      </c>
      <c r="CI477" t="n">
        <v>3</v>
      </c>
      <c r="CJ477" t="n">
        <v>2</v>
      </c>
      <c r="CK477" t="n">
        <v>0</v>
      </c>
      <c r="CL477" t="n">
        <v>21</v>
      </c>
      <c r="CM477" t="n">
        <v>10</v>
      </c>
      <c r="CN477" t="n">
        <v>24</v>
      </c>
      <c r="CO477" t="n">
        <v>12</v>
      </c>
      <c r="CP477" t="n">
        <v>0</v>
      </c>
      <c r="CQ477" t="n">
        <v>0</v>
      </c>
      <c r="CR477" t="n">
        <v>0</v>
      </c>
      <c r="CS477" t="n">
        <v>0</v>
      </c>
      <c r="CT477" t="n">
        <v>0</v>
      </c>
      <c r="CU477" t="n">
        <v>0</v>
      </c>
      <c r="CV477" t="n">
        <v>0</v>
      </c>
      <c r="CW477" t="n">
        <v>0</v>
      </c>
      <c r="CX477" t="n">
        <v>47.5</v>
      </c>
      <c r="CY477" t="n">
        <v>72.90000000000001</v>
      </c>
      <c r="CZ477" t="n">
        <v>67.8</v>
      </c>
      <c r="DA477" t="n">
        <v>94.09999999999999</v>
      </c>
      <c r="DB477" t="n">
        <v>47.4</v>
      </c>
      <c r="DC477" t="n">
        <v>71.09999999999999</v>
      </c>
      <c r="DD477" t="n">
        <v>65.3</v>
      </c>
      <c r="DE477" t="n">
        <v>91.40000000000001</v>
      </c>
      <c r="DF477" t="n">
        <v>47.5</v>
      </c>
      <c r="DG477" t="n">
        <v>72.90000000000001</v>
      </c>
      <c r="DH477" t="n">
        <v>67.8</v>
      </c>
      <c r="DI477" t="n">
        <v>94.09999999999999</v>
      </c>
      <c r="DJ477" t="n">
        <v>47.4</v>
      </c>
      <c r="DK477" t="n">
        <v>71.09999999999999</v>
      </c>
      <c r="DL477" t="n">
        <v>65.3</v>
      </c>
      <c r="DM477" t="n">
        <v>91.40000000000001</v>
      </c>
      <c r="DN477" t="n">
        <v>0</v>
      </c>
      <c r="DO477" t="n">
        <v>0</v>
      </c>
      <c r="DP477" t="n">
        <v>0</v>
      </c>
      <c r="DQ477" t="n">
        <v>0</v>
      </c>
      <c r="DR477" t="n">
        <v>0</v>
      </c>
      <c r="DS477" t="n">
        <v>0</v>
      </c>
      <c r="DT477" t="n">
        <v>0</v>
      </c>
      <c r="DU477" t="n">
        <v>0</v>
      </c>
      <c r="DV477" t="inlineStr">
        <is>
          <t>($100 X DJ US REAL ESTATE INDEX)</t>
        </is>
      </c>
    </row>
    <row r="478">
      <c r="A478" t="inlineStr">
        <is>
          <t>MICRO E-MINI DJIA (x$0.5) - CHICAGO BOARD OF TRADE</t>
        </is>
      </c>
      <c r="B478" t="n">
        <v>230110</v>
      </c>
      <c r="C478" s="1" t="n">
        <v>44936</v>
      </c>
      <c r="D478" t="inlineStr">
        <is>
          <t>124608</t>
        </is>
      </c>
      <c r="E478" t="inlineStr">
        <is>
          <t xml:space="preserve">CBT </t>
        </is>
      </c>
      <c r="F478" t="inlineStr">
        <is>
          <t>00</t>
        </is>
      </c>
      <c r="G478" t="inlineStr">
        <is>
          <t xml:space="preserve">124 </t>
        </is>
      </c>
      <c r="H478" t="n">
        <v>22155</v>
      </c>
      <c r="I478" s="17" t="n">
        <v>12283</v>
      </c>
      <c r="J478" s="17" t="n">
        <v>3206</v>
      </c>
      <c r="K478" t="n">
        <v>2033</v>
      </c>
      <c r="L478" t="n">
        <v>1645</v>
      </c>
      <c r="M478" t="n">
        <v>317</v>
      </c>
      <c r="N478" t="n">
        <v>15961</v>
      </c>
      <c r="O478" t="n">
        <v>5556</v>
      </c>
      <c r="P478" t="n">
        <v>6194</v>
      </c>
      <c r="Q478" t="n">
        <v>16599</v>
      </c>
      <c r="R478" t="n">
        <v>22155</v>
      </c>
      <c r="S478" t="n">
        <v>12283</v>
      </c>
      <c r="T478" t="n">
        <v>3206</v>
      </c>
      <c r="U478" t="n">
        <v>2033</v>
      </c>
      <c r="V478" t="n">
        <v>1645</v>
      </c>
      <c r="W478" t="n">
        <v>317</v>
      </c>
      <c r="X478" t="n">
        <v>15961</v>
      </c>
      <c r="Y478" t="n">
        <v>5556</v>
      </c>
      <c r="Z478" t="n">
        <v>6194</v>
      </c>
      <c r="AA478" t="n">
        <v>16599</v>
      </c>
      <c r="AB478" t="n">
        <v>0</v>
      </c>
      <c r="AC478" t="n">
        <v>0</v>
      </c>
      <c r="AD478" t="n">
        <v>0</v>
      </c>
      <c r="AE478" t="n">
        <v>0</v>
      </c>
      <c r="AF478" t="n">
        <v>0</v>
      </c>
      <c r="AG478" t="n">
        <v>0</v>
      </c>
      <c r="AH478" t="n">
        <v>0</v>
      </c>
      <c r="AI478" t="n">
        <v>0</v>
      </c>
      <c r="AJ478" t="n">
        <v>0</v>
      </c>
      <c r="AK478" t="n">
        <v>0</v>
      </c>
      <c r="AV478" t="n">
        <v>100</v>
      </c>
      <c r="AW478" t="n">
        <v>55.4</v>
      </c>
      <c r="AX478" t="n">
        <v>14.5</v>
      </c>
      <c r="AY478" t="n">
        <v>9.199999999999999</v>
      </c>
      <c r="AZ478" t="n">
        <v>7.4</v>
      </c>
      <c r="BA478" t="n">
        <v>1.4</v>
      </c>
      <c r="BB478" t="n">
        <v>72</v>
      </c>
      <c r="BC478" t="n">
        <v>25.1</v>
      </c>
      <c r="BD478" t="n">
        <v>28</v>
      </c>
      <c r="BE478" t="n">
        <v>74.90000000000001</v>
      </c>
      <c r="BF478" t="n">
        <v>100</v>
      </c>
      <c r="BG478" t="n">
        <v>55.4</v>
      </c>
      <c r="BH478" t="n">
        <v>14.5</v>
      </c>
      <c r="BI478" t="n">
        <v>9.199999999999999</v>
      </c>
      <c r="BJ478" t="n">
        <v>7.4</v>
      </c>
      <c r="BK478" t="n">
        <v>1.4</v>
      </c>
      <c r="BL478" t="n">
        <v>72</v>
      </c>
      <c r="BM478" t="n">
        <v>25.1</v>
      </c>
      <c r="BN478" t="n">
        <v>28</v>
      </c>
      <c r="BO478" t="n">
        <v>74.90000000000001</v>
      </c>
      <c r="BP478" t="n">
        <v>0</v>
      </c>
      <c r="BQ478" t="n">
        <v>0</v>
      </c>
      <c r="BR478" t="n">
        <v>0</v>
      </c>
      <c r="BS478" t="n">
        <v>0</v>
      </c>
      <c r="BT478" t="n">
        <v>0</v>
      </c>
      <c r="BU478" t="n">
        <v>0</v>
      </c>
      <c r="BV478" t="n">
        <v>0</v>
      </c>
      <c r="BW478" t="n">
        <v>0</v>
      </c>
      <c r="BX478" t="n">
        <v>0</v>
      </c>
      <c r="BY478" t="n">
        <v>0</v>
      </c>
      <c r="BZ478" t="n">
        <v>21</v>
      </c>
      <c r="CA478" t="n">
        <v>7</v>
      </c>
      <c r="CB478" t="n">
        <v>11</v>
      </c>
      <c r="CC478" t="n">
        <v>4</v>
      </c>
      <c r="CD478" t="n">
        <v>3</v>
      </c>
      <c r="CE478" t="n">
        <v>1</v>
      </c>
      <c r="CF478" t="n">
        <v>11</v>
      </c>
      <c r="CG478" t="n">
        <v>15</v>
      </c>
      <c r="CH478" t="n">
        <v>21</v>
      </c>
      <c r="CI478" t="n">
        <v>7</v>
      </c>
      <c r="CJ478" t="n">
        <v>11</v>
      </c>
      <c r="CK478" t="n">
        <v>4</v>
      </c>
      <c r="CL478" t="n">
        <v>3</v>
      </c>
      <c r="CM478" t="n">
        <v>1</v>
      </c>
      <c r="CN478" t="n">
        <v>11</v>
      </c>
      <c r="CO478" t="n">
        <v>15</v>
      </c>
      <c r="CP478" t="n">
        <v>0</v>
      </c>
      <c r="CQ478" t="n">
        <v>0</v>
      </c>
      <c r="CR478" t="n">
        <v>0</v>
      </c>
      <c r="CS478" t="n">
        <v>0</v>
      </c>
      <c r="CT478" t="n">
        <v>0</v>
      </c>
      <c r="CU478" t="n">
        <v>0</v>
      </c>
      <c r="CV478" t="n">
        <v>0</v>
      </c>
      <c r="CW478" t="n">
        <v>0</v>
      </c>
      <c r="CX478" t="n">
        <v>60.6</v>
      </c>
      <c r="CY478" t="n">
        <v>14.7</v>
      </c>
      <c r="CZ478" t="n">
        <v>69.3</v>
      </c>
      <c r="DA478" t="n">
        <v>20</v>
      </c>
      <c r="DB478" t="n">
        <v>51.9</v>
      </c>
      <c r="DC478" t="n">
        <v>7.5</v>
      </c>
      <c r="DD478" t="n">
        <v>59.1</v>
      </c>
      <c r="DE478" t="n">
        <v>12.1</v>
      </c>
      <c r="DF478" t="n">
        <v>60.6</v>
      </c>
      <c r="DG478" t="n">
        <v>14.7</v>
      </c>
      <c r="DH478" t="n">
        <v>69.3</v>
      </c>
      <c r="DI478" t="n">
        <v>20</v>
      </c>
      <c r="DJ478" t="n">
        <v>51.9</v>
      </c>
      <c r="DK478" t="n">
        <v>7.5</v>
      </c>
      <c r="DL478" t="n">
        <v>59.1</v>
      </c>
      <c r="DM478" t="n">
        <v>12.1</v>
      </c>
      <c r="DN478" t="n">
        <v>0</v>
      </c>
      <c r="DO478" t="n">
        <v>0</v>
      </c>
      <c r="DP478" t="n">
        <v>0</v>
      </c>
      <c r="DQ478" t="n">
        <v>0</v>
      </c>
      <c r="DR478" t="n">
        <v>0</v>
      </c>
      <c r="DS478" t="n">
        <v>0</v>
      </c>
      <c r="DT478" t="n">
        <v>0</v>
      </c>
      <c r="DU478" t="n">
        <v>0</v>
      </c>
      <c r="DV478" t="inlineStr">
        <is>
          <t>($0.5 X DJIA INDEX)</t>
        </is>
      </c>
    </row>
    <row r="479">
      <c r="A479" t="inlineStr">
        <is>
          <t>EURODOLLARS-3M - CHICAGO MERCANTILE EXCHANGE</t>
        </is>
      </c>
      <c r="B479" t="n">
        <v>230110</v>
      </c>
      <c r="C479" s="1" t="n">
        <v>44936</v>
      </c>
      <c r="D479" t="inlineStr">
        <is>
          <t>132741</t>
        </is>
      </c>
      <c r="E479" t="inlineStr">
        <is>
          <t xml:space="preserve">CME </t>
        </is>
      </c>
      <c r="F479" t="inlineStr">
        <is>
          <t>00</t>
        </is>
      </c>
      <c r="G479" t="inlineStr">
        <is>
          <t xml:space="preserve">132 </t>
        </is>
      </c>
      <c r="H479" t="n">
        <v>6013989</v>
      </c>
      <c r="I479" s="17" t="n">
        <v>450880</v>
      </c>
      <c r="J479" s="17" t="n">
        <v>1506415</v>
      </c>
      <c r="K479" t="n">
        <v>1055223</v>
      </c>
      <c r="L479" t="n">
        <v>4201292</v>
      </c>
      <c r="M479" t="n">
        <v>2942488</v>
      </c>
      <c r="N479" t="n">
        <v>5707395</v>
      </c>
      <c r="O479" t="n">
        <v>5504126</v>
      </c>
      <c r="P479" t="n">
        <v>306594</v>
      </c>
      <c r="Q479" t="n">
        <v>509863</v>
      </c>
      <c r="R479" t="n">
        <v>6013989</v>
      </c>
      <c r="S479" t="n">
        <v>450880</v>
      </c>
      <c r="T479" t="n">
        <v>1506415</v>
      </c>
      <c r="U479" t="n">
        <v>1055223</v>
      </c>
      <c r="V479" t="n">
        <v>4201292</v>
      </c>
      <c r="W479" t="n">
        <v>2942488</v>
      </c>
      <c r="X479" t="n">
        <v>5707395</v>
      </c>
      <c r="Y479" t="n">
        <v>5504126</v>
      </c>
      <c r="Z479" t="n">
        <v>306594</v>
      </c>
      <c r="AA479" t="n">
        <v>509863</v>
      </c>
      <c r="AB479" t="n">
        <v>0</v>
      </c>
      <c r="AC479" t="n">
        <v>0</v>
      </c>
      <c r="AD479" t="n">
        <v>0</v>
      </c>
      <c r="AE479" t="n">
        <v>0</v>
      </c>
      <c r="AF479" t="n">
        <v>0</v>
      </c>
      <c r="AG479" t="n">
        <v>0</v>
      </c>
      <c r="AH479" t="n">
        <v>0</v>
      </c>
      <c r="AI479" t="n">
        <v>0</v>
      </c>
      <c r="AJ479" t="n">
        <v>0</v>
      </c>
      <c r="AK479" t="n">
        <v>0</v>
      </c>
      <c r="AL479" t="n">
        <v>1446</v>
      </c>
      <c r="AM479" t="n">
        <v>-46548</v>
      </c>
      <c r="AN479" t="n">
        <v>25226</v>
      </c>
      <c r="AO479" t="n">
        <v>2562</v>
      </c>
      <c r="AP479" t="n">
        <v>46789</v>
      </c>
      <c r="AQ479" t="n">
        <v>-32509</v>
      </c>
      <c r="AR479" t="n">
        <v>2803</v>
      </c>
      <c r="AS479" t="n">
        <v>-4721</v>
      </c>
      <c r="AT479" t="n">
        <v>-1357</v>
      </c>
      <c r="AU479" t="n">
        <v>6167</v>
      </c>
      <c r="AV479" t="n">
        <v>100</v>
      </c>
      <c r="AW479" t="n">
        <v>7.5</v>
      </c>
      <c r="AX479" t="n">
        <v>25</v>
      </c>
      <c r="AY479" t="n">
        <v>17.5</v>
      </c>
      <c r="AZ479" t="n">
        <v>69.90000000000001</v>
      </c>
      <c r="BA479" t="n">
        <v>48.9</v>
      </c>
      <c r="BB479" t="n">
        <v>94.90000000000001</v>
      </c>
      <c r="BC479" t="n">
        <v>91.5</v>
      </c>
      <c r="BD479" t="n">
        <v>5.1</v>
      </c>
      <c r="BE479" t="n">
        <v>8.5</v>
      </c>
      <c r="BF479" t="n">
        <v>100</v>
      </c>
      <c r="BG479" t="n">
        <v>7.5</v>
      </c>
      <c r="BH479" t="n">
        <v>25</v>
      </c>
      <c r="BI479" t="n">
        <v>17.5</v>
      </c>
      <c r="BJ479" t="n">
        <v>69.90000000000001</v>
      </c>
      <c r="BK479" t="n">
        <v>48.9</v>
      </c>
      <c r="BL479" t="n">
        <v>94.90000000000001</v>
      </c>
      <c r="BM479" t="n">
        <v>91.5</v>
      </c>
      <c r="BN479" t="n">
        <v>5.1</v>
      </c>
      <c r="BO479" t="n">
        <v>8.5</v>
      </c>
      <c r="BP479" t="n">
        <v>0</v>
      </c>
      <c r="BQ479" t="n">
        <v>0</v>
      </c>
      <c r="BR479" t="n">
        <v>0</v>
      </c>
      <c r="BS479" t="n">
        <v>0</v>
      </c>
      <c r="BT479" t="n">
        <v>0</v>
      </c>
      <c r="BU479" t="n">
        <v>0</v>
      </c>
      <c r="BV479" t="n">
        <v>0</v>
      </c>
      <c r="BW479" t="n">
        <v>0</v>
      </c>
      <c r="BX479" t="n">
        <v>0</v>
      </c>
      <c r="BY479" t="n">
        <v>0</v>
      </c>
      <c r="BZ479" t="n">
        <v>138</v>
      </c>
      <c r="CA479" t="n">
        <v>20</v>
      </c>
      <c r="CB479" t="n">
        <v>38</v>
      </c>
      <c r="CC479" t="n">
        <v>51</v>
      </c>
      <c r="CD479" t="n">
        <v>67</v>
      </c>
      <c r="CE479" t="n">
        <v>72</v>
      </c>
      <c r="CF479" t="n">
        <v>120</v>
      </c>
      <c r="CG479" t="n">
        <v>131</v>
      </c>
      <c r="CH479" t="n">
        <v>138</v>
      </c>
      <c r="CI479" t="n">
        <v>20</v>
      </c>
      <c r="CJ479" t="n">
        <v>38</v>
      </c>
      <c r="CK479" t="n">
        <v>51</v>
      </c>
      <c r="CL479" t="n">
        <v>67</v>
      </c>
      <c r="CM479" t="n">
        <v>72</v>
      </c>
      <c r="CN479" t="n">
        <v>120</v>
      </c>
      <c r="CO479" t="n">
        <v>131</v>
      </c>
      <c r="CP479" t="n">
        <v>0</v>
      </c>
      <c r="CQ479" t="n">
        <v>0</v>
      </c>
      <c r="CR479" t="n">
        <v>0</v>
      </c>
      <c r="CS479" t="n">
        <v>0</v>
      </c>
      <c r="CT479" t="n">
        <v>0</v>
      </c>
      <c r="CU479" t="n">
        <v>0</v>
      </c>
      <c r="CV479" t="n">
        <v>0</v>
      </c>
      <c r="CW479" t="n">
        <v>0</v>
      </c>
      <c r="CX479" t="n">
        <v>29.5</v>
      </c>
      <c r="CY479" t="n">
        <v>30.3</v>
      </c>
      <c r="CZ479" t="n">
        <v>42.5</v>
      </c>
      <c r="DA479" t="n">
        <v>43.3</v>
      </c>
      <c r="DB479" t="n">
        <v>25.8</v>
      </c>
      <c r="DC479" t="n">
        <v>24.4</v>
      </c>
      <c r="DD479" t="n">
        <v>33.6</v>
      </c>
      <c r="DE479" t="n">
        <v>33.6</v>
      </c>
      <c r="DF479" t="n">
        <v>29.5</v>
      </c>
      <c r="DG479" t="n">
        <v>30.3</v>
      </c>
      <c r="DH479" t="n">
        <v>42.5</v>
      </c>
      <c r="DI479" t="n">
        <v>43.3</v>
      </c>
      <c r="DJ479" t="n">
        <v>25.8</v>
      </c>
      <c r="DK479" t="n">
        <v>24.4</v>
      </c>
      <c r="DL479" t="n">
        <v>33.6</v>
      </c>
      <c r="DM479" t="n">
        <v>33.6</v>
      </c>
      <c r="DN479" t="n">
        <v>0</v>
      </c>
      <c r="DO479" t="n">
        <v>0</v>
      </c>
      <c r="DP479" t="n">
        <v>0</v>
      </c>
      <c r="DQ479" t="n">
        <v>0</v>
      </c>
      <c r="DR479" t="n">
        <v>0</v>
      </c>
      <c r="DS479" t="n">
        <v>0</v>
      </c>
      <c r="DT479" t="n">
        <v>0</v>
      </c>
      <c r="DU479" t="n">
        <v>0</v>
      </c>
      <c r="DV479" t="inlineStr">
        <is>
          <t>(CONTRACTS OF $1,000,000)</t>
        </is>
      </c>
    </row>
    <row r="480">
      <c r="A480" t="inlineStr">
        <is>
          <t>EURODOLLARS-3M - CHICAGO MERCANTILE EXCHANGE</t>
        </is>
      </c>
      <c r="B480" t="n">
        <v>230103</v>
      </c>
      <c r="C480" s="1" t="n">
        <v>44929</v>
      </c>
      <c r="D480" t="inlineStr">
        <is>
          <t>132741</t>
        </is>
      </c>
      <c r="E480" t="inlineStr">
        <is>
          <t xml:space="preserve">CME </t>
        </is>
      </c>
      <c r="F480" t="inlineStr">
        <is>
          <t>00</t>
        </is>
      </c>
      <c r="G480" t="inlineStr">
        <is>
          <t xml:space="preserve">132 </t>
        </is>
      </c>
      <c r="H480" t="n">
        <v>6012543</v>
      </c>
      <c r="I480" s="17" t="n">
        <v>497428</v>
      </c>
      <c r="J480" s="17" t="n">
        <v>1481189</v>
      </c>
      <c r="K480" t="n">
        <v>1052661</v>
      </c>
      <c r="L480" t="n">
        <v>4154503</v>
      </c>
      <c r="M480" t="n">
        <v>2974997</v>
      </c>
      <c r="N480" t="n">
        <v>5704592</v>
      </c>
      <c r="O480" t="n">
        <v>5508847</v>
      </c>
      <c r="P480" t="n">
        <v>307951</v>
      </c>
      <c r="Q480" t="n">
        <v>503696</v>
      </c>
      <c r="R480" t="n">
        <v>6012543</v>
      </c>
      <c r="S480" t="n">
        <v>497428</v>
      </c>
      <c r="T480" t="n">
        <v>1481189</v>
      </c>
      <c r="U480" t="n">
        <v>1052661</v>
      </c>
      <c r="V480" t="n">
        <v>4154503</v>
      </c>
      <c r="W480" t="n">
        <v>2974997</v>
      </c>
      <c r="X480" t="n">
        <v>5704592</v>
      </c>
      <c r="Y480" t="n">
        <v>5508847</v>
      </c>
      <c r="Z480" t="n">
        <v>307951</v>
      </c>
      <c r="AA480" t="n">
        <v>503696</v>
      </c>
      <c r="AB480" t="n">
        <v>0</v>
      </c>
      <c r="AC480" t="n">
        <v>0</v>
      </c>
      <c r="AD480" t="n">
        <v>0</v>
      </c>
      <c r="AE480" t="n">
        <v>0</v>
      </c>
      <c r="AF480" t="n">
        <v>0</v>
      </c>
      <c r="AG480" t="n">
        <v>0</v>
      </c>
      <c r="AH480" t="n">
        <v>0</v>
      </c>
      <c r="AI480" t="n">
        <v>0</v>
      </c>
      <c r="AJ480" t="n">
        <v>0</v>
      </c>
      <c r="AK480" t="n">
        <v>0</v>
      </c>
      <c r="AL480" t="n">
        <v>33440</v>
      </c>
      <c r="AM480" t="n">
        <v>35228</v>
      </c>
      <c r="AN480" t="n">
        <v>28278</v>
      </c>
      <c r="AO480" t="n">
        <v>-6925</v>
      </c>
      <c r="AP480" t="n">
        <v>31523</v>
      </c>
      <c r="AQ480" t="n">
        <v>34147</v>
      </c>
      <c r="AR480" t="n">
        <v>59826</v>
      </c>
      <c r="AS480" t="n">
        <v>55500</v>
      </c>
      <c r="AT480" t="n">
        <v>-26386</v>
      </c>
      <c r="AU480" t="n">
        <v>-22060</v>
      </c>
      <c r="AV480" t="n">
        <v>100</v>
      </c>
      <c r="AW480" t="n">
        <v>8.300000000000001</v>
      </c>
      <c r="AX480" t="n">
        <v>24.6</v>
      </c>
      <c r="AY480" t="n">
        <v>17.5</v>
      </c>
      <c r="AZ480" t="n">
        <v>69.09999999999999</v>
      </c>
      <c r="BA480" t="n">
        <v>49.5</v>
      </c>
      <c r="BB480" t="n">
        <v>94.90000000000001</v>
      </c>
      <c r="BC480" t="n">
        <v>91.59999999999999</v>
      </c>
      <c r="BD480" t="n">
        <v>5.1</v>
      </c>
      <c r="BE480" t="n">
        <v>8.4</v>
      </c>
      <c r="BF480" t="n">
        <v>100</v>
      </c>
      <c r="BG480" t="n">
        <v>8.300000000000001</v>
      </c>
      <c r="BH480" t="n">
        <v>24.6</v>
      </c>
      <c r="BI480" t="n">
        <v>17.5</v>
      </c>
      <c r="BJ480" t="n">
        <v>69.09999999999999</v>
      </c>
      <c r="BK480" t="n">
        <v>49.5</v>
      </c>
      <c r="BL480" t="n">
        <v>94.90000000000001</v>
      </c>
      <c r="BM480" t="n">
        <v>91.59999999999999</v>
      </c>
      <c r="BN480" t="n">
        <v>5.1</v>
      </c>
      <c r="BO480" t="n">
        <v>8.4</v>
      </c>
      <c r="BP480" t="n">
        <v>0</v>
      </c>
      <c r="BQ480" t="n">
        <v>0</v>
      </c>
      <c r="BR480" t="n">
        <v>0</v>
      </c>
      <c r="BS480" t="n">
        <v>0</v>
      </c>
      <c r="BT480" t="n">
        <v>0</v>
      </c>
      <c r="BU480" t="n">
        <v>0</v>
      </c>
      <c r="BV480" t="n">
        <v>0</v>
      </c>
      <c r="BW480" t="n">
        <v>0</v>
      </c>
      <c r="BX480" t="n">
        <v>0</v>
      </c>
      <c r="BY480" t="n">
        <v>0</v>
      </c>
      <c r="BZ480" t="n">
        <v>139</v>
      </c>
      <c r="CA480" t="n">
        <v>21</v>
      </c>
      <c r="CB480" t="n">
        <v>38</v>
      </c>
      <c r="CC480" t="n">
        <v>48</v>
      </c>
      <c r="CD480" t="n">
        <v>67</v>
      </c>
      <c r="CE480" t="n">
        <v>73</v>
      </c>
      <c r="CF480" t="n">
        <v>118</v>
      </c>
      <c r="CG480" t="n">
        <v>131</v>
      </c>
      <c r="CH480" t="n">
        <v>139</v>
      </c>
      <c r="CI480" t="n">
        <v>21</v>
      </c>
      <c r="CJ480" t="n">
        <v>38</v>
      </c>
      <c r="CK480" t="n">
        <v>48</v>
      </c>
      <c r="CL480" t="n">
        <v>67</v>
      </c>
      <c r="CM480" t="n">
        <v>73</v>
      </c>
      <c r="CN480" t="n">
        <v>118</v>
      </c>
      <c r="CO480" t="n">
        <v>131</v>
      </c>
      <c r="CP480" t="n">
        <v>0</v>
      </c>
      <c r="CQ480" t="n">
        <v>0</v>
      </c>
      <c r="CR480" t="n">
        <v>0</v>
      </c>
      <c r="CS480" t="n">
        <v>0</v>
      </c>
      <c r="CT480" t="n">
        <v>0</v>
      </c>
      <c r="CU480" t="n">
        <v>0</v>
      </c>
      <c r="CV480" t="n">
        <v>0</v>
      </c>
      <c r="CW480" t="n">
        <v>0</v>
      </c>
      <c r="CX480" t="n">
        <v>29.2</v>
      </c>
      <c r="CY480" t="n">
        <v>30.5</v>
      </c>
      <c r="CZ480" t="n">
        <v>42.3</v>
      </c>
      <c r="DA480" t="n">
        <v>43.8</v>
      </c>
      <c r="DB480" t="n">
        <v>25.6</v>
      </c>
      <c r="DC480" t="n">
        <v>24</v>
      </c>
      <c r="DD480" t="n">
        <v>33.3</v>
      </c>
      <c r="DE480" t="n">
        <v>33.2</v>
      </c>
      <c r="DF480" t="n">
        <v>29.2</v>
      </c>
      <c r="DG480" t="n">
        <v>30.5</v>
      </c>
      <c r="DH480" t="n">
        <v>42.3</v>
      </c>
      <c r="DI480" t="n">
        <v>43.8</v>
      </c>
      <c r="DJ480" t="n">
        <v>25.6</v>
      </c>
      <c r="DK480" t="n">
        <v>24</v>
      </c>
      <c r="DL480" t="n">
        <v>33.3</v>
      </c>
      <c r="DM480" t="n">
        <v>33.2</v>
      </c>
      <c r="DN480" t="n">
        <v>0</v>
      </c>
      <c r="DO480" t="n">
        <v>0</v>
      </c>
      <c r="DP480" t="n">
        <v>0</v>
      </c>
      <c r="DQ480" t="n">
        <v>0</v>
      </c>
      <c r="DR480" t="n">
        <v>0</v>
      </c>
      <c r="DS480" t="n">
        <v>0</v>
      </c>
      <c r="DT480" t="n">
        <v>0</v>
      </c>
      <c r="DU480" t="n">
        <v>0</v>
      </c>
      <c r="DV480" t="inlineStr">
        <is>
          <t>(CONTRACTS OF $1,000,000)</t>
        </is>
      </c>
    </row>
    <row r="481">
      <c r="A481" t="inlineStr">
        <is>
          <t>BITCOIN - CHICAGO MERCANTILE EXCHANGE</t>
        </is>
      </c>
      <c r="B481" t="n">
        <v>230110</v>
      </c>
      <c r="C481" s="1" t="n">
        <v>44936</v>
      </c>
      <c r="D481" t="inlineStr">
        <is>
          <t>133741</t>
        </is>
      </c>
      <c r="E481" t="inlineStr">
        <is>
          <t xml:space="preserve">CME </t>
        </is>
      </c>
      <c r="F481" t="inlineStr">
        <is>
          <t>00</t>
        </is>
      </c>
      <c r="G481" t="inlineStr">
        <is>
          <t xml:space="preserve">133 </t>
        </is>
      </c>
      <c r="H481" t="n">
        <v>14891</v>
      </c>
      <c r="I481" s="17" t="n">
        <v>11989</v>
      </c>
      <c r="J481" s="17" t="n">
        <v>12583</v>
      </c>
      <c r="K481" t="n">
        <v>1116</v>
      </c>
      <c r="L481" t="n">
        <v>447</v>
      </c>
      <c r="M481" t="n">
        <v>476</v>
      </c>
      <c r="N481" t="n">
        <v>13552</v>
      </c>
      <c r="O481" t="n">
        <v>14175</v>
      </c>
      <c r="P481" t="n">
        <v>1339</v>
      </c>
      <c r="Q481" t="n">
        <v>716</v>
      </c>
      <c r="R481" t="n">
        <v>14891</v>
      </c>
      <c r="S481" t="n">
        <v>11989</v>
      </c>
      <c r="T481" t="n">
        <v>12583</v>
      </c>
      <c r="U481" t="n">
        <v>1116</v>
      </c>
      <c r="V481" t="n">
        <v>447</v>
      </c>
      <c r="W481" t="n">
        <v>476</v>
      </c>
      <c r="X481" t="n">
        <v>13552</v>
      </c>
      <c r="Y481" t="n">
        <v>14175</v>
      </c>
      <c r="Z481" t="n">
        <v>1339</v>
      </c>
      <c r="AA481" t="n">
        <v>716</v>
      </c>
      <c r="AB481" t="n">
        <v>0</v>
      </c>
      <c r="AC481" t="n">
        <v>0</v>
      </c>
      <c r="AD481" t="n">
        <v>0</v>
      </c>
      <c r="AE481" t="n">
        <v>0</v>
      </c>
      <c r="AF481" t="n">
        <v>0</v>
      </c>
      <c r="AG481" t="n">
        <v>0</v>
      </c>
      <c r="AH481" t="n">
        <v>0</v>
      </c>
      <c r="AI481" t="n">
        <v>0</v>
      </c>
      <c r="AJ481" t="n">
        <v>0</v>
      </c>
      <c r="AK481" t="n">
        <v>0</v>
      </c>
      <c r="AL481" t="n">
        <v>361</v>
      </c>
      <c r="AM481" t="n">
        <v>242</v>
      </c>
      <c r="AN481" t="n">
        <v>1225</v>
      </c>
      <c r="AO481" t="n">
        <v>-491</v>
      </c>
      <c r="AP481" t="n">
        <v>374</v>
      </c>
      <c r="AQ481" t="n">
        <v>-175</v>
      </c>
      <c r="AR481" t="n">
        <v>125</v>
      </c>
      <c r="AS481" t="n">
        <v>559</v>
      </c>
      <c r="AT481" t="n">
        <v>236</v>
      </c>
      <c r="AU481" t="n">
        <v>-198</v>
      </c>
      <c r="AV481" t="n">
        <v>100</v>
      </c>
      <c r="AW481" t="n">
        <v>80.5</v>
      </c>
      <c r="AX481" t="n">
        <v>84.5</v>
      </c>
      <c r="AY481" t="n">
        <v>7.5</v>
      </c>
      <c r="AZ481" t="n">
        <v>3</v>
      </c>
      <c r="BA481" t="n">
        <v>3.2</v>
      </c>
      <c r="BB481" t="n">
        <v>91</v>
      </c>
      <c r="BC481" t="n">
        <v>95.2</v>
      </c>
      <c r="BD481" t="n">
        <v>9</v>
      </c>
      <c r="BE481" t="n">
        <v>4.8</v>
      </c>
      <c r="BF481" t="n">
        <v>100</v>
      </c>
      <c r="BG481" t="n">
        <v>80.5</v>
      </c>
      <c r="BH481" t="n">
        <v>84.5</v>
      </c>
      <c r="BI481" t="n">
        <v>7.5</v>
      </c>
      <c r="BJ481" t="n">
        <v>3</v>
      </c>
      <c r="BK481" t="n">
        <v>3.2</v>
      </c>
      <c r="BL481" t="n">
        <v>91</v>
      </c>
      <c r="BM481" t="n">
        <v>95.2</v>
      </c>
      <c r="BN481" t="n">
        <v>9</v>
      </c>
      <c r="BO481" t="n">
        <v>4.8</v>
      </c>
      <c r="BP481" t="n">
        <v>0</v>
      </c>
      <c r="BQ481" t="n">
        <v>0</v>
      </c>
      <c r="BR481" t="n">
        <v>0</v>
      </c>
      <c r="BS481" t="n">
        <v>0</v>
      </c>
      <c r="BT481" t="n">
        <v>0</v>
      </c>
      <c r="BU481" t="n">
        <v>0</v>
      </c>
      <c r="BV481" t="n">
        <v>0</v>
      </c>
      <c r="BW481" t="n">
        <v>0</v>
      </c>
      <c r="BX481" t="n">
        <v>0</v>
      </c>
      <c r="BY481" t="n">
        <v>0</v>
      </c>
      <c r="BZ481" t="n">
        <v>111</v>
      </c>
      <c r="CA481" t="n">
        <v>41</v>
      </c>
      <c r="CB481" t="n">
        <v>59</v>
      </c>
      <c r="CC481" t="n">
        <v>23</v>
      </c>
      <c r="CD481" t="n">
        <v>4</v>
      </c>
      <c r="CE481" t="n">
        <v>6</v>
      </c>
      <c r="CF481" t="n">
        <v>62</v>
      </c>
      <c r="CG481" t="n">
        <v>72</v>
      </c>
      <c r="CH481" t="n">
        <v>111</v>
      </c>
      <c r="CI481" t="n">
        <v>41</v>
      </c>
      <c r="CJ481" t="n">
        <v>59</v>
      </c>
      <c r="CK481" t="n">
        <v>23</v>
      </c>
      <c r="CL481" t="n">
        <v>4</v>
      </c>
      <c r="CM481" t="n">
        <v>6</v>
      </c>
      <c r="CN481" t="n">
        <v>62</v>
      </c>
      <c r="CO481" t="n">
        <v>72</v>
      </c>
      <c r="CP481" t="n">
        <v>0</v>
      </c>
      <c r="CQ481" t="n">
        <v>0</v>
      </c>
      <c r="CR481" t="n">
        <v>0</v>
      </c>
      <c r="CS481" t="n">
        <v>0</v>
      </c>
      <c r="CT481" t="n">
        <v>0</v>
      </c>
      <c r="CU481" t="n">
        <v>0</v>
      </c>
      <c r="CV481" t="n">
        <v>0</v>
      </c>
      <c r="CW481" t="n">
        <v>0</v>
      </c>
      <c r="CX481" t="n">
        <v>57.5</v>
      </c>
      <c r="CY481" t="n">
        <v>37.5</v>
      </c>
      <c r="CZ481" t="n">
        <v>66.90000000000001</v>
      </c>
      <c r="DA481" t="n">
        <v>49.7</v>
      </c>
      <c r="DB481" t="n">
        <v>53.5</v>
      </c>
      <c r="DC481" t="n">
        <v>36.9</v>
      </c>
      <c r="DD481" t="n">
        <v>62.9</v>
      </c>
      <c r="DE481" t="n">
        <v>47.9</v>
      </c>
      <c r="DF481" t="n">
        <v>57.5</v>
      </c>
      <c r="DG481" t="n">
        <v>37.5</v>
      </c>
      <c r="DH481" t="n">
        <v>66.90000000000001</v>
      </c>
      <c r="DI481" t="n">
        <v>49.7</v>
      </c>
      <c r="DJ481" t="n">
        <v>53.5</v>
      </c>
      <c r="DK481" t="n">
        <v>36.9</v>
      </c>
      <c r="DL481" t="n">
        <v>62.9</v>
      </c>
      <c r="DM481" t="n">
        <v>47.9</v>
      </c>
      <c r="DN481" t="n">
        <v>0</v>
      </c>
      <c r="DO481" t="n">
        <v>0</v>
      </c>
      <c r="DP481" t="n">
        <v>0</v>
      </c>
      <c r="DQ481" t="n">
        <v>0</v>
      </c>
      <c r="DR481" t="n">
        <v>0</v>
      </c>
      <c r="DS481" t="n">
        <v>0</v>
      </c>
      <c r="DT481" t="n">
        <v>0</v>
      </c>
      <c r="DU481" t="n">
        <v>0</v>
      </c>
      <c r="DV481" t="inlineStr">
        <is>
          <t>(5 Bitcoins)</t>
        </is>
      </c>
    </row>
    <row r="482">
      <c r="A482" t="inlineStr">
        <is>
          <t>BITCOIN - CHICAGO MERCANTILE EXCHANGE</t>
        </is>
      </c>
      <c r="B482" t="n">
        <v>230103</v>
      </c>
      <c r="C482" s="1" t="n">
        <v>44929</v>
      </c>
      <c r="D482" t="inlineStr">
        <is>
          <t>133741</t>
        </is>
      </c>
      <c r="E482" t="inlineStr">
        <is>
          <t xml:space="preserve">CME </t>
        </is>
      </c>
      <c r="F482" t="inlineStr">
        <is>
          <t>00</t>
        </is>
      </c>
      <c r="G482" t="inlineStr">
        <is>
          <t xml:space="preserve">133 </t>
        </is>
      </c>
      <c r="H482" t="n">
        <v>14530</v>
      </c>
      <c r="I482" s="17" t="n">
        <v>11747</v>
      </c>
      <c r="J482" s="17" t="n">
        <v>11358</v>
      </c>
      <c r="K482" t="n">
        <v>1607</v>
      </c>
      <c r="L482" t="n">
        <v>73</v>
      </c>
      <c r="M482" t="n">
        <v>651</v>
      </c>
      <c r="N482" t="n">
        <v>13427</v>
      </c>
      <c r="O482" t="n">
        <v>13616</v>
      </c>
      <c r="P482" t="n">
        <v>1103</v>
      </c>
      <c r="Q482" t="n">
        <v>914</v>
      </c>
      <c r="R482" t="n">
        <v>14530</v>
      </c>
      <c r="S482" t="n">
        <v>11747</v>
      </c>
      <c r="T482" t="n">
        <v>11358</v>
      </c>
      <c r="U482" t="n">
        <v>1607</v>
      </c>
      <c r="V482" t="n">
        <v>73</v>
      </c>
      <c r="W482" t="n">
        <v>651</v>
      </c>
      <c r="X482" t="n">
        <v>13427</v>
      </c>
      <c r="Y482" t="n">
        <v>13616</v>
      </c>
      <c r="Z482" t="n">
        <v>1103</v>
      </c>
      <c r="AA482" t="n">
        <v>914</v>
      </c>
      <c r="AB482" t="n">
        <v>0</v>
      </c>
      <c r="AC482" t="n">
        <v>0</v>
      </c>
      <c r="AD482" t="n">
        <v>0</v>
      </c>
      <c r="AE482" t="n">
        <v>0</v>
      </c>
      <c r="AF482" t="n">
        <v>0</v>
      </c>
      <c r="AG482" t="n">
        <v>0</v>
      </c>
      <c r="AH482" t="n">
        <v>0</v>
      </c>
      <c r="AI482" t="n">
        <v>0</v>
      </c>
      <c r="AJ482" t="n">
        <v>0</v>
      </c>
      <c r="AK482" t="n">
        <v>0</v>
      </c>
      <c r="AL482" t="n">
        <v>-1498</v>
      </c>
      <c r="AM482" t="n">
        <v>-614</v>
      </c>
      <c r="AN482" t="n">
        <v>-310</v>
      </c>
      <c r="AO482" t="n">
        <v>-726</v>
      </c>
      <c r="AP482" t="n">
        <v>30</v>
      </c>
      <c r="AQ482" t="n">
        <v>-431</v>
      </c>
      <c r="AR482" t="n">
        <v>-1310</v>
      </c>
      <c r="AS482" t="n">
        <v>-1467</v>
      </c>
      <c r="AT482" t="n">
        <v>-188</v>
      </c>
      <c r="AU482" t="n">
        <v>-31</v>
      </c>
      <c r="AV482" t="n">
        <v>100</v>
      </c>
      <c r="AW482" t="n">
        <v>80.8</v>
      </c>
      <c r="AX482" t="n">
        <v>78.2</v>
      </c>
      <c r="AY482" t="n">
        <v>11.1</v>
      </c>
      <c r="AZ482" t="n">
        <v>0.5</v>
      </c>
      <c r="BA482" t="n">
        <v>4.5</v>
      </c>
      <c r="BB482" t="n">
        <v>92.40000000000001</v>
      </c>
      <c r="BC482" t="n">
        <v>93.7</v>
      </c>
      <c r="BD482" t="n">
        <v>7.6</v>
      </c>
      <c r="BE482" t="n">
        <v>6.3</v>
      </c>
      <c r="BF482" t="n">
        <v>100</v>
      </c>
      <c r="BG482" t="n">
        <v>80.8</v>
      </c>
      <c r="BH482" t="n">
        <v>78.2</v>
      </c>
      <c r="BI482" t="n">
        <v>11.1</v>
      </c>
      <c r="BJ482" t="n">
        <v>0.5</v>
      </c>
      <c r="BK482" t="n">
        <v>4.5</v>
      </c>
      <c r="BL482" t="n">
        <v>92.40000000000001</v>
      </c>
      <c r="BM482" t="n">
        <v>93.7</v>
      </c>
      <c r="BN482" t="n">
        <v>7.6</v>
      </c>
      <c r="BO482" t="n">
        <v>6.3</v>
      </c>
      <c r="BP482" t="n">
        <v>0</v>
      </c>
      <c r="BQ482" t="n">
        <v>0</v>
      </c>
      <c r="BR482" t="n">
        <v>0</v>
      </c>
      <c r="BS482" t="n">
        <v>0</v>
      </c>
      <c r="BT482" t="n">
        <v>0</v>
      </c>
      <c r="BU482" t="n">
        <v>0</v>
      </c>
      <c r="BV482" t="n">
        <v>0</v>
      </c>
      <c r="BW482" t="n">
        <v>0</v>
      </c>
      <c r="BX482" t="n">
        <v>0</v>
      </c>
      <c r="BY482" t="n">
        <v>0</v>
      </c>
      <c r="BZ482" t="n">
        <v>99</v>
      </c>
      <c r="CA482" t="n">
        <v>35</v>
      </c>
      <c r="CB482" t="n">
        <v>55</v>
      </c>
      <c r="CC482" t="n">
        <v>15</v>
      </c>
      <c r="CD482" t="n">
        <v>2</v>
      </c>
      <c r="CE482" t="n">
        <v>7</v>
      </c>
      <c r="CF482" t="n">
        <v>47</v>
      </c>
      <c r="CG482" t="n">
        <v>68</v>
      </c>
      <c r="CH482" t="n">
        <v>99</v>
      </c>
      <c r="CI482" t="n">
        <v>35</v>
      </c>
      <c r="CJ482" t="n">
        <v>55</v>
      </c>
      <c r="CK482" t="n">
        <v>15</v>
      </c>
      <c r="CL482" t="n">
        <v>2</v>
      </c>
      <c r="CM482" t="n">
        <v>7</v>
      </c>
      <c r="CN482" t="n">
        <v>47</v>
      </c>
      <c r="CO482" t="n">
        <v>68</v>
      </c>
      <c r="CP482" t="n">
        <v>0</v>
      </c>
      <c r="CQ482" t="n">
        <v>0</v>
      </c>
      <c r="CR482" t="n">
        <v>0</v>
      </c>
      <c r="CS482" t="n">
        <v>0</v>
      </c>
      <c r="CT482" t="n">
        <v>0</v>
      </c>
      <c r="CU482" t="n">
        <v>0</v>
      </c>
      <c r="CV482" t="n">
        <v>0</v>
      </c>
      <c r="CW482" t="n">
        <v>0</v>
      </c>
      <c r="CX482" t="n">
        <v>58.2</v>
      </c>
      <c r="CY482" t="n">
        <v>35.9</v>
      </c>
      <c r="CZ482" t="n">
        <v>71.2</v>
      </c>
      <c r="DA482" t="n">
        <v>48.3</v>
      </c>
      <c r="DB482" t="n">
        <v>53.3</v>
      </c>
      <c r="DC482" t="n">
        <v>34.3</v>
      </c>
      <c r="DD482" t="n">
        <v>65.5</v>
      </c>
      <c r="DE482" t="n">
        <v>46.3</v>
      </c>
      <c r="DF482" t="n">
        <v>58.2</v>
      </c>
      <c r="DG482" t="n">
        <v>35.9</v>
      </c>
      <c r="DH482" t="n">
        <v>71.2</v>
      </c>
      <c r="DI482" t="n">
        <v>48.3</v>
      </c>
      <c r="DJ482" t="n">
        <v>53.3</v>
      </c>
      <c r="DK482" t="n">
        <v>34.3</v>
      </c>
      <c r="DL482" t="n">
        <v>65.5</v>
      </c>
      <c r="DM482" t="n">
        <v>46.3</v>
      </c>
      <c r="DN482" t="n">
        <v>0</v>
      </c>
      <c r="DO482" t="n">
        <v>0</v>
      </c>
      <c r="DP482" t="n">
        <v>0</v>
      </c>
      <c r="DQ482" t="n">
        <v>0</v>
      </c>
      <c r="DR482" t="n">
        <v>0</v>
      </c>
      <c r="DS482" t="n">
        <v>0</v>
      </c>
      <c r="DT482" t="n">
        <v>0</v>
      </c>
      <c r="DU482" t="n">
        <v>0</v>
      </c>
      <c r="DV482" t="inlineStr">
        <is>
          <t>(5 Bitcoins)</t>
        </is>
      </c>
    </row>
    <row r="483">
      <c r="A483" t="inlineStr">
        <is>
          <t>MICRO BITCOIN - CHICAGO MERCANTILE EXCHANGE</t>
        </is>
      </c>
      <c r="B483" t="n">
        <v>230110</v>
      </c>
      <c r="C483" s="1" t="n">
        <v>44936</v>
      </c>
      <c r="D483" t="inlineStr">
        <is>
          <t>133742</t>
        </is>
      </c>
      <c r="E483" t="inlineStr">
        <is>
          <t xml:space="preserve">CME </t>
        </is>
      </c>
      <c r="F483" t="inlineStr">
        <is>
          <t>00</t>
        </is>
      </c>
      <c r="G483" t="inlineStr">
        <is>
          <t xml:space="preserve">133 </t>
        </is>
      </c>
      <c r="H483" t="n">
        <v>7262</v>
      </c>
      <c r="I483" s="17" t="n">
        <v>4077</v>
      </c>
      <c r="J483" s="17" t="n">
        <v>5462</v>
      </c>
      <c r="K483" t="n">
        <v>668</v>
      </c>
      <c r="L483" t="n">
        <v>52</v>
      </c>
      <c r="M483" t="n">
        <v>0</v>
      </c>
      <c r="N483" t="n">
        <v>4797</v>
      </c>
      <c r="O483" t="n">
        <v>6130</v>
      </c>
      <c r="P483" t="n">
        <v>2465</v>
      </c>
      <c r="Q483" t="n">
        <v>1132</v>
      </c>
      <c r="R483" t="n">
        <v>7262</v>
      </c>
      <c r="S483" t="n">
        <v>4077</v>
      </c>
      <c r="T483" t="n">
        <v>5462</v>
      </c>
      <c r="U483" t="n">
        <v>668</v>
      </c>
      <c r="V483" t="n">
        <v>52</v>
      </c>
      <c r="W483" t="n">
        <v>0</v>
      </c>
      <c r="X483" t="n">
        <v>4797</v>
      </c>
      <c r="Y483" t="n">
        <v>6130</v>
      </c>
      <c r="Z483" t="n">
        <v>2465</v>
      </c>
      <c r="AA483" t="n">
        <v>1132</v>
      </c>
      <c r="AB483" t="n">
        <v>0</v>
      </c>
      <c r="AC483" t="n">
        <v>0</v>
      </c>
      <c r="AD483" t="n">
        <v>0</v>
      </c>
      <c r="AE483" t="n">
        <v>0</v>
      </c>
      <c r="AF483" t="n">
        <v>0</v>
      </c>
      <c r="AG483" t="n">
        <v>0</v>
      </c>
      <c r="AH483" t="n">
        <v>0</v>
      </c>
      <c r="AI483" t="n">
        <v>0</v>
      </c>
      <c r="AJ483" t="n">
        <v>0</v>
      </c>
      <c r="AK483" t="n">
        <v>0</v>
      </c>
      <c r="AL483" t="n">
        <v>833</v>
      </c>
      <c r="AM483" t="n">
        <v>577</v>
      </c>
      <c r="AN483" t="n">
        <v>1046</v>
      </c>
      <c r="AO483" t="n">
        <v>-234</v>
      </c>
      <c r="AP483" t="n">
        <v>0</v>
      </c>
      <c r="AQ483" t="n">
        <v>0</v>
      </c>
      <c r="AR483" t="n">
        <v>343</v>
      </c>
      <c r="AS483" t="n">
        <v>812</v>
      </c>
      <c r="AT483" t="n">
        <v>490</v>
      </c>
      <c r="AU483" t="n">
        <v>21</v>
      </c>
      <c r="AV483" t="n">
        <v>100</v>
      </c>
      <c r="AW483" t="n">
        <v>56.1</v>
      </c>
      <c r="AX483" t="n">
        <v>75.2</v>
      </c>
      <c r="AY483" t="n">
        <v>9.199999999999999</v>
      </c>
      <c r="AZ483" t="n">
        <v>0.7</v>
      </c>
      <c r="BA483" t="n">
        <v>0</v>
      </c>
      <c r="BB483" t="n">
        <v>66.09999999999999</v>
      </c>
      <c r="BC483" t="n">
        <v>84.40000000000001</v>
      </c>
      <c r="BD483" t="n">
        <v>33.9</v>
      </c>
      <c r="BE483" t="n">
        <v>15.6</v>
      </c>
      <c r="BF483" t="n">
        <v>100</v>
      </c>
      <c r="BG483" t="n">
        <v>56.1</v>
      </c>
      <c r="BH483" t="n">
        <v>75.2</v>
      </c>
      <c r="BI483" t="n">
        <v>9.199999999999999</v>
      </c>
      <c r="BJ483" t="n">
        <v>0.7</v>
      </c>
      <c r="BK483" t="n">
        <v>0</v>
      </c>
      <c r="BL483" t="n">
        <v>66.09999999999999</v>
      </c>
      <c r="BM483" t="n">
        <v>84.40000000000001</v>
      </c>
      <c r="BN483" t="n">
        <v>33.9</v>
      </c>
      <c r="BO483" t="n">
        <v>15.6</v>
      </c>
      <c r="BP483" t="n">
        <v>0</v>
      </c>
      <c r="BQ483" t="n">
        <v>0</v>
      </c>
      <c r="BR483" t="n">
        <v>0</v>
      </c>
      <c r="BS483" t="n">
        <v>0</v>
      </c>
      <c r="BT483" t="n">
        <v>0</v>
      </c>
      <c r="BU483" t="n">
        <v>0</v>
      </c>
      <c r="BV483" t="n">
        <v>0</v>
      </c>
      <c r="BW483" t="n">
        <v>0</v>
      </c>
      <c r="BX483" t="n">
        <v>0</v>
      </c>
      <c r="BY483" t="n">
        <v>0</v>
      </c>
      <c r="BZ483" t="n">
        <v>75</v>
      </c>
      <c r="CA483" t="n">
        <v>44</v>
      </c>
      <c r="CB483" t="n">
        <v>30</v>
      </c>
      <c r="CC483" t="n">
        <v>6</v>
      </c>
      <c r="CD483" t="n">
        <v>1</v>
      </c>
      <c r="CE483" t="n">
        <v>0</v>
      </c>
      <c r="CF483" t="n">
        <v>49</v>
      </c>
      <c r="CG483" t="n">
        <v>32</v>
      </c>
      <c r="CH483" t="n">
        <v>75</v>
      </c>
      <c r="CI483" t="n">
        <v>44</v>
      </c>
      <c r="CJ483" t="n">
        <v>30</v>
      </c>
      <c r="CK483" t="n">
        <v>6</v>
      </c>
      <c r="CL483" t="n">
        <v>1</v>
      </c>
      <c r="CM483" t="n">
        <v>0</v>
      </c>
      <c r="CN483" t="n">
        <v>49</v>
      </c>
      <c r="CO483" t="n">
        <v>32</v>
      </c>
      <c r="CP483" t="n">
        <v>0</v>
      </c>
      <c r="CQ483" t="n">
        <v>0</v>
      </c>
      <c r="CR483" t="n">
        <v>0</v>
      </c>
      <c r="CS483" t="n">
        <v>0</v>
      </c>
      <c r="CT483" t="n">
        <v>0</v>
      </c>
      <c r="CU483" t="n">
        <v>0</v>
      </c>
      <c r="CV483" t="n">
        <v>0</v>
      </c>
      <c r="CW483" t="n">
        <v>0</v>
      </c>
      <c r="CX483" t="n">
        <v>33.9</v>
      </c>
      <c r="CY483" t="n">
        <v>50</v>
      </c>
      <c r="CZ483" t="n">
        <v>41</v>
      </c>
      <c r="DA483" t="n">
        <v>64.2</v>
      </c>
      <c r="DB483" t="n">
        <v>26.8</v>
      </c>
      <c r="DC483" t="n">
        <v>47</v>
      </c>
      <c r="DD483" t="n">
        <v>33.9</v>
      </c>
      <c r="DE483" t="n">
        <v>59.2</v>
      </c>
      <c r="DF483" t="n">
        <v>33.9</v>
      </c>
      <c r="DG483" t="n">
        <v>50</v>
      </c>
      <c r="DH483" t="n">
        <v>41</v>
      </c>
      <c r="DI483" t="n">
        <v>64.2</v>
      </c>
      <c r="DJ483" t="n">
        <v>26.8</v>
      </c>
      <c r="DK483" t="n">
        <v>47</v>
      </c>
      <c r="DL483" t="n">
        <v>33.9</v>
      </c>
      <c r="DM483" t="n">
        <v>59.2</v>
      </c>
      <c r="DN483" t="n">
        <v>0</v>
      </c>
      <c r="DO483" t="n">
        <v>0</v>
      </c>
      <c r="DP483" t="n">
        <v>0</v>
      </c>
      <c r="DQ483" t="n">
        <v>0</v>
      </c>
      <c r="DR483" t="n">
        <v>0</v>
      </c>
      <c r="DS483" t="n">
        <v>0</v>
      </c>
      <c r="DT483" t="n">
        <v>0</v>
      </c>
      <c r="DU483" t="n">
        <v>0</v>
      </c>
      <c r="DV483" t="inlineStr">
        <is>
          <t>(Bitcoin X $0.10)</t>
        </is>
      </c>
    </row>
    <row r="484">
      <c r="A484" t="inlineStr">
        <is>
          <t>MICRO BITCOIN - CHICAGO MERCANTILE EXCHANGE</t>
        </is>
      </c>
      <c r="B484" t="n">
        <v>230103</v>
      </c>
      <c r="C484" s="1" t="n">
        <v>44929</v>
      </c>
      <c r="D484" t="inlineStr">
        <is>
          <t>133742</t>
        </is>
      </c>
      <c r="E484" t="inlineStr">
        <is>
          <t xml:space="preserve">CME </t>
        </is>
      </c>
      <c r="F484" t="inlineStr">
        <is>
          <t>00</t>
        </is>
      </c>
      <c r="G484" t="inlineStr">
        <is>
          <t xml:space="preserve">133 </t>
        </is>
      </c>
      <c r="H484" t="n">
        <v>6429</v>
      </c>
      <c r="I484" s="17" t="n">
        <v>3500</v>
      </c>
      <c r="J484" s="17" t="n">
        <v>4416</v>
      </c>
      <c r="K484" t="n">
        <v>902</v>
      </c>
      <c r="L484" t="n">
        <v>52</v>
      </c>
      <c r="M484" t="n">
        <v>0</v>
      </c>
      <c r="N484" t="n">
        <v>4454</v>
      </c>
      <c r="O484" t="n">
        <v>5318</v>
      </c>
      <c r="P484" t="n">
        <v>1975</v>
      </c>
      <c r="Q484" t="n">
        <v>1111</v>
      </c>
      <c r="R484" t="n">
        <v>6429</v>
      </c>
      <c r="S484" t="n">
        <v>3500</v>
      </c>
      <c r="T484" t="n">
        <v>4416</v>
      </c>
      <c r="U484" t="n">
        <v>902</v>
      </c>
      <c r="V484" t="n">
        <v>52</v>
      </c>
      <c r="W484" t="n">
        <v>0</v>
      </c>
      <c r="X484" t="n">
        <v>4454</v>
      </c>
      <c r="Y484" t="n">
        <v>5318</v>
      </c>
      <c r="Z484" t="n">
        <v>1975</v>
      </c>
      <c r="AA484" t="n">
        <v>1111</v>
      </c>
      <c r="AB484" t="n">
        <v>0</v>
      </c>
      <c r="AC484" t="n">
        <v>0</v>
      </c>
      <c r="AD484" t="n">
        <v>0</v>
      </c>
      <c r="AE484" t="n">
        <v>0</v>
      </c>
      <c r="AF484" t="n">
        <v>0</v>
      </c>
      <c r="AG484" t="n">
        <v>0</v>
      </c>
      <c r="AH484" t="n">
        <v>0</v>
      </c>
      <c r="AI484" t="n">
        <v>0</v>
      </c>
      <c r="AJ484" t="n">
        <v>0</v>
      </c>
      <c r="AK484" t="n">
        <v>0</v>
      </c>
      <c r="AL484" t="n">
        <v>-4717</v>
      </c>
      <c r="AM484" t="n">
        <v>-4530</v>
      </c>
      <c r="AN484" t="n">
        <v>-3592</v>
      </c>
      <c r="AO484" t="n">
        <v>74</v>
      </c>
      <c r="AP484" t="n">
        <v>52</v>
      </c>
      <c r="AQ484" t="n">
        <v>-800</v>
      </c>
      <c r="AR484" t="n">
        <v>-4404</v>
      </c>
      <c r="AS484" t="n">
        <v>-4318</v>
      </c>
      <c r="AT484" t="n">
        <v>-313</v>
      </c>
      <c r="AU484" t="n">
        <v>-399</v>
      </c>
      <c r="AV484" t="n">
        <v>100</v>
      </c>
      <c r="AW484" t="n">
        <v>54.4</v>
      </c>
      <c r="AX484" t="n">
        <v>68.7</v>
      </c>
      <c r="AY484" t="n">
        <v>14</v>
      </c>
      <c r="AZ484" t="n">
        <v>0.8</v>
      </c>
      <c r="BA484" t="n">
        <v>0</v>
      </c>
      <c r="BB484" t="n">
        <v>69.3</v>
      </c>
      <c r="BC484" t="n">
        <v>82.7</v>
      </c>
      <c r="BD484" t="n">
        <v>30.7</v>
      </c>
      <c r="BE484" t="n">
        <v>17.3</v>
      </c>
      <c r="BF484" t="n">
        <v>100</v>
      </c>
      <c r="BG484" t="n">
        <v>54.4</v>
      </c>
      <c r="BH484" t="n">
        <v>68.7</v>
      </c>
      <c r="BI484" t="n">
        <v>14</v>
      </c>
      <c r="BJ484" t="n">
        <v>0.8</v>
      </c>
      <c r="BK484" t="n">
        <v>0</v>
      </c>
      <c r="BL484" t="n">
        <v>69.3</v>
      </c>
      <c r="BM484" t="n">
        <v>82.7</v>
      </c>
      <c r="BN484" t="n">
        <v>30.7</v>
      </c>
      <c r="BO484" t="n">
        <v>17.3</v>
      </c>
      <c r="BP484" t="n">
        <v>0</v>
      </c>
      <c r="BQ484" t="n">
        <v>0</v>
      </c>
      <c r="BR484" t="n">
        <v>0</v>
      </c>
      <c r="BS484" t="n">
        <v>0</v>
      </c>
      <c r="BT484" t="n">
        <v>0</v>
      </c>
      <c r="BU484" t="n">
        <v>0</v>
      </c>
      <c r="BV484" t="n">
        <v>0</v>
      </c>
      <c r="BW484" t="n">
        <v>0</v>
      </c>
      <c r="BX484" t="n">
        <v>0</v>
      </c>
      <c r="BY484" t="n">
        <v>0</v>
      </c>
      <c r="BZ484" t="n">
        <v>70</v>
      </c>
      <c r="CA484" t="n">
        <v>35</v>
      </c>
      <c r="CB484" t="n">
        <v>34</v>
      </c>
      <c r="CC484" t="n">
        <v>7</v>
      </c>
      <c r="CD484" t="n">
        <v>1</v>
      </c>
      <c r="CE484" t="n">
        <v>0</v>
      </c>
      <c r="CF484" t="n">
        <v>40</v>
      </c>
      <c r="CG484" t="n">
        <v>37</v>
      </c>
      <c r="CH484" t="n">
        <v>70</v>
      </c>
      <c r="CI484" t="n">
        <v>35</v>
      </c>
      <c r="CJ484" t="n">
        <v>34</v>
      </c>
      <c r="CK484" t="n">
        <v>7</v>
      </c>
      <c r="CL484" t="n">
        <v>1</v>
      </c>
      <c r="CM484" t="n">
        <v>0</v>
      </c>
      <c r="CN484" t="n">
        <v>40</v>
      </c>
      <c r="CO484" t="n">
        <v>37</v>
      </c>
      <c r="CP484" t="n">
        <v>0</v>
      </c>
      <c r="CQ484" t="n">
        <v>0</v>
      </c>
      <c r="CR484" t="n">
        <v>0</v>
      </c>
      <c r="CS484" t="n">
        <v>0</v>
      </c>
      <c r="CT484" t="n">
        <v>0</v>
      </c>
      <c r="CU484" t="n">
        <v>0</v>
      </c>
      <c r="CV484" t="n">
        <v>0</v>
      </c>
      <c r="CW484" t="n">
        <v>0</v>
      </c>
      <c r="CX484" t="n">
        <v>35</v>
      </c>
      <c r="CY484" t="n">
        <v>41.9</v>
      </c>
      <c r="CZ484" t="n">
        <v>46.2</v>
      </c>
      <c r="DA484" t="n">
        <v>57.1</v>
      </c>
      <c r="DB484" t="n">
        <v>24.1</v>
      </c>
      <c r="DC484" t="n">
        <v>37.5</v>
      </c>
      <c r="DD484" t="n">
        <v>35.3</v>
      </c>
      <c r="DE484" t="n">
        <v>49.4</v>
      </c>
      <c r="DF484" t="n">
        <v>35</v>
      </c>
      <c r="DG484" t="n">
        <v>41.9</v>
      </c>
      <c r="DH484" t="n">
        <v>46.2</v>
      </c>
      <c r="DI484" t="n">
        <v>57.1</v>
      </c>
      <c r="DJ484" t="n">
        <v>24.1</v>
      </c>
      <c r="DK484" t="n">
        <v>37.5</v>
      </c>
      <c r="DL484" t="n">
        <v>35.3</v>
      </c>
      <c r="DM484" t="n">
        <v>49.4</v>
      </c>
      <c r="DN484" t="n">
        <v>0</v>
      </c>
      <c r="DO484" t="n">
        <v>0</v>
      </c>
      <c r="DP484" t="n">
        <v>0</v>
      </c>
      <c r="DQ484" t="n">
        <v>0</v>
      </c>
      <c r="DR484" t="n">
        <v>0</v>
      </c>
      <c r="DS484" t="n">
        <v>0</v>
      </c>
      <c r="DT484" t="n">
        <v>0</v>
      </c>
      <c r="DU484" t="n">
        <v>0</v>
      </c>
      <c r="DV484" t="inlineStr">
        <is>
          <t>(Bitcoin X $0.10)</t>
        </is>
      </c>
    </row>
    <row r="485">
      <c r="A485" t="inlineStr">
        <is>
          <t>SOFR-3M - CHICAGO MERCANTILE EXCHANGE</t>
        </is>
      </c>
      <c r="B485" t="n">
        <v>230110</v>
      </c>
      <c r="C485" s="1" t="n">
        <v>44936</v>
      </c>
      <c r="D485" t="inlineStr">
        <is>
          <t>134741</t>
        </is>
      </c>
      <c r="E485" t="inlineStr">
        <is>
          <t xml:space="preserve">CME </t>
        </is>
      </c>
      <c r="F485" t="inlineStr">
        <is>
          <t>00</t>
        </is>
      </c>
      <c r="G485" t="inlineStr">
        <is>
          <t xml:space="preserve">134 </t>
        </is>
      </c>
      <c r="H485" t="n">
        <v>8567996</v>
      </c>
      <c r="I485" s="17" t="n">
        <v>1523303</v>
      </c>
      <c r="J485" s="17" t="n">
        <v>1662281</v>
      </c>
      <c r="K485" t="n">
        <v>1953407</v>
      </c>
      <c r="L485" t="n">
        <v>5071058</v>
      </c>
      <c r="M485" t="n">
        <v>4924887</v>
      </c>
      <c r="N485" t="n">
        <v>8547768</v>
      </c>
      <c r="O485" t="n">
        <v>8540575</v>
      </c>
      <c r="P485" t="n">
        <v>20228</v>
      </c>
      <c r="Q485" t="n">
        <v>27421</v>
      </c>
      <c r="R485" t="n">
        <v>8567996</v>
      </c>
      <c r="S485" t="n">
        <v>1523303</v>
      </c>
      <c r="T485" t="n">
        <v>1662281</v>
      </c>
      <c r="U485" t="n">
        <v>1953407</v>
      </c>
      <c r="V485" t="n">
        <v>5071058</v>
      </c>
      <c r="W485" t="n">
        <v>4924887</v>
      </c>
      <c r="X485" t="n">
        <v>8547768</v>
      </c>
      <c r="Y485" t="n">
        <v>8540575</v>
      </c>
      <c r="Z485" t="n">
        <v>20228</v>
      </c>
      <c r="AA485" t="n">
        <v>27421</v>
      </c>
      <c r="AB485" t="n">
        <v>0</v>
      </c>
      <c r="AC485" t="n">
        <v>0</v>
      </c>
      <c r="AD485" t="n">
        <v>0</v>
      </c>
      <c r="AE485" t="n">
        <v>0</v>
      </c>
      <c r="AF485" t="n">
        <v>0</v>
      </c>
      <c r="AG485" t="n">
        <v>0</v>
      </c>
      <c r="AH485" t="n">
        <v>0</v>
      </c>
      <c r="AI485" t="n">
        <v>0</v>
      </c>
      <c r="AJ485" t="n">
        <v>0</v>
      </c>
      <c r="AK485" t="n">
        <v>0</v>
      </c>
      <c r="AL485" t="n">
        <v>431098</v>
      </c>
      <c r="AM485" t="n">
        <v>8730</v>
      </c>
      <c r="AN485" t="n">
        <v>-27510</v>
      </c>
      <c r="AO485" t="n">
        <v>154278</v>
      </c>
      <c r="AP485" t="n">
        <v>267779</v>
      </c>
      <c r="AQ485" t="n">
        <v>300287</v>
      </c>
      <c r="AR485" t="n">
        <v>430787</v>
      </c>
      <c r="AS485" t="n">
        <v>427055</v>
      </c>
      <c r="AT485" t="n">
        <v>311</v>
      </c>
      <c r="AU485" t="n">
        <v>4043</v>
      </c>
      <c r="AV485" t="n">
        <v>100</v>
      </c>
      <c r="AW485" t="n">
        <v>17.8</v>
      </c>
      <c r="AX485" t="n">
        <v>19.4</v>
      </c>
      <c r="AY485" t="n">
        <v>22.8</v>
      </c>
      <c r="AZ485" t="n">
        <v>59.2</v>
      </c>
      <c r="BA485" t="n">
        <v>57.5</v>
      </c>
      <c r="BB485" t="n">
        <v>99.8</v>
      </c>
      <c r="BC485" t="n">
        <v>99.7</v>
      </c>
      <c r="BD485" t="n">
        <v>0.2</v>
      </c>
      <c r="BE485" t="n">
        <v>0.3</v>
      </c>
      <c r="BF485" t="n">
        <v>100</v>
      </c>
      <c r="BG485" t="n">
        <v>17.8</v>
      </c>
      <c r="BH485" t="n">
        <v>19.4</v>
      </c>
      <c r="BI485" t="n">
        <v>22.8</v>
      </c>
      <c r="BJ485" t="n">
        <v>59.2</v>
      </c>
      <c r="BK485" t="n">
        <v>57.5</v>
      </c>
      <c r="BL485" t="n">
        <v>99.8</v>
      </c>
      <c r="BM485" t="n">
        <v>99.7</v>
      </c>
      <c r="BN485" t="n">
        <v>0.2</v>
      </c>
      <c r="BO485" t="n">
        <v>0.3</v>
      </c>
      <c r="BP485" t="n">
        <v>0</v>
      </c>
      <c r="BQ485" t="n">
        <v>0</v>
      </c>
      <c r="BR485" t="n">
        <v>0</v>
      </c>
      <c r="BS485" t="n">
        <v>0</v>
      </c>
      <c r="BT485" t="n">
        <v>0</v>
      </c>
      <c r="BU485" t="n">
        <v>0</v>
      </c>
      <c r="BV485" t="n">
        <v>0</v>
      </c>
      <c r="BW485" t="n">
        <v>0</v>
      </c>
      <c r="BX485" t="n">
        <v>0</v>
      </c>
      <c r="BY485" t="n">
        <v>0</v>
      </c>
      <c r="BZ485" t="n">
        <v>583</v>
      </c>
      <c r="CA485" t="n">
        <v>93</v>
      </c>
      <c r="CB485" t="n">
        <v>205</v>
      </c>
      <c r="CC485" t="n">
        <v>215</v>
      </c>
      <c r="CD485" t="n">
        <v>190</v>
      </c>
      <c r="CE485" t="n">
        <v>208</v>
      </c>
      <c r="CF485" t="n">
        <v>432</v>
      </c>
      <c r="CG485" t="n">
        <v>528</v>
      </c>
      <c r="CH485" t="n">
        <v>583</v>
      </c>
      <c r="CI485" t="n">
        <v>93</v>
      </c>
      <c r="CJ485" t="n">
        <v>205</v>
      </c>
      <c r="CK485" t="n">
        <v>215</v>
      </c>
      <c r="CL485" t="n">
        <v>190</v>
      </c>
      <c r="CM485" t="n">
        <v>208</v>
      </c>
      <c r="CN485" t="n">
        <v>432</v>
      </c>
      <c r="CO485" t="n">
        <v>528</v>
      </c>
      <c r="CP485" t="n">
        <v>0</v>
      </c>
      <c r="CQ485" t="n">
        <v>0</v>
      </c>
      <c r="CR485" t="n">
        <v>0</v>
      </c>
      <c r="CS485" t="n">
        <v>0</v>
      </c>
      <c r="CT485" t="n">
        <v>0</v>
      </c>
      <c r="CU485" t="n">
        <v>0</v>
      </c>
      <c r="CV485" t="n">
        <v>0</v>
      </c>
      <c r="CW485" t="n">
        <v>0</v>
      </c>
      <c r="CX485" t="n">
        <v>27.9</v>
      </c>
      <c r="CY485" t="n">
        <v>29.2</v>
      </c>
      <c r="CZ485" t="n">
        <v>40.3</v>
      </c>
      <c r="DA485" t="n">
        <v>39.9</v>
      </c>
      <c r="DB485" t="n">
        <v>26.3</v>
      </c>
      <c r="DC485" t="n">
        <v>27.4</v>
      </c>
      <c r="DD485" t="n">
        <v>34</v>
      </c>
      <c r="DE485" t="n">
        <v>32.3</v>
      </c>
      <c r="DF485" t="n">
        <v>27.9</v>
      </c>
      <c r="DG485" t="n">
        <v>29.2</v>
      </c>
      <c r="DH485" t="n">
        <v>40.3</v>
      </c>
      <c r="DI485" t="n">
        <v>39.9</v>
      </c>
      <c r="DJ485" t="n">
        <v>26.3</v>
      </c>
      <c r="DK485" t="n">
        <v>27.4</v>
      </c>
      <c r="DL485" t="n">
        <v>34</v>
      </c>
      <c r="DM485" t="n">
        <v>32.3</v>
      </c>
      <c r="DN485" t="n">
        <v>0</v>
      </c>
      <c r="DO485" t="n">
        <v>0</v>
      </c>
      <c r="DP485" t="n">
        <v>0</v>
      </c>
      <c r="DQ485" t="n">
        <v>0</v>
      </c>
      <c r="DR485" t="n">
        <v>0</v>
      </c>
      <c r="DS485" t="n">
        <v>0</v>
      </c>
      <c r="DT485" t="n">
        <v>0</v>
      </c>
      <c r="DU485" t="n">
        <v>0</v>
      </c>
      <c r="DV485" t="inlineStr">
        <is>
          <t>($2,500 x Contract IMM Index)</t>
        </is>
      </c>
    </row>
    <row r="486">
      <c r="A486" t="inlineStr">
        <is>
          <t>SOFR-3M - CHICAGO MERCANTILE EXCHANGE</t>
        </is>
      </c>
      <c r="B486" t="n">
        <v>230103</v>
      </c>
      <c r="C486" s="1" t="n">
        <v>44929</v>
      </c>
      <c r="D486" t="inlineStr">
        <is>
          <t>134741</t>
        </is>
      </c>
      <c r="E486" t="inlineStr">
        <is>
          <t xml:space="preserve">CME </t>
        </is>
      </c>
      <c r="F486" t="inlineStr">
        <is>
          <t>00</t>
        </is>
      </c>
      <c r="G486" t="inlineStr">
        <is>
          <t xml:space="preserve">134 </t>
        </is>
      </c>
      <c r="H486" t="n">
        <v>8136898</v>
      </c>
      <c r="I486" s="17" t="n">
        <v>1514573</v>
      </c>
      <c r="J486" s="17" t="n">
        <v>1689791</v>
      </c>
      <c r="K486" t="n">
        <v>1799129</v>
      </c>
      <c r="L486" t="n">
        <v>4803279</v>
      </c>
      <c r="M486" t="n">
        <v>4624600</v>
      </c>
      <c r="N486" t="n">
        <v>8116981</v>
      </c>
      <c r="O486" t="n">
        <v>8113520</v>
      </c>
      <c r="P486" t="n">
        <v>19917</v>
      </c>
      <c r="Q486" t="n">
        <v>23378</v>
      </c>
      <c r="R486" t="n">
        <v>8136898</v>
      </c>
      <c r="S486" t="n">
        <v>1514573</v>
      </c>
      <c r="T486" t="n">
        <v>1689791</v>
      </c>
      <c r="U486" t="n">
        <v>1799129</v>
      </c>
      <c r="V486" t="n">
        <v>4803279</v>
      </c>
      <c r="W486" t="n">
        <v>4624600</v>
      </c>
      <c r="X486" t="n">
        <v>8116981</v>
      </c>
      <c r="Y486" t="n">
        <v>8113520</v>
      </c>
      <c r="Z486" t="n">
        <v>19917</v>
      </c>
      <c r="AA486" t="n">
        <v>23378</v>
      </c>
      <c r="AB486" t="n">
        <v>0</v>
      </c>
      <c r="AC486" t="n">
        <v>0</v>
      </c>
      <c r="AD486" t="n">
        <v>0</v>
      </c>
      <c r="AE486" t="n">
        <v>0</v>
      </c>
      <c r="AF486" t="n">
        <v>0</v>
      </c>
      <c r="AG486" t="n">
        <v>0</v>
      </c>
      <c r="AH486" t="n">
        <v>0</v>
      </c>
      <c r="AI486" t="n">
        <v>0</v>
      </c>
      <c r="AJ486" t="n">
        <v>0</v>
      </c>
      <c r="AK486" t="n">
        <v>0</v>
      </c>
      <c r="AL486" t="n">
        <v>11071</v>
      </c>
      <c r="AM486" t="n">
        <v>-6898</v>
      </c>
      <c r="AN486" t="n">
        <v>80721</v>
      </c>
      <c r="AO486" t="n">
        <v>-56764</v>
      </c>
      <c r="AP486" t="n">
        <v>74843</v>
      </c>
      <c r="AQ486" t="n">
        <v>-12048</v>
      </c>
      <c r="AR486" t="n">
        <v>11181</v>
      </c>
      <c r="AS486" t="n">
        <v>11909</v>
      </c>
      <c r="AT486" t="n">
        <v>-110</v>
      </c>
      <c r="AU486" t="n">
        <v>-838</v>
      </c>
      <c r="AV486" t="n">
        <v>100</v>
      </c>
      <c r="AW486" t="n">
        <v>18.6</v>
      </c>
      <c r="AX486" t="n">
        <v>20.8</v>
      </c>
      <c r="AY486" t="n">
        <v>22.1</v>
      </c>
      <c r="AZ486" t="n">
        <v>59</v>
      </c>
      <c r="BA486" t="n">
        <v>56.8</v>
      </c>
      <c r="BB486" t="n">
        <v>99.8</v>
      </c>
      <c r="BC486" t="n">
        <v>99.7</v>
      </c>
      <c r="BD486" t="n">
        <v>0.2</v>
      </c>
      <c r="BE486" t="n">
        <v>0.3</v>
      </c>
      <c r="BF486" t="n">
        <v>100</v>
      </c>
      <c r="BG486" t="n">
        <v>18.6</v>
      </c>
      <c r="BH486" t="n">
        <v>20.8</v>
      </c>
      <c r="BI486" t="n">
        <v>22.1</v>
      </c>
      <c r="BJ486" t="n">
        <v>59</v>
      </c>
      <c r="BK486" t="n">
        <v>56.8</v>
      </c>
      <c r="BL486" t="n">
        <v>99.8</v>
      </c>
      <c r="BM486" t="n">
        <v>99.7</v>
      </c>
      <c r="BN486" t="n">
        <v>0.2</v>
      </c>
      <c r="BO486" t="n">
        <v>0.3</v>
      </c>
      <c r="BP486" t="n">
        <v>0</v>
      </c>
      <c r="BQ486" t="n">
        <v>0</v>
      </c>
      <c r="BR486" t="n">
        <v>0</v>
      </c>
      <c r="BS486" t="n">
        <v>0</v>
      </c>
      <c r="BT486" t="n">
        <v>0</v>
      </c>
      <c r="BU486" t="n">
        <v>0</v>
      </c>
      <c r="BV486" t="n">
        <v>0</v>
      </c>
      <c r="BW486" t="n">
        <v>0</v>
      </c>
      <c r="BX486" t="n">
        <v>0</v>
      </c>
      <c r="BY486" t="n">
        <v>0</v>
      </c>
      <c r="BZ486" t="n">
        <v>562</v>
      </c>
      <c r="CA486" t="n">
        <v>88</v>
      </c>
      <c r="CB486" t="n">
        <v>206</v>
      </c>
      <c r="CC486" t="n">
        <v>192</v>
      </c>
      <c r="CD486" t="n">
        <v>187</v>
      </c>
      <c r="CE486" t="n">
        <v>208</v>
      </c>
      <c r="CF486" t="n">
        <v>410</v>
      </c>
      <c r="CG486" t="n">
        <v>506</v>
      </c>
      <c r="CH486" t="n">
        <v>562</v>
      </c>
      <c r="CI486" t="n">
        <v>88</v>
      </c>
      <c r="CJ486" t="n">
        <v>206</v>
      </c>
      <c r="CK486" t="n">
        <v>192</v>
      </c>
      <c r="CL486" t="n">
        <v>187</v>
      </c>
      <c r="CM486" t="n">
        <v>208</v>
      </c>
      <c r="CN486" t="n">
        <v>410</v>
      </c>
      <c r="CO486" t="n">
        <v>506</v>
      </c>
      <c r="CP486" t="n">
        <v>0</v>
      </c>
      <c r="CQ486" t="n">
        <v>0</v>
      </c>
      <c r="CR486" t="n">
        <v>0</v>
      </c>
      <c r="CS486" t="n">
        <v>0</v>
      </c>
      <c r="CT486" t="n">
        <v>0</v>
      </c>
      <c r="CU486" t="n">
        <v>0</v>
      </c>
      <c r="CV486" t="n">
        <v>0</v>
      </c>
      <c r="CW486" t="n">
        <v>0</v>
      </c>
      <c r="CX486" t="n">
        <v>28</v>
      </c>
      <c r="CY486" t="n">
        <v>29.1</v>
      </c>
      <c r="CZ486" t="n">
        <v>41.1</v>
      </c>
      <c r="DA486" t="n">
        <v>39.9</v>
      </c>
      <c r="DB486" t="n">
        <v>26.8</v>
      </c>
      <c r="DC486" t="n">
        <v>27</v>
      </c>
      <c r="DD486" t="n">
        <v>35</v>
      </c>
      <c r="DE486" t="n">
        <v>32.1</v>
      </c>
      <c r="DF486" t="n">
        <v>28</v>
      </c>
      <c r="DG486" t="n">
        <v>29.1</v>
      </c>
      <c r="DH486" t="n">
        <v>41.1</v>
      </c>
      <c r="DI486" t="n">
        <v>39.9</v>
      </c>
      <c r="DJ486" t="n">
        <v>26.8</v>
      </c>
      <c r="DK486" t="n">
        <v>27</v>
      </c>
      <c r="DL486" t="n">
        <v>35</v>
      </c>
      <c r="DM486" t="n">
        <v>32.1</v>
      </c>
      <c r="DN486" t="n">
        <v>0</v>
      </c>
      <c r="DO486" t="n">
        <v>0</v>
      </c>
      <c r="DP486" t="n">
        <v>0</v>
      </c>
      <c r="DQ486" t="n">
        <v>0</v>
      </c>
      <c r="DR486" t="n">
        <v>0</v>
      </c>
      <c r="DS486" t="n">
        <v>0</v>
      </c>
      <c r="DT486" t="n">
        <v>0</v>
      </c>
      <c r="DU486" t="n">
        <v>0</v>
      </c>
      <c r="DV486" t="inlineStr">
        <is>
          <t>($2,500 x Contract IMM Index)</t>
        </is>
      </c>
    </row>
    <row r="487">
      <c r="A487" t="inlineStr">
        <is>
          <t>SOFR-1M - CHICAGO MERCANTILE EXCHANGE</t>
        </is>
      </c>
      <c r="B487" t="n">
        <v>230110</v>
      </c>
      <c r="C487" s="1" t="n">
        <v>44936</v>
      </c>
      <c r="D487" t="inlineStr">
        <is>
          <t>134742</t>
        </is>
      </c>
      <c r="E487" t="inlineStr">
        <is>
          <t xml:space="preserve">CME </t>
        </is>
      </c>
      <c r="F487" t="inlineStr">
        <is>
          <t>00</t>
        </is>
      </c>
      <c r="G487" t="inlineStr">
        <is>
          <t xml:space="preserve">134 </t>
        </is>
      </c>
      <c r="H487" t="n">
        <v>610680</v>
      </c>
      <c r="I487" s="17" t="n">
        <v>143983</v>
      </c>
      <c r="J487" s="17" t="n">
        <v>107477</v>
      </c>
      <c r="K487" t="n">
        <v>85055</v>
      </c>
      <c r="L487" t="n">
        <v>381490</v>
      </c>
      <c r="M487" t="n">
        <v>417865</v>
      </c>
      <c r="N487" t="n">
        <v>610528</v>
      </c>
      <c r="O487" t="n">
        <v>610397</v>
      </c>
      <c r="P487" t="n">
        <v>152</v>
      </c>
      <c r="Q487" t="n">
        <v>283</v>
      </c>
      <c r="R487" t="n">
        <v>610680</v>
      </c>
      <c r="S487" t="n">
        <v>143983</v>
      </c>
      <c r="T487" t="n">
        <v>107477</v>
      </c>
      <c r="U487" t="n">
        <v>85055</v>
      </c>
      <c r="V487" t="n">
        <v>381490</v>
      </c>
      <c r="W487" t="n">
        <v>417865</v>
      </c>
      <c r="X487" t="n">
        <v>610528</v>
      </c>
      <c r="Y487" t="n">
        <v>610397</v>
      </c>
      <c r="Z487" t="n">
        <v>152</v>
      </c>
      <c r="AA487" t="n">
        <v>283</v>
      </c>
      <c r="AB487" t="n">
        <v>0</v>
      </c>
      <c r="AC487" t="n">
        <v>0</v>
      </c>
      <c r="AD487" t="n">
        <v>0</v>
      </c>
      <c r="AE487" t="n">
        <v>0</v>
      </c>
      <c r="AF487" t="n">
        <v>0</v>
      </c>
      <c r="AG487" t="n">
        <v>0</v>
      </c>
      <c r="AH487" t="n">
        <v>0</v>
      </c>
      <c r="AI487" t="n">
        <v>0</v>
      </c>
      <c r="AJ487" t="n">
        <v>0</v>
      </c>
      <c r="AK487" t="n">
        <v>0</v>
      </c>
      <c r="AL487" t="n">
        <v>38889</v>
      </c>
      <c r="AM487" t="n">
        <v>21525</v>
      </c>
      <c r="AN487" t="n">
        <v>-9463</v>
      </c>
      <c r="AO487" t="n">
        <v>5769</v>
      </c>
      <c r="AP487" t="n">
        <v>11571</v>
      </c>
      <c r="AQ487" t="n">
        <v>42918</v>
      </c>
      <c r="AR487" t="n">
        <v>38865</v>
      </c>
      <c r="AS487" t="n">
        <v>39224</v>
      </c>
      <c r="AT487" t="n">
        <v>24</v>
      </c>
      <c r="AU487" t="n">
        <v>-335</v>
      </c>
      <c r="AV487" t="n">
        <v>100</v>
      </c>
      <c r="AW487" t="n">
        <v>23.6</v>
      </c>
      <c r="AX487" t="n">
        <v>17.6</v>
      </c>
      <c r="AY487" t="n">
        <v>13.9</v>
      </c>
      <c r="AZ487" t="n">
        <v>62.5</v>
      </c>
      <c r="BA487" t="n">
        <v>68.40000000000001</v>
      </c>
      <c r="BB487" t="n">
        <v>100</v>
      </c>
      <c r="BC487" t="n">
        <v>100</v>
      </c>
      <c r="BD487" t="n">
        <v>0</v>
      </c>
      <c r="BE487" t="n">
        <v>0</v>
      </c>
      <c r="BF487" t="n">
        <v>100</v>
      </c>
      <c r="BG487" t="n">
        <v>23.6</v>
      </c>
      <c r="BH487" t="n">
        <v>17.6</v>
      </c>
      <c r="BI487" t="n">
        <v>13.9</v>
      </c>
      <c r="BJ487" t="n">
        <v>62.5</v>
      </c>
      <c r="BK487" t="n">
        <v>68.40000000000001</v>
      </c>
      <c r="BL487" t="n">
        <v>100</v>
      </c>
      <c r="BM487" t="n">
        <v>100</v>
      </c>
      <c r="BN487" t="n">
        <v>0</v>
      </c>
      <c r="BO487" t="n">
        <v>0</v>
      </c>
      <c r="BP487" t="n">
        <v>0</v>
      </c>
      <c r="BQ487" t="n">
        <v>0</v>
      </c>
      <c r="BR487" t="n">
        <v>0</v>
      </c>
      <c r="BS487" t="n">
        <v>0</v>
      </c>
      <c r="BT487" t="n">
        <v>0</v>
      </c>
      <c r="BU487" t="n">
        <v>0</v>
      </c>
      <c r="BV487" t="n">
        <v>0</v>
      </c>
      <c r="BW487" t="n">
        <v>0</v>
      </c>
      <c r="BX487" t="n">
        <v>0</v>
      </c>
      <c r="BY487" t="n">
        <v>0</v>
      </c>
      <c r="BZ487" t="n">
        <v>168</v>
      </c>
      <c r="CA487" t="n">
        <v>38</v>
      </c>
      <c r="CB487" t="n">
        <v>37</v>
      </c>
      <c r="CC487" t="n">
        <v>52</v>
      </c>
      <c r="CD487" t="n">
        <v>62</v>
      </c>
      <c r="CE487" t="n">
        <v>80</v>
      </c>
      <c r="CF487" t="n">
        <v>122</v>
      </c>
      <c r="CG487" t="n">
        <v>149</v>
      </c>
      <c r="CH487" t="n">
        <v>168</v>
      </c>
      <c r="CI487" t="n">
        <v>38</v>
      </c>
      <c r="CJ487" t="n">
        <v>37</v>
      </c>
      <c r="CK487" t="n">
        <v>52</v>
      </c>
      <c r="CL487" t="n">
        <v>62</v>
      </c>
      <c r="CM487" t="n">
        <v>80</v>
      </c>
      <c r="CN487" t="n">
        <v>122</v>
      </c>
      <c r="CO487" t="n">
        <v>149</v>
      </c>
      <c r="CP487" t="n">
        <v>0</v>
      </c>
      <c r="CQ487" t="n">
        <v>0</v>
      </c>
      <c r="CR487" t="n">
        <v>0</v>
      </c>
      <c r="CS487" t="n">
        <v>0</v>
      </c>
      <c r="CT487" t="n">
        <v>0</v>
      </c>
      <c r="CU487" t="n">
        <v>0</v>
      </c>
      <c r="CV487" t="n">
        <v>0</v>
      </c>
      <c r="CW487" t="n">
        <v>0</v>
      </c>
      <c r="CX487" t="n">
        <v>36.6</v>
      </c>
      <c r="CY487" t="n">
        <v>30.6</v>
      </c>
      <c r="CZ487" t="n">
        <v>52.1</v>
      </c>
      <c r="DA487" t="n">
        <v>44.1</v>
      </c>
      <c r="DB487" t="n">
        <v>34.4</v>
      </c>
      <c r="DC487" t="n">
        <v>25.8</v>
      </c>
      <c r="DD487" t="n">
        <v>45</v>
      </c>
      <c r="DE487" t="n">
        <v>33.4</v>
      </c>
      <c r="DF487" t="n">
        <v>36.6</v>
      </c>
      <c r="DG487" t="n">
        <v>30.6</v>
      </c>
      <c r="DH487" t="n">
        <v>52.1</v>
      </c>
      <c r="DI487" t="n">
        <v>44.1</v>
      </c>
      <c r="DJ487" t="n">
        <v>34.4</v>
      </c>
      <c r="DK487" t="n">
        <v>25.8</v>
      </c>
      <c r="DL487" t="n">
        <v>45</v>
      </c>
      <c r="DM487" t="n">
        <v>33.4</v>
      </c>
      <c r="DN487" t="n">
        <v>0</v>
      </c>
      <c r="DO487" t="n">
        <v>0</v>
      </c>
      <c r="DP487" t="n">
        <v>0</v>
      </c>
      <c r="DQ487" t="n">
        <v>0</v>
      </c>
      <c r="DR487" t="n">
        <v>0</v>
      </c>
      <c r="DS487" t="n">
        <v>0</v>
      </c>
      <c r="DT487" t="n">
        <v>0</v>
      </c>
      <c r="DU487" t="n">
        <v>0</v>
      </c>
      <c r="DV487" t="inlineStr">
        <is>
          <t>($4,167 x Contract IMM Index)</t>
        </is>
      </c>
    </row>
    <row r="488">
      <c r="A488" t="inlineStr">
        <is>
          <t>SOFR-1M - CHICAGO MERCANTILE EXCHANGE</t>
        </is>
      </c>
      <c r="B488" t="n">
        <v>230103</v>
      </c>
      <c r="C488" s="1" t="n">
        <v>44929</v>
      </c>
      <c r="D488" t="inlineStr">
        <is>
          <t>134742</t>
        </is>
      </c>
      <c r="E488" t="inlineStr">
        <is>
          <t xml:space="preserve">CME </t>
        </is>
      </c>
      <c r="F488" t="inlineStr">
        <is>
          <t>00</t>
        </is>
      </c>
      <c r="G488" t="inlineStr">
        <is>
          <t xml:space="preserve">134 </t>
        </is>
      </c>
      <c r="H488" t="n">
        <v>571791</v>
      </c>
      <c r="I488" s="17" t="n">
        <v>122458</v>
      </c>
      <c r="J488" s="17" t="n">
        <v>116940</v>
      </c>
      <c r="K488" t="n">
        <v>79286</v>
      </c>
      <c r="L488" t="n">
        <v>369919</v>
      </c>
      <c r="M488" t="n">
        <v>374947</v>
      </c>
      <c r="N488" t="n">
        <v>571663</v>
      </c>
      <c r="O488" t="n">
        <v>571173</v>
      </c>
      <c r="P488" t="n">
        <v>128</v>
      </c>
      <c r="Q488" t="n">
        <v>618</v>
      </c>
      <c r="R488" t="n">
        <v>571791</v>
      </c>
      <c r="S488" t="n">
        <v>122458</v>
      </c>
      <c r="T488" t="n">
        <v>116940</v>
      </c>
      <c r="U488" t="n">
        <v>79286</v>
      </c>
      <c r="V488" t="n">
        <v>369919</v>
      </c>
      <c r="W488" t="n">
        <v>374947</v>
      </c>
      <c r="X488" t="n">
        <v>571663</v>
      </c>
      <c r="Y488" t="n">
        <v>571173</v>
      </c>
      <c r="Z488" t="n">
        <v>128</v>
      </c>
      <c r="AA488" t="n">
        <v>618</v>
      </c>
      <c r="AB488" t="n">
        <v>0</v>
      </c>
      <c r="AC488" t="n">
        <v>0</v>
      </c>
      <c r="AD488" t="n">
        <v>0</v>
      </c>
      <c r="AE488" t="n">
        <v>0</v>
      </c>
      <c r="AF488" t="n">
        <v>0</v>
      </c>
      <c r="AG488" t="n">
        <v>0</v>
      </c>
      <c r="AH488" t="n">
        <v>0</v>
      </c>
      <c r="AI488" t="n">
        <v>0</v>
      </c>
      <c r="AJ488" t="n">
        <v>0</v>
      </c>
      <c r="AK488" t="n">
        <v>0</v>
      </c>
      <c r="AL488" t="n">
        <v>-175502</v>
      </c>
      <c r="AM488" t="n">
        <v>-17989</v>
      </c>
      <c r="AN488" t="n">
        <v>-18329</v>
      </c>
      <c r="AO488" t="n">
        <v>-21611</v>
      </c>
      <c r="AP488" t="n">
        <v>-135762</v>
      </c>
      <c r="AQ488" t="n">
        <v>-135934</v>
      </c>
      <c r="AR488" t="n">
        <v>-175362</v>
      </c>
      <c r="AS488" t="n">
        <v>-175874</v>
      </c>
      <c r="AT488" t="n">
        <v>-140</v>
      </c>
      <c r="AU488" t="n">
        <v>372</v>
      </c>
      <c r="AV488" t="n">
        <v>100</v>
      </c>
      <c r="AW488" t="n">
        <v>21.4</v>
      </c>
      <c r="AX488" t="n">
        <v>20.5</v>
      </c>
      <c r="AY488" t="n">
        <v>13.9</v>
      </c>
      <c r="AZ488" t="n">
        <v>64.7</v>
      </c>
      <c r="BA488" t="n">
        <v>65.59999999999999</v>
      </c>
      <c r="BB488" t="n">
        <v>100</v>
      </c>
      <c r="BC488" t="n">
        <v>99.90000000000001</v>
      </c>
      <c r="BD488" t="n">
        <v>0</v>
      </c>
      <c r="BE488" t="n">
        <v>0.1</v>
      </c>
      <c r="BF488" t="n">
        <v>100</v>
      </c>
      <c r="BG488" t="n">
        <v>21.4</v>
      </c>
      <c r="BH488" t="n">
        <v>20.5</v>
      </c>
      <c r="BI488" t="n">
        <v>13.9</v>
      </c>
      <c r="BJ488" t="n">
        <v>64.7</v>
      </c>
      <c r="BK488" t="n">
        <v>65.59999999999999</v>
      </c>
      <c r="BL488" t="n">
        <v>100</v>
      </c>
      <c r="BM488" t="n">
        <v>99.90000000000001</v>
      </c>
      <c r="BN488" t="n">
        <v>0</v>
      </c>
      <c r="BO488" t="n">
        <v>0.1</v>
      </c>
      <c r="BP488" t="n">
        <v>0</v>
      </c>
      <c r="BQ488" t="n">
        <v>0</v>
      </c>
      <c r="BR488" t="n">
        <v>0</v>
      </c>
      <c r="BS488" t="n">
        <v>0</v>
      </c>
      <c r="BT488" t="n">
        <v>0</v>
      </c>
      <c r="BU488" t="n">
        <v>0</v>
      </c>
      <c r="BV488" t="n">
        <v>0</v>
      </c>
      <c r="BW488" t="n">
        <v>0</v>
      </c>
      <c r="BX488" t="n">
        <v>0</v>
      </c>
      <c r="BY488" t="n">
        <v>0</v>
      </c>
      <c r="BZ488" t="n">
        <v>165</v>
      </c>
      <c r="CA488" t="n">
        <v>32</v>
      </c>
      <c r="CB488" t="n">
        <v>41</v>
      </c>
      <c r="CC488" t="n">
        <v>50</v>
      </c>
      <c r="CD488" t="n">
        <v>61</v>
      </c>
      <c r="CE488" t="n">
        <v>79</v>
      </c>
      <c r="CF488" t="n">
        <v>120</v>
      </c>
      <c r="CG488" t="n">
        <v>145</v>
      </c>
      <c r="CH488" t="n">
        <v>165</v>
      </c>
      <c r="CI488" t="n">
        <v>32</v>
      </c>
      <c r="CJ488" t="n">
        <v>41</v>
      </c>
      <c r="CK488" t="n">
        <v>50</v>
      </c>
      <c r="CL488" t="n">
        <v>61</v>
      </c>
      <c r="CM488" t="n">
        <v>79</v>
      </c>
      <c r="CN488" t="n">
        <v>120</v>
      </c>
      <c r="CO488" t="n">
        <v>145</v>
      </c>
      <c r="CP488" t="n">
        <v>0</v>
      </c>
      <c r="CQ488" t="n">
        <v>0</v>
      </c>
      <c r="CR488" t="n">
        <v>0</v>
      </c>
      <c r="CS488" t="n">
        <v>0</v>
      </c>
      <c r="CT488" t="n">
        <v>0</v>
      </c>
      <c r="CU488" t="n">
        <v>0</v>
      </c>
      <c r="CV488" t="n">
        <v>0</v>
      </c>
      <c r="CW488" t="n">
        <v>0</v>
      </c>
      <c r="CX488" t="n">
        <v>38.3</v>
      </c>
      <c r="CY488" t="n">
        <v>30.9</v>
      </c>
      <c r="CZ488" t="n">
        <v>53.8</v>
      </c>
      <c r="DA488" t="n">
        <v>43.9</v>
      </c>
      <c r="DB488" t="n">
        <v>35.4</v>
      </c>
      <c r="DC488" t="n">
        <v>25</v>
      </c>
      <c r="DD488" t="n">
        <v>47.1</v>
      </c>
      <c r="DE488" t="n">
        <v>33.2</v>
      </c>
      <c r="DF488" t="n">
        <v>38.3</v>
      </c>
      <c r="DG488" t="n">
        <v>30.9</v>
      </c>
      <c r="DH488" t="n">
        <v>53.8</v>
      </c>
      <c r="DI488" t="n">
        <v>43.9</v>
      </c>
      <c r="DJ488" t="n">
        <v>35.4</v>
      </c>
      <c r="DK488" t="n">
        <v>25</v>
      </c>
      <c r="DL488" t="n">
        <v>47.1</v>
      </c>
      <c r="DM488" t="n">
        <v>33.2</v>
      </c>
      <c r="DN488" t="n">
        <v>0</v>
      </c>
      <c r="DO488" t="n">
        <v>0</v>
      </c>
      <c r="DP488" t="n">
        <v>0</v>
      </c>
      <c r="DQ488" t="n">
        <v>0</v>
      </c>
      <c r="DR488" t="n">
        <v>0</v>
      </c>
      <c r="DS488" t="n">
        <v>0</v>
      </c>
      <c r="DT488" t="n">
        <v>0</v>
      </c>
      <c r="DU488" t="n">
        <v>0</v>
      </c>
      <c r="DV488" t="inlineStr">
        <is>
          <t>($4,167 x Contract IMM Index)</t>
        </is>
      </c>
    </row>
    <row r="489">
      <c r="A489" t="inlineStr">
        <is>
          <t>CANOLA - ICE FUTURES U.S.</t>
        </is>
      </c>
      <c r="B489" t="n">
        <v>230110</v>
      </c>
      <c r="C489" s="1" t="n">
        <v>44936</v>
      </c>
      <c r="D489" t="inlineStr">
        <is>
          <t>135731</t>
        </is>
      </c>
      <c r="E489" t="inlineStr">
        <is>
          <t>ICUS</t>
        </is>
      </c>
      <c r="F489" t="inlineStr">
        <is>
          <t>01</t>
        </is>
      </c>
      <c r="G489" t="inlineStr">
        <is>
          <t xml:space="preserve">135 </t>
        </is>
      </c>
      <c r="H489" t="n">
        <v>213017</v>
      </c>
      <c r="I489" s="17" t="n">
        <v>23657</v>
      </c>
      <c r="J489" s="17" t="n">
        <v>27919</v>
      </c>
      <c r="K489" t="n">
        <v>12995</v>
      </c>
      <c r="L489" t="n">
        <v>175322</v>
      </c>
      <c r="M489" t="n">
        <v>170561</v>
      </c>
      <c r="N489" t="n">
        <v>211974</v>
      </c>
      <c r="O489" t="n">
        <v>211475</v>
      </c>
      <c r="P489" t="n">
        <v>1043</v>
      </c>
      <c r="Q489" t="n">
        <v>1542</v>
      </c>
      <c r="R489" t="n">
        <v>182870</v>
      </c>
      <c r="S489" t="n">
        <v>25255</v>
      </c>
      <c r="T489" t="n">
        <v>23867</v>
      </c>
      <c r="U489" t="n">
        <v>10921</v>
      </c>
      <c r="V489" t="n">
        <v>145739</v>
      </c>
      <c r="W489" t="n">
        <v>146956</v>
      </c>
      <c r="X489" t="n">
        <v>181915</v>
      </c>
      <c r="Y489" t="n">
        <v>181744</v>
      </c>
      <c r="Z489" t="n">
        <v>955</v>
      </c>
      <c r="AA489" t="n">
        <v>1126</v>
      </c>
      <c r="AB489" t="n">
        <v>30147</v>
      </c>
      <c r="AC489" t="n">
        <v>336</v>
      </c>
      <c r="AD489" t="n">
        <v>5986</v>
      </c>
      <c r="AE489" t="n">
        <v>140</v>
      </c>
      <c r="AF489" t="n">
        <v>29583</v>
      </c>
      <c r="AG489" t="n">
        <v>23605</v>
      </c>
      <c r="AH489" t="n">
        <v>30059</v>
      </c>
      <c r="AI489" t="n">
        <v>29731</v>
      </c>
      <c r="AJ489" t="n">
        <v>88</v>
      </c>
      <c r="AK489" t="n">
        <v>416</v>
      </c>
      <c r="AL489" t="n">
        <v>-10824</v>
      </c>
      <c r="AM489" t="n">
        <v>-6017</v>
      </c>
      <c r="AN489" t="n">
        <v>3125</v>
      </c>
      <c r="AO489" t="n">
        <v>1540</v>
      </c>
      <c r="AP489" t="n">
        <v>-6306</v>
      </c>
      <c r="AQ489" t="n">
        <v>-15877</v>
      </c>
      <c r="AR489" t="n">
        <v>-10783</v>
      </c>
      <c r="AS489" t="n">
        <v>-11212</v>
      </c>
      <c r="AT489" t="n">
        <v>-41</v>
      </c>
      <c r="AU489" t="n">
        <v>388</v>
      </c>
      <c r="AV489" t="n">
        <v>100</v>
      </c>
      <c r="AW489" t="n">
        <v>11.1</v>
      </c>
      <c r="AX489" t="n">
        <v>13.1</v>
      </c>
      <c r="AY489" t="n">
        <v>6.1</v>
      </c>
      <c r="AZ489" t="n">
        <v>82.3</v>
      </c>
      <c r="BA489" t="n">
        <v>80.09999999999999</v>
      </c>
      <c r="BB489" t="n">
        <v>99.5</v>
      </c>
      <c r="BC489" t="n">
        <v>99.3</v>
      </c>
      <c r="BD489" t="n">
        <v>0.5</v>
      </c>
      <c r="BE489" t="n">
        <v>0.7</v>
      </c>
      <c r="BF489" t="n">
        <v>100</v>
      </c>
      <c r="BG489" t="n">
        <v>13.8</v>
      </c>
      <c r="BH489" t="n">
        <v>13.1</v>
      </c>
      <c r="BI489" t="n">
        <v>6</v>
      </c>
      <c r="BJ489" t="n">
        <v>79.7</v>
      </c>
      <c r="BK489" t="n">
        <v>80.40000000000001</v>
      </c>
      <c r="BL489" t="n">
        <v>99.5</v>
      </c>
      <c r="BM489" t="n">
        <v>99.40000000000001</v>
      </c>
      <c r="BN489" t="n">
        <v>0.5</v>
      </c>
      <c r="BO489" t="n">
        <v>0.6</v>
      </c>
      <c r="BP489" t="n">
        <v>100</v>
      </c>
      <c r="BQ489" t="n">
        <v>1.1</v>
      </c>
      <c r="BR489" t="n">
        <v>19.9</v>
      </c>
      <c r="BS489" t="n">
        <v>0.5</v>
      </c>
      <c r="BT489" t="n">
        <v>98.09999999999999</v>
      </c>
      <c r="BU489" t="n">
        <v>78.3</v>
      </c>
      <c r="BV489" t="n">
        <v>99.7</v>
      </c>
      <c r="BW489" t="n">
        <v>98.59999999999999</v>
      </c>
      <c r="BX489" t="n">
        <v>0.3</v>
      </c>
      <c r="BY489" t="n">
        <v>1.4</v>
      </c>
      <c r="BZ489" t="n">
        <v>204</v>
      </c>
      <c r="CA489" t="n">
        <v>66</v>
      </c>
      <c r="CB489" t="n">
        <v>65</v>
      </c>
      <c r="CC489" t="n">
        <v>35</v>
      </c>
      <c r="CD489" t="n">
        <v>41</v>
      </c>
      <c r="CE489" t="n">
        <v>62</v>
      </c>
      <c r="CF489" t="n">
        <v>131</v>
      </c>
      <c r="CG489" t="n">
        <v>143</v>
      </c>
      <c r="CH489" t="n">
        <v>190</v>
      </c>
      <c r="CI489" t="n">
        <v>70</v>
      </c>
      <c r="CJ489" t="n">
        <v>55</v>
      </c>
      <c r="CK489" t="n">
        <v>26</v>
      </c>
      <c r="CL489" t="n">
        <v>37</v>
      </c>
      <c r="CM489" t="n">
        <v>47</v>
      </c>
      <c r="CN489" t="n">
        <v>123</v>
      </c>
      <c r="CO489" t="n">
        <v>115</v>
      </c>
      <c r="CP489" t="n">
        <v>82</v>
      </c>
      <c r="CQ489" t="n">
        <v>8</v>
      </c>
      <c r="CR489" t="n">
        <v>29</v>
      </c>
      <c r="CS489" t="n">
        <v>5</v>
      </c>
      <c r="CT489" t="n">
        <v>14</v>
      </c>
      <c r="CU489" t="n">
        <v>35</v>
      </c>
      <c r="CV489" t="n">
        <v>26</v>
      </c>
      <c r="CW489" t="n">
        <v>65</v>
      </c>
      <c r="CX489" t="n">
        <v>54.2</v>
      </c>
      <c r="CY489" t="n">
        <v>39.2</v>
      </c>
      <c r="CZ489" t="n">
        <v>70.2</v>
      </c>
      <c r="DA489" t="n">
        <v>56.2</v>
      </c>
      <c r="DB489" t="n">
        <v>50.4</v>
      </c>
      <c r="DC489" t="n">
        <v>34.5</v>
      </c>
      <c r="DD489" t="n">
        <v>60.7</v>
      </c>
      <c r="DE489" t="n">
        <v>49</v>
      </c>
      <c r="DF489" t="n">
        <v>56.3</v>
      </c>
      <c r="DG489" t="n">
        <v>42.1</v>
      </c>
      <c r="DH489" t="n">
        <v>71.2</v>
      </c>
      <c r="DI489" t="n">
        <v>61</v>
      </c>
      <c r="DJ489" t="n">
        <v>52.5</v>
      </c>
      <c r="DK489" t="n">
        <v>42</v>
      </c>
      <c r="DL489" t="n">
        <v>66</v>
      </c>
      <c r="DM489" t="n">
        <v>60.2</v>
      </c>
      <c r="DN489" t="n">
        <v>83.2</v>
      </c>
      <c r="DO489" t="n">
        <v>40.2</v>
      </c>
      <c r="DP489" t="n">
        <v>96.7</v>
      </c>
      <c r="DQ489" t="n">
        <v>66.40000000000001</v>
      </c>
      <c r="DR489" t="n">
        <v>83.2</v>
      </c>
      <c r="DS489" t="n">
        <v>40.2</v>
      </c>
      <c r="DT489" t="n">
        <v>96.2</v>
      </c>
      <c r="DU489" t="n">
        <v>66.40000000000001</v>
      </c>
      <c r="DV489" t="inlineStr">
        <is>
          <t>(20 Metric Tonnes)</t>
        </is>
      </c>
    </row>
    <row r="490">
      <c r="A490" t="inlineStr">
        <is>
          <t>CANOLA - ICE FUTURES U.S.</t>
        </is>
      </c>
      <c r="B490" t="n">
        <v>230103</v>
      </c>
      <c r="C490" s="1" t="n">
        <v>44929</v>
      </c>
      <c r="D490" t="inlineStr">
        <is>
          <t>135731</t>
        </is>
      </c>
      <c r="E490" t="inlineStr">
        <is>
          <t>ICUS</t>
        </is>
      </c>
      <c r="F490" t="inlineStr">
        <is>
          <t>01</t>
        </is>
      </c>
      <c r="G490" t="inlineStr">
        <is>
          <t xml:space="preserve">135 </t>
        </is>
      </c>
      <c r="H490" t="n">
        <v>223841</v>
      </c>
      <c r="I490" s="17" t="n">
        <v>29674</v>
      </c>
      <c r="J490" s="17" t="n">
        <v>24794</v>
      </c>
      <c r="K490" t="n">
        <v>11455</v>
      </c>
      <c r="L490" t="n">
        <v>181628</v>
      </c>
      <c r="M490" t="n">
        <v>186438</v>
      </c>
      <c r="N490" t="n">
        <v>222757</v>
      </c>
      <c r="O490" t="n">
        <v>222687</v>
      </c>
      <c r="P490" t="n">
        <v>1084</v>
      </c>
      <c r="Q490" t="n">
        <v>1154</v>
      </c>
      <c r="R490" t="n">
        <v>195013</v>
      </c>
      <c r="S490" t="n">
        <v>30331</v>
      </c>
      <c r="T490" t="n">
        <v>20103</v>
      </c>
      <c r="U490" t="n">
        <v>10425</v>
      </c>
      <c r="V490" t="n">
        <v>153240</v>
      </c>
      <c r="W490" t="n">
        <v>163731</v>
      </c>
      <c r="X490" t="n">
        <v>193996</v>
      </c>
      <c r="Y490" t="n">
        <v>194259</v>
      </c>
      <c r="Z490" t="n">
        <v>1017</v>
      </c>
      <c r="AA490" t="n">
        <v>754</v>
      </c>
      <c r="AB490" t="n">
        <v>28828</v>
      </c>
      <c r="AC490" t="n">
        <v>286</v>
      </c>
      <c r="AD490" t="n">
        <v>5634</v>
      </c>
      <c r="AE490" t="n">
        <v>87</v>
      </c>
      <c r="AF490" t="n">
        <v>28388</v>
      </c>
      <c r="AG490" t="n">
        <v>22707</v>
      </c>
      <c r="AH490" t="n">
        <v>28761</v>
      </c>
      <c r="AI490" t="n">
        <v>28428</v>
      </c>
      <c r="AJ490" t="n">
        <v>67</v>
      </c>
      <c r="AK490" t="n">
        <v>400</v>
      </c>
      <c r="AL490" t="n">
        <v>1346</v>
      </c>
      <c r="AM490" t="n">
        <v>11059</v>
      </c>
      <c r="AN490" t="n">
        <v>-1188</v>
      </c>
      <c r="AO490" t="n">
        <v>-1274</v>
      </c>
      <c r="AP490" t="n">
        <v>-8400</v>
      </c>
      <c r="AQ490" t="n">
        <v>4140</v>
      </c>
      <c r="AR490" t="n">
        <v>1385</v>
      </c>
      <c r="AS490" t="n">
        <v>1678</v>
      </c>
      <c r="AT490" t="n">
        <v>-39</v>
      </c>
      <c r="AU490" t="n">
        <v>-332</v>
      </c>
      <c r="AV490" t="n">
        <v>100</v>
      </c>
      <c r="AW490" t="n">
        <v>13.3</v>
      </c>
      <c r="AX490" t="n">
        <v>11.1</v>
      </c>
      <c r="AY490" t="n">
        <v>5.1</v>
      </c>
      <c r="AZ490" t="n">
        <v>81.09999999999999</v>
      </c>
      <c r="BA490" t="n">
        <v>83.3</v>
      </c>
      <c r="BB490" t="n">
        <v>99.5</v>
      </c>
      <c r="BC490" t="n">
        <v>99.5</v>
      </c>
      <c r="BD490" t="n">
        <v>0.5</v>
      </c>
      <c r="BE490" t="n">
        <v>0.5</v>
      </c>
      <c r="BF490" t="n">
        <v>100</v>
      </c>
      <c r="BG490" t="n">
        <v>15.6</v>
      </c>
      <c r="BH490" t="n">
        <v>10.3</v>
      </c>
      <c r="BI490" t="n">
        <v>5.3</v>
      </c>
      <c r="BJ490" t="n">
        <v>78.59999999999999</v>
      </c>
      <c r="BK490" t="n">
        <v>84</v>
      </c>
      <c r="BL490" t="n">
        <v>99.5</v>
      </c>
      <c r="BM490" t="n">
        <v>99.59999999999999</v>
      </c>
      <c r="BN490" t="n">
        <v>0.5</v>
      </c>
      <c r="BO490" t="n">
        <v>0.4</v>
      </c>
      <c r="BP490" t="n">
        <v>100</v>
      </c>
      <c r="BQ490" t="n">
        <v>1</v>
      </c>
      <c r="BR490" t="n">
        <v>19.5</v>
      </c>
      <c r="BS490" t="n">
        <v>0.3</v>
      </c>
      <c r="BT490" t="n">
        <v>98.5</v>
      </c>
      <c r="BU490" t="n">
        <v>78.8</v>
      </c>
      <c r="BV490" t="n">
        <v>99.8</v>
      </c>
      <c r="BW490" t="n">
        <v>98.59999999999999</v>
      </c>
      <c r="BX490" t="n">
        <v>0.2</v>
      </c>
      <c r="BY490" t="n">
        <v>1.4</v>
      </c>
      <c r="BZ490" t="n">
        <v>210</v>
      </c>
      <c r="CA490" t="n">
        <v>78</v>
      </c>
      <c r="CB490" t="n">
        <v>64</v>
      </c>
      <c r="CC490" t="n">
        <v>41</v>
      </c>
      <c r="CD490" t="n">
        <v>42</v>
      </c>
      <c r="CE490" t="n">
        <v>58</v>
      </c>
      <c r="CF490" t="n">
        <v>147</v>
      </c>
      <c r="CG490" t="n">
        <v>140</v>
      </c>
      <c r="CH490" t="n">
        <v>196</v>
      </c>
      <c r="CI490" t="n">
        <v>82</v>
      </c>
      <c r="CJ490" t="n">
        <v>54</v>
      </c>
      <c r="CK490" t="n">
        <v>32</v>
      </c>
      <c r="CL490" t="n">
        <v>38</v>
      </c>
      <c r="CM490" t="n">
        <v>44</v>
      </c>
      <c r="CN490" t="n">
        <v>138</v>
      </c>
      <c r="CO490" t="n">
        <v>113</v>
      </c>
      <c r="CP490" t="n">
        <v>83</v>
      </c>
      <c r="CQ490" t="n">
        <v>9</v>
      </c>
      <c r="CR490" t="n">
        <v>30</v>
      </c>
      <c r="CS490" t="n">
        <v>4</v>
      </c>
      <c r="CT490" t="n">
        <v>14</v>
      </c>
      <c r="CU490" t="n">
        <v>33</v>
      </c>
      <c r="CV490" t="n">
        <v>26</v>
      </c>
      <c r="CW490" t="n">
        <v>64</v>
      </c>
      <c r="CX490" t="n">
        <v>55.2</v>
      </c>
      <c r="CY490" t="n">
        <v>38.9</v>
      </c>
      <c r="CZ490" t="n">
        <v>70.7</v>
      </c>
      <c r="DA490" t="n">
        <v>58.2</v>
      </c>
      <c r="DB490" t="n">
        <v>51.2</v>
      </c>
      <c r="DC490" t="n">
        <v>34.4</v>
      </c>
      <c r="DD490" t="n">
        <v>61.7</v>
      </c>
      <c r="DE490" t="n">
        <v>51.4</v>
      </c>
      <c r="DF490" t="n">
        <v>57.4</v>
      </c>
      <c r="DG490" t="n">
        <v>41.2</v>
      </c>
      <c r="DH490" t="n">
        <v>71.40000000000001</v>
      </c>
      <c r="DI490" t="n">
        <v>62</v>
      </c>
      <c r="DJ490" t="n">
        <v>55.1</v>
      </c>
      <c r="DK490" t="n">
        <v>41.1</v>
      </c>
      <c r="DL490" t="n">
        <v>66.5</v>
      </c>
      <c r="DM490" t="n">
        <v>61.2</v>
      </c>
      <c r="DN490" t="n">
        <v>85.40000000000001</v>
      </c>
      <c r="DO490" t="n">
        <v>42.7</v>
      </c>
      <c r="DP490" t="n">
        <v>97.09999999999999</v>
      </c>
      <c r="DQ490" t="n">
        <v>69.90000000000001</v>
      </c>
      <c r="DR490" t="n">
        <v>85.40000000000001</v>
      </c>
      <c r="DS490" t="n">
        <v>42.7</v>
      </c>
      <c r="DT490" t="n">
        <v>97</v>
      </c>
      <c r="DU490" t="n">
        <v>69.90000000000001</v>
      </c>
      <c r="DV490" t="inlineStr">
        <is>
          <t>(20 Metric Tonnes)</t>
        </is>
      </c>
    </row>
    <row r="491">
      <c r="A491" t="inlineStr">
        <is>
          <t>S&amp;P 500 Consolidated - CHICAGO MERCANTILE EXCHANGE</t>
        </is>
      </c>
      <c r="B491" t="n">
        <v>230110</v>
      </c>
      <c r="C491" s="1" t="n">
        <v>44936</v>
      </c>
      <c r="D491" t="inlineStr">
        <is>
          <t>13874+</t>
        </is>
      </c>
      <c r="E491" t="inlineStr">
        <is>
          <t xml:space="preserve">CME </t>
        </is>
      </c>
      <c r="F491" t="inlineStr">
        <is>
          <t>00</t>
        </is>
      </c>
      <c r="G491" t="inlineStr">
        <is>
          <t xml:space="preserve">138 </t>
        </is>
      </c>
      <c r="H491" t="n">
        <v>406513</v>
      </c>
      <c r="I491" s="17" t="n">
        <v>48701</v>
      </c>
      <c r="J491" s="17" t="n">
        <v>91335</v>
      </c>
      <c r="K491" t="n">
        <v>7837</v>
      </c>
      <c r="L491" t="n">
        <v>302587</v>
      </c>
      <c r="M491" t="n">
        <v>262000</v>
      </c>
      <c r="N491" t="n">
        <v>359124</v>
      </c>
      <c r="O491" t="n">
        <v>361172</v>
      </c>
      <c r="P491" t="n">
        <v>47389</v>
      </c>
      <c r="Q491" t="n">
        <v>45341</v>
      </c>
      <c r="R491" t="n">
        <v>406513</v>
      </c>
      <c r="S491" t="n">
        <v>48701</v>
      </c>
      <c r="T491" t="n">
        <v>91335</v>
      </c>
      <c r="U491" t="n">
        <v>7837</v>
      </c>
      <c r="V491" t="n">
        <v>302587</v>
      </c>
      <c r="W491" t="n">
        <v>262000</v>
      </c>
      <c r="X491" t="n">
        <v>359124</v>
      </c>
      <c r="Y491" t="n">
        <v>361172</v>
      </c>
      <c r="Z491" t="n">
        <v>47389</v>
      </c>
      <c r="AA491" t="n">
        <v>45341</v>
      </c>
      <c r="AB491" t="n">
        <v>0</v>
      </c>
      <c r="AC491" t="n">
        <v>0</v>
      </c>
      <c r="AD491" t="n">
        <v>0</v>
      </c>
      <c r="AE491" t="n">
        <v>0</v>
      </c>
      <c r="AF491" t="n">
        <v>0</v>
      </c>
      <c r="AG491" t="n">
        <v>0</v>
      </c>
      <c r="AH491" t="n">
        <v>0</v>
      </c>
      <c r="AI491" t="n">
        <v>0</v>
      </c>
      <c r="AJ491" t="n">
        <v>0</v>
      </c>
      <c r="AK491" t="n">
        <v>0</v>
      </c>
      <c r="AL491" t="n">
        <v>4314</v>
      </c>
      <c r="AM491" t="n">
        <v>-3551</v>
      </c>
      <c r="AN491" t="n">
        <v>5623</v>
      </c>
      <c r="AO491" t="n">
        <v>-578</v>
      </c>
      <c r="AP491" t="n">
        <v>7624</v>
      </c>
      <c r="AQ491" t="n">
        <v>348</v>
      </c>
      <c r="AR491" t="n">
        <v>3495</v>
      </c>
      <c r="AS491" t="n">
        <v>5394</v>
      </c>
      <c r="AT491" t="n">
        <v>819</v>
      </c>
      <c r="AU491" t="n">
        <v>-1080</v>
      </c>
      <c r="AV491" t="n">
        <v>100</v>
      </c>
      <c r="AW491" t="n">
        <v>12</v>
      </c>
      <c r="AX491" t="n">
        <v>22.5</v>
      </c>
      <c r="AY491" t="n">
        <v>1.9</v>
      </c>
      <c r="AZ491" t="n">
        <v>74.40000000000001</v>
      </c>
      <c r="BA491" t="n">
        <v>64.5</v>
      </c>
      <c r="BB491" t="n">
        <v>88.3</v>
      </c>
      <c r="BC491" t="n">
        <v>88.8</v>
      </c>
      <c r="BD491" t="n">
        <v>11.7</v>
      </c>
      <c r="BE491" t="n">
        <v>11.2</v>
      </c>
      <c r="BF491" t="n">
        <v>100</v>
      </c>
      <c r="BG491" t="n">
        <v>12</v>
      </c>
      <c r="BH491" t="n">
        <v>22.5</v>
      </c>
      <c r="BI491" t="n">
        <v>1.9</v>
      </c>
      <c r="BJ491" t="n">
        <v>74.40000000000001</v>
      </c>
      <c r="BK491" t="n">
        <v>64.5</v>
      </c>
      <c r="BL491" t="n">
        <v>88.3</v>
      </c>
      <c r="BM491" t="n">
        <v>88.8</v>
      </c>
      <c r="BN491" t="n">
        <v>11.7</v>
      </c>
      <c r="BO491" t="n">
        <v>11.2</v>
      </c>
      <c r="BP491" t="n">
        <v>0</v>
      </c>
      <c r="BQ491" t="n">
        <v>0</v>
      </c>
      <c r="BR491" t="n">
        <v>0</v>
      </c>
      <c r="BS491" t="n">
        <v>0</v>
      </c>
      <c r="BT491" t="n">
        <v>0</v>
      </c>
      <c r="BU491" t="n">
        <v>0</v>
      </c>
      <c r="BV491" t="n">
        <v>0</v>
      </c>
      <c r="BW491" t="n">
        <v>0</v>
      </c>
      <c r="BX491" t="n">
        <v>0</v>
      </c>
      <c r="BY491" t="n">
        <v>0</v>
      </c>
      <c r="BZ491" t="n">
        <v>528</v>
      </c>
      <c r="CA491" t="n">
        <v>77</v>
      </c>
      <c r="CB491" t="n">
        <v>96</v>
      </c>
      <c r="CC491" t="n">
        <v>40</v>
      </c>
      <c r="CD491" t="n">
        <v>257</v>
      </c>
      <c r="CE491" t="n">
        <v>247</v>
      </c>
      <c r="CF491" t="n">
        <v>361</v>
      </c>
      <c r="CG491" t="n">
        <v>356</v>
      </c>
      <c r="CH491" t="n">
        <v>528</v>
      </c>
      <c r="CI491" t="n">
        <v>77</v>
      </c>
      <c r="CJ491" t="n">
        <v>96</v>
      </c>
      <c r="CK491" t="n">
        <v>40</v>
      </c>
      <c r="CL491" t="n">
        <v>257</v>
      </c>
      <c r="CM491" t="n">
        <v>247</v>
      </c>
      <c r="CN491" t="n">
        <v>361</v>
      </c>
      <c r="CO491" t="n">
        <v>356</v>
      </c>
      <c r="CP491" t="n">
        <v>0</v>
      </c>
      <c r="CQ491" t="n">
        <v>0</v>
      </c>
      <c r="CR491" t="n">
        <v>0</v>
      </c>
      <c r="CS491" t="n">
        <v>0</v>
      </c>
      <c r="CT491" t="n">
        <v>0</v>
      </c>
      <c r="CU491" t="n">
        <v>0</v>
      </c>
      <c r="CV491" t="n">
        <v>0</v>
      </c>
      <c r="CW491" t="n">
        <v>0</v>
      </c>
      <c r="CX491" t="n">
        <v>16</v>
      </c>
      <c r="CY491" t="n">
        <v>13.8</v>
      </c>
      <c r="CZ491" t="n">
        <v>23.1</v>
      </c>
      <c r="DA491" t="n">
        <v>22.4</v>
      </c>
      <c r="DB491" t="n">
        <v>14.2</v>
      </c>
      <c r="DC491" t="n">
        <v>13</v>
      </c>
      <c r="DD491" t="n">
        <v>21.1</v>
      </c>
      <c r="DE491" t="n">
        <v>21.2</v>
      </c>
      <c r="DF491" t="n">
        <v>16</v>
      </c>
      <c r="DG491" t="n">
        <v>13.8</v>
      </c>
      <c r="DH491" t="n">
        <v>23.1</v>
      </c>
      <c r="DI491" t="n">
        <v>22.4</v>
      </c>
      <c r="DJ491" t="n">
        <v>14.2</v>
      </c>
      <c r="DK491" t="n">
        <v>13</v>
      </c>
      <c r="DL491" t="n">
        <v>21.1</v>
      </c>
      <c r="DM491" t="n">
        <v>21.2</v>
      </c>
      <c r="DN491" t="n">
        <v>0</v>
      </c>
      <c r="DO491" t="n">
        <v>0</v>
      </c>
      <c r="DP491" t="n">
        <v>0</v>
      </c>
      <c r="DQ491" t="n">
        <v>0</v>
      </c>
      <c r="DR491" t="n">
        <v>0</v>
      </c>
      <c r="DS491" t="n">
        <v>0</v>
      </c>
      <c r="DT491" t="n">
        <v>0</v>
      </c>
      <c r="DU491" t="n">
        <v>0</v>
      </c>
      <c r="DV491" t="inlineStr">
        <is>
          <t>(S&amp;P 500 INDEX X $250.00)</t>
        </is>
      </c>
    </row>
    <row r="492">
      <c r="A492" t="inlineStr">
        <is>
          <t>S&amp;P 500 Consolidated - CHICAGO MERCANTILE EXCHANGE</t>
        </is>
      </c>
      <c r="B492" t="n">
        <v>230103</v>
      </c>
      <c r="C492" s="1" t="n">
        <v>44929</v>
      </c>
      <c r="D492" t="inlineStr">
        <is>
          <t>13874+</t>
        </is>
      </c>
      <c r="E492" t="inlineStr">
        <is>
          <t xml:space="preserve">CME </t>
        </is>
      </c>
      <c r="F492" t="inlineStr">
        <is>
          <t>00</t>
        </is>
      </c>
      <c r="G492" t="inlineStr">
        <is>
          <t xml:space="preserve">138 </t>
        </is>
      </c>
      <c r="H492" t="n">
        <v>402199</v>
      </c>
      <c r="I492" s="17" t="n">
        <v>52252</v>
      </c>
      <c r="J492" s="17" t="n">
        <v>85712</v>
      </c>
      <c r="K492" t="n">
        <v>8414</v>
      </c>
      <c r="L492" t="n">
        <v>294962</v>
      </c>
      <c r="M492" t="n">
        <v>261652</v>
      </c>
      <c r="N492" t="n">
        <v>355629</v>
      </c>
      <c r="O492" t="n">
        <v>355778</v>
      </c>
      <c r="P492" t="n">
        <v>46571</v>
      </c>
      <c r="Q492" t="n">
        <v>46421</v>
      </c>
      <c r="R492" t="n">
        <v>402199</v>
      </c>
      <c r="S492" t="n">
        <v>52252</v>
      </c>
      <c r="T492" t="n">
        <v>85712</v>
      </c>
      <c r="U492" t="n">
        <v>8414</v>
      </c>
      <c r="V492" t="n">
        <v>294962</v>
      </c>
      <c r="W492" t="n">
        <v>261652</v>
      </c>
      <c r="X492" t="n">
        <v>355629</v>
      </c>
      <c r="Y492" t="n">
        <v>355778</v>
      </c>
      <c r="Z492" t="n">
        <v>46571</v>
      </c>
      <c r="AA492" t="n">
        <v>46421</v>
      </c>
      <c r="AB492" t="n">
        <v>0</v>
      </c>
      <c r="AC492" t="n">
        <v>0</v>
      </c>
      <c r="AD492" t="n">
        <v>0</v>
      </c>
      <c r="AE492" t="n">
        <v>0</v>
      </c>
      <c r="AF492" t="n">
        <v>0</v>
      </c>
      <c r="AG492" t="n">
        <v>0</v>
      </c>
      <c r="AH492" t="n">
        <v>0</v>
      </c>
      <c r="AI492" t="n">
        <v>0</v>
      </c>
      <c r="AJ492" t="n">
        <v>0</v>
      </c>
      <c r="AK492" t="n">
        <v>0</v>
      </c>
      <c r="AL492" t="n">
        <v>9937</v>
      </c>
      <c r="AM492" t="n">
        <v>3257</v>
      </c>
      <c r="AN492" t="n">
        <v>1861</v>
      </c>
      <c r="AO492" t="n">
        <v>-421</v>
      </c>
      <c r="AP492" t="n">
        <v>5506</v>
      </c>
      <c r="AQ492" t="n">
        <v>7993</v>
      </c>
      <c r="AR492" t="n">
        <v>8342</v>
      </c>
      <c r="AS492" t="n">
        <v>9433</v>
      </c>
      <c r="AT492" t="n">
        <v>1595</v>
      </c>
      <c r="AU492" t="n">
        <v>505</v>
      </c>
      <c r="AV492" t="n">
        <v>100</v>
      </c>
      <c r="AW492" t="n">
        <v>13</v>
      </c>
      <c r="AX492" t="n">
        <v>21.3</v>
      </c>
      <c r="AY492" t="n">
        <v>2.1</v>
      </c>
      <c r="AZ492" t="n">
        <v>73.3</v>
      </c>
      <c r="BA492" t="n">
        <v>65.09999999999999</v>
      </c>
      <c r="BB492" t="n">
        <v>88.40000000000001</v>
      </c>
      <c r="BC492" t="n">
        <v>88.5</v>
      </c>
      <c r="BD492" t="n">
        <v>11.6</v>
      </c>
      <c r="BE492" t="n">
        <v>11.5</v>
      </c>
      <c r="BF492" t="n">
        <v>100</v>
      </c>
      <c r="BG492" t="n">
        <v>13</v>
      </c>
      <c r="BH492" t="n">
        <v>21.3</v>
      </c>
      <c r="BI492" t="n">
        <v>2.1</v>
      </c>
      <c r="BJ492" t="n">
        <v>73.3</v>
      </c>
      <c r="BK492" t="n">
        <v>65.09999999999999</v>
      </c>
      <c r="BL492" t="n">
        <v>88.40000000000001</v>
      </c>
      <c r="BM492" t="n">
        <v>88.5</v>
      </c>
      <c r="BN492" t="n">
        <v>11.6</v>
      </c>
      <c r="BO492" t="n">
        <v>11.5</v>
      </c>
      <c r="BP492" t="n">
        <v>0</v>
      </c>
      <c r="BQ492" t="n">
        <v>0</v>
      </c>
      <c r="BR492" t="n">
        <v>0</v>
      </c>
      <c r="BS492" t="n">
        <v>0</v>
      </c>
      <c r="BT492" t="n">
        <v>0</v>
      </c>
      <c r="BU492" t="n">
        <v>0</v>
      </c>
      <c r="BV492" t="n">
        <v>0</v>
      </c>
      <c r="BW492" t="n">
        <v>0</v>
      </c>
      <c r="BX492" t="n">
        <v>0</v>
      </c>
      <c r="BY492" t="n">
        <v>0</v>
      </c>
      <c r="BZ492" t="n">
        <v>530</v>
      </c>
      <c r="CA492" t="n">
        <v>75</v>
      </c>
      <c r="CB492" t="n">
        <v>97</v>
      </c>
      <c r="CC492" t="n">
        <v>43</v>
      </c>
      <c r="CD492" t="n">
        <v>256</v>
      </c>
      <c r="CE492" t="n">
        <v>251</v>
      </c>
      <c r="CF492" t="n">
        <v>361</v>
      </c>
      <c r="CG492" t="n">
        <v>361</v>
      </c>
      <c r="CH492" t="n">
        <v>530</v>
      </c>
      <c r="CI492" t="n">
        <v>75</v>
      </c>
      <c r="CJ492" t="n">
        <v>97</v>
      </c>
      <c r="CK492" t="n">
        <v>43</v>
      </c>
      <c r="CL492" t="n">
        <v>256</v>
      </c>
      <c r="CM492" t="n">
        <v>251</v>
      </c>
      <c r="CN492" t="n">
        <v>361</v>
      </c>
      <c r="CO492" t="n">
        <v>361</v>
      </c>
      <c r="CP492" t="n">
        <v>0</v>
      </c>
      <c r="CQ492" t="n">
        <v>0</v>
      </c>
      <c r="CR492" t="n">
        <v>0</v>
      </c>
      <c r="CS492" t="n">
        <v>0</v>
      </c>
      <c r="CT492" t="n">
        <v>0</v>
      </c>
      <c r="CU492" t="n">
        <v>0</v>
      </c>
      <c r="CV492" t="n">
        <v>0</v>
      </c>
      <c r="CW492" t="n">
        <v>0</v>
      </c>
      <c r="CX492" t="n">
        <v>15.7</v>
      </c>
      <c r="CY492" t="n">
        <v>11.4</v>
      </c>
      <c r="CZ492" t="n">
        <v>22.2</v>
      </c>
      <c r="DA492" t="n">
        <v>19.1</v>
      </c>
      <c r="DB492" t="n">
        <v>13.7</v>
      </c>
      <c r="DC492" t="n">
        <v>10.8</v>
      </c>
      <c r="DD492" t="n">
        <v>19.9</v>
      </c>
      <c r="DE492" t="n">
        <v>17.7</v>
      </c>
      <c r="DF492" t="n">
        <v>15.7</v>
      </c>
      <c r="DG492" t="n">
        <v>11.4</v>
      </c>
      <c r="DH492" t="n">
        <v>22.2</v>
      </c>
      <c r="DI492" t="n">
        <v>19.1</v>
      </c>
      <c r="DJ492" t="n">
        <v>13.7</v>
      </c>
      <c r="DK492" t="n">
        <v>10.8</v>
      </c>
      <c r="DL492" t="n">
        <v>19.9</v>
      </c>
      <c r="DM492" t="n">
        <v>17.7</v>
      </c>
      <c r="DN492" t="n">
        <v>0</v>
      </c>
      <c r="DO492" t="n">
        <v>0</v>
      </c>
      <c r="DP492" t="n">
        <v>0</v>
      </c>
      <c r="DQ492" t="n">
        <v>0</v>
      </c>
      <c r="DR492" t="n">
        <v>0</v>
      </c>
      <c r="DS492" t="n">
        <v>0</v>
      </c>
      <c r="DT492" t="n">
        <v>0</v>
      </c>
      <c r="DU492" t="n">
        <v>0</v>
      </c>
      <c r="DV492" t="inlineStr">
        <is>
          <t>(S&amp;P 500 INDEX X $250.00)</t>
        </is>
      </c>
    </row>
    <row r="493">
      <c r="A493" t="inlineStr">
        <is>
          <t>E-MINI S&amp;P ENERGY INDEX - CHICAGO MERCANTILE EXCHANGE</t>
        </is>
      </c>
      <c r="B493" t="n">
        <v>230110</v>
      </c>
      <c r="C493" s="1" t="n">
        <v>44936</v>
      </c>
      <c r="D493" t="inlineStr">
        <is>
          <t>138749</t>
        </is>
      </c>
      <c r="E493" t="inlineStr">
        <is>
          <t xml:space="preserve">CME </t>
        </is>
      </c>
      <c r="F493" t="inlineStr">
        <is>
          <t>00</t>
        </is>
      </c>
      <c r="G493" t="inlineStr">
        <is>
          <t xml:space="preserve">138 </t>
        </is>
      </c>
      <c r="H493" t="n">
        <v>24796</v>
      </c>
      <c r="I493" s="17" t="n">
        <v>959</v>
      </c>
      <c r="J493" s="17" t="n">
        <v>0</v>
      </c>
      <c r="K493" t="n">
        <v>0</v>
      </c>
      <c r="L493" t="n">
        <v>20431</v>
      </c>
      <c r="M493" t="n">
        <v>23351</v>
      </c>
      <c r="N493" t="n">
        <v>21390</v>
      </c>
      <c r="O493" t="n">
        <v>23351</v>
      </c>
      <c r="P493" t="n">
        <v>3406</v>
      </c>
      <c r="Q493" t="n">
        <v>1445</v>
      </c>
      <c r="R493" t="n">
        <v>24796</v>
      </c>
      <c r="S493" t="n">
        <v>959</v>
      </c>
      <c r="T493" t="n">
        <v>0</v>
      </c>
      <c r="U493" t="n">
        <v>0</v>
      </c>
      <c r="V493" t="n">
        <v>20431</v>
      </c>
      <c r="W493" t="n">
        <v>23351</v>
      </c>
      <c r="X493" t="n">
        <v>21390</v>
      </c>
      <c r="Y493" t="n">
        <v>23351</v>
      </c>
      <c r="Z493" t="n">
        <v>3406</v>
      </c>
      <c r="AA493" t="n">
        <v>1445</v>
      </c>
      <c r="AB493" t="n">
        <v>0</v>
      </c>
      <c r="AC493" t="n">
        <v>0</v>
      </c>
      <c r="AD493" t="n">
        <v>0</v>
      </c>
      <c r="AE493" t="n">
        <v>0</v>
      </c>
      <c r="AF493" t="n">
        <v>0</v>
      </c>
      <c r="AG493" t="n">
        <v>0</v>
      </c>
      <c r="AH493" t="n">
        <v>0</v>
      </c>
      <c r="AI493" t="n">
        <v>0</v>
      </c>
      <c r="AJ493" t="n">
        <v>0</v>
      </c>
      <c r="AK493" t="n">
        <v>0</v>
      </c>
      <c r="AL493" t="n">
        <v>-1312</v>
      </c>
      <c r="AM493" t="n">
        <v>-20</v>
      </c>
      <c r="AN493" t="n">
        <v>0</v>
      </c>
      <c r="AO493" t="n">
        <v>0</v>
      </c>
      <c r="AP493" t="n">
        <v>-881</v>
      </c>
      <c r="AQ493" t="n">
        <v>-1465</v>
      </c>
      <c r="AR493" t="n">
        <v>-901</v>
      </c>
      <c r="AS493" t="n">
        <v>-1465</v>
      </c>
      <c r="AT493" t="n">
        <v>-411</v>
      </c>
      <c r="AU493" t="n">
        <v>153</v>
      </c>
      <c r="AV493" t="n">
        <v>100</v>
      </c>
      <c r="AW493" t="n">
        <v>3.9</v>
      </c>
      <c r="AX493" t="n">
        <v>0</v>
      </c>
      <c r="AY493" t="n">
        <v>0</v>
      </c>
      <c r="AZ493" t="n">
        <v>82.40000000000001</v>
      </c>
      <c r="BA493" t="n">
        <v>94.2</v>
      </c>
      <c r="BB493" t="n">
        <v>86.3</v>
      </c>
      <c r="BC493" t="n">
        <v>94.2</v>
      </c>
      <c r="BD493" t="n">
        <v>13.7</v>
      </c>
      <c r="BE493" t="n">
        <v>5.8</v>
      </c>
      <c r="BF493" t="n">
        <v>100</v>
      </c>
      <c r="BG493" t="n">
        <v>3.9</v>
      </c>
      <c r="BH493" t="n">
        <v>0</v>
      </c>
      <c r="BI493" t="n">
        <v>0</v>
      </c>
      <c r="BJ493" t="n">
        <v>82.40000000000001</v>
      </c>
      <c r="BK493" t="n">
        <v>94.2</v>
      </c>
      <c r="BL493" t="n">
        <v>86.3</v>
      </c>
      <c r="BM493" t="n">
        <v>94.2</v>
      </c>
      <c r="BN493" t="n">
        <v>13.7</v>
      </c>
      <c r="BO493" t="n">
        <v>5.8</v>
      </c>
      <c r="BP493" t="n">
        <v>0</v>
      </c>
      <c r="BQ493" t="n">
        <v>0</v>
      </c>
      <c r="BR493" t="n">
        <v>0</v>
      </c>
      <c r="BS493" t="n">
        <v>0</v>
      </c>
      <c r="BT493" t="n">
        <v>0</v>
      </c>
      <c r="BU493" t="n">
        <v>0</v>
      </c>
      <c r="BV493" t="n">
        <v>0</v>
      </c>
      <c r="BW493" t="n">
        <v>0</v>
      </c>
      <c r="BX493" t="n">
        <v>0</v>
      </c>
      <c r="BY493" t="n">
        <v>0</v>
      </c>
      <c r="BZ493" t="n">
        <v>27</v>
      </c>
      <c r="CA493" t="n">
        <v>2</v>
      </c>
      <c r="CB493" t="n">
        <v>0</v>
      </c>
      <c r="CC493" t="n">
        <v>0</v>
      </c>
      <c r="CD493" t="n">
        <v>18</v>
      </c>
      <c r="CE493" t="n">
        <v>7</v>
      </c>
      <c r="CF493" t="n">
        <v>20</v>
      </c>
      <c r="CG493" t="n">
        <v>7</v>
      </c>
      <c r="CH493" t="n">
        <v>27</v>
      </c>
      <c r="CI493" t="n">
        <v>2</v>
      </c>
      <c r="CJ493" t="n">
        <v>0</v>
      </c>
      <c r="CK493" t="n">
        <v>0</v>
      </c>
      <c r="CL493" t="n">
        <v>18</v>
      </c>
      <c r="CM493" t="n">
        <v>7</v>
      </c>
      <c r="CN493" t="n">
        <v>20</v>
      </c>
      <c r="CO493" t="n">
        <v>7</v>
      </c>
      <c r="CP493" t="n">
        <v>0</v>
      </c>
      <c r="CQ493" t="n">
        <v>0</v>
      </c>
      <c r="CR493" t="n">
        <v>0</v>
      </c>
      <c r="CS493" t="n">
        <v>0</v>
      </c>
      <c r="CT493" t="n">
        <v>0</v>
      </c>
      <c r="CU493" t="n">
        <v>0</v>
      </c>
      <c r="CV493" t="n">
        <v>0</v>
      </c>
      <c r="CW493" t="n">
        <v>0</v>
      </c>
      <c r="CX493" t="n">
        <v>46.4</v>
      </c>
      <c r="CY493" t="n">
        <v>90.3</v>
      </c>
      <c r="CZ493" t="n">
        <v>69</v>
      </c>
      <c r="DA493" t="n">
        <v>94.2</v>
      </c>
      <c r="DB493" t="n">
        <v>46.4</v>
      </c>
      <c r="DC493" t="n">
        <v>90.3</v>
      </c>
      <c r="DD493" t="n">
        <v>69</v>
      </c>
      <c r="DE493" t="n">
        <v>94.2</v>
      </c>
      <c r="DF493" t="n">
        <v>46.4</v>
      </c>
      <c r="DG493" t="n">
        <v>90.3</v>
      </c>
      <c r="DH493" t="n">
        <v>69</v>
      </c>
      <c r="DI493" t="n">
        <v>94.2</v>
      </c>
      <c r="DJ493" t="n">
        <v>46.4</v>
      </c>
      <c r="DK493" t="n">
        <v>90.3</v>
      </c>
      <c r="DL493" t="n">
        <v>69</v>
      </c>
      <c r="DM493" t="n">
        <v>94.2</v>
      </c>
      <c r="DN493" t="n">
        <v>0</v>
      </c>
      <c r="DO493" t="n">
        <v>0</v>
      </c>
      <c r="DP493" t="n">
        <v>0</v>
      </c>
      <c r="DQ493" t="n">
        <v>0</v>
      </c>
      <c r="DR493" t="n">
        <v>0</v>
      </c>
      <c r="DS493" t="n">
        <v>0</v>
      </c>
      <c r="DT493" t="n">
        <v>0</v>
      </c>
      <c r="DU493" t="n">
        <v>0</v>
      </c>
      <c r="DV493" t="inlineStr">
        <is>
          <t>($100 x S&amp;P Select Sector Energy Index p</t>
        </is>
      </c>
    </row>
    <row r="494">
      <c r="A494" t="inlineStr">
        <is>
          <t>E-MINI S&amp;P ENERGY INDEX - CHICAGO MERCANTILE EXCHANGE</t>
        </is>
      </c>
      <c r="B494" t="n">
        <v>230103</v>
      </c>
      <c r="C494" s="1" t="n">
        <v>44929</v>
      </c>
      <c r="D494" t="inlineStr">
        <is>
          <t>138749</t>
        </is>
      </c>
      <c r="E494" t="inlineStr">
        <is>
          <t xml:space="preserve">CME </t>
        </is>
      </c>
      <c r="F494" t="inlineStr">
        <is>
          <t>00</t>
        </is>
      </c>
      <c r="G494" t="inlineStr">
        <is>
          <t xml:space="preserve">138 </t>
        </is>
      </c>
      <c r="H494" t="n">
        <v>26108</v>
      </c>
      <c r="I494" s="17" t="n">
        <v>979</v>
      </c>
      <c r="J494" s="17" t="n">
        <v>0</v>
      </c>
      <c r="K494" t="n">
        <v>0</v>
      </c>
      <c r="L494" t="n">
        <v>21312</v>
      </c>
      <c r="M494" t="n">
        <v>24816</v>
      </c>
      <c r="N494" t="n">
        <v>22291</v>
      </c>
      <c r="O494" t="n">
        <v>24816</v>
      </c>
      <c r="P494" t="n">
        <v>3817</v>
      </c>
      <c r="Q494" t="n">
        <v>1292</v>
      </c>
      <c r="R494" t="n">
        <v>26108</v>
      </c>
      <c r="S494" t="n">
        <v>979</v>
      </c>
      <c r="T494" t="n">
        <v>0</v>
      </c>
      <c r="U494" t="n">
        <v>0</v>
      </c>
      <c r="V494" t="n">
        <v>21312</v>
      </c>
      <c r="W494" t="n">
        <v>24816</v>
      </c>
      <c r="X494" t="n">
        <v>22291</v>
      </c>
      <c r="Y494" t="n">
        <v>24816</v>
      </c>
      <c r="Z494" t="n">
        <v>3817</v>
      </c>
      <c r="AA494" t="n">
        <v>1292</v>
      </c>
      <c r="AB494" t="n">
        <v>0</v>
      </c>
      <c r="AC494" t="n">
        <v>0</v>
      </c>
      <c r="AD494" t="n">
        <v>0</v>
      </c>
      <c r="AE494" t="n">
        <v>0</v>
      </c>
      <c r="AF494" t="n">
        <v>0</v>
      </c>
      <c r="AG494" t="n">
        <v>0</v>
      </c>
      <c r="AH494" t="n">
        <v>0</v>
      </c>
      <c r="AI494" t="n">
        <v>0</v>
      </c>
      <c r="AJ494" t="n">
        <v>0</v>
      </c>
      <c r="AK494" t="n">
        <v>0</v>
      </c>
      <c r="AL494" t="n">
        <v>-112</v>
      </c>
      <c r="AM494" t="n">
        <v>-482</v>
      </c>
      <c r="AN494" t="n">
        <v>0</v>
      </c>
      <c r="AO494" t="n">
        <v>0</v>
      </c>
      <c r="AP494" t="n">
        <v>-111</v>
      </c>
      <c r="AQ494" t="n">
        <v>157</v>
      </c>
      <c r="AR494" t="n">
        <v>-593</v>
      </c>
      <c r="AS494" t="n">
        <v>157</v>
      </c>
      <c r="AT494" t="n">
        <v>481</v>
      </c>
      <c r="AU494" t="n">
        <v>-269</v>
      </c>
      <c r="AV494" t="n">
        <v>100</v>
      </c>
      <c r="AW494" t="n">
        <v>3.7</v>
      </c>
      <c r="AX494" t="n">
        <v>0</v>
      </c>
      <c r="AY494" t="n">
        <v>0</v>
      </c>
      <c r="AZ494" t="n">
        <v>81.59999999999999</v>
      </c>
      <c r="BA494" t="n">
        <v>95.09999999999999</v>
      </c>
      <c r="BB494" t="n">
        <v>85.40000000000001</v>
      </c>
      <c r="BC494" t="n">
        <v>95.09999999999999</v>
      </c>
      <c r="BD494" t="n">
        <v>14.6</v>
      </c>
      <c r="BE494" t="n">
        <v>4.9</v>
      </c>
      <c r="BF494" t="n">
        <v>100</v>
      </c>
      <c r="BG494" t="n">
        <v>3.7</v>
      </c>
      <c r="BH494" t="n">
        <v>0</v>
      </c>
      <c r="BI494" t="n">
        <v>0</v>
      </c>
      <c r="BJ494" t="n">
        <v>81.59999999999999</v>
      </c>
      <c r="BK494" t="n">
        <v>95.09999999999999</v>
      </c>
      <c r="BL494" t="n">
        <v>85.40000000000001</v>
      </c>
      <c r="BM494" t="n">
        <v>95.09999999999999</v>
      </c>
      <c r="BN494" t="n">
        <v>14.6</v>
      </c>
      <c r="BO494" t="n">
        <v>4.9</v>
      </c>
      <c r="BP494" t="n">
        <v>0</v>
      </c>
      <c r="BQ494" t="n">
        <v>0</v>
      </c>
      <c r="BR494" t="n">
        <v>0</v>
      </c>
      <c r="BS494" t="n">
        <v>0</v>
      </c>
      <c r="BT494" t="n">
        <v>0</v>
      </c>
      <c r="BU494" t="n">
        <v>0</v>
      </c>
      <c r="BV494" t="n">
        <v>0</v>
      </c>
      <c r="BW494" t="n">
        <v>0</v>
      </c>
      <c r="BX494" t="n">
        <v>0</v>
      </c>
      <c r="BY494" t="n">
        <v>0</v>
      </c>
      <c r="BZ494" t="n">
        <v>30</v>
      </c>
      <c r="CA494" t="n">
        <v>2</v>
      </c>
      <c r="CB494" t="n">
        <v>0</v>
      </c>
      <c r="CC494" t="n">
        <v>0</v>
      </c>
      <c r="CD494" t="n">
        <v>18</v>
      </c>
      <c r="CE494" t="n">
        <v>11</v>
      </c>
      <c r="CF494" t="n">
        <v>20</v>
      </c>
      <c r="CG494" t="n">
        <v>11</v>
      </c>
      <c r="CH494" t="n">
        <v>30</v>
      </c>
      <c r="CI494" t="n">
        <v>2</v>
      </c>
      <c r="CJ494" t="n">
        <v>0</v>
      </c>
      <c r="CK494" t="n">
        <v>0</v>
      </c>
      <c r="CL494" t="n">
        <v>18</v>
      </c>
      <c r="CM494" t="n">
        <v>11</v>
      </c>
      <c r="CN494" t="n">
        <v>20</v>
      </c>
      <c r="CO494" t="n">
        <v>11</v>
      </c>
      <c r="CP494" t="n">
        <v>0</v>
      </c>
      <c r="CQ494" t="n">
        <v>0</v>
      </c>
      <c r="CR494" t="n">
        <v>0</v>
      </c>
      <c r="CS494" t="n">
        <v>0</v>
      </c>
      <c r="CT494" t="n">
        <v>0</v>
      </c>
      <c r="CU494" t="n">
        <v>0</v>
      </c>
      <c r="CV494" t="n">
        <v>0</v>
      </c>
      <c r="CW494" t="n">
        <v>0</v>
      </c>
      <c r="CX494" t="n">
        <v>50.3</v>
      </c>
      <c r="CY494" t="n">
        <v>80.09999999999999</v>
      </c>
      <c r="CZ494" t="n">
        <v>70</v>
      </c>
      <c r="DA494" t="n">
        <v>91.8</v>
      </c>
      <c r="DB494" t="n">
        <v>50.3</v>
      </c>
      <c r="DC494" t="n">
        <v>80.09999999999999</v>
      </c>
      <c r="DD494" t="n">
        <v>70</v>
      </c>
      <c r="DE494" t="n">
        <v>91.8</v>
      </c>
      <c r="DF494" t="n">
        <v>50.3</v>
      </c>
      <c r="DG494" t="n">
        <v>80.09999999999999</v>
      </c>
      <c r="DH494" t="n">
        <v>70</v>
      </c>
      <c r="DI494" t="n">
        <v>91.8</v>
      </c>
      <c r="DJ494" t="n">
        <v>50.3</v>
      </c>
      <c r="DK494" t="n">
        <v>80.09999999999999</v>
      </c>
      <c r="DL494" t="n">
        <v>70</v>
      </c>
      <c r="DM494" t="n">
        <v>91.8</v>
      </c>
      <c r="DN494" t="n">
        <v>0</v>
      </c>
      <c r="DO494" t="n">
        <v>0</v>
      </c>
      <c r="DP494" t="n">
        <v>0</v>
      </c>
      <c r="DQ494" t="n">
        <v>0</v>
      </c>
      <c r="DR494" t="n">
        <v>0</v>
      </c>
      <c r="DS494" t="n">
        <v>0</v>
      </c>
      <c r="DT494" t="n">
        <v>0</v>
      </c>
      <c r="DU494" t="n">
        <v>0</v>
      </c>
      <c r="DV494" t="inlineStr">
        <is>
          <t>($100 x S&amp;P Select Sector Energy Index p</t>
        </is>
      </c>
    </row>
    <row r="495">
      <c r="A495" t="inlineStr">
        <is>
          <t>E-MINI S&amp;P 500 - CHICAGO MERCANTILE EXCHANGE</t>
        </is>
      </c>
      <c r="B495" t="n">
        <v>230110</v>
      </c>
      <c r="C495" s="1" t="n">
        <v>44936</v>
      </c>
      <c r="D495" t="inlineStr">
        <is>
          <t>13874A</t>
        </is>
      </c>
      <c r="E495" t="inlineStr">
        <is>
          <t xml:space="preserve">CME </t>
        </is>
      </c>
      <c r="F495" t="inlineStr">
        <is>
          <t>00</t>
        </is>
      </c>
      <c r="G495" t="inlineStr">
        <is>
          <t xml:space="preserve">138 </t>
        </is>
      </c>
      <c r="H495" t="n">
        <v>2032566</v>
      </c>
      <c r="I495" s="17" t="n">
        <v>243503</v>
      </c>
      <c r="J495" s="17" t="n">
        <v>456677</v>
      </c>
      <c r="K495" t="n">
        <v>39184</v>
      </c>
      <c r="L495" t="n">
        <v>1512933</v>
      </c>
      <c r="M495" t="n">
        <v>1310000</v>
      </c>
      <c r="N495" t="n">
        <v>1795620</v>
      </c>
      <c r="O495" t="n">
        <v>1805861</v>
      </c>
      <c r="P495" t="n">
        <v>236946</v>
      </c>
      <c r="Q495" t="n">
        <v>226705</v>
      </c>
      <c r="R495" t="n">
        <v>2032566</v>
      </c>
      <c r="S495" t="n">
        <v>243503</v>
      </c>
      <c r="T495" t="n">
        <v>456677</v>
      </c>
      <c r="U495" t="n">
        <v>39184</v>
      </c>
      <c r="V495" t="n">
        <v>1512933</v>
      </c>
      <c r="W495" t="n">
        <v>1310000</v>
      </c>
      <c r="X495" t="n">
        <v>1795620</v>
      </c>
      <c r="Y495" t="n">
        <v>1805861</v>
      </c>
      <c r="Z495" t="n">
        <v>236946</v>
      </c>
      <c r="AA495" t="n">
        <v>226705</v>
      </c>
      <c r="AB495" t="n">
        <v>0</v>
      </c>
      <c r="AC495" t="n">
        <v>0</v>
      </c>
      <c r="AD495" t="n">
        <v>0</v>
      </c>
      <c r="AE495" t="n">
        <v>0</v>
      </c>
      <c r="AF495" t="n">
        <v>0</v>
      </c>
      <c r="AG495" t="n">
        <v>0</v>
      </c>
      <c r="AH495" t="n">
        <v>0</v>
      </c>
      <c r="AI495" t="n">
        <v>0</v>
      </c>
      <c r="AJ495" t="n">
        <v>0</v>
      </c>
      <c r="AK495" t="n">
        <v>0</v>
      </c>
      <c r="AL495" t="n">
        <v>21570</v>
      </c>
      <c r="AM495" t="n">
        <v>-17757</v>
      </c>
      <c r="AN495" t="n">
        <v>28116</v>
      </c>
      <c r="AO495" t="n">
        <v>-2888</v>
      </c>
      <c r="AP495" t="n">
        <v>38122</v>
      </c>
      <c r="AQ495" t="n">
        <v>1741</v>
      </c>
      <c r="AR495" t="n">
        <v>17477</v>
      </c>
      <c r="AS495" t="n">
        <v>26969</v>
      </c>
      <c r="AT495" t="n">
        <v>4093</v>
      </c>
      <c r="AU495" t="n">
        <v>-5399</v>
      </c>
      <c r="AV495" t="n">
        <v>100</v>
      </c>
      <c r="AW495" t="n">
        <v>12</v>
      </c>
      <c r="AX495" t="n">
        <v>22.5</v>
      </c>
      <c r="AY495" t="n">
        <v>1.9</v>
      </c>
      <c r="AZ495" t="n">
        <v>74.40000000000001</v>
      </c>
      <c r="BA495" t="n">
        <v>64.5</v>
      </c>
      <c r="BB495" t="n">
        <v>88.3</v>
      </c>
      <c r="BC495" t="n">
        <v>88.8</v>
      </c>
      <c r="BD495" t="n">
        <v>11.7</v>
      </c>
      <c r="BE495" t="n">
        <v>11.2</v>
      </c>
      <c r="BF495" t="n">
        <v>100</v>
      </c>
      <c r="BG495" t="n">
        <v>12</v>
      </c>
      <c r="BH495" t="n">
        <v>22.5</v>
      </c>
      <c r="BI495" t="n">
        <v>1.9</v>
      </c>
      <c r="BJ495" t="n">
        <v>74.40000000000001</v>
      </c>
      <c r="BK495" t="n">
        <v>64.5</v>
      </c>
      <c r="BL495" t="n">
        <v>88.3</v>
      </c>
      <c r="BM495" t="n">
        <v>88.8</v>
      </c>
      <c r="BN495" t="n">
        <v>11.7</v>
      </c>
      <c r="BO495" t="n">
        <v>11.2</v>
      </c>
      <c r="BP495" t="n">
        <v>0</v>
      </c>
      <c r="BQ495" t="n">
        <v>0</v>
      </c>
      <c r="BR495" t="n">
        <v>0</v>
      </c>
      <c r="BS495" t="n">
        <v>0</v>
      </c>
      <c r="BT495" t="n">
        <v>0</v>
      </c>
      <c r="BU495" t="n">
        <v>0</v>
      </c>
      <c r="BV495" t="n">
        <v>0</v>
      </c>
      <c r="BW495" t="n">
        <v>0</v>
      </c>
      <c r="BX495" t="n">
        <v>0</v>
      </c>
      <c r="BY495" t="n">
        <v>0</v>
      </c>
      <c r="BZ495" t="n">
        <v>528</v>
      </c>
      <c r="CA495" t="n">
        <v>77</v>
      </c>
      <c r="CB495" t="n">
        <v>96</v>
      </c>
      <c r="CC495" t="n">
        <v>40</v>
      </c>
      <c r="CD495" t="n">
        <v>257</v>
      </c>
      <c r="CE495" t="n">
        <v>247</v>
      </c>
      <c r="CF495" t="n">
        <v>361</v>
      </c>
      <c r="CG495" t="n">
        <v>356</v>
      </c>
      <c r="CH495" t="n">
        <v>528</v>
      </c>
      <c r="CI495" t="n">
        <v>77</v>
      </c>
      <c r="CJ495" t="n">
        <v>96</v>
      </c>
      <c r="CK495" t="n">
        <v>40</v>
      </c>
      <c r="CL495" t="n">
        <v>257</v>
      </c>
      <c r="CM495" t="n">
        <v>247</v>
      </c>
      <c r="CN495" t="n">
        <v>361</v>
      </c>
      <c r="CO495" t="n">
        <v>356</v>
      </c>
      <c r="CP495" t="n">
        <v>0</v>
      </c>
      <c r="CQ495" t="n">
        <v>0</v>
      </c>
      <c r="CR495" t="n">
        <v>0</v>
      </c>
      <c r="CS495" t="n">
        <v>0</v>
      </c>
      <c r="CT495" t="n">
        <v>0</v>
      </c>
      <c r="CU495" t="n">
        <v>0</v>
      </c>
      <c r="CV495" t="n">
        <v>0</v>
      </c>
      <c r="CW495" t="n">
        <v>0</v>
      </c>
      <c r="CX495" t="n">
        <v>16</v>
      </c>
      <c r="CY495" t="n">
        <v>13.8</v>
      </c>
      <c r="CZ495" t="n">
        <v>23.1</v>
      </c>
      <c r="DA495" t="n">
        <v>22.4</v>
      </c>
      <c r="DB495" t="n">
        <v>14.2</v>
      </c>
      <c r="DC495" t="n">
        <v>13</v>
      </c>
      <c r="DD495" t="n">
        <v>21.1</v>
      </c>
      <c r="DE495" t="n">
        <v>21.2</v>
      </c>
      <c r="DF495" t="n">
        <v>16</v>
      </c>
      <c r="DG495" t="n">
        <v>13.8</v>
      </c>
      <c r="DH495" t="n">
        <v>23.1</v>
      </c>
      <c r="DI495" t="n">
        <v>22.4</v>
      </c>
      <c r="DJ495" t="n">
        <v>14.2</v>
      </c>
      <c r="DK495" t="n">
        <v>13</v>
      </c>
      <c r="DL495" t="n">
        <v>21.1</v>
      </c>
      <c r="DM495" t="n">
        <v>21.2</v>
      </c>
      <c r="DN495" t="n">
        <v>0</v>
      </c>
      <c r="DO495" t="n">
        <v>0</v>
      </c>
      <c r="DP495" t="n">
        <v>0</v>
      </c>
      <c r="DQ495" t="n">
        <v>0</v>
      </c>
      <c r="DR495" t="n">
        <v>0</v>
      </c>
      <c r="DS495" t="n">
        <v>0</v>
      </c>
      <c r="DT495" t="n">
        <v>0</v>
      </c>
      <c r="DU495" t="n">
        <v>0</v>
      </c>
      <c r="DV495" t="inlineStr">
        <is>
          <t>($50 X S&amp;P 500 INDEX)</t>
        </is>
      </c>
    </row>
    <row r="496">
      <c r="A496" t="inlineStr">
        <is>
          <t>E-MINI S&amp;P 500 - CHICAGO MERCANTILE EXCHANGE</t>
        </is>
      </c>
      <c r="B496" t="n">
        <v>230103</v>
      </c>
      <c r="C496" s="1" t="n">
        <v>44929</v>
      </c>
      <c r="D496" t="inlineStr">
        <is>
          <t>13874A</t>
        </is>
      </c>
      <c r="E496" t="inlineStr">
        <is>
          <t xml:space="preserve">CME </t>
        </is>
      </c>
      <c r="F496" t="inlineStr">
        <is>
          <t>00</t>
        </is>
      </c>
      <c r="G496" t="inlineStr">
        <is>
          <t xml:space="preserve">138 </t>
        </is>
      </c>
      <c r="H496" t="n">
        <v>2010996</v>
      </c>
      <c r="I496" s="17" t="n">
        <v>261260</v>
      </c>
      <c r="J496" s="17" t="n">
        <v>428561</v>
      </c>
      <c r="K496" t="n">
        <v>42072</v>
      </c>
      <c r="L496" t="n">
        <v>1474811</v>
      </c>
      <c r="M496" t="n">
        <v>1308259</v>
      </c>
      <c r="N496" t="n">
        <v>1778143</v>
      </c>
      <c r="O496" t="n">
        <v>1778892</v>
      </c>
      <c r="P496" t="n">
        <v>232853</v>
      </c>
      <c r="Q496" t="n">
        <v>232104</v>
      </c>
      <c r="R496" t="n">
        <v>2010996</v>
      </c>
      <c r="S496" t="n">
        <v>261260</v>
      </c>
      <c r="T496" t="n">
        <v>428561</v>
      </c>
      <c r="U496" t="n">
        <v>42072</v>
      </c>
      <c r="V496" t="n">
        <v>1474811</v>
      </c>
      <c r="W496" t="n">
        <v>1308259</v>
      </c>
      <c r="X496" t="n">
        <v>1778143</v>
      </c>
      <c r="Y496" t="n">
        <v>1778892</v>
      </c>
      <c r="Z496" t="n">
        <v>232853</v>
      </c>
      <c r="AA496" t="n">
        <v>232104</v>
      </c>
      <c r="AB496" t="n">
        <v>0</v>
      </c>
      <c r="AC496" t="n">
        <v>0</v>
      </c>
      <c r="AD496" t="n">
        <v>0</v>
      </c>
      <c r="AE496" t="n">
        <v>0</v>
      </c>
      <c r="AF496" t="n">
        <v>0</v>
      </c>
      <c r="AG496" t="n">
        <v>0</v>
      </c>
      <c r="AH496" t="n">
        <v>0</v>
      </c>
      <c r="AI496" t="n">
        <v>0</v>
      </c>
      <c r="AJ496" t="n">
        <v>0</v>
      </c>
      <c r="AK496" t="n">
        <v>0</v>
      </c>
      <c r="AL496" t="n">
        <v>49686</v>
      </c>
      <c r="AM496" t="n">
        <v>16284</v>
      </c>
      <c r="AN496" t="n">
        <v>9304</v>
      </c>
      <c r="AO496" t="n">
        <v>-2104</v>
      </c>
      <c r="AP496" t="n">
        <v>27529</v>
      </c>
      <c r="AQ496" t="n">
        <v>39963</v>
      </c>
      <c r="AR496" t="n">
        <v>41709</v>
      </c>
      <c r="AS496" t="n">
        <v>47163</v>
      </c>
      <c r="AT496" t="n">
        <v>7977</v>
      </c>
      <c r="AU496" t="n">
        <v>2523</v>
      </c>
      <c r="AV496" t="n">
        <v>100</v>
      </c>
      <c r="AW496" t="n">
        <v>13</v>
      </c>
      <c r="AX496" t="n">
        <v>21.3</v>
      </c>
      <c r="AY496" t="n">
        <v>2.1</v>
      </c>
      <c r="AZ496" t="n">
        <v>73.3</v>
      </c>
      <c r="BA496" t="n">
        <v>65.09999999999999</v>
      </c>
      <c r="BB496" t="n">
        <v>88.40000000000001</v>
      </c>
      <c r="BC496" t="n">
        <v>88.5</v>
      </c>
      <c r="BD496" t="n">
        <v>11.6</v>
      </c>
      <c r="BE496" t="n">
        <v>11.5</v>
      </c>
      <c r="BF496" t="n">
        <v>100</v>
      </c>
      <c r="BG496" t="n">
        <v>13</v>
      </c>
      <c r="BH496" t="n">
        <v>21.3</v>
      </c>
      <c r="BI496" t="n">
        <v>2.1</v>
      </c>
      <c r="BJ496" t="n">
        <v>73.3</v>
      </c>
      <c r="BK496" t="n">
        <v>65.09999999999999</v>
      </c>
      <c r="BL496" t="n">
        <v>88.40000000000001</v>
      </c>
      <c r="BM496" t="n">
        <v>88.5</v>
      </c>
      <c r="BN496" t="n">
        <v>11.6</v>
      </c>
      <c r="BO496" t="n">
        <v>11.5</v>
      </c>
      <c r="BP496" t="n">
        <v>0</v>
      </c>
      <c r="BQ496" t="n">
        <v>0</v>
      </c>
      <c r="BR496" t="n">
        <v>0</v>
      </c>
      <c r="BS496" t="n">
        <v>0</v>
      </c>
      <c r="BT496" t="n">
        <v>0</v>
      </c>
      <c r="BU496" t="n">
        <v>0</v>
      </c>
      <c r="BV496" t="n">
        <v>0</v>
      </c>
      <c r="BW496" t="n">
        <v>0</v>
      </c>
      <c r="BX496" t="n">
        <v>0</v>
      </c>
      <c r="BY496" t="n">
        <v>0</v>
      </c>
      <c r="BZ496" t="n">
        <v>530</v>
      </c>
      <c r="CA496" t="n">
        <v>75</v>
      </c>
      <c r="CB496" t="n">
        <v>97</v>
      </c>
      <c r="CC496" t="n">
        <v>43</v>
      </c>
      <c r="CD496" t="n">
        <v>256</v>
      </c>
      <c r="CE496" t="n">
        <v>251</v>
      </c>
      <c r="CF496" t="n">
        <v>361</v>
      </c>
      <c r="CG496" t="n">
        <v>361</v>
      </c>
      <c r="CH496" t="n">
        <v>530</v>
      </c>
      <c r="CI496" t="n">
        <v>75</v>
      </c>
      <c r="CJ496" t="n">
        <v>97</v>
      </c>
      <c r="CK496" t="n">
        <v>43</v>
      </c>
      <c r="CL496" t="n">
        <v>256</v>
      </c>
      <c r="CM496" t="n">
        <v>251</v>
      </c>
      <c r="CN496" t="n">
        <v>361</v>
      </c>
      <c r="CO496" t="n">
        <v>361</v>
      </c>
      <c r="CP496" t="n">
        <v>0</v>
      </c>
      <c r="CQ496" t="n">
        <v>0</v>
      </c>
      <c r="CR496" t="n">
        <v>0</v>
      </c>
      <c r="CS496" t="n">
        <v>0</v>
      </c>
      <c r="CT496" t="n">
        <v>0</v>
      </c>
      <c r="CU496" t="n">
        <v>0</v>
      </c>
      <c r="CV496" t="n">
        <v>0</v>
      </c>
      <c r="CW496" t="n">
        <v>0</v>
      </c>
      <c r="CX496" t="n">
        <v>15.7</v>
      </c>
      <c r="CY496" t="n">
        <v>11.4</v>
      </c>
      <c r="CZ496" t="n">
        <v>22.2</v>
      </c>
      <c r="DA496" t="n">
        <v>19.1</v>
      </c>
      <c r="DB496" t="n">
        <v>13.7</v>
      </c>
      <c r="DC496" t="n">
        <v>10.8</v>
      </c>
      <c r="DD496" t="n">
        <v>19.9</v>
      </c>
      <c r="DE496" t="n">
        <v>17.7</v>
      </c>
      <c r="DF496" t="n">
        <v>15.7</v>
      </c>
      <c r="DG496" t="n">
        <v>11.4</v>
      </c>
      <c r="DH496" t="n">
        <v>22.2</v>
      </c>
      <c r="DI496" t="n">
        <v>19.1</v>
      </c>
      <c r="DJ496" t="n">
        <v>13.7</v>
      </c>
      <c r="DK496" t="n">
        <v>10.8</v>
      </c>
      <c r="DL496" t="n">
        <v>19.9</v>
      </c>
      <c r="DM496" t="n">
        <v>17.7</v>
      </c>
      <c r="DN496" t="n">
        <v>0</v>
      </c>
      <c r="DO496" t="n">
        <v>0</v>
      </c>
      <c r="DP496" t="n">
        <v>0</v>
      </c>
      <c r="DQ496" t="n">
        <v>0</v>
      </c>
      <c r="DR496" t="n">
        <v>0</v>
      </c>
      <c r="DS496" t="n">
        <v>0</v>
      </c>
      <c r="DT496" t="n">
        <v>0</v>
      </c>
      <c r="DU496" t="n">
        <v>0</v>
      </c>
      <c r="DV496" t="inlineStr">
        <is>
          <t>($50 X S&amp;P 500 INDEX)</t>
        </is>
      </c>
    </row>
    <row r="497">
      <c r="A497" t="inlineStr">
        <is>
          <t>E-MINI S&amp;P FINANCIAL INDEX - CHICAGO MERCANTILE EXCHANGE</t>
        </is>
      </c>
      <c r="B497" t="n">
        <v>230110</v>
      </c>
      <c r="C497" s="1" t="n">
        <v>44936</v>
      </c>
      <c r="D497" t="inlineStr">
        <is>
          <t>13874C</t>
        </is>
      </c>
      <c r="E497" t="inlineStr">
        <is>
          <t xml:space="preserve">CME </t>
        </is>
      </c>
      <c r="F497" t="inlineStr">
        <is>
          <t>00</t>
        </is>
      </c>
      <c r="G497" t="inlineStr">
        <is>
          <t xml:space="preserve">138 </t>
        </is>
      </c>
      <c r="H497" t="n">
        <v>26125</v>
      </c>
      <c r="I497" s="17" t="n">
        <v>257</v>
      </c>
      <c r="J497" s="17" t="n">
        <v>0</v>
      </c>
      <c r="K497" t="n">
        <v>0</v>
      </c>
      <c r="L497" t="n">
        <v>23601</v>
      </c>
      <c r="M497" t="n">
        <v>25112</v>
      </c>
      <c r="N497" t="n">
        <v>23858</v>
      </c>
      <c r="O497" t="n">
        <v>25112</v>
      </c>
      <c r="P497" t="n">
        <v>2267</v>
      </c>
      <c r="Q497" t="n">
        <v>1013</v>
      </c>
      <c r="R497" t="n">
        <v>26125</v>
      </c>
      <c r="S497" t="n">
        <v>257</v>
      </c>
      <c r="T497" t="n">
        <v>0</v>
      </c>
      <c r="U497" t="n">
        <v>0</v>
      </c>
      <c r="V497" t="n">
        <v>23601</v>
      </c>
      <c r="W497" t="n">
        <v>25112</v>
      </c>
      <c r="X497" t="n">
        <v>23858</v>
      </c>
      <c r="Y497" t="n">
        <v>25112</v>
      </c>
      <c r="Z497" t="n">
        <v>2267</v>
      </c>
      <c r="AA497" t="n">
        <v>1013</v>
      </c>
      <c r="AB497" t="n">
        <v>0</v>
      </c>
      <c r="AC497" t="n">
        <v>0</v>
      </c>
      <c r="AD497" t="n">
        <v>0</v>
      </c>
      <c r="AE497" t="n">
        <v>0</v>
      </c>
      <c r="AF497" t="n">
        <v>0</v>
      </c>
      <c r="AG497" t="n">
        <v>0</v>
      </c>
      <c r="AH497" t="n">
        <v>0</v>
      </c>
      <c r="AI497" t="n">
        <v>0</v>
      </c>
      <c r="AJ497" t="n">
        <v>0</v>
      </c>
      <c r="AK497" t="n">
        <v>0</v>
      </c>
      <c r="AL497" t="n">
        <v>3112</v>
      </c>
      <c r="AM497" t="n">
        <v>257</v>
      </c>
      <c r="AN497" t="n">
        <v>0</v>
      </c>
      <c r="AO497" t="n">
        <v>0</v>
      </c>
      <c r="AP497" t="n">
        <v>2531</v>
      </c>
      <c r="AQ497" t="n">
        <v>3269</v>
      </c>
      <c r="AR497" t="n">
        <v>2788</v>
      </c>
      <c r="AS497" t="n">
        <v>3269</v>
      </c>
      <c r="AT497" t="n">
        <v>324</v>
      </c>
      <c r="AU497" t="n">
        <v>-157</v>
      </c>
      <c r="AV497" t="n">
        <v>100</v>
      </c>
      <c r="AW497" t="n">
        <v>1</v>
      </c>
      <c r="AX497" t="n">
        <v>0</v>
      </c>
      <c r="AY497" t="n">
        <v>0</v>
      </c>
      <c r="AZ497" t="n">
        <v>90.3</v>
      </c>
      <c r="BA497" t="n">
        <v>96.09999999999999</v>
      </c>
      <c r="BB497" t="n">
        <v>91.3</v>
      </c>
      <c r="BC497" t="n">
        <v>96.09999999999999</v>
      </c>
      <c r="BD497" t="n">
        <v>8.699999999999999</v>
      </c>
      <c r="BE497" t="n">
        <v>3.9</v>
      </c>
      <c r="BF497" t="n">
        <v>100</v>
      </c>
      <c r="BG497" t="n">
        <v>1</v>
      </c>
      <c r="BH497" t="n">
        <v>0</v>
      </c>
      <c r="BI497" t="n">
        <v>0</v>
      </c>
      <c r="BJ497" t="n">
        <v>90.3</v>
      </c>
      <c r="BK497" t="n">
        <v>96.09999999999999</v>
      </c>
      <c r="BL497" t="n">
        <v>91.3</v>
      </c>
      <c r="BM497" t="n">
        <v>96.09999999999999</v>
      </c>
      <c r="BN497" t="n">
        <v>8.699999999999999</v>
      </c>
      <c r="BO497" t="n">
        <v>3.9</v>
      </c>
      <c r="BP497" t="n">
        <v>0</v>
      </c>
      <c r="BQ497" t="n">
        <v>0</v>
      </c>
      <c r="BR497" t="n">
        <v>0</v>
      </c>
      <c r="BS497" t="n">
        <v>0</v>
      </c>
      <c r="BT497" t="n">
        <v>0</v>
      </c>
      <c r="BU497" t="n">
        <v>0</v>
      </c>
      <c r="BV497" t="n">
        <v>0</v>
      </c>
      <c r="BW497" t="n">
        <v>0</v>
      </c>
      <c r="BX497" t="n">
        <v>0</v>
      </c>
      <c r="BY497" t="n">
        <v>0</v>
      </c>
      <c r="BZ497" t="n">
        <v>23</v>
      </c>
      <c r="CA497" t="n">
        <v>1</v>
      </c>
      <c r="CB497" t="n">
        <v>0</v>
      </c>
      <c r="CC497" t="n">
        <v>0</v>
      </c>
      <c r="CD497" t="n">
        <v>11</v>
      </c>
      <c r="CE497" t="n">
        <v>12</v>
      </c>
      <c r="CF497" t="n">
        <v>12</v>
      </c>
      <c r="CG497" t="n">
        <v>12</v>
      </c>
      <c r="CH497" t="n">
        <v>23</v>
      </c>
      <c r="CI497" t="n">
        <v>1</v>
      </c>
      <c r="CJ497" t="n">
        <v>0</v>
      </c>
      <c r="CK497" t="n">
        <v>0</v>
      </c>
      <c r="CL497" t="n">
        <v>11</v>
      </c>
      <c r="CM497" t="n">
        <v>12</v>
      </c>
      <c r="CN497" t="n">
        <v>12</v>
      </c>
      <c r="CO497" t="n">
        <v>12</v>
      </c>
      <c r="CP497" t="n">
        <v>0</v>
      </c>
      <c r="CQ497" t="n">
        <v>0</v>
      </c>
      <c r="CR497" t="n">
        <v>0</v>
      </c>
      <c r="CS497" t="n">
        <v>0</v>
      </c>
      <c r="CT497" t="n">
        <v>0</v>
      </c>
      <c r="CU497" t="n">
        <v>0</v>
      </c>
      <c r="CV497" t="n">
        <v>0</v>
      </c>
      <c r="CW497" t="n">
        <v>0</v>
      </c>
      <c r="CX497" t="n">
        <v>62.7</v>
      </c>
      <c r="CY497" t="n">
        <v>73.3</v>
      </c>
      <c r="CZ497" t="n">
        <v>86.7</v>
      </c>
      <c r="DA497" t="n">
        <v>92.5</v>
      </c>
      <c r="DB497" t="n">
        <v>62.7</v>
      </c>
      <c r="DC497" t="n">
        <v>73.3</v>
      </c>
      <c r="DD497" t="n">
        <v>86.59999999999999</v>
      </c>
      <c r="DE497" t="n">
        <v>92.5</v>
      </c>
      <c r="DF497" t="n">
        <v>62.7</v>
      </c>
      <c r="DG497" t="n">
        <v>73.3</v>
      </c>
      <c r="DH497" t="n">
        <v>86.7</v>
      </c>
      <c r="DI497" t="n">
        <v>92.5</v>
      </c>
      <c r="DJ497" t="n">
        <v>62.7</v>
      </c>
      <c r="DK497" t="n">
        <v>73.3</v>
      </c>
      <c r="DL497" t="n">
        <v>86.59999999999999</v>
      </c>
      <c r="DM497" t="n">
        <v>92.5</v>
      </c>
      <c r="DN497" t="n">
        <v>0</v>
      </c>
      <c r="DO497" t="n">
        <v>0</v>
      </c>
      <c r="DP497" t="n">
        <v>0</v>
      </c>
      <c r="DQ497" t="n">
        <v>0</v>
      </c>
      <c r="DR497" t="n">
        <v>0</v>
      </c>
      <c r="DS497" t="n">
        <v>0</v>
      </c>
      <c r="DT497" t="n">
        <v>0</v>
      </c>
      <c r="DU497" t="n">
        <v>0</v>
      </c>
      <c r="DV497" t="inlineStr">
        <is>
          <t>($250 x S&amp;P Select Sector Financial Inde</t>
        </is>
      </c>
    </row>
    <row r="498">
      <c r="A498" t="inlineStr">
        <is>
          <t>E-MINI S&amp;P FINANCIAL INDEX - CHICAGO MERCANTILE EXCHANGE</t>
        </is>
      </c>
      <c r="B498" t="n">
        <v>230103</v>
      </c>
      <c r="C498" s="1" t="n">
        <v>44929</v>
      </c>
      <c r="D498" t="inlineStr">
        <is>
          <t>13874C</t>
        </is>
      </c>
      <c r="E498" t="inlineStr">
        <is>
          <t xml:space="preserve">CME </t>
        </is>
      </c>
      <c r="F498" t="inlineStr">
        <is>
          <t>00</t>
        </is>
      </c>
      <c r="G498" t="inlineStr">
        <is>
          <t xml:space="preserve">138 </t>
        </is>
      </c>
      <c r="H498" t="n">
        <v>23013</v>
      </c>
      <c r="I498" s="17" t="n">
        <v>0</v>
      </c>
      <c r="J498" s="17" t="n">
        <v>0</v>
      </c>
      <c r="K498" t="n">
        <v>0</v>
      </c>
      <c r="L498" t="n">
        <v>21070</v>
      </c>
      <c r="M498" t="n">
        <v>21843</v>
      </c>
      <c r="N498" t="n">
        <v>21070</v>
      </c>
      <c r="O498" t="n">
        <v>21843</v>
      </c>
      <c r="P498" t="n">
        <v>1943</v>
      </c>
      <c r="Q498" t="n">
        <v>1170</v>
      </c>
      <c r="R498" t="n">
        <v>23013</v>
      </c>
      <c r="S498" t="n">
        <v>0</v>
      </c>
      <c r="T498" t="n">
        <v>0</v>
      </c>
      <c r="U498" t="n">
        <v>0</v>
      </c>
      <c r="V498" t="n">
        <v>21070</v>
      </c>
      <c r="W498" t="n">
        <v>21843</v>
      </c>
      <c r="X498" t="n">
        <v>21070</v>
      </c>
      <c r="Y498" t="n">
        <v>21843</v>
      </c>
      <c r="Z498" t="n">
        <v>1943</v>
      </c>
      <c r="AA498" t="n">
        <v>1170</v>
      </c>
      <c r="AB498" t="n">
        <v>0</v>
      </c>
      <c r="AC498" t="n">
        <v>0</v>
      </c>
      <c r="AD498" t="n">
        <v>0</v>
      </c>
      <c r="AE498" t="n">
        <v>0</v>
      </c>
      <c r="AF498" t="n">
        <v>0</v>
      </c>
      <c r="AG498" t="n">
        <v>0</v>
      </c>
      <c r="AH498" t="n">
        <v>0</v>
      </c>
      <c r="AI498" t="n">
        <v>0</v>
      </c>
      <c r="AJ498" t="n">
        <v>0</v>
      </c>
      <c r="AK498" t="n">
        <v>0</v>
      </c>
      <c r="AL498" t="n">
        <v>-481</v>
      </c>
      <c r="AM498" t="n">
        <v>0</v>
      </c>
      <c r="AN498" t="n">
        <v>0</v>
      </c>
      <c r="AO498" t="n">
        <v>0</v>
      </c>
      <c r="AP498" t="n">
        <v>-811</v>
      </c>
      <c r="AQ498" t="n">
        <v>-387</v>
      </c>
      <c r="AR498" t="n">
        <v>-811</v>
      </c>
      <c r="AS498" t="n">
        <v>-387</v>
      </c>
      <c r="AT498" t="n">
        <v>330</v>
      </c>
      <c r="AU498" t="n">
        <v>-94</v>
      </c>
      <c r="AV498" t="n">
        <v>100</v>
      </c>
      <c r="AW498" t="n">
        <v>0</v>
      </c>
      <c r="AX498" t="n">
        <v>0</v>
      </c>
      <c r="AY498" t="n">
        <v>0</v>
      </c>
      <c r="AZ498" t="n">
        <v>91.59999999999999</v>
      </c>
      <c r="BA498" t="n">
        <v>94.90000000000001</v>
      </c>
      <c r="BB498" t="n">
        <v>91.59999999999999</v>
      </c>
      <c r="BC498" t="n">
        <v>94.90000000000001</v>
      </c>
      <c r="BD498" t="n">
        <v>8.4</v>
      </c>
      <c r="BE498" t="n">
        <v>5.1</v>
      </c>
      <c r="BF498" t="n">
        <v>100</v>
      </c>
      <c r="BG498" t="n">
        <v>0</v>
      </c>
      <c r="BH498" t="n">
        <v>0</v>
      </c>
      <c r="BI498" t="n">
        <v>0</v>
      </c>
      <c r="BJ498" t="n">
        <v>91.59999999999999</v>
      </c>
      <c r="BK498" t="n">
        <v>94.90000000000001</v>
      </c>
      <c r="BL498" t="n">
        <v>91.59999999999999</v>
      </c>
      <c r="BM498" t="n">
        <v>94.90000000000001</v>
      </c>
      <c r="BN498" t="n">
        <v>8.4</v>
      </c>
      <c r="BO498" t="n">
        <v>5.1</v>
      </c>
      <c r="BP498" t="n">
        <v>0</v>
      </c>
      <c r="BQ498" t="n">
        <v>0</v>
      </c>
      <c r="BR498" t="n">
        <v>0</v>
      </c>
      <c r="BS498" t="n">
        <v>0</v>
      </c>
      <c r="BT498" t="n">
        <v>0</v>
      </c>
      <c r="BU498" t="n">
        <v>0</v>
      </c>
      <c r="BV498" t="n">
        <v>0</v>
      </c>
      <c r="BW498" t="n">
        <v>0</v>
      </c>
      <c r="BX498" t="n">
        <v>0</v>
      </c>
      <c r="BY498" t="n">
        <v>0</v>
      </c>
      <c r="BZ498" t="n">
        <v>20</v>
      </c>
      <c r="CA498" t="n">
        <v>0</v>
      </c>
      <c r="CB498" t="n">
        <v>0</v>
      </c>
      <c r="CC498" t="n">
        <v>0</v>
      </c>
      <c r="CD498" t="n">
        <v>10</v>
      </c>
      <c r="CE498" t="n">
        <v>11</v>
      </c>
      <c r="CF498" t="n">
        <v>10</v>
      </c>
      <c r="CG498" t="n">
        <v>11</v>
      </c>
      <c r="CH498" t="n">
        <v>20</v>
      </c>
      <c r="CI498" t="n">
        <v>0</v>
      </c>
      <c r="CJ498" t="n">
        <v>0</v>
      </c>
      <c r="CK498" t="n">
        <v>0</v>
      </c>
      <c r="CL498" t="n">
        <v>10</v>
      </c>
      <c r="CM498" t="n">
        <v>11</v>
      </c>
      <c r="CN498" t="n">
        <v>10</v>
      </c>
      <c r="CO498" t="n">
        <v>11</v>
      </c>
      <c r="CP498" t="n">
        <v>0</v>
      </c>
      <c r="CQ498" t="n">
        <v>0</v>
      </c>
      <c r="CR498" t="n">
        <v>0</v>
      </c>
      <c r="CS498" t="n">
        <v>0</v>
      </c>
      <c r="CT498" t="n">
        <v>0</v>
      </c>
      <c r="CU498" t="n">
        <v>0</v>
      </c>
      <c r="CV498" t="n">
        <v>0</v>
      </c>
      <c r="CW498" t="n">
        <v>0</v>
      </c>
      <c r="CX498" t="n">
        <v>71.40000000000001</v>
      </c>
      <c r="CY498" t="n">
        <v>75.2</v>
      </c>
      <c r="CZ498" t="n">
        <v>89.40000000000001</v>
      </c>
      <c r="DA498" t="n">
        <v>91.90000000000001</v>
      </c>
      <c r="DB498" t="n">
        <v>71.40000000000001</v>
      </c>
      <c r="DC498" t="n">
        <v>75.2</v>
      </c>
      <c r="DD498" t="n">
        <v>88.8</v>
      </c>
      <c r="DE498" t="n">
        <v>91.90000000000001</v>
      </c>
      <c r="DF498" t="n">
        <v>71.40000000000001</v>
      </c>
      <c r="DG498" t="n">
        <v>75.2</v>
      </c>
      <c r="DH498" t="n">
        <v>89.40000000000001</v>
      </c>
      <c r="DI498" t="n">
        <v>91.90000000000001</v>
      </c>
      <c r="DJ498" t="n">
        <v>71.40000000000001</v>
      </c>
      <c r="DK498" t="n">
        <v>75.2</v>
      </c>
      <c r="DL498" t="n">
        <v>88.8</v>
      </c>
      <c r="DM498" t="n">
        <v>91.90000000000001</v>
      </c>
      <c r="DN498" t="n">
        <v>0</v>
      </c>
      <c r="DO498" t="n">
        <v>0</v>
      </c>
      <c r="DP498" t="n">
        <v>0</v>
      </c>
      <c r="DQ498" t="n">
        <v>0</v>
      </c>
      <c r="DR498" t="n">
        <v>0</v>
      </c>
      <c r="DS498" t="n">
        <v>0</v>
      </c>
      <c r="DT498" t="n">
        <v>0</v>
      </c>
      <c r="DU498" t="n">
        <v>0</v>
      </c>
      <c r="DV498" t="inlineStr">
        <is>
          <t>($250 x S&amp;P Select Sector Financial Inde</t>
        </is>
      </c>
    </row>
    <row r="499">
      <c r="A499" t="inlineStr">
        <is>
          <t>E-MINI S&amp;P HEALTH CARE INDEX - CHICAGO MERCANTILE EXCHANGE</t>
        </is>
      </c>
      <c r="B499" t="n">
        <v>230110</v>
      </c>
      <c r="C499" s="1" t="n">
        <v>44936</v>
      </c>
      <c r="D499" t="inlineStr">
        <is>
          <t>13874E</t>
        </is>
      </c>
      <c r="E499" t="inlineStr">
        <is>
          <t xml:space="preserve">CME </t>
        </is>
      </c>
      <c r="F499" t="inlineStr">
        <is>
          <t>00</t>
        </is>
      </c>
      <c r="G499" t="inlineStr">
        <is>
          <t xml:space="preserve">138 </t>
        </is>
      </c>
      <c r="H499" t="n">
        <v>12250</v>
      </c>
      <c r="I499" s="17" t="n">
        <v>859</v>
      </c>
      <c r="J499" s="17" t="n">
        <v>1535</v>
      </c>
      <c r="K499" t="n">
        <v>0</v>
      </c>
      <c r="L499" t="n">
        <v>8572</v>
      </c>
      <c r="M499" t="n">
        <v>10203</v>
      </c>
      <c r="N499" t="n">
        <v>9431</v>
      </c>
      <c r="O499" t="n">
        <v>11738</v>
      </c>
      <c r="P499" t="n">
        <v>2819</v>
      </c>
      <c r="Q499" t="n">
        <v>512</v>
      </c>
      <c r="R499" t="n">
        <v>12250</v>
      </c>
      <c r="S499" t="n">
        <v>859</v>
      </c>
      <c r="T499" t="n">
        <v>1535</v>
      </c>
      <c r="U499" t="n">
        <v>0</v>
      </c>
      <c r="V499" t="n">
        <v>8572</v>
      </c>
      <c r="W499" t="n">
        <v>10203</v>
      </c>
      <c r="X499" t="n">
        <v>9431</v>
      </c>
      <c r="Y499" t="n">
        <v>11738</v>
      </c>
      <c r="Z499" t="n">
        <v>2819</v>
      </c>
      <c r="AA499" t="n">
        <v>512</v>
      </c>
      <c r="AB499" t="n">
        <v>0</v>
      </c>
      <c r="AC499" t="n">
        <v>0</v>
      </c>
      <c r="AD499" t="n">
        <v>0</v>
      </c>
      <c r="AE499" t="n">
        <v>0</v>
      </c>
      <c r="AF499" t="n">
        <v>0</v>
      </c>
      <c r="AG499" t="n">
        <v>0</v>
      </c>
      <c r="AH499" t="n">
        <v>0</v>
      </c>
      <c r="AI499" t="n">
        <v>0</v>
      </c>
      <c r="AJ499" t="n">
        <v>0</v>
      </c>
      <c r="AK499" t="n">
        <v>0</v>
      </c>
      <c r="AL499" t="n">
        <v>38</v>
      </c>
      <c r="AM499" t="n">
        <v>-122</v>
      </c>
      <c r="AN499" t="n">
        <v>-10</v>
      </c>
      <c r="AO499" t="n">
        <v>0</v>
      </c>
      <c r="AP499" t="n">
        <v>-9</v>
      </c>
      <c r="AQ499" t="n">
        <v>112</v>
      </c>
      <c r="AR499" t="n">
        <v>-131</v>
      </c>
      <c r="AS499" t="n">
        <v>102</v>
      </c>
      <c r="AT499" t="n">
        <v>169</v>
      </c>
      <c r="AU499" t="n">
        <v>-64</v>
      </c>
      <c r="AV499" t="n">
        <v>100</v>
      </c>
      <c r="AW499" t="n">
        <v>7</v>
      </c>
      <c r="AX499" t="n">
        <v>12.5</v>
      </c>
      <c r="AY499" t="n">
        <v>0</v>
      </c>
      <c r="AZ499" t="n">
        <v>70</v>
      </c>
      <c r="BA499" t="n">
        <v>83.3</v>
      </c>
      <c r="BB499" t="n">
        <v>77</v>
      </c>
      <c r="BC499" t="n">
        <v>95.8</v>
      </c>
      <c r="BD499" t="n">
        <v>23</v>
      </c>
      <c r="BE499" t="n">
        <v>4.2</v>
      </c>
      <c r="BF499" t="n">
        <v>100</v>
      </c>
      <c r="BG499" t="n">
        <v>7</v>
      </c>
      <c r="BH499" t="n">
        <v>12.5</v>
      </c>
      <c r="BI499" t="n">
        <v>0</v>
      </c>
      <c r="BJ499" t="n">
        <v>70</v>
      </c>
      <c r="BK499" t="n">
        <v>83.3</v>
      </c>
      <c r="BL499" t="n">
        <v>77</v>
      </c>
      <c r="BM499" t="n">
        <v>95.8</v>
      </c>
      <c r="BN499" t="n">
        <v>23</v>
      </c>
      <c r="BO499" t="n">
        <v>4.2</v>
      </c>
      <c r="BP499" t="n">
        <v>0</v>
      </c>
      <c r="BQ499" t="n">
        <v>0</v>
      </c>
      <c r="BR499" t="n">
        <v>0</v>
      </c>
      <c r="BS499" t="n">
        <v>0</v>
      </c>
      <c r="BT499" t="n">
        <v>0</v>
      </c>
      <c r="BU499" t="n">
        <v>0</v>
      </c>
      <c r="BV499" t="n">
        <v>0</v>
      </c>
      <c r="BW499" t="n">
        <v>0</v>
      </c>
      <c r="BX499" t="n">
        <v>0</v>
      </c>
      <c r="BY499" t="n">
        <v>0</v>
      </c>
      <c r="BZ499" t="n">
        <v>21</v>
      </c>
      <c r="CA499" t="n">
        <v>2</v>
      </c>
      <c r="CB499" t="n">
        <v>1</v>
      </c>
      <c r="CC499" t="n">
        <v>0</v>
      </c>
      <c r="CD499" t="n">
        <v>11</v>
      </c>
      <c r="CE499" t="n">
        <v>7</v>
      </c>
      <c r="CF499" t="n">
        <v>13</v>
      </c>
      <c r="CG499" t="n">
        <v>8</v>
      </c>
      <c r="CH499" t="n">
        <v>21</v>
      </c>
      <c r="CI499" t="n">
        <v>2</v>
      </c>
      <c r="CJ499" t="n">
        <v>1</v>
      </c>
      <c r="CK499" t="n">
        <v>0</v>
      </c>
      <c r="CL499" t="n">
        <v>11</v>
      </c>
      <c r="CM499" t="n">
        <v>7</v>
      </c>
      <c r="CN499" t="n">
        <v>13</v>
      </c>
      <c r="CO499" t="n">
        <v>8</v>
      </c>
      <c r="CP499" t="n">
        <v>0</v>
      </c>
      <c r="CQ499" t="n">
        <v>0</v>
      </c>
      <c r="CR499" t="n">
        <v>0</v>
      </c>
      <c r="CS499" t="n">
        <v>0</v>
      </c>
      <c r="CT499" t="n">
        <v>0</v>
      </c>
      <c r="CU499" t="n">
        <v>0</v>
      </c>
      <c r="CV499" t="n">
        <v>0</v>
      </c>
      <c r="CW499" t="n">
        <v>0</v>
      </c>
      <c r="CX499" t="n">
        <v>52.3</v>
      </c>
      <c r="CY499" t="n">
        <v>72</v>
      </c>
      <c r="CZ499" t="n">
        <v>65.5</v>
      </c>
      <c r="DA499" t="n">
        <v>95.8</v>
      </c>
      <c r="DB499" t="n">
        <v>52.3</v>
      </c>
      <c r="DC499" t="n">
        <v>72</v>
      </c>
      <c r="DD499" t="n">
        <v>65.5</v>
      </c>
      <c r="DE499" t="n">
        <v>95.8</v>
      </c>
      <c r="DF499" t="n">
        <v>52.3</v>
      </c>
      <c r="DG499" t="n">
        <v>72</v>
      </c>
      <c r="DH499" t="n">
        <v>65.5</v>
      </c>
      <c r="DI499" t="n">
        <v>95.8</v>
      </c>
      <c r="DJ499" t="n">
        <v>52.3</v>
      </c>
      <c r="DK499" t="n">
        <v>72</v>
      </c>
      <c r="DL499" t="n">
        <v>65.5</v>
      </c>
      <c r="DM499" t="n">
        <v>95.8</v>
      </c>
      <c r="DN499" t="n">
        <v>0</v>
      </c>
      <c r="DO499" t="n">
        <v>0</v>
      </c>
      <c r="DP499" t="n">
        <v>0</v>
      </c>
      <c r="DQ499" t="n">
        <v>0</v>
      </c>
      <c r="DR499" t="n">
        <v>0</v>
      </c>
      <c r="DS499" t="n">
        <v>0</v>
      </c>
      <c r="DT499" t="n">
        <v>0</v>
      </c>
      <c r="DU499" t="n">
        <v>0</v>
      </c>
      <c r="DV499" t="inlineStr">
        <is>
          <t>($100 x S&amp;P Select Sector Health Care In</t>
        </is>
      </c>
    </row>
    <row r="500">
      <c r="A500" t="inlineStr">
        <is>
          <t>E-MINI S&amp;P HEALTH CARE INDEX - CHICAGO MERCANTILE EXCHANGE</t>
        </is>
      </c>
      <c r="B500" t="n">
        <v>230103</v>
      </c>
      <c r="C500" s="1" t="n">
        <v>44929</v>
      </c>
      <c r="D500" t="inlineStr">
        <is>
          <t>13874E</t>
        </is>
      </c>
      <c r="E500" t="inlineStr">
        <is>
          <t xml:space="preserve">CME </t>
        </is>
      </c>
      <c r="F500" t="inlineStr">
        <is>
          <t>00</t>
        </is>
      </c>
      <c r="G500" t="inlineStr">
        <is>
          <t xml:space="preserve">138 </t>
        </is>
      </c>
      <c r="H500" t="n">
        <v>12212</v>
      </c>
      <c r="I500" s="17" t="n">
        <v>981</v>
      </c>
      <c r="J500" s="17" t="n">
        <v>1545</v>
      </c>
      <c r="K500" t="n">
        <v>0</v>
      </c>
      <c r="L500" t="n">
        <v>8581</v>
      </c>
      <c r="M500" t="n">
        <v>10091</v>
      </c>
      <c r="N500" t="n">
        <v>9562</v>
      </c>
      <c r="O500" t="n">
        <v>11636</v>
      </c>
      <c r="P500" t="n">
        <v>2650</v>
      </c>
      <c r="Q500" t="n">
        <v>576</v>
      </c>
      <c r="R500" t="n">
        <v>12212</v>
      </c>
      <c r="S500" t="n">
        <v>981</v>
      </c>
      <c r="T500" t="n">
        <v>1545</v>
      </c>
      <c r="U500" t="n">
        <v>0</v>
      </c>
      <c r="V500" t="n">
        <v>8581</v>
      </c>
      <c r="W500" t="n">
        <v>10091</v>
      </c>
      <c r="X500" t="n">
        <v>9562</v>
      </c>
      <c r="Y500" t="n">
        <v>11636</v>
      </c>
      <c r="Z500" t="n">
        <v>2650</v>
      </c>
      <c r="AA500" t="n">
        <v>576</v>
      </c>
      <c r="AB500" t="n">
        <v>0</v>
      </c>
      <c r="AC500" t="n">
        <v>0</v>
      </c>
      <c r="AD500" t="n">
        <v>0</v>
      </c>
      <c r="AE500" t="n">
        <v>0</v>
      </c>
      <c r="AF500" t="n">
        <v>0</v>
      </c>
      <c r="AG500" t="n">
        <v>0</v>
      </c>
      <c r="AH500" t="n">
        <v>0</v>
      </c>
      <c r="AI500" t="n">
        <v>0</v>
      </c>
      <c r="AJ500" t="n">
        <v>0</v>
      </c>
      <c r="AK500" t="n">
        <v>0</v>
      </c>
      <c r="AL500" t="n">
        <v>-259</v>
      </c>
      <c r="AM500" t="n">
        <v>-36</v>
      </c>
      <c r="AN500" t="n">
        <v>-350</v>
      </c>
      <c r="AO500" t="n">
        <v>0</v>
      </c>
      <c r="AP500" t="n">
        <v>-185</v>
      </c>
      <c r="AQ500" t="n">
        <v>0</v>
      </c>
      <c r="AR500" t="n">
        <v>-221</v>
      </c>
      <c r="AS500" t="n">
        <v>-350</v>
      </c>
      <c r="AT500" t="n">
        <v>-38</v>
      </c>
      <c r="AU500" t="n">
        <v>91</v>
      </c>
      <c r="AV500" t="n">
        <v>100</v>
      </c>
      <c r="AW500" t="n">
        <v>8</v>
      </c>
      <c r="AX500" t="n">
        <v>12.7</v>
      </c>
      <c r="AY500" t="n">
        <v>0</v>
      </c>
      <c r="AZ500" t="n">
        <v>70.3</v>
      </c>
      <c r="BA500" t="n">
        <v>82.59999999999999</v>
      </c>
      <c r="BB500" t="n">
        <v>78.3</v>
      </c>
      <c r="BC500" t="n">
        <v>95.3</v>
      </c>
      <c r="BD500" t="n">
        <v>21.7</v>
      </c>
      <c r="BE500" t="n">
        <v>4.7</v>
      </c>
      <c r="BF500" t="n">
        <v>100</v>
      </c>
      <c r="BG500" t="n">
        <v>8</v>
      </c>
      <c r="BH500" t="n">
        <v>12.7</v>
      </c>
      <c r="BI500" t="n">
        <v>0</v>
      </c>
      <c r="BJ500" t="n">
        <v>70.3</v>
      </c>
      <c r="BK500" t="n">
        <v>82.59999999999999</v>
      </c>
      <c r="BL500" t="n">
        <v>78.3</v>
      </c>
      <c r="BM500" t="n">
        <v>95.3</v>
      </c>
      <c r="BN500" t="n">
        <v>21.7</v>
      </c>
      <c r="BO500" t="n">
        <v>4.7</v>
      </c>
      <c r="BP500" t="n">
        <v>0</v>
      </c>
      <c r="BQ500" t="n">
        <v>0</v>
      </c>
      <c r="BR500" t="n">
        <v>0</v>
      </c>
      <c r="BS500" t="n">
        <v>0</v>
      </c>
      <c r="BT500" t="n">
        <v>0</v>
      </c>
      <c r="BU500" t="n">
        <v>0</v>
      </c>
      <c r="BV500" t="n">
        <v>0</v>
      </c>
      <c r="BW500" t="n">
        <v>0</v>
      </c>
      <c r="BX500" t="n">
        <v>0</v>
      </c>
      <c r="BY500" t="n">
        <v>0</v>
      </c>
      <c r="BZ500" t="n">
        <v>21</v>
      </c>
      <c r="CA500" t="n">
        <v>2</v>
      </c>
      <c r="CB500" t="n">
        <v>1</v>
      </c>
      <c r="CC500" t="n">
        <v>0</v>
      </c>
      <c r="CD500" t="n">
        <v>11</v>
      </c>
      <c r="CE500" t="n">
        <v>8</v>
      </c>
      <c r="CF500" t="n">
        <v>13</v>
      </c>
      <c r="CG500" t="n">
        <v>9</v>
      </c>
      <c r="CH500" t="n">
        <v>21</v>
      </c>
      <c r="CI500" t="n">
        <v>2</v>
      </c>
      <c r="CJ500" t="n">
        <v>1</v>
      </c>
      <c r="CK500" t="n">
        <v>0</v>
      </c>
      <c r="CL500" t="n">
        <v>11</v>
      </c>
      <c r="CM500" t="n">
        <v>8</v>
      </c>
      <c r="CN500" t="n">
        <v>13</v>
      </c>
      <c r="CO500" t="n">
        <v>9</v>
      </c>
      <c r="CP500" t="n">
        <v>0</v>
      </c>
      <c r="CQ500" t="n">
        <v>0</v>
      </c>
      <c r="CR500" t="n">
        <v>0</v>
      </c>
      <c r="CS500" t="n">
        <v>0</v>
      </c>
      <c r="CT500" t="n">
        <v>0</v>
      </c>
      <c r="CU500" t="n">
        <v>0</v>
      </c>
      <c r="CV500" t="n">
        <v>0</v>
      </c>
      <c r="CW500" t="n">
        <v>0</v>
      </c>
      <c r="CX500" t="n">
        <v>53.1</v>
      </c>
      <c r="CY500" t="n">
        <v>71.3</v>
      </c>
      <c r="CZ500" t="n">
        <v>67</v>
      </c>
      <c r="DA500" t="n">
        <v>95.3</v>
      </c>
      <c r="DB500" t="n">
        <v>53.1</v>
      </c>
      <c r="DC500" t="n">
        <v>71.3</v>
      </c>
      <c r="DD500" t="n">
        <v>67</v>
      </c>
      <c r="DE500" t="n">
        <v>95.3</v>
      </c>
      <c r="DF500" t="n">
        <v>53.1</v>
      </c>
      <c r="DG500" t="n">
        <v>71.3</v>
      </c>
      <c r="DH500" t="n">
        <v>67</v>
      </c>
      <c r="DI500" t="n">
        <v>95.3</v>
      </c>
      <c r="DJ500" t="n">
        <v>53.1</v>
      </c>
      <c r="DK500" t="n">
        <v>71.3</v>
      </c>
      <c r="DL500" t="n">
        <v>67</v>
      </c>
      <c r="DM500" t="n">
        <v>95.3</v>
      </c>
      <c r="DN500" t="n">
        <v>0</v>
      </c>
      <c r="DO500" t="n">
        <v>0</v>
      </c>
      <c r="DP500" t="n">
        <v>0</v>
      </c>
      <c r="DQ500" t="n">
        <v>0</v>
      </c>
      <c r="DR500" t="n">
        <v>0</v>
      </c>
      <c r="DS500" t="n">
        <v>0</v>
      </c>
      <c r="DT500" t="n">
        <v>0</v>
      </c>
      <c r="DU500" t="n">
        <v>0</v>
      </c>
      <c r="DV500" t="inlineStr">
        <is>
          <t>($100 x S&amp;P Select Sector Health Care In</t>
        </is>
      </c>
    </row>
    <row r="501">
      <c r="A501" t="inlineStr">
        <is>
          <t>E-MINI S&amp;P INDUSTRIAL INDEX - CHICAGO MERCANTILE EXCHANGE</t>
        </is>
      </c>
      <c r="B501" t="n">
        <v>230110</v>
      </c>
      <c r="C501" s="1" t="n">
        <v>44936</v>
      </c>
      <c r="D501" t="inlineStr">
        <is>
          <t>13874F</t>
        </is>
      </c>
      <c r="E501" t="inlineStr">
        <is>
          <t xml:space="preserve">CME </t>
        </is>
      </c>
      <c r="F501" t="inlineStr">
        <is>
          <t>00</t>
        </is>
      </c>
      <c r="G501" t="inlineStr">
        <is>
          <t xml:space="preserve">138 </t>
        </is>
      </c>
      <c r="H501" t="n">
        <v>19244</v>
      </c>
      <c r="I501" s="17" t="n">
        <v>0</v>
      </c>
      <c r="J501" s="17" t="n">
        <v>622</v>
      </c>
      <c r="K501" t="n">
        <v>0</v>
      </c>
      <c r="L501" t="n">
        <v>17906</v>
      </c>
      <c r="M501" t="n">
        <v>16938</v>
      </c>
      <c r="N501" t="n">
        <v>17906</v>
      </c>
      <c r="O501" t="n">
        <v>17560</v>
      </c>
      <c r="P501" t="n">
        <v>1338</v>
      </c>
      <c r="Q501" t="n">
        <v>1684</v>
      </c>
      <c r="R501" t="n">
        <v>19244</v>
      </c>
      <c r="S501" t="n">
        <v>0</v>
      </c>
      <c r="T501" t="n">
        <v>622</v>
      </c>
      <c r="U501" t="n">
        <v>0</v>
      </c>
      <c r="V501" t="n">
        <v>17906</v>
      </c>
      <c r="W501" t="n">
        <v>16938</v>
      </c>
      <c r="X501" t="n">
        <v>17906</v>
      </c>
      <c r="Y501" t="n">
        <v>17560</v>
      </c>
      <c r="Z501" t="n">
        <v>1338</v>
      </c>
      <c r="AA501" t="n">
        <v>1684</v>
      </c>
      <c r="AB501" t="n">
        <v>0</v>
      </c>
      <c r="AC501" t="n">
        <v>0</v>
      </c>
      <c r="AD501" t="n">
        <v>0</v>
      </c>
      <c r="AE501" t="n">
        <v>0</v>
      </c>
      <c r="AF501" t="n">
        <v>0</v>
      </c>
      <c r="AG501" t="n">
        <v>0</v>
      </c>
      <c r="AH501" t="n">
        <v>0</v>
      </c>
      <c r="AI501" t="n">
        <v>0</v>
      </c>
      <c r="AJ501" t="n">
        <v>0</v>
      </c>
      <c r="AK501" t="n">
        <v>0</v>
      </c>
      <c r="AL501" t="n">
        <v>5925</v>
      </c>
      <c r="AM501" t="n">
        <v>0</v>
      </c>
      <c r="AN501" t="n">
        <v>-220</v>
      </c>
      <c r="AO501" t="n">
        <v>0</v>
      </c>
      <c r="AP501" t="n">
        <v>5830</v>
      </c>
      <c r="AQ501" t="n">
        <v>5731</v>
      </c>
      <c r="AR501" t="n">
        <v>5830</v>
      </c>
      <c r="AS501" t="n">
        <v>5511</v>
      </c>
      <c r="AT501" t="n">
        <v>95</v>
      </c>
      <c r="AU501" t="n">
        <v>414</v>
      </c>
      <c r="AV501" t="n">
        <v>100</v>
      </c>
      <c r="AW501" t="n">
        <v>0</v>
      </c>
      <c r="AX501" t="n">
        <v>3.2</v>
      </c>
      <c r="AY501" t="n">
        <v>0</v>
      </c>
      <c r="AZ501" t="n">
        <v>93</v>
      </c>
      <c r="BA501" t="n">
        <v>88</v>
      </c>
      <c r="BB501" t="n">
        <v>93</v>
      </c>
      <c r="BC501" t="n">
        <v>91.2</v>
      </c>
      <c r="BD501" t="n">
        <v>7</v>
      </c>
      <c r="BE501" t="n">
        <v>8.800000000000001</v>
      </c>
      <c r="BF501" t="n">
        <v>100</v>
      </c>
      <c r="BG501" t="n">
        <v>0</v>
      </c>
      <c r="BH501" t="n">
        <v>3.2</v>
      </c>
      <c r="BI501" t="n">
        <v>0</v>
      </c>
      <c r="BJ501" t="n">
        <v>93</v>
      </c>
      <c r="BK501" t="n">
        <v>88</v>
      </c>
      <c r="BL501" t="n">
        <v>93</v>
      </c>
      <c r="BM501" t="n">
        <v>91.2</v>
      </c>
      <c r="BN501" t="n">
        <v>7</v>
      </c>
      <c r="BO501" t="n">
        <v>8.800000000000001</v>
      </c>
      <c r="BP501" t="n">
        <v>0</v>
      </c>
      <c r="BQ501" t="n">
        <v>0</v>
      </c>
      <c r="BR501" t="n">
        <v>0</v>
      </c>
      <c r="BS501" t="n">
        <v>0</v>
      </c>
      <c r="BT501" t="n">
        <v>0</v>
      </c>
      <c r="BU501" t="n">
        <v>0</v>
      </c>
      <c r="BV501" t="n">
        <v>0</v>
      </c>
      <c r="BW501" t="n">
        <v>0</v>
      </c>
      <c r="BX501" t="n">
        <v>0</v>
      </c>
      <c r="BY501" t="n">
        <v>0</v>
      </c>
      <c r="BZ501" t="n">
        <v>22</v>
      </c>
      <c r="CA501" t="n">
        <v>0</v>
      </c>
      <c r="CB501" t="n">
        <v>2</v>
      </c>
      <c r="CC501" t="n">
        <v>0</v>
      </c>
      <c r="CD501" t="n">
        <v>8</v>
      </c>
      <c r="CE501" t="n">
        <v>12</v>
      </c>
      <c r="CF501" t="n">
        <v>8</v>
      </c>
      <c r="CG501" t="n">
        <v>14</v>
      </c>
      <c r="CH501" t="n">
        <v>22</v>
      </c>
      <c r="CI501" t="n">
        <v>0</v>
      </c>
      <c r="CJ501" t="n">
        <v>2</v>
      </c>
      <c r="CK501" t="n">
        <v>0</v>
      </c>
      <c r="CL501" t="n">
        <v>8</v>
      </c>
      <c r="CM501" t="n">
        <v>12</v>
      </c>
      <c r="CN501" t="n">
        <v>8</v>
      </c>
      <c r="CO501" t="n">
        <v>14</v>
      </c>
      <c r="CP501" t="n">
        <v>0</v>
      </c>
      <c r="CQ501" t="n">
        <v>0</v>
      </c>
      <c r="CR501" t="n">
        <v>0</v>
      </c>
      <c r="CS501" t="n">
        <v>0</v>
      </c>
      <c r="CT501" t="n">
        <v>0</v>
      </c>
      <c r="CU501" t="n">
        <v>0</v>
      </c>
      <c r="CV501" t="n">
        <v>0</v>
      </c>
      <c r="CW501" t="n">
        <v>0</v>
      </c>
      <c r="CX501" t="n">
        <v>84.59999999999999</v>
      </c>
      <c r="CY501" t="n">
        <v>69.7</v>
      </c>
      <c r="CZ501" t="n">
        <v>93</v>
      </c>
      <c r="DA501" t="n">
        <v>81</v>
      </c>
      <c r="DB501" t="n">
        <v>84.59999999999999</v>
      </c>
      <c r="DC501" t="n">
        <v>69.7</v>
      </c>
      <c r="DD501" t="n">
        <v>93</v>
      </c>
      <c r="DE501" t="n">
        <v>81</v>
      </c>
      <c r="DF501" t="n">
        <v>84.59999999999999</v>
      </c>
      <c r="DG501" t="n">
        <v>69.7</v>
      </c>
      <c r="DH501" t="n">
        <v>93</v>
      </c>
      <c r="DI501" t="n">
        <v>81</v>
      </c>
      <c r="DJ501" t="n">
        <v>84.59999999999999</v>
      </c>
      <c r="DK501" t="n">
        <v>69.7</v>
      </c>
      <c r="DL501" t="n">
        <v>93</v>
      </c>
      <c r="DM501" t="n">
        <v>81</v>
      </c>
      <c r="DN501" t="n">
        <v>0</v>
      </c>
      <c r="DO501" t="n">
        <v>0</v>
      </c>
      <c r="DP501" t="n">
        <v>0</v>
      </c>
      <c r="DQ501" t="n">
        <v>0</v>
      </c>
      <c r="DR501" t="n">
        <v>0</v>
      </c>
      <c r="DS501" t="n">
        <v>0</v>
      </c>
      <c r="DT501" t="n">
        <v>0</v>
      </c>
      <c r="DU501" t="n">
        <v>0</v>
      </c>
      <c r="DV501" t="inlineStr">
        <is>
          <t>($100 x S&amp;P Select Sector Industrial Ind</t>
        </is>
      </c>
    </row>
    <row r="502">
      <c r="A502" t="inlineStr">
        <is>
          <t>E-MINI S&amp;P INDUSTRIAL INDEX - CHICAGO MERCANTILE EXCHANGE</t>
        </is>
      </c>
      <c r="B502" t="n">
        <v>230103</v>
      </c>
      <c r="C502" s="1" t="n">
        <v>44929</v>
      </c>
      <c r="D502" t="inlineStr">
        <is>
          <t>13874F</t>
        </is>
      </c>
      <c r="E502" t="inlineStr">
        <is>
          <t xml:space="preserve">CME </t>
        </is>
      </c>
      <c r="F502" t="inlineStr">
        <is>
          <t>00</t>
        </is>
      </c>
      <c r="G502" t="inlineStr">
        <is>
          <t xml:space="preserve">138 </t>
        </is>
      </c>
      <c r="H502" t="n">
        <v>13319</v>
      </c>
      <c r="I502" s="17" t="n">
        <v>0</v>
      </c>
      <c r="J502" s="17" t="n">
        <v>842</v>
      </c>
      <c r="K502" t="n">
        <v>0</v>
      </c>
      <c r="L502" t="n">
        <v>12076</v>
      </c>
      <c r="M502" t="n">
        <v>11207</v>
      </c>
      <c r="N502" t="n">
        <v>12076</v>
      </c>
      <c r="O502" t="n">
        <v>12049</v>
      </c>
      <c r="P502" t="n">
        <v>1243</v>
      </c>
      <c r="Q502" t="n">
        <v>1270</v>
      </c>
      <c r="R502" t="n">
        <v>13319</v>
      </c>
      <c r="S502" t="n">
        <v>0</v>
      </c>
      <c r="T502" t="n">
        <v>842</v>
      </c>
      <c r="U502" t="n">
        <v>0</v>
      </c>
      <c r="V502" t="n">
        <v>12076</v>
      </c>
      <c r="W502" t="n">
        <v>11207</v>
      </c>
      <c r="X502" t="n">
        <v>12076</v>
      </c>
      <c r="Y502" t="n">
        <v>12049</v>
      </c>
      <c r="Z502" t="n">
        <v>1243</v>
      </c>
      <c r="AA502" t="n">
        <v>1270</v>
      </c>
      <c r="AB502" t="n">
        <v>0</v>
      </c>
      <c r="AC502" t="n">
        <v>0</v>
      </c>
      <c r="AD502" t="n">
        <v>0</v>
      </c>
      <c r="AE502" t="n">
        <v>0</v>
      </c>
      <c r="AF502" t="n">
        <v>0</v>
      </c>
      <c r="AG502" t="n">
        <v>0</v>
      </c>
      <c r="AH502" t="n">
        <v>0</v>
      </c>
      <c r="AI502" t="n">
        <v>0</v>
      </c>
      <c r="AJ502" t="n">
        <v>0</v>
      </c>
      <c r="AK502" t="n">
        <v>0</v>
      </c>
      <c r="AL502" t="n">
        <v>13</v>
      </c>
      <c r="AM502" t="n">
        <v>0</v>
      </c>
      <c r="AN502" t="n">
        <v>7</v>
      </c>
      <c r="AO502" t="n">
        <v>0</v>
      </c>
      <c r="AP502" t="n">
        <v>0</v>
      </c>
      <c r="AQ502" t="n">
        <v>13</v>
      </c>
      <c r="AR502" t="n">
        <v>0</v>
      </c>
      <c r="AS502" t="n">
        <v>20</v>
      </c>
      <c r="AT502" t="n">
        <v>13</v>
      </c>
      <c r="AU502" t="n">
        <v>-7</v>
      </c>
      <c r="AV502" t="n">
        <v>100</v>
      </c>
      <c r="AW502" t="n">
        <v>0</v>
      </c>
      <c r="AX502" t="n">
        <v>6.3</v>
      </c>
      <c r="AY502" t="n">
        <v>0</v>
      </c>
      <c r="AZ502" t="n">
        <v>90.7</v>
      </c>
      <c r="BA502" t="n">
        <v>84.09999999999999</v>
      </c>
      <c r="BB502" t="n">
        <v>90.7</v>
      </c>
      <c r="BC502" t="n">
        <v>90.5</v>
      </c>
      <c r="BD502" t="n">
        <v>9.300000000000001</v>
      </c>
      <c r="BE502" t="n">
        <v>9.5</v>
      </c>
      <c r="BF502" t="n">
        <v>100</v>
      </c>
      <c r="BG502" t="n">
        <v>0</v>
      </c>
      <c r="BH502" t="n">
        <v>6.3</v>
      </c>
      <c r="BI502" t="n">
        <v>0</v>
      </c>
      <c r="BJ502" t="n">
        <v>90.7</v>
      </c>
      <c r="BK502" t="n">
        <v>84.09999999999999</v>
      </c>
      <c r="BL502" t="n">
        <v>90.7</v>
      </c>
      <c r="BM502" t="n">
        <v>90.5</v>
      </c>
      <c r="BN502" t="n">
        <v>9.300000000000001</v>
      </c>
      <c r="BO502" t="n">
        <v>9.5</v>
      </c>
      <c r="BP502" t="n">
        <v>0</v>
      </c>
      <c r="BQ502" t="n">
        <v>0</v>
      </c>
      <c r="BR502" t="n">
        <v>0</v>
      </c>
      <c r="BS502" t="n">
        <v>0</v>
      </c>
      <c r="BT502" t="n">
        <v>0</v>
      </c>
      <c r="BU502" t="n">
        <v>0</v>
      </c>
      <c r="BV502" t="n">
        <v>0</v>
      </c>
      <c r="BW502" t="n">
        <v>0</v>
      </c>
      <c r="BX502" t="n">
        <v>0</v>
      </c>
      <c r="BY502" t="n">
        <v>0</v>
      </c>
      <c r="BZ502" t="n">
        <v>23</v>
      </c>
      <c r="CA502" t="n">
        <v>0</v>
      </c>
      <c r="CB502" t="n">
        <v>3</v>
      </c>
      <c r="CC502" t="n">
        <v>0</v>
      </c>
      <c r="CD502" t="n">
        <v>8</v>
      </c>
      <c r="CE502" t="n">
        <v>12</v>
      </c>
      <c r="CF502" t="n">
        <v>8</v>
      </c>
      <c r="CG502" t="n">
        <v>15</v>
      </c>
      <c r="CH502" t="n">
        <v>23</v>
      </c>
      <c r="CI502" t="n">
        <v>0</v>
      </c>
      <c r="CJ502" t="n">
        <v>3</v>
      </c>
      <c r="CK502" t="n">
        <v>0</v>
      </c>
      <c r="CL502" t="n">
        <v>8</v>
      </c>
      <c r="CM502" t="n">
        <v>12</v>
      </c>
      <c r="CN502" t="n">
        <v>8</v>
      </c>
      <c r="CO502" t="n">
        <v>15</v>
      </c>
      <c r="CP502" t="n">
        <v>0</v>
      </c>
      <c r="CQ502" t="n">
        <v>0</v>
      </c>
      <c r="CR502" t="n">
        <v>0</v>
      </c>
      <c r="CS502" t="n">
        <v>0</v>
      </c>
      <c r="CT502" t="n">
        <v>0</v>
      </c>
      <c r="CU502" t="n">
        <v>0</v>
      </c>
      <c r="CV502" t="n">
        <v>0</v>
      </c>
      <c r="CW502" t="n">
        <v>0</v>
      </c>
      <c r="CX502" t="n">
        <v>78.5</v>
      </c>
      <c r="CY502" t="n">
        <v>57.6</v>
      </c>
      <c r="CZ502" t="n">
        <v>90.7</v>
      </c>
      <c r="DA502" t="n">
        <v>73.3</v>
      </c>
      <c r="DB502" t="n">
        <v>78.5</v>
      </c>
      <c r="DC502" t="n">
        <v>57.6</v>
      </c>
      <c r="DD502" t="n">
        <v>90.7</v>
      </c>
      <c r="DE502" t="n">
        <v>73.3</v>
      </c>
      <c r="DF502" t="n">
        <v>78.5</v>
      </c>
      <c r="DG502" t="n">
        <v>57.6</v>
      </c>
      <c r="DH502" t="n">
        <v>90.7</v>
      </c>
      <c r="DI502" t="n">
        <v>73.3</v>
      </c>
      <c r="DJ502" t="n">
        <v>78.5</v>
      </c>
      <c r="DK502" t="n">
        <v>57.6</v>
      </c>
      <c r="DL502" t="n">
        <v>90.7</v>
      </c>
      <c r="DM502" t="n">
        <v>73.3</v>
      </c>
      <c r="DN502" t="n">
        <v>0</v>
      </c>
      <c r="DO502" t="n">
        <v>0</v>
      </c>
      <c r="DP502" t="n">
        <v>0</v>
      </c>
      <c r="DQ502" t="n">
        <v>0</v>
      </c>
      <c r="DR502" t="n">
        <v>0</v>
      </c>
      <c r="DS502" t="n">
        <v>0</v>
      </c>
      <c r="DT502" t="n">
        <v>0</v>
      </c>
      <c r="DU502" t="n">
        <v>0</v>
      </c>
      <c r="DV502" t="inlineStr">
        <is>
          <t>($100 x S&amp;P Select Sector Industrial Ind</t>
        </is>
      </c>
    </row>
    <row r="503">
      <c r="A503" t="inlineStr">
        <is>
          <t>E-MINI S&amp;P UTILITIES INDEX - CHICAGO MERCANTILE EXCHANGE</t>
        </is>
      </c>
      <c r="B503" t="n">
        <v>230110</v>
      </c>
      <c r="C503" s="1" t="n">
        <v>44936</v>
      </c>
      <c r="D503" t="inlineStr">
        <is>
          <t>13874J</t>
        </is>
      </c>
      <c r="E503" t="inlineStr">
        <is>
          <t xml:space="preserve">CME </t>
        </is>
      </c>
      <c r="F503" t="inlineStr">
        <is>
          <t>00</t>
        </is>
      </c>
      <c r="G503" t="inlineStr">
        <is>
          <t xml:space="preserve">138 </t>
        </is>
      </c>
      <c r="H503" t="n">
        <v>17721</v>
      </c>
      <c r="I503" s="17" t="n">
        <v>1766</v>
      </c>
      <c r="J503" s="17" t="n">
        <v>650</v>
      </c>
      <c r="K503" t="n">
        <v>0</v>
      </c>
      <c r="L503" t="n">
        <v>13678</v>
      </c>
      <c r="M503" t="n">
        <v>16309</v>
      </c>
      <c r="N503" t="n">
        <v>15444</v>
      </c>
      <c r="O503" t="n">
        <v>16959</v>
      </c>
      <c r="P503" t="n">
        <v>2277</v>
      </c>
      <c r="Q503" t="n">
        <v>762</v>
      </c>
      <c r="R503" t="n">
        <v>17721</v>
      </c>
      <c r="S503" t="n">
        <v>1766</v>
      </c>
      <c r="T503" t="n">
        <v>650</v>
      </c>
      <c r="U503" t="n">
        <v>0</v>
      </c>
      <c r="V503" t="n">
        <v>13678</v>
      </c>
      <c r="W503" t="n">
        <v>16309</v>
      </c>
      <c r="X503" t="n">
        <v>15444</v>
      </c>
      <c r="Y503" t="n">
        <v>16959</v>
      </c>
      <c r="Z503" t="n">
        <v>2277</v>
      </c>
      <c r="AA503" t="n">
        <v>762</v>
      </c>
      <c r="AB503" t="n">
        <v>0</v>
      </c>
      <c r="AC503" t="n">
        <v>0</v>
      </c>
      <c r="AD503" t="n">
        <v>0</v>
      </c>
      <c r="AE503" t="n">
        <v>0</v>
      </c>
      <c r="AF503" t="n">
        <v>0</v>
      </c>
      <c r="AG503" t="n">
        <v>0</v>
      </c>
      <c r="AH503" t="n">
        <v>0</v>
      </c>
      <c r="AI503" t="n">
        <v>0</v>
      </c>
      <c r="AJ503" t="n">
        <v>0</v>
      </c>
      <c r="AK503" t="n">
        <v>0</v>
      </c>
      <c r="AL503" t="n">
        <v>-1599</v>
      </c>
      <c r="AM503" t="n">
        <v>-30</v>
      </c>
      <c r="AN503" t="n">
        <v>0</v>
      </c>
      <c r="AO503" t="n">
        <v>0</v>
      </c>
      <c r="AP503" t="n">
        <v>-1526</v>
      </c>
      <c r="AQ503" t="n">
        <v>-1498</v>
      </c>
      <c r="AR503" t="n">
        <v>-1556</v>
      </c>
      <c r="AS503" t="n">
        <v>-1498</v>
      </c>
      <c r="AT503" t="n">
        <v>-43</v>
      </c>
      <c r="AU503" t="n">
        <v>-101</v>
      </c>
      <c r="AV503" t="n">
        <v>100</v>
      </c>
      <c r="AW503" t="n">
        <v>10</v>
      </c>
      <c r="AX503" t="n">
        <v>3.7</v>
      </c>
      <c r="AY503" t="n">
        <v>0</v>
      </c>
      <c r="AZ503" t="n">
        <v>77.2</v>
      </c>
      <c r="BA503" t="n">
        <v>92</v>
      </c>
      <c r="BB503" t="n">
        <v>87.2</v>
      </c>
      <c r="BC503" t="n">
        <v>95.7</v>
      </c>
      <c r="BD503" t="n">
        <v>12.8</v>
      </c>
      <c r="BE503" t="n">
        <v>4.3</v>
      </c>
      <c r="BF503" t="n">
        <v>100</v>
      </c>
      <c r="BG503" t="n">
        <v>10</v>
      </c>
      <c r="BH503" t="n">
        <v>3.7</v>
      </c>
      <c r="BI503" t="n">
        <v>0</v>
      </c>
      <c r="BJ503" t="n">
        <v>77.2</v>
      </c>
      <c r="BK503" t="n">
        <v>92</v>
      </c>
      <c r="BL503" t="n">
        <v>87.2</v>
      </c>
      <c r="BM503" t="n">
        <v>95.7</v>
      </c>
      <c r="BN503" t="n">
        <v>12.8</v>
      </c>
      <c r="BO503" t="n">
        <v>4.3</v>
      </c>
      <c r="BP503" t="n">
        <v>0</v>
      </c>
      <c r="BQ503" t="n">
        <v>0</v>
      </c>
      <c r="BR503" t="n">
        <v>0</v>
      </c>
      <c r="BS503" t="n">
        <v>0</v>
      </c>
      <c r="BT503" t="n">
        <v>0</v>
      </c>
      <c r="BU503" t="n">
        <v>0</v>
      </c>
      <c r="BV503" t="n">
        <v>0</v>
      </c>
      <c r="BW503" t="n">
        <v>0</v>
      </c>
      <c r="BX503" t="n">
        <v>0</v>
      </c>
      <c r="BY503" t="n">
        <v>0</v>
      </c>
      <c r="BZ503" t="n">
        <v>25</v>
      </c>
      <c r="CA503" t="n">
        <v>3</v>
      </c>
      <c r="CB503" t="n">
        <v>1</v>
      </c>
      <c r="CC503" t="n">
        <v>0</v>
      </c>
      <c r="CD503" t="n">
        <v>12</v>
      </c>
      <c r="CE503" t="n">
        <v>10</v>
      </c>
      <c r="CF503" t="n">
        <v>15</v>
      </c>
      <c r="CG503" t="n">
        <v>11</v>
      </c>
      <c r="CH503" t="n">
        <v>25</v>
      </c>
      <c r="CI503" t="n">
        <v>3</v>
      </c>
      <c r="CJ503" t="n">
        <v>1</v>
      </c>
      <c r="CK503" t="n">
        <v>0</v>
      </c>
      <c r="CL503" t="n">
        <v>12</v>
      </c>
      <c r="CM503" t="n">
        <v>10</v>
      </c>
      <c r="CN503" t="n">
        <v>15</v>
      </c>
      <c r="CO503" t="n">
        <v>11</v>
      </c>
      <c r="CP503" t="n">
        <v>0</v>
      </c>
      <c r="CQ503" t="n">
        <v>0</v>
      </c>
      <c r="CR503" t="n">
        <v>0</v>
      </c>
      <c r="CS503" t="n">
        <v>0</v>
      </c>
      <c r="CT503" t="n">
        <v>0</v>
      </c>
      <c r="CU503" t="n">
        <v>0</v>
      </c>
      <c r="CV503" t="n">
        <v>0</v>
      </c>
      <c r="CW503" t="n">
        <v>0</v>
      </c>
      <c r="CX503" t="n">
        <v>56.9</v>
      </c>
      <c r="CY503" t="n">
        <v>65.59999999999999</v>
      </c>
      <c r="CZ503" t="n">
        <v>72.59999999999999</v>
      </c>
      <c r="DA503" t="n">
        <v>88.90000000000001</v>
      </c>
      <c r="DB503" t="n">
        <v>46</v>
      </c>
      <c r="DC503" t="n">
        <v>60.6</v>
      </c>
      <c r="DD503" t="n">
        <v>59.6</v>
      </c>
      <c r="DE503" t="n">
        <v>78.7</v>
      </c>
      <c r="DF503" t="n">
        <v>56.9</v>
      </c>
      <c r="DG503" t="n">
        <v>65.59999999999999</v>
      </c>
      <c r="DH503" t="n">
        <v>72.59999999999999</v>
      </c>
      <c r="DI503" t="n">
        <v>88.90000000000001</v>
      </c>
      <c r="DJ503" t="n">
        <v>46</v>
      </c>
      <c r="DK503" t="n">
        <v>60.6</v>
      </c>
      <c r="DL503" t="n">
        <v>59.6</v>
      </c>
      <c r="DM503" t="n">
        <v>78.7</v>
      </c>
      <c r="DN503" t="n">
        <v>0</v>
      </c>
      <c r="DO503" t="n">
        <v>0</v>
      </c>
      <c r="DP503" t="n">
        <v>0</v>
      </c>
      <c r="DQ503" t="n">
        <v>0</v>
      </c>
      <c r="DR503" t="n">
        <v>0</v>
      </c>
      <c r="DS503" t="n">
        <v>0</v>
      </c>
      <c r="DT503" t="n">
        <v>0</v>
      </c>
      <c r="DU503" t="n">
        <v>0</v>
      </c>
      <c r="DV503" t="inlineStr">
        <is>
          <t>($100 x S&amp;P Select Sector Utilities Inde</t>
        </is>
      </c>
    </row>
    <row r="504">
      <c r="A504" t="inlineStr">
        <is>
          <t>E-MINI S&amp;P UTILITIES INDEX - CHICAGO MERCANTILE EXCHANGE</t>
        </is>
      </c>
      <c r="B504" t="n">
        <v>230103</v>
      </c>
      <c r="C504" s="1" t="n">
        <v>44929</v>
      </c>
      <c r="D504" t="inlineStr">
        <is>
          <t>13874J</t>
        </is>
      </c>
      <c r="E504" t="inlineStr">
        <is>
          <t xml:space="preserve">CME </t>
        </is>
      </c>
      <c r="F504" t="inlineStr">
        <is>
          <t>00</t>
        </is>
      </c>
      <c r="G504" t="inlineStr">
        <is>
          <t xml:space="preserve">138 </t>
        </is>
      </c>
      <c r="H504" t="n">
        <v>19320</v>
      </c>
      <c r="I504" s="17" t="n">
        <v>1796</v>
      </c>
      <c r="J504" s="17" t="n">
        <v>650</v>
      </c>
      <c r="K504" t="n">
        <v>0</v>
      </c>
      <c r="L504" t="n">
        <v>15204</v>
      </c>
      <c r="M504" t="n">
        <v>17807</v>
      </c>
      <c r="N504" t="n">
        <v>17000</v>
      </c>
      <c r="O504" t="n">
        <v>18457</v>
      </c>
      <c r="P504" t="n">
        <v>2320</v>
      </c>
      <c r="Q504" t="n">
        <v>863</v>
      </c>
      <c r="R504" t="n">
        <v>19320</v>
      </c>
      <c r="S504" t="n">
        <v>1796</v>
      </c>
      <c r="T504" t="n">
        <v>650</v>
      </c>
      <c r="U504" t="n">
        <v>0</v>
      </c>
      <c r="V504" t="n">
        <v>15204</v>
      </c>
      <c r="W504" t="n">
        <v>17807</v>
      </c>
      <c r="X504" t="n">
        <v>17000</v>
      </c>
      <c r="Y504" t="n">
        <v>18457</v>
      </c>
      <c r="Z504" t="n">
        <v>2320</v>
      </c>
      <c r="AA504" t="n">
        <v>863</v>
      </c>
      <c r="AB504" t="n">
        <v>0</v>
      </c>
      <c r="AC504" t="n">
        <v>0</v>
      </c>
      <c r="AD504" t="n">
        <v>0</v>
      </c>
      <c r="AE504" t="n">
        <v>0</v>
      </c>
      <c r="AF504" t="n">
        <v>0</v>
      </c>
      <c r="AG504" t="n">
        <v>0</v>
      </c>
      <c r="AH504" t="n">
        <v>0</v>
      </c>
      <c r="AI504" t="n">
        <v>0</v>
      </c>
      <c r="AJ504" t="n">
        <v>0</v>
      </c>
      <c r="AK504" t="n">
        <v>0</v>
      </c>
      <c r="AL504" t="n">
        <v>1234</v>
      </c>
      <c r="AM504" t="n">
        <v>365</v>
      </c>
      <c r="AN504" t="n">
        <v>0</v>
      </c>
      <c r="AO504" t="n">
        <v>0</v>
      </c>
      <c r="AP504" t="n">
        <v>823</v>
      </c>
      <c r="AQ504" t="n">
        <v>1088</v>
      </c>
      <c r="AR504" t="n">
        <v>1188</v>
      </c>
      <c r="AS504" t="n">
        <v>1088</v>
      </c>
      <c r="AT504" t="n">
        <v>46</v>
      </c>
      <c r="AU504" t="n">
        <v>146</v>
      </c>
      <c r="AV504" t="n">
        <v>100</v>
      </c>
      <c r="AW504" t="n">
        <v>9.300000000000001</v>
      </c>
      <c r="AX504" t="n">
        <v>3.4</v>
      </c>
      <c r="AY504" t="n">
        <v>0</v>
      </c>
      <c r="AZ504" t="n">
        <v>78.7</v>
      </c>
      <c r="BA504" t="n">
        <v>92.2</v>
      </c>
      <c r="BB504" t="n">
        <v>88</v>
      </c>
      <c r="BC504" t="n">
        <v>95.5</v>
      </c>
      <c r="BD504" t="n">
        <v>12</v>
      </c>
      <c r="BE504" t="n">
        <v>4.5</v>
      </c>
      <c r="BF504" t="n">
        <v>100</v>
      </c>
      <c r="BG504" t="n">
        <v>9.300000000000001</v>
      </c>
      <c r="BH504" t="n">
        <v>3.4</v>
      </c>
      <c r="BI504" t="n">
        <v>0</v>
      </c>
      <c r="BJ504" t="n">
        <v>78.7</v>
      </c>
      <c r="BK504" t="n">
        <v>92.2</v>
      </c>
      <c r="BL504" t="n">
        <v>88</v>
      </c>
      <c r="BM504" t="n">
        <v>95.5</v>
      </c>
      <c r="BN504" t="n">
        <v>12</v>
      </c>
      <c r="BO504" t="n">
        <v>4.5</v>
      </c>
      <c r="BP504" t="n">
        <v>0</v>
      </c>
      <c r="BQ504" t="n">
        <v>0</v>
      </c>
      <c r="BR504" t="n">
        <v>0</v>
      </c>
      <c r="BS504" t="n">
        <v>0</v>
      </c>
      <c r="BT504" t="n">
        <v>0</v>
      </c>
      <c r="BU504" t="n">
        <v>0</v>
      </c>
      <c r="BV504" t="n">
        <v>0</v>
      </c>
      <c r="BW504" t="n">
        <v>0</v>
      </c>
      <c r="BX504" t="n">
        <v>0</v>
      </c>
      <c r="BY504" t="n">
        <v>0</v>
      </c>
      <c r="BZ504" t="n">
        <v>26</v>
      </c>
      <c r="CA504" t="n">
        <v>3</v>
      </c>
      <c r="CB504" t="n">
        <v>1</v>
      </c>
      <c r="CC504" t="n">
        <v>0</v>
      </c>
      <c r="CD504" t="n">
        <v>13</v>
      </c>
      <c r="CE504" t="n">
        <v>10</v>
      </c>
      <c r="CF504" t="n">
        <v>16</v>
      </c>
      <c r="CG504" t="n">
        <v>11</v>
      </c>
      <c r="CH504" t="n">
        <v>26</v>
      </c>
      <c r="CI504" t="n">
        <v>3</v>
      </c>
      <c r="CJ504" t="n">
        <v>1</v>
      </c>
      <c r="CK504" t="n">
        <v>0</v>
      </c>
      <c r="CL504" t="n">
        <v>13</v>
      </c>
      <c r="CM504" t="n">
        <v>10</v>
      </c>
      <c r="CN504" t="n">
        <v>16</v>
      </c>
      <c r="CO504" t="n">
        <v>11</v>
      </c>
      <c r="CP504" t="n">
        <v>0</v>
      </c>
      <c r="CQ504" t="n">
        <v>0</v>
      </c>
      <c r="CR504" t="n">
        <v>0</v>
      </c>
      <c r="CS504" t="n">
        <v>0</v>
      </c>
      <c r="CT504" t="n">
        <v>0</v>
      </c>
      <c r="CU504" t="n">
        <v>0</v>
      </c>
      <c r="CV504" t="n">
        <v>0</v>
      </c>
      <c r="CW504" t="n">
        <v>0</v>
      </c>
      <c r="CX504" t="n">
        <v>55.2</v>
      </c>
      <c r="CY504" t="n">
        <v>66.5</v>
      </c>
      <c r="CZ504" t="n">
        <v>72.09999999999999</v>
      </c>
      <c r="DA504" t="n">
        <v>87.90000000000001</v>
      </c>
      <c r="DB504" t="n">
        <v>45.2</v>
      </c>
      <c r="DC504" t="n">
        <v>61.9</v>
      </c>
      <c r="DD504" t="n">
        <v>60.2</v>
      </c>
      <c r="DE504" t="n">
        <v>79.2</v>
      </c>
      <c r="DF504" t="n">
        <v>55.2</v>
      </c>
      <c r="DG504" t="n">
        <v>66.5</v>
      </c>
      <c r="DH504" t="n">
        <v>72.09999999999999</v>
      </c>
      <c r="DI504" t="n">
        <v>87.90000000000001</v>
      </c>
      <c r="DJ504" t="n">
        <v>45.2</v>
      </c>
      <c r="DK504" t="n">
        <v>61.9</v>
      </c>
      <c r="DL504" t="n">
        <v>60.2</v>
      </c>
      <c r="DM504" t="n">
        <v>79.2</v>
      </c>
      <c r="DN504" t="n">
        <v>0</v>
      </c>
      <c r="DO504" t="n">
        <v>0</v>
      </c>
      <c r="DP504" t="n">
        <v>0</v>
      </c>
      <c r="DQ504" t="n">
        <v>0</v>
      </c>
      <c r="DR504" t="n">
        <v>0</v>
      </c>
      <c r="DS504" t="n">
        <v>0</v>
      </c>
      <c r="DT504" t="n">
        <v>0</v>
      </c>
      <c r="DU504" t="n">
        <v>0</v>
      </c>
      <c r="DV504" t="inlineStr">
        <is>
          <t>($100 x S&amp;P Select Sector Utilities Inde</t>
        </is>
      </c>
    </row>
    <row r="505">
      <c r="A505" t="inlineStr">
        <is>
          <t>MICRO E-MINI S&amp;P 500 INDEX - CHICAGO MERCANTILE EXCHANGE</t>
        </is>
      </c>
      <c r="B505" t="n">
        <v>230110</v>
      </c>
      <c r="C505" s="1" t="n">
        <v>44936</v>
      </c>
      <c r="D505" t="inlineStr">
        <is>
          <t>13874U</t>
        </is>
      </c>
      <c r="E505" t="inlineStr">
        <is>
          <t xml:space="preserve">CME </t>
        </is>
      </c>
      <c r="F505" t="inlineStr">
        <is>
          <t>00</t>
        </is>
      </c>
      <c r="G505" t="inlineStr">
        <is>
          <t xml:space="preserve">138 </t>
        </is>
      </c>
      <c r="H505" t="n">
        <v>127397</v>
      </c>
      <c r="I505" s="17" t="n">
        <v>48883</v>
      </c>
      <c r="J505" s="17" t="n">
        <v>44677</v>
      </c>
      <c r="K505" t="n">
        <v>3758</v>
      </c>
      <c r="L505" t="n">
        <v>27802</v>
      </c>
      <c r="M505" t="n">
        <v>10503</v>
      </c>
      <c r="N505" t="n">
        <v>80443</v>
      </c>
      <c r="O505" t="n">
        <v>58938</v>
      </c>
      <c r="P505" t="n">
        <v>46954</v>
      </c>
      <c r="Q505" t="n">
        <v>68459</v>
      </c>
      <c r="R505" t="n">
        <v>127397</v>
      </c>
      <c r="S505" t="n">
        <v>48883</v>
      </c>
      <c r="T505" t="n">
        <v>44677</v>
      </c>
      <c r="U505" t="n">
        <v>3758</v>
      </c>
      <c r="V505" t="n">
        <v>27802</v>
      </c>
      <c r="W505" t="n">
        <v>10503</v>
      </c>
      <c r="X505" t="n">
        <v>80443</v>
      </c>
      <c r="Y505" t="n">
        <v>58938</v>
      </c>
      <c r="Z505" t="n">
        <v>46954</v>
      </c>
      <c r="AA505" t="n">
        <v>68459</v>
      </c>
      <c r="AB505" t="n">
        <v>0</v>
      </c>
      <c r="AC505" t="n">
        <v>0</v>
      </c>
      <c r="AD505" t="n">
        <v>0</v>
      </c>
      <c r="AE505" t="n">
        <v>0</v>
      </c>
      <c r="AF505" t="n">
        <v>0</v>
      </c>
      <c r="AG505" t="n">
        <v>0</v>
      </c>
      <c r="AH505" t="n">
        <v>0</v>
      </c>
      <c r="AI505" t="n">
        <v>0</v>
      </c>
      <c r="AJ505" t="n">
        <v>0</v>
      </c>
      <c r="AK505" t="n">
        <v>0</v>
      </c>
      <c r="AL505" t="n">
        <v>4648</v>
      </c>
      <c r="AM505" t="n">
        <v>9728</v>
      </c>
      <c r="AN505" t="n">
        <v>-5992</v>
      </c>
      <c r="AO505" t="n">
        <v>3447</v>
      </c>
      <c r="AP505" t="n">
        <v>-6513</v>
      </c>
      <c r="AQ505" t="n">
        <v>-2099</v>
      </c>
      <c r="AR505" t="n">
        <v>6662</v>
      </c>
      <c r="AS505" t="n">
        <v>-4644</v>
      </c>
      <c r="AT505" t="n">
        <v>-2014</v>
      </c>
      <c r="AU505" t="n">
        <v>9292</v>
      </c>
      <c r="AV505" t="n">
        <v>100</v>
      </c>
      <c r="AW505" t="n">
        <v>38.4</v>
      </c>
      <c r="AX505" t="n">
        <v>35.1</v>
      </c>
      <c r="AY505" t="n">
        <v>2.9</v>
      </c>
      <c r="AZ505" t="n">
        <v>21.8</v>
      </c>
      <c r="BA505" t="n">
        <v>8.199999999999999</v>
      </c>
      <c r="BB505" t="n">
        <v>63.1</v>
      </c>
      <c r="BC505" t="n">
        <v>46.3</v>
      </c>
      <c r="BD505" t="n">
        <v>36.9</v>
      </c>
      <c r="BE505" t="n">
        <v>53.7</v>
      </c>
      <c r="BF505" t="n">
        <v>100</v>
      </c>
      <c r="BG505" t="n">
        <v>38.4</v>
      </c>
      <c r="BH505" t="n">
        <v>35.1</v>
      </c>
      <c r="BI505" t="n">
        <v>2.9</v>
      </c>
      <c r="BJ505" t="n">
        <v>21.8</v>
      </c>
      <c r="BK505" t="n">
        <v>8.199999999999999</v>
      </c>
      <c r="BL505" t="n">
        <v>63.1</v>
      </c>
      <c r="BM505" t="n">
        <v>46.3</v>
      </c>
      <c r="BN505" t="n">
        <v>36.9</v>
      </c>
      <c r="BO505" t="n">
        <v>53.7</v>
      </c>
      <c r="BP505" t="n">
        <v>0</v>
      </c>
      <c r="BQ505" t="n">
        <v>0</v>
      </c>
      <c r="BR505" t="n">
        <v>0</v>
      </c>
      <c r="BS505" t="n">
        <v>0</v>
      </c>
      <c r="BT505" t="n">
        <v>0</v>
      </c>
      <c r="BU505" t="n">
        <v>0</v>
      </c>
      <c r="BV505" t="n">
        <v>0</v>
      </c>
      <c r="BW505" t="n">
        <v>0</v>
      </c>
      <c r="BX505" t="n">
        <v>0</v>
      </c>
      <c r="BY505" t="n">
        <v>0</v>
      </c>
      <c r="BZ505" t="n">
        <v>28</v>
      </c>
      <c r="CA505" t="n">
        <v>5</v>
      </c>
      <c r="CB505" t="n">
        <v>9</v>
      </c>
      <c r="CC505" t="n">
        <v>7</v>
      </c>
      <c r="CD505" t="n">
        <v>10</v>
      </c>
      <c r="CE505" t="n">
        <v>8</v>
      </c>
      <c r="CF505" t="n">
        <v>20</v>
      </c>
      <c r="CG505" t="n">
        <v>19</v>
      </c>
      <c r="CH505" t="n">
        <v>28</v>
      </c>
      <c r="CI505" t="n">
        <v>5</v>
      </c>
      <c r="CJ505" t="n">
        <v>9</v>
      </c>
      <c r="CK505" t="n">
        <v>7</v>
      </c>
      <c r="CL505" t="n">
        <v>10</v>
      </c>
      <c r="CM505" t="n">
        <v>8</v>
      </c>
      <c r="CN505" t="n">
        <v>20</v>
      </c>
      <c r="CO505" t="n">
        <v>19</v>
      </c>
      <c r="CP505" t="n">
        <v>0</v>
      </c>
      <c r="CQ505" t="n">
        <v>0</v>
      </c>
      <c r="CR505" t="n">
        <v>0</v>
      </c>
      <c r="CS505" t="n">
        <v>0</v>
      </c>
      <c r="CT505" t="n">
        <v>0</v>
      </c>
      <c r="CU505" t="n">
        <v>0</v>
      </c>
      <c r="CV505" t="n">
        <v>0</v>
      </c>
      <c r="CW505" t="n">
        <v>0</v>
      </c>
      <c r="CX505" t="n">
        <v>44.9</v>
      </c>
      <c r="CY505" t="n">
        <v>28.6</v>
      </c>
      <c r="CZ505" t="n">
        <v>53.7</v>
      </c>
      <c r="DA505" t="n">
        <v>38.9</v>
      </c>
      <c r="DB505" t="n">
        <v>44.9</v>
      </c>
      <c r="DC505" t="n">
        <v>27.5</v>
      </c>
      <c r="DD505" t="n">
        <v>52.7</v>
      </c>
      <c r="DE505" t="n">
        <v>35.9</v>
      </c>
      <c r="DF505" t="n">
        <v>44.9</v>
      </c>
      <c r="DG505" t="n">
        <v>28.6</v>
      </c>
      <c r="DH505" t="n">
        <v>53.7</v>
      </c>
      <c r="DI505" t="n">
        <v>38.9</v>
      </c>
      <c r="DJ505" t="n">
        <v>44.9</v>
      </c>
      <c r="DK505" t="n">
        <v>27.5</v>
      </c>
      <c r="DL505" t="n">
        <v>52.7</v>
      </c>
      <c r="DM505" t="n">
        <v>35.9</v>
      </c>
      <c r="DN505" t="n">
        <v>0</v>
      </c>
      <c r="DO505" t="n">
        <v>0</v>
      </c>
      <c r="DP505" t="n">
        <v>0</v>
      </c>
      <c r="DQ505" t="n">
        <v>0</v>
      </c>
      <c r="DR505" t="n">
        <v>0</v>
      </c>
      <c r="DS505" t="n">
        <v>0</v>
      </c>
      <c r="DT505" t="n">
        <v>0</v>
      </c>
      <c r="DU505" t="n">
        <v>0</v>
      </c>
      <c r="DV505" t="inlineStr">
        <is>
          <t>($5 X S&amp;P 500 INDEX)</t>
        </is>
      </c>
    </row>
    <row r="506">
      <c r="A506" t="inlineStr">
        <is>
          <t>MICRO E-MINI S&amp;P 500 INDEX - CHICAGO MERCANTILE EXCHANGE</t>
        </is>
      </c>
      <c r="B506" t="n">
        <v>230103</v>
      </c>
      <c r="C506" s="1" t="n">
        <v>44929</v>
      </c>
      <c r="D506" t="inlineStr">
        <is>
          <t>13874U</t>
        </is>
      </c>
      <c r="E506" t="inlineStr">
        <is>
          <t xml:space="preserve">CME </t>
        </is>
      </c>
      <c r="F506" t="inlineStr">
        <is>
          <t>00</t>
        </is>
      </c>
      <c r="G506" t="inlineStr">
        <is>
          <t xml:space="preserve">138 </t>
        </is>
      </c>
      <c r="H506" t="n">
        <v>122749</v>
      </c>
      <c r="I506" s="17" t="n">
        <v>39155</v>
      </c>
      <c r="J506" s="17" t="n">
        <v>50669</v>
      </c>
      <c r="K506" t="n">
        <v>311</v>
      </c>
      <c r="L506" t="n">
        <v>34315</v>
      </c>
      <c r="M506" t="n">
        <v>12602</v>
      </c>
      <c r="N506" t="n">
        <v>73781</v>
      </c>
      <c r="O506" t="n">
        <v>63582</v>
      </c>
      <c r="P506" t="n">
        <v>48968</v>
      </c>
      <c r="Q506" t="n">
        <v>59167</v>
      </c>
      <c r="R506" t="n">
        <v>122749</v>
      </c>
      <c r="S506" t="n">
        <v>39155</v>
      </c>
      <c r="T506" t="n">
        <v>50669</v>
      </c>
      <c r="U506" t="n">
        <v>311</v>
      </c>
      <c r="V506" t="n">
        <v>34315</v>
      </c>
      <c r="W506" t="n">
        <v>12602</v>
      </c>
      <c r="X506" t="n">
        <v>73781</v>
      </c>
      <c r="Y506" t="n">
        <v>63582</v>
      </c>
      <c r="Z506" t="n">
        <v>48968</v>
      </c>
      <c r="AA506" t="n">
        <v>59167</v>
      </c>
      <c r="AB506" t="n">
        <v>0</v>
      </c>
      <c r="AC506" t="n">
        <v>0</v>
      </c>
      <c r="AD506" t="n">
        <v>0</v>
      </c>
      <c r="AE506" t="n">
        <v>0</v>
      </c>
      <c r="AF506" t="n">
        <v>0</v>
      </c>
      <c r="AG506" t="n">
        <v>0</v>
      </c>
      <c r="AH506" t="n">
        <v>0</v>
      </c>
      <c r="AI506" t="n">
        <v>0</v>
      </c>
      <c r="AJ506" t="n">
        <v>0</v>
      </c>
      <c r="AK506" t="n">
        <v>0</v>
      </c>
      <c r="AL506" t="n">
        <v>8389</v>
      </c>
      <c r="AM506" t="n">
        <v>4959</v>
      </c>
      <c r="AN506" t="n">
        <v>5508</v>
      </c>
      <c r="AO506" t="n">
        <v>-100</v>
      </c>
      <c r="AP506" t="n">
        <v>2729</v>
      </c>
      <c r="AQ506" t="n">
        <v>641</v>
      </c>
      <c r="AR506" t="n">
        <v>7588</v>
      </c>
      <c r="AS506" t="n">
        <v>6049</v>
      </c>
      <c r="AT506" t="n">
        <v>801</v>
      </c>
      <c r="AU506" t="n">
        <v>2340</v>
      </c>
      <c r="AV506" t="n">
        <v>100</v>
      </c>
      <c r="AW506" t="n">
        <v>31.9</v>
      </c>
      <c r="AX506" t="n">
        <v>41.3</v>
      </c>
      <c r="AY506" t="n">
        <v>0.3</v>
      </c>
      <c r="AZ506" t="n">
        <v>28</v>
      </c>
      <c r="BA506" t="n">
        <v>10.3</v>
      </c>
      <c r="BB506" t="n">
        <v>60.1</v>
      </c>
      <c r="BC506" t="n">
        <v>51.8</v>
      </c>
      <c r="BD506" t="n">
        <v>39.9</v>
      </c>
      <c r="BE506" t="n">
        <v>48.2</v>
      </c>
      <c r="BF506" t="n">
        <v>100</v>
      </c>
      <c r="BG506" t="n">
        <v>31.9</v>
      </c>
      <c r="BH506" t="n">
        <v>41.3</v>
      </c>
      <c r="BI506" t="n">
        <v>0.3</v>
      </c>
      <c r="BJ506" t="n">
        <v>28</v>
      </c>
      <c r="BK506" t="n">
        <v>10.3</v>
      </c>
      <c r="BL506" t="n">
        <v>60.1</v>
      </c>
      <c r="BM506" t="n">
        <v>51.8</v>
      </c>
      <c r="BN506" t="n">
        <v>39.9</v>
      </c>
      <c r="BO506" t="n">
        <v>48.2</v>
      </c>
      <c r="BP506" t="n">
        <v>0</v>
      </c>
      <c r="BQ506" t="n">
        <v>0</v>
      </c>
      <c r="BR506" t="n">
        <v>0</v>
      </c>
      <c r="BS506" t="n">
        <v>0</v>
      </c>
      <c r="BT506" t="n">
        <v>0</v>
      </c>
      <c r="BU506" t="n">
        <v>0</v>
      </c>
      <c r="BV506" t="n">
        <v>0</v>
      </c>
      <c r="BW506" t="n">
        <v>0</v>
      </c>
      <c r="BX506" t="n">
        <v>0</v>
      </c>
      <c r="BY506" t="n">
        <v>0</v>
      </c>
      <c r="BZ506" t="n">
        <v>27</v>
      </c>
      <c r="CA506" t="n">
        <v>5</v>
      </c>
      <c r="CB506" t="n">
        <v>9</v>
      </c>
      <c r="CC506" t="n">
        <v>7</v>
      </c>
      <c r="CD506" t="n">
        <v>12</v>
      </c>
      <c r="CE506" t="n">
        <v>5</v>
      </c>
      <c r="CF506" t="n">
        <v>22</v>
      </c>
      <c r="CG506" t="n">
        <v>16</v>
      </c>
      <c r="CH506" t="n">
        <v>27</v>
      </c>
      <c r="CI506" t="n">
        <v>5</v>
      </c>
      <c r="CJ506" t="n">
        <v>9</v>
      </c>
      <c r="CK506" t="n">
        <v>7</v>
      </c>
      <c r="CL506" t="n">
        <v>12</v>
      </c>
      <c r="CM506" t="n">
        <v>5</v>
      </c>
      <c r="CN506" t="n">
        <v>22</v>
      </c>
      <c r="CO506" t="n">
        <v>16</v>
      </c>
      <c r="CP506" t="n">
        <v>0</v>
      </c>
      <c r="CQ506" t="n">
        <v>0</v>
      </c>
      <c r="CR506" t="n">
        <v>0</v>
      </c>
      <c r="CS506" t="n">
        <v>0</v>
      </c>
      <c r="CT506" t="n">
        <v>0</v>
      </c>
      <c r="CU506" t="n">
        <v>0</v>
      </c>
      <c r="CV506" t="n">
        <v>0</v>
      </c>
      <c r="CW506" t="n">
        <v>0</v>
      </c>
      <c r="CX506" t="n">
        <v>35.7</v>
      </c>
      <c r="CY506" t="n">
        <v>35.5</v>
      </c>
      <c r="CZ506" t="n">
        <v>48.9</v>
      </c>
      <c r="DA506" t="n">
        <v>47.3</v>
      </c>
      <c r="DB506" t="n">
        <v>35.7</v>
      </c>
      <c r="DC506" t="n">
        <v>33.8</v>
      </c>
      <c r="DD506" t="n">
        <v>46.5</v>
      </c>
      <c r="DE506" t="n">
        <v>42.9</v>
      </c>
      <c r="DF506" t="n">
        <v>35.7</v>
      </c>
      <c r="DG506" t="n">
        <v>35.5</v>
      </c>
      <c r="DH506" t="n">
        <v>48.9</v>
      </c>
      <c r="DI506" t="n">
        <v>47.3</v>
      </c>
      <c r="DJ506" t="n">
        <v>35.7</v>
      </c>
      <c r="DK506" t="n">
        <v>33.8</v>
      </c>
      <c r="DL506" t="n">
        <v>46.5</v>
      </c>
      <c r="DM506" t="n">
        <v>42.9</v>
      </c>
      <c r="DN506" t="n">
        <v>0</v>
      </c>
      <c r="DO506" t="n">
        <v>0</v>
      </c>
      <c r="DP506" t="n">
        <v>0</v>
      </c>
      <c r="DQ506" t="n">
        <v>0</v>
      </c>
      <c r="DR506" t="n">
        <v>0</v>
      </c>
      <c r="DS506" t="n">
        <v>0</v>
      </c>
      <c r="DT506" t="n">
        <v>0</v>
      </c>
      <c r="DU506" t="n">
        <v>0</v>
      </c>
      <c r="DV506" t="inlineStr">
        <is>
          <t>($5 X S&amp;P 500 INDEX)</t>
        </is>
      </c>
    </row>
    <row r="507">
      <c r="A507" t="inlineStr">
        <is>
          <t>ADJUSTED INT RATE S&amp;P 500 TOTL - CHICAGO MERCANTILE EXCHANGE</t>
        </is>
      </c>
      <c r="B507" t="n">
        <v>230110</v>
      </c>
      <c r="C507" s="1" t="n">
        <v>44936</v>
      </c>
      <c r="D507" t="inlineStr">
        <is>
          <t>13874W</t>
        </is>
      </c>
      <c r="E507" t="inlineStr">
        <is>
          <t xml:space="preserve">CME </t>
        </is>
      </c>
      <c r="F507" t="inlineStr">
        <is>
          <t>00</t>
        </is>
      </c>
      <c r="G507" t="inlineStr">
        <is>
          <t xml:space="preserve">138 </t>
        </is>
      </c>
      <c r="H507" t="n">
        <v>250886</v>
      </c>
      <c r="I507" s="17" t="n">
        <v>6550</v>
      </c>
      <c r="J507" s="17" t="n">
        <v>11082</v>
      </c>
      <c r="K507" t="n">
        <v>7107</v>
      </c>
      <c r="L507" t="n">
        <v>233775</v>
      </c>
      <c r="M507" t="n">
        <v>230989</v>
      </c>
      <c r="N507" t="n">
        <v>247432</v>
      </c>
      <c r="O507" t="n">
        <v>249178</v>
      </c>
      <c r="P507" t="n">
        <v>3454</v>
      </c>
      <c r="Q507" t="n">
        <v>1708</v>
      </c>
      <c r="R507" t="n">
        <v>250886</v>
      </c>
      <c r="S507" t="n">
        <v>6550</v>
      </c>
      <c r="T507" t="n">
        <v>11082</v>
      </c>
      <c r="U507" t="n">
        <v>7107</v>
      </c>
      <c r="V507" t="n">
        <v>233775</v>
      </c>
      <c r="W507" t="n">
        <v>230989</v>
      </c>
      <c r="X507" t="n">
        <v>247432</v>
      </c>
      <c r="Y507" t="n">
        <v>249178</v>
      </c>
      <c r="Z507" t="n">
        <v>3454</v>
      </c>
      <c r="AA507" t="n">
        <v>1708</v>
      </c>
      <c r="AB507" t="n">
        <v>0</v>
      </c>
      <c r="AC507" t="n">
        <v>0</v>
      </c>
      <c r="AD507" t="n">
        <v>0</v>
      </c>
      <c r="AE507" t="n">
        <v>0</v>
      </c>
      <c r="AF507" t="n">
        <v>0</v>
      </c>
      <c r="AG507" t="n">
        <v>0</v>
      </c>
      <c r="AH507" t="n">
        <v>0</v>
      </c>
      <c r="AI507" t="n">
        <v>0</v>
      </c>
      <c r="AJ507" t="n">
        <v>0</v>
      </c>
      <c r="AK507" t="n">
        <v>0</v>
      </c>
      <c r="AL507" t="n">
        <v>-2500</v>
      </c>
      <c r="AM507" t="n">
        <v>2300</v>
      </c>
      <c r="AN507" t="n">
        <v>-250</v>
      </c>
      <c r="AO507" t="n">
        <v>1000</v>
      </c>
      <c r="AP507" t="n">
        <v>-5800</v>
      </c>
      <c r="AQ507" t="n">
        <v>-3250</v>
      </c>
      <c r="AR507" t="n">
        <v>-2500</v>
      </c>
      <c r="AS507" t="n">
        <v>-2500</v>
      </c>
      <c r="AT507" t="n">
        <v>0</v>
      </c>
      <c r="AU507" t="n">
        <v>0</v>
      </c>
      <c r="AV507" t="n">
        <v>100</v>
      </c>
      <c r="AW507" t="n">
        <v>2.6</v>
      </c>
      <c r="AX507" t="n">
        <v>4.4</v>
      </c>
      <c r="AY507" t="n">
        <v>2.8</v>
      </c>
      <c r="AZ507" t="n">
        <v>93.2</v>
      </c>
      <c r="BA507" t="n">
        <v>92.09999999999999</v>
      </c>
      <c r="BB507" t="n">
        <v>98.59999999999999</v>
      </c>
      <c r="BC507" t="n">
        <v>99.3</v>
      </c>
      <c r="BD507" t="n">
        <v>1.4</v>
      </c>
      <c r="BE507" t="n">
        <v>0.7</v>
      </c>
      <c r="BF507" t="n">
        <v>100</v>
      </c>
      <c r="BG507" t="n">
        <v>2.6</v>
      </c>
      <c r="BH507" t="n">
        <v>4.4</v>
      </c>
      <c r="BI507" t="n">
        <v>2.8</v>
      </c>
      <c r="BJ507" t="n">
        <v>93.2</v>
      </c>
      <c r="BK507" t="n">
        <v>92.09999999999999</v>
      </c>
      <c r="BL507" t="n">
        <v>98.59999999999999</v>
      </c>
      <c r="BM507" t="n">
        <v>99.3</v>
      </c>
      <c r="BN507" t="n">
        <v>1.4</v>
      </c>
      <c r="BO507" t="n">
        <v>0.7</v>
      </c>
      <c r="BP507" t="n">
        <v>0</v>
      </c>
      <c r="BQ507" t="n">
        <v>0</v>
      </c>
      <c r="BR507" t="n">
        <v>0</v>
      </c>
      <c r="BS507" t="n">
        <v>0</v>
      </c>
      <c r="BT507" t="n">
        <v>0</v>
      </c>
      <c r="BU507" t="n">
        <v>0</v>
      </c>
      <c r="BV507" t="n">
        <v>0</v>
      </c>
      <c r="BW507" t="n">
        <v>0</v>
      </c>
      <c r="BX507" t="n">
        <v>0</v>
      </c>
      <c r="BY507" t="n">
        <v>0</v>
      </c>
      <c r="BZ507" t="n">
        <v>22</v>
      </c>
      <c r="CA507" t="n">
        <v>2</v>
      </c>
      <c r="CB507" t="n">
        <v>1</v>
      </c>
      <c r="CC507" t="n">
        <v>4</v>
      </c>
      <c r="CD507" t="n">
        <v>14</v>
      </c>
      <c r="CE507" t="n">
        <v>14</v>
      </c>
      <c r="CF507" t="n">
        <v>19</v>
      </c>
      <c r="CG507" t="n">
        <v>19</v>
      </c>
      <c r="CH507" t="n">
        <v>22</v>
      </c>
      <c r="CI507" t="n">
        <v>2</v>
      </c>
      <c r="CJ507" t="n">
        <v>1</v>
      </c>
      <c r="CK507" t="n">
        <v>4</v>
      </c>
      <c r="CL507" t="n">
        <v>14</v>
      </c>
      <c r="CM507" t="n">
        <v>14</v>
      </c>
      <c r="CN507" t="n">
        <v>19</v>
      </c>
      <c r="CO507" t="n">
        <v>19</v>
      </c>
      <c r="CP507" t="n">
        <v>0</v>
      </c>
      <c r="CQ507" t="n">
        <v>0</v>
      </c>
      <c r="CR507" t="n">
        <v>0</v>
      </c>
      <c r="CS507" t="n">
        <v>0</v>
      </c>
      <c r="CT507" t="n">
        <v>0</v>
      </c>
      <c r="CU507" t="n">
        <v>0</v>
      </c>
      <c r="CV507" t="n">
        <v>0</v>
      </c>
      <c r="CW507" t="n">
        <v>0</v>
      </c>
      <c r="CX507" t="n">
        <v>57.6</v>
      </c>
      <c r="CY507" t="n">
        <v>57.9</v>
      </c>
      <c r="CZ507" t="n">
        <v>82.3</v>
      </c>
      <c r="DA507" t="n">
        <v>81.40000000000001</v>
      </c>
      <c r="DB507" t="n">
        <v>30.4</v>
      </c>
      <c r="DC507" t="n">
        <v>38.6</v>
      </c>
      <c r="DD507" t="n">
        <v>37.5</v>
      </c>
      <c r="DE507" t="n">
        <v>40.2</v>
      </c>
      <c r="DF507" t="n">
        <v>57.6</v>
      </c>
      <c r="DG507" t="n">
        <v>57.9</v>
      </c>
      <c r="DH507" t="n">
        <v>82.3</v>
      </c>
      <c r="DI507" t="n">
        <v>81.40000000000001</v>
      </c>
      <c r="DJ507" t="n">
        <v>30.4</v>
      </c>
      <c r="DK507" t="n">
        <v>38.6</v>
      </c>
      <c r="DL507" t="n">
        <v>37.5</v>
      </c>
      <c r="DM507" t="n">
        <v>40.2</v>
      </c>
      <c r="DN507" t="n">
        <v>0</v>
      </c>
      <c r="DO507" t="n">
        <v>0</v>
      </c>
      <c r="DP507" t="n">
        <v>0</v>
      </c>
      <c r="DQ507" t="n">
        <v>0</v>
      </c>
      <c r="DR507" t="n">
        <v>0</v>
      </c>
      <c r="DS507" t="n">
        <v>0</v>
      </c>
      <c r="DT507" t="n">
        <v>0</v>
      </c>
      <c r="DU507" t="n">
        <v>0</v>
      </c>
      <c r="DV507" t="inlineStr">
        <is>
          <t>(S&amp;P 500 TOTAL RETURN INDEX x $25)</t>
        </is>
      </c>
    </row>
    <row r="508">
      <c r="A508" t="inlineStr">
        <is>
          <t>ADJUSTED INT RATE S&amp;P 500 TOTL - CHICAGO MERCANTILE EXCHANGE</t>
        </is>
      </c>
      <c r="B508" t="n">
        <v>230103</v>
      </c>
      <c r="C508" s="1" t="n">
        <v>44929</v>
      </c>
      <c r="D508" t="inlineStr">
        <is>
          <t>13874W</t>
        </is>
      </c>
      <c r="E508" t="inlineStr">
        <is>
          <t xml:space="preserve">CME </t>
        </is>
      </c>
      <c r="F508" t="inlineStr">
        <is>
          <t>00</t>
        </is>
      </c>
      <c r="G508" t="inlineStr">
        <is>
          <t xml:space="preserve">138 </t>
        </is>
      </c>
      <c r="H508" t="n">
        <v>253386</v>
      </c>
      <c r="I508" s="17" t="n">
        <v>4250</v>
      </c>
      <c r="J508" s="17" t="n">
        <v>11332</v>
      </c>
      <c r="K508" t="n">
        <v>6107</v>
      </c>
      <c r="L508" t="n">
        <v>239575</v>
      </c>
      <c r="M508" t="n">
        <v>234239</v>
      </c>
      <c r="N508" t="n">
        <v>249932</v>
      </c>
      <c r="O508" t="n">
        <v>251678</v>
      </c>
      <c r="P508" t="n">
        <v>3454</v>
      </c>
      <c r="Q508" t="n">
        <v>1708</v>
      </c>
      <c r="R508" t="n">
        <v>253386</v>
      </c>
      <c r="S508" t="n">
        <v>4250</v>
      </c>
      <c r="T508" t="n">
        <v>11332</v>
      </c>
      <c r="U508" t="n">
        <v>6107</v>
      </c>
      <c r="V508" t="n">
        <v>239575</v>
      </c>
      <c r="W508" t="n">
        <v>234239</v>
      </c>
      <c r="X508" t="n">
        <v>249932</v>
      </c>
      <c r="Y508" t="n">
        <v>251678</v>
      </c>
      <c r="Z508" t="n">
        <v>3454</v>
      </c>
      <c r="AA508" t="n">
        <v>1708</v>
      </c>
      <c r="AB508" t="n">
        <v>0</v>
      </c>
      <c r="AC508" t="n">
        <v>0</v>
      </c>
      <c r="AD508" t="n">
        <v>0</v>
      </c>
      <c r="AE508" t="n">
        <v>0</v>
      </c>
      <c r="AF508" t="n">
        <v>0</v>
      </c>
      <c r="AG508" t="n">
        <v>0</v>
      </c>
      <c r="AH508" t="n">
        <v>0</v>
      </c>
      <c r="AI508" t="n">
        <v>0</v>
      </c>
      <c r="AJ508" t="n">
        <v>0</v>
      </c>
      <c r="AK508" t="n">
        <v>0</v>
      </c>
      <c r="AL508" t="n">
        <v>2326</v>
      </c>
      <c r="AM508" t="n">
        <v>2000</v>
      </c>
      <c r="AN508" t="n">
        <v>0</v>
      </c>
      <c r="AO508" t="n">
        <v>250</v>
      </c>
      <c r="AP508" t="n">
        <v>826</v>
      </c>
      <c r="AQ508" t="n">
        <v>3576</v>
      </c>
      <c r="AR508" t="n">
        <v>3076</v>
      </c>
      <c r="AS508" t="n">
        <v>3826</v>
      </c>
      <c r="AT508" t="n">
        <v>-750</v>
      </c>
      <c r="AU508" t="n">
        <v>-1500</v>
      </c>
      <c r="AV508" t="n">
        <v>100</v>
      </c>
      <c r="AW508" t="n">
        <v>1.7</v>
      </c>
      <c r="AX508" t="n">
        <v>4.5</v>
      </c>
      <c r="AY508" t="n">
        <v>2.4</v>
      </c>
      <c r="AZ508" t="n">
        <v>94.5</v>
      </c>
      <c r="BA508" t="n">
        <v>92.40000000000001</v>
      </c>
      <c r="BB508" t="n">
        <v>98.59999999999999</v>
      </c>
      <c r="BC508" t="n">
        <v>99.3</v>
      </c>
      <c r="BD508" t="n">
        <v>1.4</v>
      </c>
      <c r="BE508" t="n">
        <v>0.7</v>
      </c>
      <c r="BF508" t="n">
        <v>100</v>
      </c>
      <c r="BG508" t="n">
        <v>1.7</v>
      </c>
      <c r="BH508" t="n">
        <v>4.5</v>
      </c>
      <c r="BI508" t="n">
        <v>2.4</v>
      </c>
      <c r="BJ508" t="n">
        <v>94.5</v>
      </c>
      <c r="BK508" t="n">
        <v>92.40000000000001</v>
      </c>
      <c r="BL508" t="n">
        <v>98.59999999999999</v>
      </c>
      <c r="BM508" t="n">
        <v>99.3</v>
      </c>
      <c r="BN508" t="n">
        <v>1.4</v>
      </c>
      <c r="BO508" t="n">
        <v>0.7</v>
      </c>
      <c r="BP508" t="n">
        <v>0</v>
      </c>
      <c r="BQ508" t="n">
        <v>0</v>
      </c>
      <c r="BR508" t="n">
        <v>0</v>
      </c>
      <c r="BS508" t="n">
        <v>0</v>
      </c>
      <c r="BT508" t="n">
        <v>0</v>
      </c>
      <c r="BU508" t="n">
        <v>0</v>
      </c>
      <c r="BV508" t="n">
        <v>0</v>
      </c>
      <c r="BW508" t="n">
        <v>0</v>
      </c>
      <c r="BX508" t="n">
        <v>0</v>
      </c>
      <c r="BY508" t="n">
        <v>0</v>
      </c>
      <c r="BZ508" t="n">
        <v>22</v>
      </c>
      <c r="CA508" t="n">
        <v>2</v>
      </c>
      <c r="CB508" t="n">
        <v>2</v>
      </c>
      <c r="CC508" t="n">
        <v>5</v>
      </c>
      <c r="CD508" t="n">
        <v>14</v>
      </c>
      <c r="CE508" t="n">
        <v>15</v>
      </c>
      <c r="CF508" t="n">
        <v>19</v>
      </c>
      <c r="CG508" t="n">
        <v>21</v>
      </c>
      <c r="CH508" t="n">
        <v>22</v>
      </c>
      <c r="CI508" t="n">
        <v>2</v>
      </c>
      <c r="CJ508" t="n">
        <v>2</v>
      </c>
      <c r="CK508" t="n">
        <v>5</v>
      </c>
      <c r="CL508" t="n">
        <v>14</v>
      </c>
      <c r="CM508" t="n">
        <v>15</v>
      </c>
      <c r="CN508" t="n">
        <v>19</v>
      </c>
      <c r="CO508" t="n">
        <v>21</v>
      </c>
      <c r="CP508" t="n">
        <v>0</v>
      </c>
      <c r="CQ508" t="n">
        <v>0</v>
      </c>
      <c r="CR508" t="n">
        <v>0</v>
      </c>
      <c r="CS508" t="n">
        <v>0</v>
      </c>
      <c r="CT508" t="n">
        <v>0</v>
      </c>
      <c r="CU508" t="n">
        <v>0</v>
      </c>
      <c r="CV508" t="n">
        <v>0</v>
      </c>
      <c r="CW508" t="n">
        <v>0</v>
      </c>
      <c r="CX508" t="n">
        <v>59.2</v>
      </c>
      <c r="CY508" t="n">
        <v>59.5</v>
      </c>
      <c r="CZ508" t="n">
        <v>81.5</v>
      </c>
      <c r="DA508" t="n">
        <v>82.3</v>
      </c>
      <c r="DB508" t="n">
        <v>31.2</v>
      </c>
      <c r="DC508" t="n">
        <v>38</v>
      </c>
      <c r="DD508" t="n">
        <v>37.9</v>
      </c>
      <c r="DE508" t="n">
        <v>40</v>
      </c>
      <c r="DF508" t="n">
        <v>59.2</v>
      </c>
      <c r="DG508" t="n">
        <v>59.5</v>
      </c>
      <c r="DH508" t="n">
        <v>81.5</v>
      </c>
      <c r="DI508" t="n">
        <v>82.3</v>
      </c>
      <c r="DJ508" t="n">
        <v>31.2</v>
      </c>
      <c r="DK508" t="n">
        <v>38</v>
      </c>
      <c r="DL508" t="n">
        <v>37.9</v>
      </c>
      <c r="DM508" t="n">
        <v>40</v>
      </c>
      <c r="DN508" t="n">
        <v>0</v>
      </c>
      <c r="DO508" t="n">
        <v>0</v>
      </c>
      <c r="DP508" t="n">
        <v>0</v>
      </c>
      <c r="DQ508" t="n">
        <v>0</v>
      </c>
      <c r="DR508" t="n">
        <v>0</v>
      </c>
      <c r="DS508" t="n">
        <v>0</v>
      </c>
      <c r="DT508" t="n">
        <v>0</v>
      </c>
      <c r="DU508" t="n">
        <v>0</v>
      </c>
      <c r="DV508" t="inlineStr">
        <is>
          <t>(S&amp;P 500 TOTAL RETURN INDEX x $25)</t>
        </is>
      </c>
    </row>
    <row r="509">
      <c r="A509" t="inlineStr">
        <is>
          <t>ETHER CASH SETTLED - CHICAGO MERCANTILE EXCHANGE</t>
        </is>
      </c>
      <c r="B509" t="n">
        <v>230110</v>
      </c>
      <c r="C509" s="1" t="n">
        <v>44936</v>
      </c>
      <c r="D509" t="inlineStr">
        <is>
          <t>146021</t>
        </is>
      </c>
      <c r="E509" t="inlineStr">
        <is>
          <t xml:space="preserve">CME </t>
        </is>
      </c>
      <c r="F509" t="inlineStr">
        <is>
          <t>00</t>
        </is>
      </c>
      <c r="G509" t="inlineStr">
        <is>
          <t xml:space="preserve">146 </t>
        </is>
      </c>
      <c r="H509" t="n">
        <v>5442</v>
      </c>
      <c r="I509" s="17" t="n">
        <v>3943</v>
      </c>
      <c r="J509" s="17" t="n">
        <v>4477</v>
      </c>
      <c r="K509" t="n">
        <v>330</v>
      </c>
      <c r="L509" t="n">
        <v>195</v>
      </c>
      <c r="M509" t="n">
        <v>149</v>
      </c>
      <c r="N509" t="n">
        <v>4468</v>
      </c>
      <c r="O509" t="n">
        <v>4956</v>
      </c>
      <c r="P509" t="n">
        <v>974</v>
      </c>
      <c r="Q509" t="n">
        <v>486</v>
      </c>
      <c r="R509" t="n">
        <v>5442</v>
      </c>
      <c r="S509" t="n">
        <v>3943</v>
      </c>
      <c r="T509" t="n">
        <v>4477</v>
      </c>
      <c r="U509" t="n">
        <v>330</v>
      </c>
      <c r="V509" t="n">
        <v>195</v>
      </c>
      <c r="W509" t="n">
        <v>149</v>
      </c>
      <c r="X509" t="n">
        <v>4468</v>
      </c>
      <c r="Y509" t="n">
        <v>4956</v>
      </c>
      <c r="Z509" t="n">
        <v>974</v>
      </c>
      <c r="AA509" t="n">
        <v>486</v>
      </c>
      <c r="AB509" t="n">
        <v>0</v>
      </c>
      <c r="AC509" t="n">
        <v>0</v>
      </c>
      <c r="AD509" t="n">
        <v>0</v>
      </c>
      <c r="AE509" t="n">
        <v>0</v>
      </c>
      <c r="AF509" t="n">
        <v>0</v>
      </c>
      <c r="AG509" t="n">
        <v>0</v>
      </c>
      <c r="AH509" t="n">
        <v>0</v>
      </c>
      <c r="AI509" t="n">
        <v>0</v>
      </c>
      <c r="AJ509" t="n">
        <v>0</v>
      </c>
      <c r="AK509" t="n">
        <v>0</v>
      </c>
      <c r="AL509" t="n">
        <v>-535</v>
      </c>
      <c r="AM509" t="n">
        <v>-1175</v>
      </c>
      <c r="AN509" t="n">
        <v>-186</v>
      </c>
      <c r="AO509" t="n">
        <v>110</v>
      </c>
      <c r="AP509" t="n">
        <v>195</v>
      </c>
      <c r="AQ509" t="n">
        <v>-326</v>
      </c>
      <c r="AR509" t="n">
        <v>-870</v>
      </c>
      <c r="AS509" t="n">
        <v>-402</v>
      </c>
      <c r="AT509" t="n">
        <v>335</v>
      </c>
      <c r="AU509" t="n">
        <v>-133</v>
      </c>
      <c r="AV509" t="n">
        <v>100</v>
      </c>
      <c r="AW509" t="n">
        <v>72.5</v>
      </c>
      <c r="AX509" t="n">
        <v>82.3</v>
      </c>
      <c r="AY509" t="n">
        <v>6.1</v>
      </c>
      <c r="AZ509" t="n">
        <v>3.6</v>
      </c>
      <c r="BA509" t="n">
        <v>2.7</v>
      </c>
      <c r="BB509" t="n">
        <v>82.09999999999999</v>
      </c>
      <c r="BC509" t="n">
        <v>91.09999999999999</v>
      </c>
      <c r="BD509" t="n">
        <v>17.9</v>
      </c>
      <c r="BE509" t="n">
        <v>8.9</v>
      </c>
      <c r="BF509" t="n">
        <v>100</v>
      </c>
      <c r="BG509" t="n">
        <v>72.5</v>
      </c>
      <c r="BH509" t="n">
        <v>82.3</v>
      </c>
      <c r="BI509" t="n">
        <v>6.1</v>
      </c>
      <c r="BJ509" t="n">
        <v>3.6</v>
      </c>
      <c r="BK509" t="n">
        <v>2.7</v>
      </c>
      <c r="BL509" t="n">
        <v>82.09999999999999</v>
      </c>
      <c r="BM509" t="n">
        <v>91.09999999999999</v>
      </c>
      <c r="BN509" t="n">
        <v>17.9</v>
      </c>
      <c r="BO509" t="n">
        <v>8.9</v>
      </c>
      <c r="BP509" t="n">
        <v>0</v>
      </c>
      <c r="BQ509" t="n">
        <v>0</v>
      </c>
      <c r="BR509" t="n">
        <v>0</v>
      </c>
      <c r="BS509" t="n">
        <v>0</v>
      </c>
      <c r="BT509" t="n">
        <v>0</v>
      </c>
      <c r="BU509" t="n">
        <v>0</v>
      </c>
      <c r="BV509" t="n">
        <v>0</v>
      </c>
      <c r="BW509" t="n">
        <v>0</v>
      </c>
      <c r="BX509" t="n">
        <v>0</v>
      </c>
      <c r="BY509" t="n">
        <v>0</v>
      </c>
      <c r="BZ509" t="n">
        <v>71</v>
      </c>
      <c r="CA509" t="n">
        <v>32</v>
      </c>
      <c r="CB509" t="n">
        <v>32</v>
      </c>
      <c r="CC509" t="n">
        <v>12</v>
      </c>
      <c r="CD509" t="n">
        <v>2</v>
      </c>
      <c r="CE509" t="n">
        <v>3</v>
      </c>
      <c r="CF509" t="n">
        <v>43</v>
      </c>
      <c r="CG509" t="n">
        <v>40</v>
      </c>
      <c r="CH509" t="n">
        <v>71</v>
      </c>
      <c r="CI509" t="n">
        <v>32</v>
      </c>
      <c r="CJ509" t="n">
        <v>32</v>
      </c>
      <c r="CK509" t="n">
        <v>12</v>
      </c>
      <c r="CL509" t="n">
        <v>2</v>
      </c>
      <c r="CM509" t="n">
        <v>3</v>
      </c>
      <c r="CN509" t="n">
        <v>43</v>
      </c>
      <c r="CO509" t="n">
        <v>40</v>
      </c>
      <c r="CP509" t="n">
        <v>0</v>
      </c>
      <c r="CQ509" t="n">
        <v>0</v>
      </c>
      <c r="CR509" t="n">
        <v>0</v>
      </c>
      <c r="CS509" t="n">
        <v>0</v>
      </c>
      <c r="CT509" t="n">
        <v>0</v>
      </c>
      <c r="CU509" t="n">
        <v>0</v>
      </c>
      <c r="CV509" t="n">
        <v>0</v>
      </c>
      <c r="CW509" t="n">
        <v>0</v>
      </c>
      <c r="CX509" t="n">
        <v>32.9</v>
      </c>
      <c r="CY509" t="n">
        <v>40.8</v>
      </c>
      <c r="CZ509" t="n">
        <v>45.1</v>
      </c>
      <c r="DA509" t="n">
        <v>57.6</v>
      </c>
      <c r="DB509" t="n">
        <v>32.9</v>
      </c>
      <c r="DC509" t="n">
        <v>40.4</v>
      </c>
      <c r="DD509" t="n">
        <v>45.1</v>
      </c>
      <c r="DE509" t="n">
        <v>57.2</v>
      </c>
      <c r="DF509" t="n">
        <v>32.9</v>
      </c>
      <c r="DG509" t="n">
        <v>40.8</v>
      </c>
      <c r="DH509" t="n">
        <v>45.1</v>
      </c>
      <c r="DI509" t="n">
        <v>57.6</v>
      </c>
      <c r="DJ509" t="n">
        <v>32.9</v>
      </c>
      <c r="DK509" t="n">
        <v>40.4</v>
      </c>
      <c r="DL509" t="n">
        <v>45.1</v>
      </c>
      <c r="DM509" t="n">
        <v>57.2</v>
      </c>
      <c r="DN509" t="n">
        <v>0</v>
      </c>
      <c r="DO509" t="n">
        <v>0</v>
      </c>
      <c r="DP509" t="n">
        <v>0</v>
      </c>
      <c r="DQ509" t="n">
        <v>0</v>
      </c>
      <c r="DR509" t="n">
        <v>0</v>
      </c>
      <c r="DS509" t="n">
        <v>0</v>
      </c>
      <c r="DT509" t="n">
        <v>0</v>
      </c>
      <c r="DU509" t="n">
        <v>0</v>
      </c>
      <c r="DV509" t="inlineStr">
        <is>
          <t>(50 Index Points)</t>
        </is>
      </c>
    </row>
    <row r="510">
      <c r="A510" t="inlineStr">
        <is>
          <t>ETHER CASH SETTLED - CHICAGO MERCANTILE EXCHANGE</t>
        </is>
      </c>
      <c r="B510" t="n">
        <v>230103</v>
      </c>
      <c r="C510" s="1" t="n">
        <v>44929</v>
      </c>
      <c r="D510" t="inlineStr">
        <is>
          <t>146021</t>
        </is>
      </c>
      <c r="E510" t="inlineStr">
        <is>
          <t xml:space="preserve">CME </t>
        </is>
      </c>
      <c r="F510" t="inlineStr">
        <is>
          <t>00</t>
        </is>
      </c>
      <c r="G510" t="inlineStr">
        <is>
          <t xml:space="preserve">146 </t>
        </is>
      </c>
      <c r="H510" t="n">
        <v>5977</v>
      </c>
      <c r="I510" s="17" t="n">
        <v>5118</v>
      </c>
      <c r="J510" s="17" t="n">
        <v>4663</v>
      </c>
      <c r="K510" t="n">
        <v>220</v>
      </c>
      <c r="L510" t="n">
        <v>0</v>
      </c>
      <c r="M510" t="n">
        <v>475</v>
      </c>
      <c r="N510" t="n">
        <v>5338</v>
      </c>
      <c r="O510" t="n">
        <v>5358</v>
      </c>
      <c r="P510" t="n">
        <v>639</v>
      </c>
      <c r="Q510" t="n">
        <v>619</v>
      </c>
      <c r="R510" t="n">
        <v>5977</v>
      </c>
      <c r="S510" t="n">
        <v>5118</v>
      </c>
      <c r="T510" t="n">
        <v>4663</v>
      </c>
      <c r="U510" t="n">
        <v>220</v>
      </c>
      <c r="V510" t="n">
        <v>0</v>
      </c>
      <c r="W510" t="n">
        <v>475</v>
      </c>
      <c r="X510" t="n">
        <v>5338</v>
      </c>
      <c r="Y510" t="n">
        <v>5358</v>
      </c>
      <c r="Z510" t="n">
        <v>639</v>
      </c>
      <c r="AA510" t="n">
        <v>619</v>
      </c>
      <c r="AB510" t="n">
        <v>0</v>
      </c>
      <c r="AC510" t="n">
        <v>0</v>
      </c>
      <c r="AD510" t="n">
        <v>0</v>
      </c>
      <c r="AE510" t="n">
        <v>0</v>
      </c>
      <c r="AF510" t="n">
        <v>0</v>
      </c>
      <c r="AG510" t="n">
        <v>0</v>
      </c>
      <c r="AH510" t="n">
        <v>0</v>
      </c>
      <c r="AI510" t="n">
        <v>0</v>
      </c>
      <c r="AJ510" t="n">
        <v>0</v>
      </c>
      <c r="AK510" t="n">
        <v>0</v>
      </c>
      <c r="AL510" t="n">
        <v>-222</v>
      </c>
      <c r="AM510" t="n">
        <v>240</v>
      </c>
      <c r="AN510" t="n">
        <v>236</v>
      </c>
      <c r="AO510" t="n">
        <v>-393</v>
      </c>
      <c r="AP510" t="n">
        <v>0</v>
      </c>
      <c r="AQ510" t="n">
        <v>9</v>
      </c>
      <c r="AR510" t="n">
        <v>-153</v>
      </c>
      <c r="AS510" t="n">
        <v>-148</v>
      </c>
      <c r="AT510" t="n">
        <v>-69</v>
      </c>
      <c r="AU510" t="n">
        <v>-74</v>
      </c>
      <c r="AV510" t="n">
        <v>100</v>
      </c>
      <c r="AW510" t="n">
        <v>85.59999999999999</v>
      </c>
      <c r="AX510" t="n">
        <v>78</v>
      </c>
      <c r="AY510" t="n">
        <v>3.7</v>
      </c>
      <c r="AZ510" t="n">
        <v>0</v>
      </c>
      <c r="BA510" t="n">
        <v>7.9</v>
      </c>
      <c r="BB510" t="n">
        <v>89.3</v>
      </c>
      <c r="BC510" t="n">
        <v>89.59999999999999</v>
      </c>
      <c r="BD510" t="n">
        <v>10.7</v>
      </c>
      <c r="BE510" t="n">
        <v>10.4</v>
      </c>
      <c r="BF510" t="n">
        <v>100</v>
      </c>
      <c r="BG510" t="n">
        <v>85.59999999999999</v>
      </c>
      <c r="BH510" t="n">
        <v>78</v>
      </c>
      <c r="BI510" t="n">
        <v>3.7</v>
      </c>
      <c r="BJ510" t="n">
        <v>0</v>
      </c>
      <c r="BK510" t="n">
        <v>7.9</v>
      </c>
      <c r="BL510" t="n">
        <v>89.3</v>
      </c>
      <c r="BM510" t="n">
        <v>89.59999999999999</v>
      </c>
      <c r="BN510" t="n">
        <v>10.7</v>
      </c>
      <c r="BO510" t="n">
        <v>10.4</v>
      </c>
      <c r="BP510" t="n">
        <v>0</v>
      </c>
      <c r="BQ510" t="n">
        <v>0</v>
      </c>
      <c r="BR510" t="n">
        <v>0</v>
      </c>
      <c r="BS510" t="n">
        <v>0</v>
      </c>
      <c r="BT510" t="n">
        <v>0</v>
      </c>
      <c r="BU510" t="n">
        <v>0</v>
      </c>
      <c r="BV510" t="n">
        <v>0</v>
      </c>
      <c r="BW510" t="n">
        <v>0</v>
      </c>
      <c r="BX510" t="n">
        <v>0</v>
      </c>
      <c r="BY510" t="n">
        <v>0</v>
      </c>
      <c r="BZ510" t="n">
        <v>70</v>
      </c>
      <c r="CA510" t="n">
        <v>27</v>
      </c>
      <c r="CB510" t="n">
        <v>35</v>
      </c>
      <c r="CC510" t="n">
        <v>10</v>
      </c>
      <c r="CD510" t="n">
        <v>0</v>
      </c>
      <c r="CE510" t="n">
        <v>5</v>
      </c>
      <c r="CF510" t="n">
        <v>33</v>
      </c>
      <c r="CG510" t="n">
        <v>47</v>
      </c>
      <c r="CH510" t="n">
        <v>70</v>
      </c>
      <c r="CI510" t="n">
        <v>27</v>
      </c>
      <c r="CJ510" t="n">
        <v>35</v>
      </c>
      <c r="CK510" t="n">
        <v>10</v>
      </c>
      <c r="CL510" t="n">
        <v>0</v>
      </c>
      <c r="CM510" t="n">
        <v>5</v>
      </c>
      <c r="CN510" t="n">
        <v>33</v>
      </c>
      <c r="CO510" t="n">
        <v>47</v>
      </c>
      <c r="CP510" t="n">
        <v>0</v>
      </c>
      <c r="CQ510" t="n">
        <v>0</v>
      </c>
      <c r="CR510" t="n">
        <v>0</v>
      </c>
      <c r="CS510" t="n">
        <v>0</v>
      </c>
      <c r="CT510" t="n">
        <v>0</v>
      </c>
      <c r="CU510" t="n">
        <v>0</v>
      </c>
      <c r="CV510" t="n">
        <v>0</v>
      </c>
      <c r="CW510" t="n">
        <v>0</v>
      </c>
      <c r="CX510" t="n">
        <v>48.6</v>
      </c>
      <c r="CY510" t="n">
        <v>33.9</v>
      </c>
      <c r="CZ510" t="n">
        <v>69.2</v>
      </c>
      <c r="DA510" t="n">
        <v>50</v>
      </c>
      <c r="DB510" t="n">
        <v>48.6</v>
      </c>
      <c r="DC510" t="n">
        <v>33.8</v>
      </c>
      <c r="DD510" t="n">
        <v>68.8</v>
      </c>
      <c r="DE510" t="n">
        <v>49.9</v>
      </c>
      <c r="DF510" t="n">
        <v>48.6</v>
      </c>
      <c r="DG510" t="n">
        <v>33.9</v>
      </c>
      <c r="DH510" t="n">
        <v>69.2</v>
      </c>
      <c r="DI510" t="n">
        <v>50</v>
      </c>
      <c r="DJ510" t="n">
        <v>48.6</v>
      </c>
      <c r="DK510" t="n">
        <v>33.8</v>
      </c>
      <c r="DL510" t="n">
        <v>68.8</v>
      </c>
      <c r="DM510" t="n">
        <v>49.9</v>
      </c>
      <c r="DN510" t="n">
        <v>0</v>
      </c>
      <c r="DO510" t="n">
        <v>0</v>
      </c>
      <c r="DP510" t="n">
        <v>0</v>
      </c>
      <c r="DQ510" t="n">
        <v>0</v>
      </c>
      <c r="DR510" t="n">
        <v>0</v>
      </c>
      <c r="DS510" t="n">
        <v>0</v>
      </c>
      <c r="DT510" t="n">
        <v>0</v>
      </c>
      <c r="DU510" t="n">
        <v>0</v>
      </c>
      <c r="DV510" t="inlineStr">
        <is>
          <t>(50 Index Points)</t>
        </is>
      </c>
    </row>
    <row r="511">
      <c r="A511" t="inlineStr">
        <is>
          <t>MICRO ETHER - CHICAGO MERCANTILE EXCHANGE</t>
        </is>
      </c>
      <c r="B511" t="n">
        <v>230110</v>
      </c>
      <c r="C511" s="1" t="n">
        <v>44936</v>
      </c>
      <c r="D511" t="inlineStr">
        <is>
          <t>146022</t>
        </is>
      </c>
      <c r="E511" t="inlineStr">
        <is>
          <t xml:space="preserve">CME </t>
        </is>
      </c>
      <c r="F511" t="inlineStr">
        <is>
          <t>00</t>
        </is>
      </c>
      <c r="G511" t="inlineStr">
        <is>
          <t xml:space="preserve">146 </t>
        </is>
      </c>
      <c r="H511" t="n">
        <v>17144</v>
      </c>
      <c r="I511" s="17" t="n">
        <v>15127</v>
      </c>
      <c r="J511" s="17" t="n">
        <v>15615</v>
      </c>
      <c r="K511" t="n">
        <v>1022</v>
      </c>
      <c r="L511" t="n">
        <v>5</v>
      </c>
      <c r="M511" t="n">
        <v>104</v>
      </c>
      <c r="N511" t="n">
        <v>16154</v>
      </c>
      <c r="O511" t="n">
        <v>16741</v>
      </c>
      <c r="P511" t="n">
        <v>990</v>
      </c>
      <c r="Q511" t="n">
        <v>403</v>
      </c>
      <c r="R511" t="n">
        <v>17144</v>
      </c>
      <c r="S511" t="n">
        <v>15127</v>
      </c>
      <c r="T511" t="n">
        <v>15615</v>
      </c>
      <c r="U511" t="n">
        <v>1022</v>
      </c>
      <c r="V511" t="n">
        <v>5</v>
      </c>
      <c r="W511" t="n">
        <v>104</v>
      </c>
      <c r="X511" t="n">
        <v>16154</v>
      </c>
      <c r="Y511" t="n">
        <v>16741</v>
      </c>
      <c r="Z511" t="n">
        <v>990</v>
      </c>
      <c r="AA511" t="n">
        <v>403</v>
      </c>
      <c r="AB511" t="n">
        <v>0</v>
      </c>
      <c r="AC511" t="n">
        <v>0</v>
      </c>
      <c r="AD511" t="n">
        <v>0</v>
      </c>
      <c r="AE511" t="n">
        <v>0</v>
      </c>
      <c r="AF511" t="n">
        <v>0</v>
      </c>
      <c r="AG511" t="n">
        <v>0</v>
      </c>
      <c r="AH511" t="n">
        <v>0</v>
      </c>
      <c r="AI511" t="n">
        <v>0</v>
      </c>
      <c r="AJ511" t="n">
        <v>0</v>
      </c>
      <c r="AK511" t="n">
        <v>0</v>
      </c>
      <c r="AL511" t="n">
        <v>-694</v>
      </c>
      <c r="AM511" t="n">
        <v>34</v>
      </c>
      <c r="AN511" t="n">
        <v>-33</v>
      </c>
      <c r="AO511" t="n">
        <v>-940</v>
      </c>
      <c r="AP511" t="n">
        <v>0</v>
      </c>
      <c r="AQ511" t="n">
        <v>104</v>
      </c>
      <c r="AR511" t="n">
        <v>-906</v>
      </c>
      <c r="AS511" t="n">
        <v>-869</v>
      </c>
      <c r="AT511" t="n">
        <v>212</v>
      </c>
      <c r="AU511" t="n">
        <v>175</v>
      </c>
      <c r="AV511" t="n">
        <v>100</v>
      </c>
      <c r="AW511" t="n">
        <v>88.2</v>
      </c>
      <c r="AX511" t="n">
        <v>91.09999999999999</v>
      </c>
      <c r="AY511" t="n">
        <v>6</v>
      </c>
      <c r="AZ511" t="n">
        <v>0</v>
      </c>
      <c r="BA511" t="n">
        <v>0.6</v>
      </c>
      <c r="BB511" t="n">
        <v>94.2</v>
      </c>
      <c r="BC511" t="n">
        <v>97.59999999999999</v>
      </c>
      <c r="BD511" t="n">
        <v>5.8</v>
      </c>
      <c r="BE511" t="n">
        <v>2.4</v>
      </c>
      <c r="BF511" t="n">
        <v>100</v>
      </c>
      <c r="BG511" t="n">
        <v>88.2</v>
      </c>
      <c r="BH511" t="n">
        <v>91.09999999999999</v>
      </c>
      <c r="BI511" t="n">
        <v>6</v>
      </c>
      <c r="BJ511" t="n">
        <v>0</v>
      </c>
      <c r="BK511" t="n">
        <v>0.6</v>
      </c>
      <c r="BL511" t="n">
        <v>94.2</v>
      </c>
      <c r="BM511" t="n">
        <v>97.59999999999999</v>
      </c>
      <c r="BN511" t="n">
        <v>5.8</v>
      </c>
      <c r="BO511" t="n">
        <v>2.4</v>
      </c>
      <c r="BP511" t="n">
        <v>0</v>
      </c>
      <c r="BQ511" t="n">
        <v>0</v>
      </c>
      <c r="BR511" t="n">
        <v>0</v>
      </c>
      <c r="BS511" t="n">
        <v>0</v>
      </c>
      <c r="BT511" t="n">
        <v>0</v>
      </c>
      <c r="BU511" t="n">
        <v>0</v>
      </c>
      <c r="BV511" t="n">
        <v>0</v>
      </c>
      <c r="BW511" t="n">
        <v>0</v>
      </c>
      <c r="BX511" t="n">
        <v>0</v>
      </c>
      <c r="BY511" t="n">
        <v>0</v>
      </c>
      <c r="BZ511" t="n">
        <v>97</v>
      </c>
      <c r="CA511" t="n">
        <v>55</v>
      </c>
      <c r="CB511" t="n">
        <v>40</v>
      </c>
      <c r="CC511" t="n">
        <v>5</v>
      </c>
      <c r="CD511" t="n">
        <v>1</v>
      </c>
      <c r="CE511" t="n">
        <v>1</v>
      </c>
      <c r="CF511" t="n">
        <v>58</v>
      </c>
      <c r="CG511" t="n">
        <v>44</v>
      </c>
      <c r="CH511" t="n">
        <v>97</v>
      </c>
      <c r="CI511" t="n">
        <v>55</v>
      </c>
      <c r="CJ511" t="n">
        <v>40</v>
      </c>
      <c r="CK511" t="n">
        <v>5</v>
      </c>
      <c r="CL511" t="n">
        <v>1</v>
      </c>
      <c r="CM511" t="n">
        <v>1</v>
      </c>
      <c r="CN511" t="n">
        <v>58</v>
      </c>
      <c r="CO511" t="n">
        <v>44</v>
      </c>
      <c r="CP511" t="n">
        <v>0</v>
      </c>
      <c r="CQ511" t="n">
        <v>0</v>
      </c>
      <c r="CR511" t="n">
        <v>0</v>
      </c>
      <c r="CS511" t="n">
        <v>0</v>
      </c>
      <c r="CT511" t="n">
        <v>0</v>
      </c>
      <c r="CU511" t="n">
        <v>0</v>
      </c>
      <c r="CV511" t="n">
        <v>0</v>
      </c>
      <c r="CW511" t="n">
        <v>0</v>
      </c>
      <c r="CX511" t="n">
        <v>41.6</v>
      </c>
      <c r="CY511" t="n">
        <v>48.8</v>
      </c>
      <c r="CZ511" t="n">
        <v>59.6</v>
      </c>
      <c r="DA511" t="n">
        <v>68</v>
      </c>
      <c r="DB511" t="n">
        <v>38.5</v>
      </c>
      <c r="DC511" t="n">
        <v>47.3</v>
      </c>
      <c r="DD511" t="n">
        <v>55.5</v>
      </c>
      <c r="DE511" t="n">
        <v>65.40000000000001</v>
      </c>
      <c r="DF511" t="n">
        <v>41.6</v>
      </c>
      <c r="DG511" t="n">
        <v>48.8</v>
      </c>
      <c r="DH511" t="n">
        <v>59.6</v>
      </c>
      <c r="DI511" t="n">
        <v>68</v>
      </c>
      <c r="DJ511" t="n">
        <v>38.5</v>
      </c>
      <c r="DK511" t="n">
        <v>47.3</v>
      </c>
      <c r="DL511" t="n">
        <v>55.5</v>
      </c>
      <c r="DM511" t="n">
        <v>65.40000000000001</v>
      </c>
      <c r="DN511" t="n">
        <v>0</v>
      </c>
      <c r="DO511" t="n">
        <v>0</v>
      </c>
      <c r="DP511" t="n">
        <v>0</v>
      </c>
      <c r="DQ511" t="n">
        <v>0</v>
      </c>
      <c r="DR511" t="n">
        <v>0</v>
      </c>
      <c r="DS511" t="n">
        <v>0</v>
      </c>
      <c r="DT511" t="n">
        <v>0</v>
      </c>
      <c r="DU511" t="n">
        <v>0</v>
      </c>
      <c r="DV511" t="inlineStr">
        <is>
          <t>(0.1 Index Points)</t>
        </is>
      </c>
    </row>
    <row r="512">
      <c r="A512" t="inlineStr">
        <is>
          <t>MICRO ETHER - CHICAGO MERCANTILE EXCHANGE</t>
        </is>
      </c>
      <c r="B512" t="n">
        <v>230103</v>
      </c>
      <c r="C512" s="1" t="n">
        <v>44929</v>
      </c>
      <c r="D512" t="inlineStr">
        <is>
          <t>146022</t>
        </is>
      </c>
      <c r="E512" t="inlineStr">
        <is>
          <t xml:space="preserve">CME </t>
        </is>
      </c>
      <c r="F512" t="inlineStr">
        <is>
          <t>00</t>
        </is>
      </c>
      <c r="G512" t="inlineStr">
        <is>
          <t xml:space="preserve">146 </t>
        </is>
      </c>
      <c r="H512" t="n">
        <v>17838</v>
      </c>
      <c r="I512" s="17" t="n">
        <v>15093</v>
      </c>
      <c r="J512" s="17" t="n">
        <v>15648</v>
      </c>
      <c r="K512" t="n">
        <v>1962</v>
      </c>
      <c r="L512" t="n">
        <v>5</v>
      </c>
      <c r="M512" t="n">
        <v>0</v>
      </c>
      <c r="N512" t="n">
        <v>17060</v>
      </c>
      <c r="O512" t="n">
        <v>17610</v>
      </c>
      <c r="P512" t="n">
        <v>778</v>
      </c>
      <c r="Q512" t="n">
        <v>228</v>
      </c>
      <c r="R512" t="n">
        <v>17838</v>
      </c>
      <c r="S512" t="n">
        <v>15093</v>
      </c>
      <c r="T512" t="n">
        <v>15648</v>
      </c>
      <c r="U512" t="n">
        <v>1962</v>
      </c>
      <c r="V512" t="n">
        <v>5</v>
      </c>
      <c r="W512" t="n">
        <v>0</v>
      </c>
      <c r="X512" t="n">
        <v>17060</v>
      </c>
      <c r="Y512" t="n">
        <v>17610</v>
      </c>
      <c r="Z512" t="n">
        <v>778</v>
      </c>
      <c r="AA512" t="n">
        <v>228</v>
      </c>
      <c r="AB512" t="n">
        <v>0</v>
      </c>
      <c r="AC512" t="n">
        <v>0</v>
      </c>
      <c r="AD512" t="n">
        <v>0</v>
      </c>
      <c r="AE512" t="n">
        <v>0</v>
      </c>
      <c r="AF512" t="n">
        <v>0</v>
      </c>
      <c r="AG512" t="n">
        <v>0</v>
      </c>
      <c r="AH512" t="n">
        <v>0</v>
      </c>
      <c r="AI512" t="n">
        <v>0</v>
      </c>
      <c r="AJ512" t="n">
        <v>0</v>
      </c>
      <c r="AK512" t="n">
        <v>0</v>
      </c>
      <c r="AL512" t="n">
        <v>-7597</v>
      </c>
      <c r="AM512" t="n">
        <v>-5350</v>
      </c>
      <c r="AN512" t="n">
        <v>-5555</v>
      </c>
      <c r="AO512" t="n">
        <v>-1855</v>
      </c>
      <c r="AP512" t="n">
        <v>0</v>
      </c>
      <c r="AQ512" t="n">
        <v>0</v>
      </c>
      <c r="AR512" t="n">
        <v>-7205</v>
      </c>
      <c r="AS512" t="n">
        <v>-7410</v>
      </c>
      <c r="AT512" t="n">
        <v>-392</v>
      </c>
      <c r="AU512" t="n">
        <v>-187</v>
      </c>
      <c r="AV512" t="n">
        <v>100</v>
      </c>
      <c r="AW512" t="n">
        <v>84.59999999999999</v>
      </c>
      <c r="AX512" t="n">
        <v>87.7</v>
      </c>
      <c r="AY512" t="n">
        <v>11</v>
      </c>
      <c r="AZ512" t="n">
        <v>0</v>
      </c>
      <c r="BA512" t="n">
        <v>0</v>
      </c>
      <c r="BB512" t="n">
        <v>95.59999999999999</v>
      </c>
      <c r="BC512" t="n">
        <v>98.7</v>
      </c>
      <c r="BD512" t="n">
        <v>4.4</v>
      </c>
      <c r="BE512" t="n">
        <v>1.3</v>
      </c>
      <c r="BF512" t="n">
        <v>100</v>
      </c>
      <c r="BG512" t="n">
        <v>84.59999999999999</v>
      </c>
      <c r="BH512" t="n">
        <v>87.7</v>
      </c>
      <c r="BI512" t="n">
        <v>11</v>
      </c>
      <c r="BJ512" t="n">
        <v>0</v>
      </c>
      <c r="BK512" t="n">
        <v>0</v>
      </c>
      <c r="BL512" t="n">
        <v>95.59999999999999</v>
      </c>
      <c r="BM512" t="n">
        <v>98.7</v>
      </c>
      <c r="BN512" t="n">
        <v>4.4</v>
      </c>
      <c r="BO512" t="n">
        <v>1.3</v>
      </c>
      <c r="BP512" t="n">
        <v>0</v>
      </c>
      <c r="BQ512" t="n">
        <v>0</v>
      </c>
      <c r="BR512" t="n">
        <v>0</v>
      </c>
      <c r="BS512" t="n">
        <v>0</v>
      </c>
      <c r="BT512" t="n">
        <v>0</v>
      </c>
      <c r="BU512" t="n">
        <v>0</v>
      </c>
      <c r="BV512" t="n">
        <v>0</v>
      </c>
      <c r="BW512" t="n">
        <v>0</v>
      </c>
      <c r="BX512" t="n">
        <v>0</v>
      </c>
      <c r="BY512" t="n">
        <v>0</v>
      </c>
      <c r="BZ512" t="n">
        <v>78</v>
      </c>
      <c r="CA512" t="n">
        <v>44</v>
      </c>
      <c r="CB512" t="n">
        <v>33</v>
      </c>
      <c r="CC512" t="n">
        <v>3</v>
      </c>
      <c r="CD512" t="n">
        <v>1</v>
      </c>
      <c r="CE512" t="n">
        <v>0</v>
      </c>
      <c r="CF512" t="n">
        <v>47</v>
      </c>
      <c r="CG512" t="n">
        <v>34</v>
      </c>
      <c r="CH512" t="n">
        <v>78</v>
      </c>
      <c r="CI512" t="n">
        <v>44</v>
      </c>
      <c r="CJ512" t="n">
        <v>33</v>
      </c>
      <c r="CK512" t="n">
        <v>3</v>
      </c>
      <c r="CL512" t="n">
        <v>1</v>
      </c>
      <c r="CM512" t="n">
        <v>0</v>
      </c>
      <c r="CN512" t="n">
        <v>47</v>
      </c>
      <c r="CO512" t="n">
        <v>34</v>
      </c>
      <c r="CP512" t="n">
        <v>0</v>
      </c>
      <c r="CQ512" t="n">
        <v>0</v>
      </c>
      <c r="CR512" t="n">
        <v>0</v>
      </c>
      <c r="CS512" t="n">
        <v>0</v>
      </c>
      <c r="CT512" t="n">
        <v>0</v>
      </c>
      <c r="CU512" t="n">
        <v>0</v>
      </c>
      <c r="CV512" t="n">
        <v>0</v>
      </c>
      <c r="CW512" t="n">
        <v>0</v>
      </c>
      <c r="CX512" t="n">
        <v>53.8</v>
      </c>
      <c r="CY512" t="n">
        <v>59.2</v>
      </c>
      <c r="CZ512" t="n">
        <v>69.2</v>
      </c>
      <c r="DA512" t="n">
        <v>82</v>
      </c>
      <c r="DB512" t="n">
        <v>45.6</v>
      </c>
      <c r="DC512" t="n">
        <v>57.9</v>
      </c>
      <c r="DD512" t="n">
        <v>61</v>
      </c>
      <c r="DE512" t="n">
        <v>73.59999999999999</v>
      </c>
      <c r="DF512" t="n">
        <v>53.8</v>
      </c>
      <c r="DG512" t="n">
        <v>59.2</v>
      </c>
      <c r="DH512" t="n">
        <v>69.2</v>
      </c>
      <c r="DI512" t="n">
        <v>82</v>
      </c>
      <c r="DJ512" t="n">
        <v>45.6</v>
      </c>
      <c r="DK512" t="n">
        <v>57.9</v>
      </c>
      <c r="DL512" t="n">
        <v>61</v>
      </c>
      <c r="DM512" t="n">
        <v>73.59999999999999</v>
      </c>
      <c r="DN512" t="n">
        <v>0</v>
      </c>
      <c r="DO512" t="n">
        <v>0</v>
      </c>
      <c r="DP512" t="n">
        <v>0</v>
      </c>
      <c r="DQ512" t="n">
        <v>0</v>
      </c>
      <c r="DR512" t="n">
        <v>0</v>
      </c>
      <c r="DS512" t="n">
        <v>0</v>
      </c>
      <c r="DT512" t="n">
        <v>0</v>
      </c>
      <c r="DU512" t="n">
        <v>0</v>
      </c>
      <c r="DV512" t="inlineStr">
        <is>
          <t>(0.1 Index Points)</t>
        </is>
      </c>
    </row>
    <row r="513">
      <c r="A513" t="inlineStr">
        <is>
          <t>COBALT - COMMODITY EXCHANGE INC.</t>
        </is>
      </c>
      <c r="B513" t="n">
        <v>230110</v>
      </c>
      <c r="C513" s="1" t="n">
        <v>44936</v>
      </c>
      <c r="D513" t="inlineStr">
        <is>
          <t>188691</t>
        </is>
      </c>
      <c r="E513" t="inlineStr">
        <is>
          <t xml:space="preserve">CMX </t>
        </is>
      </c>
      <c r="F513" t="inlineStr">
        <is>
          <t>01</t>
        </is>
      </c>
      <c r="G513" t="inlineStr">
        <is>
          <t xml:space="preserve">188 </t>
        </is>
      </c>
      <c r="H513" t="n">
        <v>13266</v>
      </c>
      <c r="I513" s="17" t="n">
        <v>7504</v>
      </c>
      <c r="J513" s="17" t="n">
        <v>9753</v>
      </c>
      <c r="K513" t="n">
        <v>43</v>
      </c>
      <c r="L513" t="n">
        <v>5637</v>
      </c>
      <c r="M513" t="n">
        <v>3417</v>
      </c>
      <c r="N513" t="n">
        <v>13184</v>
      </c>
      <c r="O513" t="n">
        <v>13213</v>
      </c>
      <c r="P513" t="n">
        <v>82</v>
      </c>
      <c r="Q513" t="n">
        <v>53</v>
      </c>
      <c r="R513" t="n">
        <v>13266</v>
      </c>
      <c r="S513" t="n">
        <v>7504</v>
      </c>
      <c r="T513" t="n">
        <v>9753</v>
      </c>
      <c r="U513" t="n">
        <v>43</v>
      </c>
      <c r="V513" t="n">
        <v>5637</v>
      </c>
      <c r="W513" t="n">
        <v>3417</v>
      </c>
      <c r="X513" t="n">
        <v>13184</v>
      </c>
      <c r="Y513" t="n">
        <v>13213</v>
      </c>
      <c r="Z513" t="n">
        <v>82</v>
      </c>
      <c r="AA513" t="n">
        <v>53</v>
      </c>
      <c r="AB513" t="n">
        <v>0</v>
      </c>
      <c r="AC513" t="n">
        <v>0</v>
      </c>
      <c r="AD513" t="n">
        <v>0</v>
      </c>
      <c r="AE513" t="n">
        <v>0</v>
      </c>
      <c r="AF513" t="n">
        <v>0</v>
      </c>
      <c r="AG513" t="n">
        <v>0</v>
      </c>
      <c r="AH513" t="n">
        <v>0</v>
      </c>
      <c r="AI513" t="n">
        <v>0</v>
      </c>
      <c r="AJ513" t="n">
        <v>0</v>
      </c>
      <c r="AK513" t="n">
        <v>0</v>
      </c>
      <c r="AL513" t="n">
        <v>493</v>
      </c>
      <c r="AM513" t="n">
        <v>248</v>
      </c>
      <c r="AN513" t="n">
        <v>448</v>
      </c>
      <c r="AO513" t="n">
        <v>0</v>
      </c>
      <c r="AP513" t="n">
        <v>235</v>
      </c>
      <c r="AQ513" t="n">
        <v>62</v>
      </c>
      <c r="AR513" t="n">
        <v>483</v>
      </c>
      <c r="AS513" t="n">
        <v>510</v>
      </c>
      <c r="AT513" t="n">
        <v>10</v>
      </c>
      <c r="AU513" t="n">
        <v>-17</v>
      </c>
      <c r="AV513" t="n">
        <v>100</v>
      </c>
      <c r="AW513" t="n">
        <v>56.6</v>
      </c>
      <c r="AX513" t="n">
        <v>73.5</v>
      </c>
      <c r="AY513" t="n">
        <v>0.3</v>
      </c>
      <c r="AZ513" t="n">
        <v>42.5</v>
      </c>
      <c r="BA513" t="n">
        <v>25.8</v>
      </c>
      <c r="BB513" t="n">
        <v>99.40000000000001</v>
      </c>
      <c r="BC513" t="n">
        <v>99.59999999999999</v>
      </c>
      <c r="BD513" t="n">
        <v>0.6</v>
      </c>
      <c r="BE513" t="n">
        <v>0.4</v>
      </c>
      <c r="BF513" t="n">
        <v>100</v>
      </c>
      <c r="BG513" t="n">
        <v>56.6</v>
      </c>
      <c r="BH513" t="n">
        <v>73.5</v>
      </c>
      <c r="BI513" t="n">
        <v>0.3</v>
      </c>
      <c r="BJ513" t="n">
        <v>42.5</v>
      </c>
      <c r="BK513" t="n">
        <v>25.8</v>
      </c>
      <c r="BL513" t="n">
        <v>99.40000000000001</v>
      </c>
      <c r="BM513" t="n">
        <v>99.59999999999999</v>
      </c>
      <c r="BN513" t="n">
        <v>0.6</v>
      </c>
      <c r="BO513" t="n">
        <v>0.4</v>
      </c>
      <c r="BP513" t="n">
        <v>0</v>
      </c>
      <c r="BQ513" t="n">
        <v>0</v>
      </c>
      <c r="BR513" t="n">
        <v>0</v>
      </c>
      <c r="BS513" t="n">
        <v>0</v>
      </c>
      <c r="BT513" t="n">
        <v>0</v>
      </c>
      <c r="BU513" t="n">
        <v>0</v>
      </c>
      <c r="BV513" t="n">
        <v>0</v>
      </c>
      <c r="BW513" t="n">
        <v>0</v>
      </c>
      <c r="BX513" t="n">
        <v>0</v>
      </c>
      <c r="BY513" t="n">
        <v>0</v>
      </c>
      <c r="BZ513" t="n">
        <v>20</v>
      </c>
      <c r="CA513" t="n">
        <v>5</v>
      </c>
      <c r="CB513" t="n">
        <v>8</v>
      </c>
      <c r="CC513" t="n">
        <v>2</v>
      </c>
      <c r="CD513" t="n">
        <v>5</v>
      </c>
      <c r="CE513" t="n">
        <v>2</v>
      </c>
      <c r="CF513" t="n">
        <v>10</v>
      </c>
      <c r="CG513" t="n">
        <v>12</v>
      </c>
      <c r="CH513" t="n">
        <v>20</v>
      </c>
      <c r="CI513" t="n">
        <v>5</v>
      </c>
      <c r="CJ513" t="n">
        <v>8</v>
      </c>
      <c r="CK513" t="n">
        <v>2</v>
      </c>
      <c r="CL513" t="n">
        <v>5</v>
      </c>
      <c r="CM513" t="n">
        <v>2</v>
      </c>
      <c r="CN513" t="n">
        <v>10</v>
      </c>
      <c r="CO513" t="n">
        <v>12</v>
      </c>
      <c r="CP513" t="n">
        <v>0</v>
      </c>
      <c r="CQ513" t="n">
        <v>0</v>
      </c>
      <c r="CR513" t="n">
        <v>0</v>
      </c>
      <c r="CS513" t="n">
        <v>0</v>
      </c>
      <c r="CT513" t="n">
        <v>0</v>
      </c>
      <c r="CU513" t="n">
        <v>0</v>
      </c>
      <c r="CV513" t="n">
        <v>0</v>
      </c>
      <c r="CW513" t="n">
        <v>0</v>
      </c>
      <c r="CX513" t="n">
        <v>79.59999999999999</v>
      </c>
      <c r="CY513" t="n">
        <v>90.3</v>
      </c>
      <c r="CZ513" t="n">
        <v>98.7</v>
      </c>
      <c r="DA513" t="n">
        <v>98.8</v>
      </c>
      <c r="DB513" t="n">
        <v>79.3</v>
      </c>
      <c r="DC513" t="n">
        <v>90.3</v>
      </c>
      <c r="DD513" t="n">
        <v>98.40000000000001</v>
      </c>
      <c r="DE513" t="n">
        <v>98.8</v>
      </c>
      <c r="DF513" t="n">
        <v>79.59999999999999</v>
      </c>
      <c r="DG513" t="n">
        <v>90.3</v>
      </c>
      <c r="DH513" t="n">
        <v>98.7</v>
      </c>
      <c r="DI513" t="n">
        <v>98.8</v>
      </c>
      <c r="DJ513" t="n">
        <v>79.3</v>
      </c>
      <c r="DK513" t="n">
        <v>90.3</v>
      </c>
      <c r="DL513" t="n">
        <v>98.40000000000001</v>
      </c>
      <c r="DM513" t="n">
        <v>98.8</v>
      </c>
      <c r="DN513" t="n">
        <v>0</v>
      </c>
      <c r="DO513" t="n">
        <v>0</v>
      </c>
      <c r="DP513" t="n">
        <v>0</v>
      </c>
      <c r="DQ513" t="n">
        <v>0</v>
      </c>
      <c r="DR513" t="n">
        <v>0</v>
      </c>
      <c r="DS513" t="n">
        <v>0</v>
      </c>
      <c r="DT513" t="n">
        <v>0</v>
      </c>
      <c r="DU513" t="n">
        <v>0</v>
      </c>
      <c r="DV513" t="inlineStr">
        <is>
          <t>2,204.62 pounds (1 Metric Ton)</t>
        </is>
      </c>
    </row>
    <row r="514">
      <c r="A514" t="inlineStr">
        <is>
          <t>COBALT - COMMODITY EXCHANGE INC.</t>
        </is>
      </c>
      <c r="B514" t="n">
        <v>230103</v>
      </c>
      <c r="C514" s="1" t="n">
        <v>44929</v>
      </c>
      <c r="D514" t="inlineStr">
        <is>
          <t>188691</t>
        </is>
      </c>
      <c r="E514" t="inlineStr">
        <is>
          <t xml:space="preserve">CMX </t>
        </is>
      </c>
      <c r="F514" t="inlineStr">
        <is>
          <t>01</t>
        </is>
      </c>
      <c r="G514" t="inlineStr">
        <is>
          <t xml:space="preserve">188 </t>
        </is>
      </c>
      <c r="H514" t="n">
        <v>12773</v>
      </c>
      <c r="I514" s="17" t="n">
        <v>7256</v>
      </c>
      <c r="J514" s="17" t="n">
        <v>9305</v>
      </c>
      <c r="K514" t="n">
        <v>43</v>
      </c>
      <c r="L514" t="n">
        <v>5402</v>
      </c>
      <c r="M514" t="n">
        <v>3355</v>
      </c>
      <c r="N514" t="n">
        <v>12701</v>
      </c>
      <c r="O514" t="n">
        <v>12703</v>
      </c>
      <c r="P514" t="n">
        <v>72</v>
      </c>
      <c r="Q514" t="n">
        <v>70</v>
      </c>
      <c r="R514" t="n">
        <v>12773</v>
      </c>
      <c r="S514" t="n">
        <v>7256</v>
      </c>
      <c r="T514" t="n">
        <v>9305</v>
      </c>
      <c r="U514" t="n">
        <v>43</v>
      </c>
      <c r="V514" t="n">
        <v>5402</v>
      </c>
      <c r="W514" t="n">
        <v>3355</v>
      </c>
      <c r="X514" t="n">
        <v>12701</v>
      </c>
      <c r="Y514" t="n">
        <v>12703</v>
      </c>
      <c r="Z514" t="n">
        <v>72</v>
      </c>
      <c r="AA514" t="n">
        <v>70</v>
      </c>
      <c r="AB514" t="n">
        <v>0</v>
      </c>
      <c r="AC514" t="n">
        <v>0</v>
      </c>
      <c r="AD514" t="n">
        <v>0</v>
      </c>
      <c r="AE514" t="n">
        <v>0</v>
      </c>
      <c r="AF514" t="n">
        <v>0</v>
      </c>
      <c r="AG514" t="n">
        <v>0</v>
      </c>
      <c r="AH514" t="n">
        <v>0</v>
      </c>
      <c r="AI514" t="n">
        <v>0</v>
      </c>
      <c r="AJ514" t="n">
        <v>0</v>
      </c>
      <c r="AK514" t="n">
        <v>0</v>
      </c>
      <c r="AL514" t="n">
        <v>733</v>
      </c>
      <c r="AM514" t="n">
        <v>295</v>
      </c>
      <c r="AN514" t="n">
        <v>654</v>
      </c>
      <c r="AO514" t="n">
        <v>0</v>
      </c>
      <c r="AP514" t="n">
        <v>443</v>
      </c>
      <c r="AQ514" t="n">
        <v>105</v>
      </c>
      <c r="AR514" t="n">
        <v>738</v>
      </c>
      <c r="AS514" t="n">
        <v>759</v>
      </c>
      <c r="AT514" t="n">
        <v>-5</v>
      </c>
      <c r="AU514" t="n">
        <v>-26</v>
      </c>
      <c r="AV514" t="n">
        <v>100</v>
      </c>
      <c r="AW514" t="n">
        <v>56.8</v>
      </c>
      <c r="AX514" t="n">
        <v>72.8</v>
      </c>
      <c r="AY514" t="n">
        <v>0.3</v>
      </c>
      <c r="AZ514" t="n">
        <v>42.3</v>
      </c>
      <c r="BA514" t="n">
        <v>26.3</v>
      </c>
      <c r="BB514" t="n">
        <v>99.40000000000001</v>
      </c>
      <c r="BC514" t="n">
        <v>99.5</v>
      </c>
      <c r="BD514" t="n">
        <v>0.6</v>
      </c>
      <c r="BE514" t="n">
        <v>0.5</v>
      </c>
      <c r="BF514" t="n">
        <v>100</v>
      </c>
      <c r="BG514" t="n">
        <v>56.8</v>
      </c>
      <c r="BH514" t="n">
        <v>72.8</v>
      </c>
      <c r="BI514" t="n">
        <v>0.3</v>
      </c>
      <c r="BJ514" t="n">
        <v>42.3</v>
      </c>
      <c r="BK514" t="n">
        <v>26.3</v>
      </c>
      <c r="BL514" t="n">
        <v>99.40000000000001</v>
      </c>
      <c r="BM514" t="n">
        <v>99.5</v>
      </c>
      <c r="BN514" t="n">
        <v>0.6</v>
      </c>
      <c r="BO514" t="n">
        <v>0.5</v>
      </c>
      <c r="BP514" t="n">
        <v>0</v>
      </c>
      <c r="BQ514" t="n">
        <v>0</v>
      </c>
      <c r="BR514" t="n">
        <v>0</v>
      </c>
      <c r="BS514" t="n">
        <v>0</v>
      </c>
      <c r="BT514" t="n">
        <v>0</v>
      </c>
      <c r="BU514" t="n">
        <v>0</v>
      </c>
      <c r="BV514" t="n">
        <v>0</v>
      </c>
      <c r="BW514" t="n">
        <v>0</v>
      </c>
      <c r="BX514" t="n">
        <v>0</v>
      </c>
      <c r="BY514" t="n">
        <v>0</v>
      </c>
      <c r="BZ514" t="n">
        <v>21</v>
      </c>
      <c r="CA514" t="n">
        <v>6</v>
      </c>
      <c r="CB514" t="n">
        <v>8</v>
      </c>
      <c r="CC514" t="n">
        <v>2</v>
      </c>
      <c r="CD514" t="n">
        <v>5</v>
      </c>
      <c r="CE514" t="n">
        <v>2</v>
      </c>
      <c r="CF514" t="n">
        <v>11</v>
      </c>
      <c r="CG514" t="n">
        <v>12</v>
      </c>
      <c r="CH514" t="n">
        <v>21</v>
      </c>
      <c r="CI514" t="n">
        <v>6</v>
      </c>
      <c r="CJ514" t="n">
        <v>8</v>
      </c>
      <c r="CK514" t="n">
        <v>2</v>
      </c>
      <c r="CL514" t="n">
        <v>5</v>
      </c>
      <c r="CM514" t="n">
        <v>2</v>
      </c>
      <c r="CN514" t="n">
        <v>11</v>
      </c>
      <c r="CO514" t="n">
        <v>12</v>
      </c>
      <c r="CP514" t="n">
        <v>0</v>
      </c>
      <c r="CQ514" t="n">
        <v>0</v>
      </c>
      <c r="CR514" t="n">
        <v>0</v>
      </c>
      <c r="CS514" t="n">
        <v>0</v>
      </c>
      <c r="CT514" t="n">
        <v>0</v>
      </c>
      <c r="CU514" t="n">
        <v>0</v>
      </c>
      <c r="CV514" t="n">
        <v>0</v>
      </c>
      <c r="CW514" t="n">
        <v>0</v>
      </c>
      <c r="CX514" t="n">
        <v>78.59999999999999</v>
      </c>
      <c r="CY514" t="n">
        <v>89.7</v>
      </c>
      <c r="CZ514" t="n">
        <v>98.7</v>
      </c>
      <c r="DA514" t="n">
        <v>98.7</v>
      </c>
      <c r="DB514" t="n">
        <v>78.3</v>
      </c>
      <c r="DC514" t="n">
        <v>89.7</v>
      </c>
      <c r="DD514" t="n">
        <v>98.3</v>
      </c>
      <c r="DE514" t="n">
        <v>98.7</v>
      </c>
      <c r="DF514" t="n">
        <v>78.59999999999999</v>
      </c>
      <c r="DG514" t="n">
        <v>89.7</v>
      </c>
      <c r="DH514" t="n">
        <v>98.7</v>
      </c>
      <c r="DI514" t="n">
        <v>98.7</v>
      </c>
      <c r="DJ514" t="n">
        <v>78.3</v>
      </c>
      <c r="DK514" t="n">
        <v>89.7</v>
      </c>
      <c r="DL514" t="n">
        <v>98.3</v>
      </c>
      <c r="DM514" t="n">
        <v>98.7</v>
      </c>
      <c r="DN514" t="n">
        <v>0</v>
      </c>
      <c r="DO514" t="n">
        <v>0</v>
      </c>
      <c r="DP514" t="n">
        <v>0</v>
      </c>
      <c r="DQ514" t="n">
        <v>0</v>
      </c>
      <c r="DR514" t="n">
        <v>0</v>
      </c>
      <c r="DS514" t="n">
        <v>0</v>
      </c>
      <c r="DT514" t="n">
        <v>0</v>
      </c>
      <c r="DU514" t="n">
        <v>0</v>
      </c>
      <c r="DV514" t="inlineStr">
        <is>
          <t>2,204.62 pounds (1 Metric Ton)</t>
        </is>
      </c>
    </row>
    <row r="515">
      <c r="A515" t="inlineStr">
        <is>
          <t>ALUMINUM MWP - COMMODITY EXCHANGE INC.</t>
        </is>
      </c>
      <c r="B515" t="n">
        <v>230110</v>
      </c>
      <c r="C515" s="1" t="n">
        <v>44936</v>
      </c>
      <c r="D515" t="inlineStr">
        <is>
          <t>191693</t>
        </is>
      </c>
      <c r="E515" t="inlineStr">
        <is>
          <t xml:space="preserve">CMX </t>
        </is>
      </c>
      <c r="F515" t="inlineStr">
        <is>
          <t>01</t>
        </is>
      </c>
      <c r="G515" t="inlineStr">
        <is>
          <t xml:space="preserve">191 </t>
        </is>
      </c>
      <c r="H515" t="n">
        <v>26346</v>
      </c>
      <c r="I515" s="17" t="n">
        <v>5564</v>
      </c>
      <c r="J515" s="17" t="n">
        <v>354</v>
      </c>
      <c r="K515" t="n">
        <v>542</v>
      </c>
      <c r="L515" t="n">
        <v>20015</v>
      </c>
      <c r="M515" t="n">
        <v>25223</v>
      </c>
      <c r="N515" t="n">
        <v>26121</v>
      </c>
      <c r="O515" t="n">
        <v>26119</v>
      </c>
      <c r="P515" t="n">
        <v>225</v>
      </c>
      <c r="Q515" t="n">
        <v>227</v>
      </c>
      <c r="R515" t="n">
        <v>26346</v>
      </c>
      <c r="S515" t="n">
        <v>5564</v>
      </c>
      <c r="T515" t="n">
        <v>354</v>
      </c>
      <c r="U515" t="n">
        <v>542</v>
      </c>
      <c r="V515" t="n">
        <v>20015</v>
      </c>
      <c r="W515" t="n">
        <v>25223</v>
      </c>
      <c r="X515" t="n">
        <v>26121</v>
      </c>
      <c r="Y515" t="n">
        <v>26119</v>
      </c>
      <c r="Z515" t="n">
        <v>225</v>
      </c>
      <c r="AA515" t="n">
        <v>227</v>
      </c>
      <c r="AB515" t="n">
        <v>0</v>
      </c>
      <c r="AC515" t="n">
        <v>0</v>
      </c>
      <c r="AD515" t="n">
        <v>0</v>
      </c>
      <c r="AE515" t="n">
        <v>0</v>
      </c>
      <c r="AF515" t="n">
        <v>0</v>
      </c>
      <c r="AG515" t="n">
        <v>0</v>
      </c>
      <c r="AH515" t="n">
        <v>0</v>
      </c>
      <c r="AI515" t="n">
        <v>0</v>
      </c>
      <c r="AJ515" t="n">
        <v>0</v>
      </c>
      <c r="AK515" t="n">
        <v>0</v>
      </c>
      <c r="AL515" t="n">
        <v>-2560</v>
      </c>
      <c r="AM515" t="n">
        <v>-576</v>
      </c>
      <c r="AN515" t="n">
        <v>-459</v>
      </c>
      <c r="AO515" t="n">
        <v>-14</v>
      </c>
      <c r="AP515" t="n">
        <v>-1920</v>
      </c>
      <c r="AQ515" t="n">
        <v>-2222</v>
      </c>
      <c r="AR515" t="n">
        <v>-2510</v>
      </c>
      <c r="AS515" t="n">
        <v>-2695</v>
      </c>
      <c r="AT515" t="n">
        <v>-50</v>
      </c>
      <c r="AU515" t="n">
        <v>135</v>
      </c>
      <c r="AV515" t="n">
        <v>100</v>
      </c>
      <c r="AW515" t="n">
        <v>21.1</v>
      </c>
      <c r="AX515" t="n">
        <v>1.3</v>
      </c>
      <c r="AY515" t="n">
        <v>2.1</v>
      </c>
      <c r="AZ515" t="n">
        <v>76</v>
      </c>
      <c r="BA515" t="n">
        <v>95.7</v>
      </c>
      <c r="BB515" t="n">
        <v>99.09999999999999</v>
      </c>
      <c r="BC515" t="n">
        <v>99.09999999999999</v>
      </c>
      <c r="BD515" t="n">
        <v>0.9</v>
      </c>
      <c r="BE515" t="n">
        <v>0.9</v>
      </c>
      <c r="BF515" t="n">
        <v>100</v>
      </c>
      <c r="BG515" t="n">
        <v>21.1</v>
      </c>
      <c r="BH515" t="n">
        <v>1.3</v>
      </c>
      <c r="BI515" t="n">
        <v>2.1</v>
      </c>
      <c r="BJ515" t="n">
        <v>76</v>
      </c>
      <c r="BK515" t="n">
        <v>95.7</v>
      </c>
      <c r="BL515" t="n">
        <v>99.09999999999999</v>
      </c>
      <c r="BM515" t="n">
        <v>99.09999999999999</v>
      </c>
      <c r="BN515" t="n">
        <v>0.9</v>
      </c>
      <c r="BO515" t="n">
        <v>0.9</v>
      </c>
      <c r="BP515" t="n">
        <v>0</v>
      </c>
      <c r="BQ515" t="n">
        <v>0</v>
      </c>
      <c r="BR515" t="n">
        <v>0</v>
      </c>
      <c r="BS515" t="n">
        <v>0</v>
      </c>
      <c r="BT515" t="n">
        <v>0</v>
      </c>
      <c r="BU515" t="n">
        <v>0</v>
      </c>
      <c r="BV515" t="n">
        <v>0</v>
      </c>
      <c r="BW515" t="n">
        <v>0</v>
      </c>
      <c r="BX515" t="n">
        <v>0</v>
      </c>
      <c r="BY515" t="n">
        <v>0</v>
      </c>
      <c r="BZ515" t="n">
        <v>33</v>
      </c>
      <c r="CA515" t="n">
        <v>4</v>
      </c>
      <c r="CB515" t="n">
        <v>2</v>
      </c>
      <c r="CC515" t="n">
        <v>1</v>
      </c>
      <c r="CD515" t="n">
        <v>17</v>
      </c>
      <c r="CE515" t="n">
        <v>17</v>
      </c>
      <c r="CF515" t="n">
        <v>21</v>
      </c>
      <c r="CG515" t="n">
        <v>20</v>
      </c>
      <c r="CH515" t="n">
        <v>33</v>
      </c>
      <c r="CI515" t="n">
        <v>4</v>
      </c>
      <c r="CJ515" t="n">
        <v>2</v>
      </c>
      <c r="CK515" t="n">
        <v>1</v>
      </c>
      <c r="CL515" t="n">
        <v>17</v>
      </c>
      <c r="CM515" t="n">
        <v>17</v>
      </c>
      <c r="CN515" t="n">
        <v>21</v>
      </c>
      <c r="CO515" t="n">
        <v>20</v>
      </c>
      <c r="CP515" t="n">
        <v>0</v>
      </c>
      <c r="CQ515" t="n">
        <v>0</v>
      </c>
      <c r="CR515" t="n">
        <v>0</v>
      </c>
      <c r="CS515" t="n">
        <v>0</v>
      </c>
      <c r="CT515" t="n">
        <v>0</v>
      </c>
      <c r="CU515" t="n">
        <v>0</v>
      </c>
      <c r="CV515" t="n">
        <v>0</v>
      </c>
      <c r="CW515" t="n">
        <v>0</v>
      </c>
      <c r="CX515" t="n">
        <v>53.8</v>
      </c>
      <c r="CY515" t="n">
        <v>66.2</v>
      </c>
      <c r="CZ515" t="n">
        <v>73.8</v>
      </c>
      <c r="DA515" t="n">
        <v>87.5</v>
      </c>
      <c r="DB515" t="n">
        <v>51.7</v>
      </c>
      <c r="DC515" t="n">
        <v>63.9</v>
      </c>
      <c r="DD515" t="n">
        <v>70.59999999999999</v>
      </c>
      <c r="DE515" t="n">
        <v>85.2</v>
      </c>
      <c r="DF515" t="n">
        <v>53.8</v>
      </c>
      <c r="DG515" t="n">
        <v>66.2</v>
      </c>
      <c r="DH515" t="n">
        <v>73.8</v>
      </c>
      <c r="DI515" t="n">
        <v>87.5</v>
      </c>
      <c r="DJ515" t="n">
        <v>51.7</v>
      </c>
      <c r="DK515" t="n">
        <v>63.9</v>
      </c>
      <c r="DL515" t="n">
        <v>70.59999999999999</v>
      </c>
      <c r="DM515" t="n">
        <v>85.2</v>
      </c>
      <c r="DN515" t="n">
        <v>0</v>
      </c>
      <c r="DO515" t="n">
        <v>0</v>
      </c>
      <c r="DP515" t="n">
        <v>0</v>
      </c>
      <c r="DQ515" t="n">
        <v>0</v>
      </c>
      <c r="DR515" t="n">
        <v>0</v>
      </c>
      <c r="DS515" t="n">
        <v>0</v>
      </c>
      <c r="DT515" t="n">
        <v>0</v>
      </c>
      <c r="DU515" t="n">
        <v>0</v>
      </c>
      <c r="DV515" t="inlineStr">
        <is>
          <t>(55,116 US Pounds-25 MT)</t>
        </is>
      </c>
    </row>
    <row r="516">
      <c r="A516" t="inlineStr">
        <is>
          <t>ALUMINUM MWP - COMMODITY EXCHANGE INC.</t>
        </is>
      </c>
      <c r="B516" t="n">
        <v>230103</v>
      </c>
      <c r="C516" s="1" t="n">
        <v>44929</v>
      </c>
      <c r="D516" t="inlineStr">
        <is>
          <t>191693</t>
        </is>
      </c>
      <c r="E516" t="inlineStr">
        <is>
          <t xml:space="preserve">CMX </t>
        </is>
      </c>
      <c r="F516" t="inlineStr">
        <is>
          <t>01</t>
        </is>
      </c>
      <c r="G516" t="inlineStr">
        <is>
          <t xml:space="preserve">191 </t>
        </is>
      </c>
      <c r="H516" t="n">
        <v>28906</v>
      </c>
      <c r="I516" s="17" t="n">
        <v>6140</v>
      </c>
      <c r="J516" s="17" t="n">
        <v>813</v>
      </c>
      <c r="K516" t="n">
        <v>556</v>
      </c>
      <c r="L516" t="n">
        <v>21935</v>
      </c>
      <c r="M516" t="n">
        <v>27445</v>
      </c>
      <c r="N516" t="n">
        <v>28631</v>
      </c>
      <c r="O516" t="n">
        <v>28814</v>
      </c>
      <c r="P516" t="n">
        <v>275</v>
      </c>
      <c r="Q516" t="n">
        <v>92</v>
      </c>
      <c r="R516" t="n">
        <v>28906</v>
      </c>
      <c r="S516" t="n">
        <v>6140</v>
      </c>
      <c r="T516" t="n">
        <v>813</v>
      </c>
      <c r="U516" t="n">
        <v>556</v>
      </c>
      <c r="V516" t="n">
        <v>21935</v>
      </c>
      <c r="W516" t="n">
        <v>27445</v>
      </c>
      <c r="X516" t="n">
        <v>28631</v>
      </c>
      <c r="Y516" t="n">
        <v>28814</v>
      </c>
      <c r="Z516" t="n">
        <v>275</v>
      </c>
      <c r="AA516" t="n">
        <v>92</v>
      </c>
      <c r="AB516" t="n">
        <v>0</v>
      </c>
      <c r="AC516" t="n">
        <v>0</v>
      </c>
      <c r="AD516" t="n">
        <v>0</v>
      </c>
      <c r="AE516" t="n">
        <v>0</v>
      </c>
      <c r="AF516" t="n">
        <v>0</v>
      </c>
      <c r="AG516" t="n">
        <v>0</v>
      </c>
      <c r="AH516" t="n">
        <v>0</v>
      </c>
      <c r="AI516" t="n">
        <v>0</v>
      </c>
      <c r="AJ516" t="n">
        <v>0</v>
      </c>
      <c r="AK516" t="n">
        <v>0</v>
      </c>
      <c r="AL516" t="n">
        <v>361</v>
      </c>
      <c r="AM516" t="n">
        <v>60</v>
      </c>
      <c r="AN516" t="n">
        <v>-250</v>
      </c>
      <c r="AO516" t="n">
        <v>0</v>
      </c>
      <c r="AP516" t="n">
        <v>301</v>
      </c>
      <c r="AQ516" t="n">
        <v>611</v>
      </c>
      <c r="AR516" t="n">
        <v>361</v>
      </c>
      <c r="AS516" t="n">
        <v>361</v>
      </c>
      <c r="AT516" t="n">
        <v>0</v>
      </c>
      <c r="AU516" t="n">
        <v>0</v>
      </c>
      <c r="AV516" t="n">
        <v>100</v>
      </c>
      <c r="AW516" t="n">
        <v>21.2</v>
      </c>
      <c r="AX516" t="n">
        <v>2.8</v>
      </c>
      <c r="AY516" t="n">
        <v>1.9</v>
      </c>
      <c r="AZ516" t="n">
        <v>75.90000000000001</v>
      </c>
      <c r="BA516" t="n">
        <v>94.90000000000001</v>
      </c>
      <c r="BB516" t="n">
        <v>99</v>
      </c>
      <c r="BC516" t="n">
        <v>99.7</v>
      </c>
      <c r="BD516" t="n">
        <v>1</v>
      </c>
      <c r="BE516" t="n">
        <v>0.3</v>
      </c>
      <c r="BF516" t="n">
        <v>100</v>
      </c>
      <c r="BG516" t="n">
        <v>21.2</v>
      </c>
      <c r="BH516" t="n">
        <v>2.8</v>
      </c>
      <c r="BI516" t="n">
        <v>1.9</v>
      </c>
      <c r="BJ516" t="n">
        <v>75.90000000000001</v>
      </c>
      <c r="BK516" t="n">
        <v>94.90000000000001</v>
      </c>
      <c r="BL516" t="n">
        <v>99</v>
      </c>
      <c r="BM516" t="n">
        <v>99.7</v>
      </c>
      <c r="BN516" t="n">
        <v>1</v>
      </c>
      <c r="BO516" t="n">
        <v>0.3</v>
      </c>
      <c r="BP516" t="n">
        <v>0</v>
      </c>
      <c r="BQ516" t="n">
        <v>0</v>
      </c>
      <c r="BR516" t="n">
        <v>0</v>
      </c>
      <c r="BS516" t="n">
        <v>0</v>
      </c>
      <c r="BT516" t="n">
        <v>0</v>
      </c>
      <c r="BU516" t="n">
        <v>0</v>
      </c>
      <c r="BV516" t="n">
        <v>0</v>
      </c>
      <c r="BW516" t="n">
        <v>0</v>
      </c>
      <c r="BX516" t="n">
        <v>0</v>
      </c>
      <c r="BY516" t="n">
        <v>0</v>
      </c>
      <c r="BZ516" t="n">
        <v>35</v>
      </c>
      <c r="CA516" t="n">
        <v>4</v>
      </c>
      <c r="CB516" t="n">
        <v>4</v>
      </c>
      <c r="CC516" t="n">
        <v>2</v>
      </c>
      <c r="CD516" t="n">
        <v>18</v>
      </c>
      <c r="CE516" t="n">
        <v>17</v>
      </c>
      <c r="CF516" t="n">
        <v>23</v>
      </c>
      <c r="CG516" t="n">
        <v>22</v>
      </c>
      <c r="CH516" t="n">
        <v>35</v>
      </c>
      <c r="CI516" t="n">
        <v>4</v>
      </c>
      <c r="CJ516" t="n">
        <v>4</v>
      </c>
      <c r="CK516" t="n">
        <v>2</v>
      </c>
      <c r="CL516" t="n">
        <v>18</v>
      </c>
      <c r="CM516" t="n">
        <v>17</v>
      </c>
      <c r="CN516" t="n">
        <v>23</v>
      </c>
      <c r="CO516" t="n">
        <v>22</v>
      </c>
      <c r="CP516" t="n">
        <v>0</v>
      </c>
      <c r="CQ516" t="n">
        <v>0</v>
      </c>
      <c r="CR516" t="n">
        <v>0</v>
      </c>
      <c r="CS516" t="n">
        <v>0</v>
      </c>
      <c r="CT516" t="n">
        <v>0</v>
      </c>
      <c r="CU516" t="n">
        <v>0</v>
      </c>
      <c r="CV516" t="n">
        <v>0</v>
      </c>
      <c r="CW516" t="n">
        <v>0</v>
      </c>
      <c r="CX516" t="n">
        <v>51.8</v>
      </c>
      <c r="CY516" t="n">
        <v>63.7</v>
      </c>
      <c r="CZ516" t="n">
        <v>73</v>
      </c>
      <c r="DA516" t="n">
        <v>85.90000000000001</v>
      </c>
      <c r="DB516" t="n">
        <v>50</v>
      </c>
      <c r="DC516" t="n">
        <v>61.6</v>
      </c>
      <c r="DD516" t="n">
        <v>70.40000000000001</v>
      </c>
      <c r="DE516" t="n">
        <v>83.2</v>
      </c>
      <c r="DF516" t="n">
        <v>51.8</v>
      </c>
      <c r="DG516" t="n">
        <v>63.7</v>
      </c>
      <c r="DH516" t="n">
        <v>73</v>
      </c>
      <c r="DI516" t="n">
        <v>85.90000000000001</v>
      </c>
      <c r="DJ516" t="n">
        <v>50</v>
      </c>
      <c r="DK516" t="n">
        <v>61.6</v>
      </c>
      <c r="DL516" t="n">
        <v>70.40000000000001</v>
      </c>
      <c r="DM516" t="n">
        <v>83.2</v>
      </c>
      <c r="DN516" t="n">
        <v>0</v>
      </c>
      <c r="DO516" t="n">
        <v>0</v>
      </c>
      <c r="DP516" t="n">
        <v>0</v>
      </c>
      <c r="DQ516" t="n">
        <v>0</v>
      </c>
      <c r="DR516" t="n">
        <v>0</v>
      </c>
      <c r="DS516" t="n">
        <v>0</v>
      </c>
      <c r="DT516" t="n">
        <v>0</v>
      </c>
      <c r="DU516" t="n">
        <v>0</v>
      </c>
      <c r="DV516" t="inlineStr">
        <is>
          <t>(55,116 US Pounds-25 MT)</t>
        </is>
      </c>
    </row>
    <row r="517">
      <c r="A517" t="inlineStr">
        <is>
          <t>ALUMINIUM EURO PREM DUTY-PAID - COMMODITY EXCHANGE INC.</t>
        </is>
      </c>
      <c r="B517" t="n">
        <v>230103</v>
      </c>
      <c r="C517" s="1" t="n">
        <v>44929</v>
      </c>
      <c r="D517" t="inlineStr">
        <is>
          <t>191696</t>
        </is>
      </c>
      <c r="E517" t="inlineStr">
        <is>
          <t xml:space="preserve">CMX </t>
        </is>
      </c>
      <c r="F517" t="inlineStr">
        <is>
          <t>01</t>
        </is>
      </c>
      <c r="G517" t="inlineStr">
        <is>
          <t xml:space="preserve">191 </t>
        </is>
      </c>
      <c r="H517" t="n">
        <v>20649</v>
      </c>
      <c r="I517" s="17" t="n">
        <v>945</v>
      </c>
      <c r="J517" s="17" t="n">
        <v>411</v>
      </c>
      <c r="K517" t="n">
        <v>69</v>
      </c>
      <c r="L517" t="n">
        <v>19413</v>
      </c>
      <c r="M517" t="n">
        <v>20068</v>
      </c>
      <c r="N517" t="n">
        <v>20427</v>
      </c>
      <c r="O517" t="n">
        <v>20548</v>
      </c>
      <c r="P517" t="n">
        <v>222</v>
      </c>
      <c r="Q517" t="n">
        <v>101</v>
      </c>
      <c r="R517" t="n">
        <v>20649</v>
      </c>
      <c r="S517" t="n">
        <v>945</v>
      </c>
      <c r="T517" t="n">
        <v>411</v>
      </c>
      <c r="U517" t="n">
        <v>69</v>
      </c>
      <c r="V517" t="n">
        <v>19413</v>
      </c>
      <c r="W517" t="n">
        <v>20068</v>
      </c>
      <c r="X517" t="n">
        <v>20427</v>
      </c>
      <c r="Y517" t="n">
        <v>20548</v>
      </c>
      <c r="Z517" t="n">
        <v>222</v>
      </c>
      <c r="AA517" t="n">
        <v>101</v>
      </c>
      <c r="AB517" t="n">
        <v>0</v>
      </c>
      <c r="AC517" t="n">
        <v>0</v>
      </c>
      <c r="AD517" t="n">
        <v>0</v>
      </c>
      <c r="AE517" t="n">
        <v>0</v>
      </c>
      <c r="AF517" t="n">
        <v>0</v>
      </c>
      <c r="AG517" t="n">
        <v>0</v>
      </c>
      <c r="AH517" t="n">
        <v>0</v>
      </c>
      <c r="AI517" t="n">
        <v>0</v>
      </c>
      <c r="AJ517" t="n">
        <v>0</v>
      </c>
      <c r="AK517" t="n">
        <v>0</v>
      </c>
      <c r="AL517" t="n">
        <v>944</v>
      </c>
      <c r="AM517" t="n">
        <v>0</v>
      </c>
      <c r="AN517" t="n">
        <v>0</v>
      </c>
      <c r="AO517" t="n">
        <v>0</v>
      </c>
      <c r="AP517" t="n">
        <v>860</v>
      </c>
      <c r="AQ517" t="n">
        <v>920</v>
      </c>
      <c r="AR517" t="n">
        <v>860</v>
      </c>
      <c r="AS517" t="n">
        <v>920</v>
      </c>
      <c r="AT517" t="n">
        <v>84</v>
      </c>
      <c r="AU517" t="n">
        <v>24</v>
      </c>
      <c r="AV517" t="n">
        <v>100</v>
      </c>
      <c r="AW517" t="n">
        <v>4.6</v>
      </c>
      <c r="AX517" t="n">
        <v>2</v>
      </c>
      <c r="AY517" t="n">
        <v>0.3</v>
      </c>
      <c r="AZ517" t="n">
        <v>94</v>
      </c>
      <c r="BA517" t="n">
        <v>97.2</v>
      </c>
      <c r="BB517" t="n">
        <v>98.90000000000001</v>
      </c>
      <c r="BC517" t="n">
        <v>99.5</v>
      </c>
      <c r="BD517" t="n">
        <v>1.1</v>
      </c>
      <c r="BE517" t="n">
        <v>0.5</v>
      </c>
      <c r="BF517" t="n">
        <v>100</v>
      </c>
      <c r="BG517" t="n">
        <v>4.6</v>
      </c>
      <c r="BH517" t="n">
        <v>2</v>
      </c>
      <c r="BI517" t="n">
        <v>0.3</v>
      </c>
      <c r="BJ517" t="n">
        <v>94</v>
      </c>
      <c r="BK517" t="n">
        <v>97.2</v>
      </c>
      <c r="BL517" t="n">
        <v>98.90000000000001</v>
      </c>
      <c r="BM517" t="n">
        <v>99.5</v>
      </c>
      <c r="BN517" t="n">
        <v>1.1</v>
      </c>
      <c r="BO517" t="n">
        <v>0.5</v>
      </c>
      <c r="BP517" t="n">
        <v>0</v>
      </c>
      <c r="BQ517" t="n">
        <v>0</v>
      </c>
      <c r="BR517" t="n">
        <v>0</v>
      </c>
      <c r="BS517" t="n">
        <v>0</v>
      </c>
      <c r="BT517" t="n">
        <v>0</v>
      </c>
      <c r="BU517" t="n">
        <v>0</v>
      </c>
      <c r="BV517" t="n">
        <v>0</v>
      </c>
      <c r="BW517" t="n">
        <v>0</v>
      </c>
      <c r="BX517" t="n">
        <v>0</v>
      </c>
      <c r="BY517" t="n">
        <v>0</v>
      </c>
      <c r="BZ517" t="n">
        <v>22</v>
      </c>
      <c r="CA517" t="n">
        <v>2</v>
      </c>
      <c r="CB517" t="n">
        <v>2</v>
      </c>
      <c r="CC517" t="n">
        <v>2</v>
      </c>
      <c r="CD517" t="n">
        <v>14</v>
      </c>
      <c r="CE517" t="n">
        <v>8</v>
      </c>
      <c r="CF517" t="n">
        <v>16</v>
      </c>
      <c r="CG517" t="n">
        <v>12</v>
      </c>
      <c r="CH517" t="n">
        <v>22</v>
      </c>
      <c r="CI517" t="n">
        <v>2</v>
      </c>
      <c r="CJ517" t="n">
        <v>2</v>
      </c>
      <c r="CK517" t="n">
        <v>2</v>
      </c>
      <c r="CL517" t="n">
        <v>14</v>
      </c>
      <c r="CM517" t="n">
        <v>8</v>
      </c>
      <c r="CN517" t="n">
        <v>16</v>
      </c>
      <c r="CO517" t="n">
        <v>12</v>
      </c>
      <c r="CP517" t="n">
        <v>0</v>
      </c>
      <c r="CQ517" t="n">
        <v>0</v>
      </c>
      <c r="CR517" t="n">
        <v>0</v>
      </c>
      <c r="CS517" t="n">
        <v>0</v>
      </c>
      <c r="CT517" t="n">
        <v>0</v>
      </c>
      <c r="CU517" t="n">
        <v>0</v>
      </c>
      <c r="CV517" t="n">
        <v>0</v>
      </c>
      <c r="CW517" t="n">
        <v>0</v>
      </c>
      <c r="CX517" t="n">
        <v>70.3</v>
      </c>
      <c r="CY517" t="n">
        <v>94.3</v>
      </c>
      <c r="CZ517" t="n">
        <v>88.40000000000001</v>
      </c>
      <c r="DA517" t="n">
        <v>98.8</v>
      </c>
      <c r="DB517" t="n">
        <v>70.3</v>
      </c>
      <c r="DC517" t="n">
        <v>93.8</v>
      </c>
      <c r="DD517" t="n">
        <v>88.09999999999999</v>
      </c>
      <c r="DE517" t="n">
        <v>96.40000000000001</v>
      </c>
      <c r="DF517" t="n">
        <v>70.3</v>
      </c>
      <c r="DG517" t="n">
        <v>94.3</v>
      </c>
      <c r="DH517" t="n">
        <v>88.40000000000001</v>
      </c>
      <c r="DI517" t="n">
        <v>98.8</v>
      </c>
      <c r="DJ517" t="n">
        <v>70.3</v>
      </c>
      <c r="DK517" t="n">
        <v>93.8</v>
      </c>
      <c r="DL517" t="n">
        <v>88.09999999999999</v>
      </c>
      <c r="DM517" t="n">
        <v>96.40000000000001</v>
      </c>
      <c r="DN517" t="n">
        <v>0</v>
      </c>
      <c r="DO517" t="n">
        <v>0</v>
      </c>
      <c r="DP517" t="n">
        <v>0</v>
      </c>
      <c r="DQ517" t="n">
        <v>0</v>
      </c>
      <c r="DR517" t="n">
        <v>0</v>
      </c>
      <c r="DS517" t="n">
        <v>0</v>
      </c>
      <c r="DT517" t="n">
        <v>0</v>
      </c>
      <c r="DU517" t="n">
        <v>0</v>
      </c>
      <c r="DV517" t="inlineStr">
        <is>
          <t>(25 METRIC TONS)</t>
        </is>
      </c>
    </row>
    <row r="518">
      <c r="A518" t="inlineStr">
        <is>
          <t>STEEL-HRC - COMMODITY EXCHANGE INC.</t>
        </is>
      </c>
      <c r="B518" t="n">
        <v>230110</v>
      </c>
      <c r="C518" s="1" t="n">
        <v>44936</v>
      </c>
      <c r="D518" t="inlineStr">
        <is>
          <t>192651</t>
        </is>
      </c>
      <c r="E518" t="inlineStr">
        <is>
          <t xml:space="preserve">CMX </t>
        </is>
      </c>
      <c r="F518" t="inlineStr">
        <is>
          <t>01</t>
        </is>
      </c>
      <c r="G518" t="inlineStr">
        <is>
          <t xml:space="preserve">192 </t>
        </is>
      </c>
      <c r="H518" t="n">
        <v>23607</v>
      </c>
      <c r="I518" s="17" t="n">
        <v>2472</v>
      </c>
      <c r="J518" s="17" t="n">
        <v>5171</v>
      </c>
      <c r="K518" t="n">
        <v>1182</v>
      </c>
      <c r="L518" t="n">
        <v>19498</v>
      </c>
      <c r="M518" t="n">
        <v>17061</v>
      </c>
      <c r="N518" t="n">
        <v>23152</v>
      </c>
      <c r="O518" t="n">
        <v>23414</v>
      </c>
      <c r="P518" t="n">
        <v>455</v>
      </c>
      <c r="Q518" t="n">
        <v>193</v>
      </c>
      <c r="R518" t="n">
        <v>23607</v>
      </c>
      <c r="S518" t="n">
        <v>2472</v>
      </c>
      <c r="T518" t="n">
        <v>5171</v>
      </c>
      <c r="U518" t="n">
        <v>1182</v>
      </c>
      <c r="V518" t="n">
        <v>19498</v>
      </c>
      <c r="W518" t="n">
        <v>17061</v>
      </c>
      <c r="X518" t="n">
        <v>23152</v>
      </c>
      <c r="Y518" t="n">
        <v>23414</v>
      </c>
      <c r="Z518" t="n">
        <v>455</v>
      </c>
      <c r="AA518" t="n">
        <v>193</v>
      </c>
      <c r="AB518" t="n">
        <v>0</v>
      </c>
      <c r="AC518" t="n">
        <v>0</v>
      </c>
      <c r="AD518" t="n">
        <v>0</v>
      </c>
      <c r="AE518" t="n">
        <v>0</v>
      </c>
      <c r="AF518" t="n">
        <v>0</v>
      </c>
      <c r="AG518" t="n">
        <v>0</v>
      </c>
      <c r="AH518" t="n">
        <v>0</v>
      </c>
      <c r="AI518" t="n">
        <v>0</v>
      </c>
      <c r="AJ518" t="n">
        <v>0</v>
      </c>
      <c r="AK518" t="n">
        <v>0</v>
      </c>
      <c r="AL518" t="n">
        <v>1501</v>
      </c>
      <c r="AM518" t="n">
        <v>317</v>
      </c>
      <c r="AN518" t="n">
        <v>699</v>
      </c>
      <c r="AO518" t="n">
        <v>50</v>
      </c>
      <c r="AP518" t="n">
        <v>1157</v>
      </c>
      <c r="AQ518" t="n">
        <v>811</v>
      </c>
      <c r="AR518" t="n">
        <v>1524</v>
      </c>
      <c r="AS518" t="n">
        <v>1560</v>
      </c>
      <c r="AT518" t="n">
        <v>-23</v>
      </c>
      <c r="AU518" t="n">
        <v>-59</v>
      </c>
      <c r="AV518" t="n">
        <v>100</v>
      </c>
      <c r="AW518" t="n">
        <v>10.5</v>
      </c>
      <c r="AX518" t="n">
        <v>21.9</v>
      </c>
      <c r="AY518" t="n">
        <v>5</v>
      </c>
      <c r="AZ518" t="n">
        <v>82.59999999999999</v>
      </c>
      <c r="BA518" t="n">
        <v>72.3</v>
      </c>
      <c r="BB518" t="n">
        <v>98.09999999999999</v>
      </c>
      <c r="BC518" t="n">
        <v>99.2</v>
      </c>
      <c r="BD518" t="n">
        <v>1.9</v>
      </c>
      <c r="BE518" t="n">
        <v>0.8</v>
      </c>
      <c r="BF518" t="n">
        <v>100</v>
      </c>
      <c r="BG518" t="n">
        <v>10.5</v>
      </c>
      <c r="BH518" t="n">
        <v>21.9</v>
      </c>
      <c r="BI518" t="n">
        <v>5</v>
      </c>
      <c r="BJ518" t="n">
        <v>82.59999999999999</v>
      </c>
      <c r="BK518" t="n">
        <v>72.3</v>
      </c>
      <c r="BL518" t="n">
        <v>98.09999999999999</v>
      </c>
      <c r="BM518" t="n">
        <v>99.2</v>
      </c>
      <c r="BN518" t="n">
        <v>1.9</v>
      </c>
      <c r="BO518" t="n">
        <v>0.8</v>
      </c>
      <c r="BP518" t="n">
        <v>0</v>
      </c>
      <c r="BQ518" t="n">
        <v>0</v>
      </c>
      <c r="BR518" t="n">
        <v>0</v>
      </c>
      <c r="BS518" t="n">
        <v>0</v>
      </c>
      <c r="BT518" t="n">
        <v>0</v>
      </c>
      <c r="BU518" t="n">
        <v>0</v>
      </c>
      <c r="BV518" t="n">
        <v>0</v>
      </c>
      <c r="BW518" t="n">
        <v>0</v>
      </c>
      <c r="BX518" t="n">
        <v>0</v>
      </c>
      <c r="BY518" t="n">
        <v>0</v>
      </c>
      <c r="BZ518" t="n">
        <v>48</v>
      </c>
      <c r="CA518" t="n">
        <v>8</v>
      </c>
      <c r="CB518" t="n">
        <v>16</v>
      </c>
      <c r="CC518" t="n">
        <v>8</v>
      </c>
      <c r="CD518" t="n">
        <v>15</v>
      </c>
      <c r="CE518" t="n">
        <v>15</v>
      </c>
      <c r="CF518" t="n">
        <v>28</v>
      </c>
      <c r="CG518" t="n">
        <v>34</v>
      </c>
      <c r="CH518" t="n">
        <v>48</v>
      </c>
      <c r="CI518" t="n">
        <v>8</v>
      </c>
      <c r="CJ518" t="n">
        <v>16</v>
      </c>
      <c r="CK518" t="n">
        <v>8</v>
      </c>
      <c r="CL518" t="n">
        <v>15</v>
      </c>
      <c r="CM518" t="n">
        <v>15</v>
      </c>
      <c r="CN518" t="n">
        <v>28</v>
      </c>
      <c r="CO518" t="n">
        <v>34</v>
      </c>
      <c r="CP518" t="n">
        <v>0</v>
      </c>
      <c r="CQ518" t="n">
        <v>0</v>
      </c>
      <c r="CR518" t="n">
        <v>0</v>
      </c>
      <c r="CS518" t="n">
        <v>0</v>
      </c>
      <c r="CT518" t="n">
        <v>0</v>
      </c>
      <c r="CU518" t="n">
        <v>0</v>
      </c>
      <c r="CV518" t="n">
        <v>0</v>
      </c>
      <c r="CW518" t="n">
        <v>0</v>
      </c>
      <c r="CX518" t="n">
        <v>64.7</v>
      </c>
      <c r="CY518" t="n">
        <v>54</v>
      </c>
      <c r="CZ518" t="n">
        <v>80.90000000000001</v>
      </c>
      <c r="DA518" t="n">
        <v>75.40000000000001</v>
      </c>
      <c r="DB518" t="n">
        <v>64.7</v>
      </c>
      <c r="DC518" t="n">
        <v>47.4</v>
      </c>
      <c r="DD518" t="n">
        <v>78.40000000000001</v>
      </c>
      <c r="DE518" t="n">
        <v>67.5</v>
      </c>
      <c r="DF518" t="n">
        <v>64.7</v>
      </c>
      <c r="DG518" t="n">
        <v>54</v>
      </c>
      <c r="DH518" t="n">
        <v>80.90000000000001</v>
      </c>
      <c r="DI518" t="n">
        <v>75.40000000000001</v>
      </c>
      <c r="DJ518" t="n">
        <v>64.7</v>
      </c>
      <c r="DK518" t="n">
        <v>47.4</v>
      </c>
      <c r="DL518" t="n">
        <v>78.40000000000001</v>
      </c>
      <c r="DM518" t="n">
        <v>67.5</v>
      </c>
      <c r="DN518" t="n">
        <v>0</v>
      </c>
      <c r="DO518" t="n">
        <v>0</v>
      </c>
      <c r="DP518" t="n">
        <v>0</v>
      </c>
      <c r="DQ518" t="n">
        <v>0</v>
      </c>
      <c r="DR518" t="n">
        <v>0</v>
      </c>
      <c r="DS518" t="n">
        <v>0</v>
      </c>
      <c r="DT518" t="n">
        <v>0</v>
      </c>
      <c r="DU518" t="n">
        <v>0</v>
      </c>
      <c r="DV518" t="inlineStr">
        <is>
          <t>(CONTRACTS OF 20 SHORT TONS)</t>
        </is>
      </c>
    </row>
    <row r="519">
      <c r="A519" t="inlineStr">
        <is>
          <t>STEEL-HRC - COMMODITY EXCHANGE INC.</t>
        </is>
      </c>
      <c r="B519" t="n">
        <v>230103</v>
      </c>
      <c r="C519" s="1" t="n">
        <v>44929</v>
      </c>
      <c r="D519" t="inlineStr">
        <is>
          <t>192651</t>
        </is>
      </c>
      <c r="E519" t="inlineStr">
        <is>
          <t xml:space="preserve">CMX </t>
        </is>
      </c>
      <c r="F519" t="inlineStr">
        <is>
          <t>01</t>
        </is>
      </c>
      <c r="G519" t="inlineStr">
        <is>
          <t xml:space="preserve">192 </t>
        </is>
      </c>
      <c r="H519" t="n">
        <v>22106</v>
      </c>
      <c r="I519" s="17" t="n">
        <v>2155</v>
      </c>
      <c r="J519" s="17" t="n">
        <v>4472</v>
      </c>
      <c r="K519" t="n">
        <v>1132</v>
      </c>
      <c r="L519" t="n">
        <v>18341</v>
      </c>
      <c r="M519" t="n">
        <v>16250</v>
      </c>
      <c r="N519" t="n">
        <v>21628</v>
      </c>
      <c r="O519" t="n">
        <v>21854</v>
      </c>
      <c r="P519" t="n">
        <v>478</v>
      </c>
      <c r="Q519" t="n">
        <v>252</v>
      </c>
      <c r="R519" t="n">
        <v>22106</v>
      </c>
      <c r="S519" t="n">
        <v>2155</v>
      </c>
      <c r="T519" t="n">
        <v>4472</v>
      </c>
      <c r="U519" t="n">
        <v>1132</v>
      </c>
      <c r="V519" t="n">
        <v>18341</v>
      </c>
      <c r="W519" t="n">
        <v>16250</v>
      </c>
      <c r="X519" t="n">
        <v>21628</v>
      </c>
      <c r="Y519" t="n">
        <v>21854</v>
      </c>
      <c r="Z519" t="n">
        <v>478</v>
      </c>
      <c r="AA519" t="n">
        <v>252</v>
      </c>
      <c r="AB519" t="n">
        <v>0</v>
      </c>
      <c r="AC519" t="n">
        <v>0</v>
      </c>
      <c r="AD519" t="n">
        <v>0</v>
      </c>
      <c r="AE519" t="n">
        <v>0</v>
      </c>
      <c r="AF519" t="n">
        <v>0</v>
      </c>
      <c r="AG519" t="n">
        <v>0</v>
      </c>
      <c r="AH519" t="n">
        <v>0</v>
      </c>
      <c r="AI519" t="n">
        <v>0</v>
      </c>
      <c r="AJ519" t="n">
        <v>0</v>
      </c>
      <c r="AK519" t="n">
        <v>0</v>
      </c>
      <c r="AL519" t="n">
        <v>-3184</v>
      </c>
      <c r="AM519" t="n">
        <v>140</v>
      </c>
      <c r="AN519" t="n">
        <v>-828</v>
      </c>
      <c r="AO519" t="n">
        <v>-445</v>
      </c>
      <c r="AP519" t="n">
        <v>-2892</v>
      </c>
      <c r="AQ519" t="n">
        <v>-2018</v>
      </c>
      <c r="AR519" t="n">
        <v>-3197</v>
      </c>
      <c r="AS519" t="n">
        <v>-3291</v>
      </c>
      <c r="AT519" t="n">
        <v>13</v>
      </c>
      <c r="AU519" t="n">
        <v>107</v>
      </c>
      <c r="AV519" t="n">
        <v>100</v>
      </c>
      <c r="AW519" t="n">
        <v>9.699999999999999</v>
      </c>
      <c r="AX519" t="n">
        <v>20.2</v>
      </c>
      <c r="AY519" t="n">
        <v>5.1</v>
      </c>
      <c r="AZ519" t="n">
        <v>83</v>
      </c>
      <c r="BA519" t="n">
        <v>73.5</v>
      </c>
      <c r="BB519" t="n">
        <v>97.8</v>
      </c>
      <c r="BC519" t="n">
        <v>98.90000000000001</v>
      </c>
      <c r="BD519" t="n">
        <v>2.2</v>
      </c>
      <c r="BE519" t="n">
        <v>1.1</v>
      </c>
      <c r="BF519" t="n">
        <v>100</v>
      </c>
      <c r="BG519" t="n">
        <v>9.699999999999999</v>
      </c>
      <c r="BH519" t="n">
        <v>20.2</v>
      </c>
      <c r="BI519" t="n">
        <v>5.1</v>
      </c>
      <c r="BJ519" t="n">
        <v>83</v>
      </c>
      <c r="BK519" t="n">
        <v>73.5</v>
      </c>
      <c r="BL519" t="n">
        <v>97.8</v>
      </c>
      <c r="BM519" t="n">
        <v>98.90000000000001</v>
      </c>
      <c r="BN519" t="n">
        <v>2.2</v>
      </c>
      <c r="BO519" t="n">
        <v>1.1</v>
      </c>
      <c r="BP519" t="n">
        <v>0</v>
      </c>
      <c r="BQ519" t="n">
        <v>0</v>
      </c>
      <c r="BR519" t="n">
        <v>0</v>
      </c>
      <c r="BS519" t="n">
        <v>0</v>
      </c>
      <c r="BT519" t="n">
        <v>0</v>
      </c>
      <c r="BU519" t="n">
        <v>0</v>
      </c>
      <c r="BV519" t="n">
        <v>0</v>
      </c>
      <c r="BW519" t="n">
        <v>0</v>
      </c>
      <c r="BX519" t="n">
        <v>0</v>
      </c>
      <c r="BY519" t="n">
        <v>0</v>
      </c>
      <c r="BZ519" t="n">
        <v>44</v>
      </c>
      <c r="CA519" t="n">
        <v>7</v>
      </c>
      <c r="CB519" t="n">
        <v>13</v>
      </c>
      <c r="CC519" t="n">
        <v>7</v>
      </c>
      <c r="CD519" t="n">
        <v>14</v>
      </c>
      <c r="CE519" t="n">
        <v>15</v>
      </c>
      <c r="CF519" t="n">
        <v>26</v>
      </c>
      <c r="CG519" t="n">
        <v>30</v>
      </c>
      <c r="CH519" t="n">
        <v>44</v>
      </c>
      <c r="CI519" t="n">
        <v>7</v>
      </c>
      <c r="CJ519" t="n">
        <v>13</v>
      </c>
      <c r="CK519" t="n">
        <v>7</v>
      </c>
      <c r="CL519" t="n">
        <v>14</v>
      </c>
      <c r="CM519" t="n">
        <v>15</v>
      </c>
      <c r="CN519" t="n">
        <v>26</v>
      </c>
      <c r="CO519" t="n">
        <v>30</v>
      </c>
      <c r="CP519" t="n">
        <v>0</v>
      </c>
      <c r="CQ519" t="n">
        <v>0</v>
      </c>
      <c r="CR519" t="n">
        <v>0</v>
      </c>
      <c r="CS519" t="n">
        <v>0</v>
      </c>
      <c r="CT519" t="n">
        <v>0</v>
      </c>
      <c r="CU519" t="n">
        <v>0</v>
      </c>
      <c r="CV519" t="n">
        <v>0</v>
      </c>
      <c r="CW519" t="n">
        <v>0</v>
      </c>
      <c r="CX519" t="n">
        <v>67</v>
      </c>
      <c r="CY519" t="n">
        <v>54.3</v>
      </c>
      <c r="CZ519" t="n">
        <v>82.40000000000001</v>
      </c>
      <c r="DA519" t="n">
        <v>77</v>
      </c>
      <c r="DB519" t="n">
        <v>67</v>
      </c>
      <c r="DC519" t="n">
        <v>49.7</v>
      </c>
      <c r="DD519" t="n">
        <v>81.8</v>
      </c>
      <c r="DE519" t="n">
        <v>70.7</v>
      </c>
      <c r="DF519" t="n">
        <v>67</v>
      </c>
      <c r="DG519" t="n">
        <v>54.3</v>
      </c>
      <c r="DH519" t="n">
        <v>82.40000000000001</v>
      </c>
      <c r="DI519" t="n">
        <v>77</v>
      </c>
      <c r="DJ519" t="n">
        <v>67</v>
      </c>
      <c r="DK519" t="n">
        <v>49.7</v>
      </c>
      <c r="DL519" t="n">
        <v>81.8</v>
      </c>
      <c r="DM519" t="n">
        <v>70.7</v>
      </c>
      <c r="DN519" t="n">
        <v>0</v>
      </c>
      <c r="DO519" t="n">
        <v>0</v>
      </c>
      <c r="DP519" t="n">
        <v>0</v>
      </c>
      <c r="DQ519" t="n">
        <v>0</v>
      </c>
      <c r="DR519" t="n">
        <v>0</v>
      </c>
      <c r="DS519" t="n">
        <v>0</v>
      </c>
      <c r="DT519" t="n">
        <v>0</v>
      </c>
      <c r="DU519" t="n">
        <v>0</v>
      </c>
      <c r="DV519" t="inlineStr">
        <is>
          <t>(CONTRACTS OF 20 SHORT TONS)</t>
        </is>
      </c>
    </row>
    <row r="520">
      <c r="A520" t="inlineStr">
        <is>
          <t>NASDAQ-100 Consolidated - CHICAGO MERCANTILE EXCHANGE</t>
        </is>
      </c>
      <c r="B520" t="n">
        <v>230110</v>
      </c>
      <c r="C520" s="1" t="n">
        <v>44936</v>
      </c>
      <c r="D520" t="inlineStr">
        <is>
          <t>20974+</t>
        </is>
      </c>
      <c r="E520" t="inlineStr">
        <is>
          <t xml:space="preserve">CME </t>
        </is>
      </c>
      <c r="F520" t="inlineStr">
        <is>
          <t>00</t>
        </is>
      </c>
      <c r="G520" t="inlineStr">
        <is>
          <t xml:space="preserve">209 </t>
        </is>
      </c>
      <c r="H520" t="n">
        <v>50725</v>
      </c>
      <c r="I520" s="17" t="n">
        <v>11414</v>
      </c>
      <c r="J520" s="17" t="n">
        <v>13044</v>
      </c>
      <c r="K520" t="n">
        <v>1513</v>
      </c>
      <c r="L520" t="n">
        <v>31206</v>
      </c>
      <c r="M520" t="n">
        <v>28421</v>
      </c>
      <c r="N520" t="n">
        <v>44133</v>
      </c>
      <c r="O520" t="n">
        <v>42977</v>
      </c>
      <c r="P520" t="n">
        <v>6592</v>
      </c>
      <c r="Q520" t="n">
        <v>7748</v>
      </c>
      <c r="R520" t="n">
        <v>50725</v>
      </c>
      <c r="S520" t="n">
        <v>11414</v>
      </c>
      <c r="T520" t="n">
        <v>13044</v>
      </c>
      <c r="U520" t="n">
        <v>1513</v>
      </c>
      <c r="V520" t="n">
        <v>31206</v>
      </c>
      <c r="W520" t="n">
        <v>28421</v>
      </c>
      <c r="X520" t="n">
        <v>44133</v>
      </c>
      <c r="Y520" t="n">
        <v>42977</v>
      </c>
      <c r="Z520" t="n">
        <v>6592</v>
      </c>
      <c r="AA520" t="n">
        <v>7748</v>
      </c>
      <c r="AB520" t="n">
        <v>0</v>
      </c>
      <c r="AC520" t="n">
        <v>0</v>
      </c>
      <c r="AD520" t="n">
        <v>0</v>
      </c>
      <c r="AE520" t="n">
        <v>0</v>
      </c>
      <c r="AF520" t="n">
        <v>0</v>
      </c>
      <c r="AG520" t="n">
        <v>0</v>
      </c>
      <c r="AH520" t="n">
        <v>0</v>
      </c>
      <c r="AI520" t="n">
        <v>0</v>
      </c>
      <c r="AJ520" t="n">
        <v>0</v>
      </c>
      <c r="AK520" t="n">
        <v>0</v>
      </c>
      <c r="AL520" t="n">
        <v>1793</v>
      </c>
      <c r="AM520" t="n">
        <v>-547</v>
      </c>
      <c r="AN520" t="n">
        <v>1356</v>
      </c>
      <c r="AO520" t="n">
        <v>581</v>
      </c>
      <c r="AP520" t="n">
        <v>2064</v>
      </c>
      <c r="AQ520" t="n">
        <v>113</v>
      </c>
      <c r="AR520" t="n">
        <v>2098</v>
      </c>
      <c r="AS520" t="n">
        <v>2050</v>
      </c>
      <c r="AT520" t="n">
        <v>-304</v>
      </c>
      <c r="AU520" t="n">
        <v>-257</v>
      </c>
      <c r="AV520" t="n">
        <v>100</v>
      </c>
      <c r="AW520" t="n">
        <v>22.5</v>
      </c>
      <c r="AX520" t="n">
        <v>25.7</v>
      </c>
      <c r="AY520" t="n">
        <v>3</v>
      </c>
      <c r="AZ520" t="n">
        <v>61.5</v>
      </c>
      <c r="BA520" t="n">
        <v>56</v>
      </c>
      <c r="BB520" t="n">
        <v>87</v>
      </c>
      <c r="BC520" t="n">
        <v>84.7</v>
      </c>
      <c r="BD520" t="n">
        <v>13</v>
      </c>
      <c r="BE520" t="n">
        <v>15.3</v>
      </c>
      <c r="BF520" t="n">
        <v>100</v>
      </c>
      <c r="BG520" t="n">
        <v>22.5</v>
      </c>
      <c r="BH520" t="n">
        <v>25.7</v>
      </c>
      <c r="BI520" t="n">
        <v>3</v>
      </c>
      <c r="BJ520" t="n">
        <v>61.5</v>
      </c>
      <c r="BK520" t="n">
        <v>56</v>
      </c>
      <c r="BL520" t="n">
        <v>87</v>
      </c>
      <c r="BM520" t="n">
        <v>84.7</v>
      </c>
      <c r="BN520" t="n">
        <v>13</v>
      </c>
      <c r="BO520" t="n">
        <v>15.3</v>
      </c>
      <c r="BP520" t="n">
        <v>0</v>
      </c>
      <c r="BQ520" t="n">
        <v>0</v>
      </c>
      <c r="BR520" t="n">
        <v>0</v>
      </c>
      <c r="BS520" t="n">
        <v>0</v>
      </c>
      <c r="BT520" t="n">
        <v>0</v>
      </c>
      <c r="BU520" t="n">
        <v>0</v>
      </c>
      <c r="BV520" t="n">
        <v>0</v>
      </c>
      <c r="BW520" t="n">
        <v>0</v>
      </c>
      <c r="BX520" t="n">
        <v>0</v>
      </c>
      <c r="BY520" t="n">
        <v>0</v>
      </c>
      <c r="BZ520" t="n">
        <v>291</v>
      </c>
      <c r="CA520" t="n">
        <v>52</v>
      </c>
      <c r="CB520" t="n">
        <v>58</v>
      </c>
      <c r="CC520" t="n">
        <v>26</v>
      </c>
      <c r="CD520" t="n">
        <v>109</v>
      </c>
      <c r="CE520" t="n">
        <v>106</v>
      </c>
      <c r="CF520" t="n">
        <v>175</v>
      </c>
      <c r="CG520" t="n">
        <v>176</v>
      </c>
      <c r="CH520" t="n">
        <v>291</v>
      </c>
      <c r="CI520" t="n">
        <v>52</v>
      </c>
      <c r="CJ520" t="n">
        <v>58</v>
      </c>
      <c r="CK520" t="n">
        <v>26</v>
      </c>
      <c r="CL520" t="n">
        <v>109</v>
      </c>
      <c r="CM520" t="n">
        <v>106</v>
      </c>
      <c r="CN520" t="n">
        <v>175</v>
      </c>
      <c r="CO520" t="n">
        <v>176</v>
      </c>
      <c r="CP520" t="n">
        <v>0</v>
      </c>
      <c r="CQ520" t="n">
        <v>0</v>
      </c>
      <c r="CR520" t="n">
        <v>0</v>
      </c>
      <c r="CS520" t="n">
        <v>0</v>
      </c>
      <c r="CT520" t="n">
        <v>0</v>
      </c>
      <c r="CU520" t="n">
        <v>0</v>
      </c>
      <c r="CV520" t="n">
        <v>0</v>
      </c>
      <c r="CW520" t="n">
        <v>0</v>
      </c>
      <c r="CX520" t="n">
        <v>23</v>
      </c>
      <c r="CY520" t="n">
        <v>26.1</v>
      </c>
      <c r="CZ520" t="n">
        <v>34.2</v>
      </c>
      <c r="DA520" t="n">
        <v>38.5</v>
      </c>
      <c r="DB520" t="n">
        <v>22.8</v>
      </c>
      <c r="DC520" t="n">
        <v>25.6</v>
      </c>
      <c r="DD520" t="n">
        <v>33.9</v>
      </c>
      <c r="DE520" t="n">
        <v>38</v>
      </c>
      <c r="DF520" t="n">
        <v>23</v>
      </c>
      <c r="DG520" t="n">
        <v>26.1</v>
      </c>
      <c r="DH520" t="n">
        <v>34.2</v>
      </c>
      <c r="DI520" t="n">
        <v>38.5</v>
      </c>
      <c r="DJ520" t="n">
        <v>22.8</v>
      </c>
      <c r="DK520" t="n">
        <v>25.6</v>
      </c>
      <c r="DL520" t="n">
        <v>33.9</v>
      </c>
      <c r="DM520" t="n">
        <v>38</v>
      </c>
      <c r="DN520" t="n">
        <v>0</v>
      </c>
      <c r="DO520" t="n">
        <v>0</v>
      </c>
      <c r="DP520" t="n">
        <v>0</v>
      </c>
      <c r="DQ520" t="n">
        <v>0</v>
      </c>
      <c r="DR520" t="n">
        <v>0</v>
      </c>
      <c r="DS520" t="n">
        <v>0</v>
      </c>
      <c r="DT520" t="n">
        <v>0</v>
      </c>
      <c r="DU520" t="n">
        <v>0</v>
      </c>
      <c r="DV520" t="inlineStr">
        <is>
          <t>(NASDAQ 100 INDEX X $100)</t>
        </is>
      </c>
    </row>
    <row r="521">
      <c r="A521" t="inlineStr">
        <is>
          <t>NASDAQ-100 Consolidated - CHICAGO MERCANTILE EXCHANGE</t>
        </is>
      </c>
      <c r="B521" t="n">
        <v>230103</v>
      </c>
      <c r="C521" s="1" t="n">
        <v>44929</v>
      </c>
      <c r="D521" t="inlineStr">
        <is>
          <t>20974+</t>
        </is>
      </c>
      <c r="E521" t="inlineStr">
        <is>
          <t xml:space="preserve">CME </t>
        </is>
      </c>
      <c r="F521" t="inlineStr">
        <is>
          <t>00</t>
        </is>
      </c>
      <c r="G521" t="inlineStr">
        <is>
          <t xml:space="preserve">209 </t>
        </is>
      </c>
      <c r="H521" t="n">
        <v>48932</v>
      </c>
      <c r="I521" s="17" t="n">
        <v>11960</v>
      </c>
      <c r="J521" s="17" t="n">
        <v>11688</v>
      </c>
      <c r="K521" t="n">
        <v>932</v>
      </c>
      <c r="L521" t="n">
        <v>29143</v>
      </c>
      <c r="M521" t="n">
        <v>28307</v>
      </c>
      <c r="N521" t="n">
        <v>42035</v>
      </c>
      <c r="O521" t="n">
        <v>40927</v>
      </c>
      <c r="P521" t="n">
        <v>6897</v>
      </c>
      <c r="Q521" t="n">
        <v>8005</v>
      </c>
      <c r="R521" t="n">
        <v>48932</v>
      </c>
      <c r="S521" t="n">
        <v>11960</v>
      </c>
      <c r="T521" t="n">
        <v>11688</v>
      </c>
      <c r="U521" t="n">
        <v>932</v>
      </c>
      <c r="V521" t="n">
        <v>29143</v>
      </c>
      <c r="W521" t="n">
        <v>28307</v>
      </c>
      <c r="X521" t="n">
        <v>42035</v>
      </c>
      <c r="Y521" t="n">
        <v>40927</v>
      </c>
      <c r="Z521" t="n">
        <v>6897</v>
      </c>
      <c r="AA521" t="n">
        <v>8005</v>
      </c>
      <c r="AB521" t="n">
        <v>0</v>
      </c>
      <c r="AC521" t="n">
        <v>0</v>
      </c>
      <c r="AD521" t="n">
        <v>0</v>
      </c>
      <c r="AE521" t="n">
        <v>0</v>
      </c>
      <c r="AF521" t="n">
        <v>0</v>
      </c>
      <c r="AG521" t="n">
        <v>0</v>
      </c>
      <c r="AH521" t="n">
        <v>0</v>
      </c>
      <c r="AI521" t="n">
        <v>0</v>
      </c>
      <c r="AJ521" t="n">
        <v>0</v>
      </c>
      <c r="AK521" t="n">
        <v>0</v>
      </c>
      <c r="AL521" t="n">
        <v>-1225</v>
      </c>
      <c r="AM521" t="n">
        <v>-792</v>
      </c>
      <c r="AN521" t="n">
        <v>-830</v>
      </c>
      <c r="AO521" t="n">
        <v>-247</v>
      </c>
      <c r="AP521" t="n">
        <v>-177</v>
      </c>
      <c r="AQ521" t="n">
        <v>-429</v>
      </c>
      <c r="AR521" t="n">
        <v>-1216</v>
      </c>
      <c r="AS521" t="n">
        <v>-1507</v>
      </c>
      <c r="AT521" t="n">
        <v>-9</v>
      </c>
      <c r="AU521" t="n">
        <v>282</v>
      </c>
      <c r="AV521" t="n">
        <v>100</v>
      </c>
      <c r="AW521" t="n">
        <v>24.4</v>
      </c>
      <c r="AX521" t="n">
        <v>23.9</v>
      </c>
      <c r="AY521" t="n">
        <v>1.9</v>
      </c>
      <c r="AZ521" t="n">
        <v>59.6</v>
      </c>
      <c r="BA521" t="n">
        <v>57.9</v>
      </c>
      <c r="BB521" t="n">
        <v>85.90000000000001</v>
      </c>
      <c r="BC521" t="n">
        <v>83.59999999999999</v>
      </c>
      <c r="BD521" t="n">
        <v>14.1</v>
      </c>
      <c r="BE521" t="n">
        <v>16.4</v>
      </c>
      <c r="BF521" t="n">
        <v>100</v>
      </c>
      <c r="BG521" t="n">
        <v>24.4</v>
      </c>
      <c r="BH521" t="n">
        <v>23.9</v>
      </c>
      <c r="BI521" t="n">
        <v>1.9</v>
      </c>
      <c r="BJ521" t="n">
        <v>59.6</v>
      </c>
      <c r="BK521" t="n">
        <v>57.9</v>
      </c>
      <c r="BL521" t="n">
        <v>85.90000000000001</v>
      </c>
      <c r="BM521" t="n">
        <v>83.59999999999999</v>
      </c>
      <c r="BN521" t="n">
        <v>14.1</v>
      </c>
      <c r="BO521" t="n">
        <v>16.4</v>
      </c>
      <c r="BP521" t="n">
        <v>0</v>
      </c>
      <c r="BQ521" t="n">
        <v>0</v>
      </c>
      <c r="BR521" t="n">
        <v>0</v>
      </c>
      <c r="BS521" t="n">
        <v>0</v>
      </c>
      <c r="BT521" t="n">
        <v>0</v>
      </c>
      <c r="BU521" t="n">
        <v>0</v>
      </c>
      <c r="BV521" t="n">
        <v>0</v>
      </c>
      <c r="BW521" t="n">
        <v>0</v>
      </c>
      <c r="BX521" t="n">
        <v>0</v>
      </c>
      <c r="BY521" t="n">
        <v>0</v>
      </c>
      <c r="BZ521" t="n">
        <v>286</v>
      </c>
      <c r="CA521" t="n">
        <v>53</v>
      </c>
      <c r="CB521" t="n">
        <v>59</v>
      </c>
      <c r="CC521" t="n">
        <v>22</v>
      </c>
      <c r="CD521" t="n">
        <v>112</v>
      </c>
      <c r="CE521" t="n">
        <v>103</v>
      </c>
      <c r="CF521" t="n">
        <v>178</v>
      </c>
      <c r="CG521" t="n">
        <v>171</v>
      </c>
      <c r="CH521" t="n">
        <v>286</v>
      </c>
      <c r="CI521" t="n">
        <v>53</v>
      </c>
      <c r="CJ521" t="n">
        <v>59</v>
      </c>
      <c r="CK521" t="n">
        <v>22</v>
      </c>
      <c r="CL521" t="n">
        <v>112</v>
      </c>
      <c r="CM521" t="n">
        <v>103</v>
      </c>
      <c r="CN521" t="n">
        <v>178</v>
      </c>
      <c r="CO521" t="n">
        <v>171</v>
      </c>
      <c r="CP521" t="n">
        <v>0</v>
      </c>
      <c r="CQ521" t="n">
        <v>0</v>
      </c>
      <c r="CR521" t="n">
        <v>0</v>
      </c>
      <c r="CS521" t="n">
        <v>0</v>
      </c>
      <c r="CT521" t="n">
        <v>0</v>
      </c>
      <c r="CU521" t="n">
        <v>0</v>
      </c>
      <c r="CV521" t="n">
        <v>0</v>
      </c>
      <c r="CW521" t="n">
        <v>0</v>
      </c>
      <c r="CX521" t="n">
        <v>23.1</v>
      </c>
      <c r="CY521" t="n">
        <v>22.8</v>
      </c>
      <c r="CZ521" t="n">
        <v>35.1</v>
      </c>
      <c r="DA521" t="n">
        <v>35</v>
      </c>
      <c r="DB521" t="n">
        <v>22.9</v>
      </c>
      <c r="DC521" t="n">
        <v>22.6</v>
      </c>
      <c r="DD521" t="n">
        <v>34.8</v>
      </c>
      <c r="DE521" t="n">
        <v>34.8</v>
      </c>
      <c r="DF521" t="n">
        <v>23.1</v>
      </c>
      <c r="DG521" t="n">
        <v>22.8</v>
      </c>
      <c r="DH521" t="n">
        <v>35.1</v>
      </c>
      <c r="DI521" t="n">
        <v>35</v>
      </c>
      <c r="DJ521" t="n">
        <v>22.9</v>
      </c>
      <c r="DK521" t="n">
        <v>22.6</v>
      </c>
      <c r="DL521" t="n">
        <v>34.8</v>
      </c>
      <c r="DM521" t="n">
        <v>34.8</v>
      </c>
      <c r="DN521" t="n">
        <v>0</v>
      </c>
      <c r="DO521" t="n">
        <v>0</v>
      </c>
      <c r="DP521" t="n">
        <v>0</v>
      </c>
      <c r="DQ521" t="n">
        <v>0</v>
      </c>
      <c r="DR521" t="n">
        <v>0</v>
      </c>
      <c r="DS521" t="n">
        <v>0</v>
      </c>
      <c r="DT521" t="n">
        <v>0</v>
      </c>
      <c r="DU521" t="n">
        <v>0</v>
      </c>
      <c r="DV521" t="inlineStr">
        <is>
          <t>(NASDAQ 100 INDEX X $100)</t>
        </is>
      </c>
    </row>
    <row r="522">
      <c r="A522" t="inlineStr">
        <is>
          <t>NASDAQ MINI - CHICAGO MERCANTILE EXCHANGE</t>
        </is>
      </c>
      <c r="B522" t="n">
        <v>230110</v>
      </c>
      <c r="C522" s="1" t="n">
        <v>44936</v>
      </c>
      <c r="D522" t="inlineStr">
        <is>
          <t>209742</t>
        </is>
      </c>
      <c r="E522" t="inlineStr">
        <is>
          <t xml:space="preserve">CME </t>
        </is>
      </c>
      <c r="F522" t="inlineStr">
        <is>
          <t>00</t>
        </is>
      </c>
      <c r="G522" t="inlineStr">
        <is>
          <t xml:space="preserve">209 </t>
        </is>
      </c>
      <c r="H522" t="n">
        <v>253625</v>
      </c>
      <c r="I522" s="17" t="n">
        <v>57068</v>
      </c>
      <c r="J522" s="17" t="n">
        <v>65219</v>
      </c>
      <c r="K522" t="n">
        <v>7564</v>
      </c>
      <c r="L522" t="n">
        <v>156031</v>
      </c>
      <c r="M522" t="n">
        <v>142103</v>
      </c>
      <c r="N522" t="n">
        <v>220663</v>
      </c>
      <c r="O522" t="n">
        <v>214886</v>
      </c>
      <c r="P522" t="n">
        <v>32962</v>
      </c>
      <c r="Q522" t="n">
        <v>38739</v>
      </c>
      <c r="R522" t="n">
        <v>253625</v>
      </c>
      <c r="S522" t="n">
        <v>57068</v>
      </c>
      <c r="T522" t="n">
        <v>65219</v>
      </c>
      <c r="U522" t="n">
        <v>7564</v>
      </c>
      <c r="V522" t="n">
        <v>156031</v>
      </c>
      <c r="W522" t="n">
        <v>142103</v>
      </c>
      <c r="X522" t="n">
        <v>220663</v>
      </c>
      <c r="Y522" t="n">
        <v>214886</v>
      </c>
      <c r="Z522" t="n">
        <v>32962</v>
      </c>
      <c r="AA522" t="n">
        <v>38739</v>
      </c>
      <c r="AB522" t="n">
        <v>0</v>
      </c>
      <c r="AC522" t="n">
        <v>0</v>
      </c>
      <c r="AD522" t="n">
        <v>0</v>
      </c>
      <c r="AE522" t="n">
        <v>0</v>
      </c>
      <c r="AF522" t="n">
        <v>0</v>
      </c>
      <c r="AG522" t="n">
        <v>0</v>
      </c>
      <c r="AH522" t="n">
        <v>0</v>
      </c>
      <c r="AI522" t="n">
        <v>0</v>
      </c>
      <c r="AJ522" t="n">
        <v>0</v>
      </c>
      <c r="AK522" t="n">
        <v>0</v>
      </c>
      <c r="AL522" t="n">
        <v>8967</v>
      </c>
      <c r="AM522" t="n">
        <v>-2734</v>
      </c>
      <c r="AN522" t="n">
        <v>6779</v>
      </c>
      <c r="AO522" t="n">
        <v>2905</v>
      </c>
      <c r="AP522" t="n">
        <v>10318</v>
      </c>
      <c r="AQ522" t="n">
        <v>567</v>
      </c>
      <c r="AR522" t="n">
        <v>10489</v>
      </c>
      <c r="AS522" t="n">
        <v>10251</v>
      </c>
      <c r="AT522" t="n">
        <v>-1522</v>
      </c>
      <c r="AU522" t="n">
        <v>-1284</v>
      </c>
      <c r="AV522" t="n">
        <v>100</v>
      </c>
      <c r="AW522" t="n">
        <v>22.5</v>
      </c>
      <c r="AX522" t="n">
        <v>25.7</v>
      </c>
      <c r="AY522" t="n">
        <v>3</v>
      </c>
      <c r="AZ522" t="n">
        <v>61.5</v>
      </c>
      <c r="BA522" t="n">
        <v>56</v>
      </c>
      <c r="BB522" t="n">
        <v>87</v>
      </c>
      <c r="BC522" t="n">
        <v>84.7</v>
      </c>
      <c r="BD522" t="n">
        <v>13</v>
      </c>
      <c r="BE522" t="n">
        <v>15.3</v>
      </c>
      <c r="BF522" t="n">
        <v>100</v>
      </c>
      <c r="BG522" t="n">
        <v>22.5</v>
      </c>
      <c r="BH522" t="n">
        <v>25.7</v>
      </c>
      <c r="BI522" t="n">
        <v>3</v>
      </c>
      <c r="BJ522" t="n">
        <v>61.5</v>
      </c>
      <c r="BK522" t="n">
        <v>56</v>
      </c>
      <c r="BL522" t="n">
        <v>87</v>
      </c>
      <c r="BM522" t="n">
        <v>84.7</v>
      </c>
      <c r="BN522" t="n">
        <v>13</v>
      </c>
      <c r="BO522" t="n">
        <v>15.3</v>
      </c>
      <c r="BP522" t="n">
        <v>0</v>
      </c>
      <c r="BQ522" t="n">
        <v>0</v>
      </c>
      <c r="BR522" t="n">
        <v>0</v>
      </c>
      <c r="BS522" t="n">
        <v>0</v>
      </c>
      <c r="BT522" t="n">
        <v>0</v>
      </c>
      <c r="BU522" t="n">
        <v>0</v>
      </c>
      <c r="BV522" t="n">
        <v>0</v>
      </c>
      <c r="BW522" t="n">
        <v>0</v>
      </c>
      <c r="BX522" t="n">
        <v>0</v>
      </c>
      <c r="BY522" t="n">
        <v>0</v>
      </c>
      <c r="BZ522" t="n">
        <v>291</v>
      </c>
      <c r="CA522" t="n">
        <v>52</v>
      </c>
      <c r="CB522" t="n">
        <v>58</v>
      </c>
      <c r="CC522" t="n">
        <v>26</v>
      </c>
      <c r="CD522" t="n">
        <v>109</v>
      </c>
      <c r="CE522" t="n">
        <v>106</v>
      </c>
      <c r="CF522" t="n">
        <v>175</v>
      </c>
      <c r="CG522" t="n">
        <v>176</v>
      </c>
      <c r="CH522" t="n">
        <v>291</v>
      </c>
      <c r="CI522" t="n">
        <v>52</v>
      </c>
      <c r="CJ522" t="n">
        <v>58</v>
      </c>
      <c r="CK522" t="n">
        <v>26</v>
      </c>
      <c r="CL522" t="n">
        <v>109</v>
      </c>
      <c r="CM522" t="n">
        <v>106</v>
      </c>
      <c r="CN522" t="n">
        <v>175</v>
      </c>
      <c r="CO522" t="n">
        <v>176</v>
      </c>
      <c r="CP522" t="n">
        <v>0</v>
      </c>
      <c r="CQ522" t="n">
        <v>0</v>
      </c>
      <c r="CR522" t="n">
        <v>0</v>
      </c>
      <c r="CS522" t="n">
        <v>0</v>
      </c>
      <c r="CT522" t="n">
        <v>0</v>
      </c>
      <c r="CU522" t="n">
        <v>0</v>
      </c>
      <c r="CV522" t="n">
        <v>0</v>
      </c>
      <c r="CW522" t="n">
        <v>0</v>
      </c>
      <c r="CX522" t="n">
        <v>23</v>
      </c>
      <c r="CY522" t="n">
        <v>26.1</v>
      </c>
      <c r="CZ522" t="n">
        <v>34.2</v>
      </c>
      <c r="DA522" t="n">
        <v>38.5</v>
      </c>
      <c r="DB522" t="n">
        <v>22.8</v>
      </c>
      <c r="DC522" t="n">
        <v>25.6</v>
      </c>
      <c r="DD522" t="n">
        <v>33.9</v>
      </c>
      <c r="DE522" t="n">
        <v>38</v>
      </c>
      <c r="DF522" t="n">
        <v>23</v>
      </c>
      <c r="DG522" t="n">
        <v>26.1</v>
      </c>
      <c r="DH522" t="n">
        <v>34.2</v>
      </c>
      <c r="DI522" t="n">
        <v>38.5</v>
      </c>
      <c r="DJ522" t="n">
        <v>22.8</v>
      </c>
      <c r="DK522" t="n">
        <v>25.6</v>
      </c>
      <c r="DL522" t="n">
        <v>33.9</v>
      </c>
      <c r="DM522" t="n">
        <v>38</v>
      </c>
      <c r="DN522" t="n">
        <v>0</v>
      </c>
      <c r="DO522" t="n">
        <v>0</v>
      </c>
      <c r="DP522" t="n">
        <v>0</v>
      </c>
      <c r="DQ522" t="n">
        <v>0</v>
      </c>
      <c r="DR522" t="n">
        <v>0</v>
      </c>
      <c r="DS522" t="n">
        <v>0</v>
      </c>
      <c r="DT522" t="n">
        <v>0</v>
      </c>
      <c r="DU522" t="n">
        <v>0</v>
      </c>
      <c r="DV522" t="inlineStr">
        <is>
          <t>(NASDAQ 100 STOCK INDEX X $20)</t>
        </is>
      </c>
    </row>
    <row r="523">
      <c r="A523" t="inlineStr">
        <is>
          <t>NASDAQ MINI - CHICAGO MERCANTILE EXCHANGE</t>
        </is>
      </c>
      <c r="B523" t="n">
        <v>230103</v>
      </c>
      <c r="C523" s="1" t="n">
        <v>44929</v>
      </c>
      <c r="D523" t="inlineStr">
        <is>
          <t>209742</t>
        </is>
      </c>
      <c r="E523" t="inlineStr">
        <is>
          <t xml:space="preserve">CME </t>
        </is>
      </c>
      <c r="F523" t="inlineStr">
        <is>
          <t>00</t>
        </is>
      </c>
      <c r="G523" t="inlineStr">
        <is>
          <t xml:space="preserve">209 </t>
        </is>
      </c>
      <c r="H523" t="n">
        <v>244658</v>
      </c>
      <c r="I523" s="17" t="n">
        <v>59802</v>
      </c>
      <c r="J523" s="17" t="n">
        <v>58440</v>
      </c>
      <c r="K523" t="n">
        <v>4659</v>
      </c>
      <c r="L523" t="n">
        <v>145713</v>
      </c>
      <c r="M523" t="n">
        <v>141536</v>
      </c>
      <c r="N523" t="n">
        <v>210174</v>
      </c>
      <c r="O523" t="n">
        <v>204635</v>
      </c>
      <c r="P523" t="n">
        <v>34484</v>
      </c>
      <c r="Q523" t="n">
        <v>40023</v>
      </c>
      <c r="R523" t="n">
        <v>244658</v>
      </c>
      <c r="S523" t="n">
        <v>59802</v>
      </c>
      <c r="T523" t="n">
        <v>58440</v>
      </c>
      <c r="U523" t="n">
        <v>4659</v>
      </c>
      <c r="V523" t="n">
        <v>145713</v>
      </c>
      <c r="W523" t="n">
        <v>141536</v>
      </c>
      <c r="X523" t="n">
        <v>210174</v>
      </c>
      <c r="Y523" t="n">
        <v>204635</v>
      </c>
      <c r="Z523" t="n">
        <v>34484</v>
      </c>
      <c r="AA523" t="n">
        <v>40023</v>
      </c>
      <c r="AB523" t="n">
        <v>0</v>
      </c>
      <c r="AC523" t="n">
        <v>0</v>
      </c>
      <c r="AD523" t="n">
        <v>0</v>
      </c>
      <c r="AE523" t="n">
        <v>0</v>
      </c>
      <c r="AF523" t="n">
        <v>0</v>
      </c>
      <c r="AG523" t="n">
        <v>0</v>
      </c>
      <c r="AH523" t="n">
        <v>0</v>
      </c>
      <c r="AI523" t="n">
        <v>0</v>
      </c>
      <c r="AJ523" t="n">
        <v>0</v>
      </c>
      <c r="AK523" t="n">
        <v>0</v>
      </c>
      <c r="AL523" t="n">
        <v>-6123</v>
      </c>
      <c r="AM523" t="n">
        <v>-3961</v>
      </c>
      <c r="AN523" t="n">
        <v>-4151</v>
      </c>
      <c r="AO523" t="n">
        <v>-1236</v>
      </c>
      <c r="AP523" t="n">
        <v>-883</v>
      </c>
      <c r="AQ523" t="n">
        <v>-2146</v>
      </c>
      <c r="AR523" t="n">
        <v>-6080</v>
      </c>
      <c r="AS523" t="n">
        <v>-7533</v>
      </c>
      <c r="AT523" t="n">
        <v>-43</v>
      </c>
      <c r="AU523" t="n">
        <v>1410</v>
      </c>
      <c r="AV523" t="n">
        <v>100</v>
      </c>
      <c r="AW523" t="n">
        <v>24.4</v>
      </c>
      <c r="AX523" t="n">
        <v>23.9</v>
      </c>
      <c r="AY523" t="n">
        <v>1.9</v>
      </c>
      <c r="AZ523" t="n">
        <v>59.6</v>
      </c>
      <c r="BA523" t="n">
        <v>57.9</v>
      </c>
      <c r="BB523" t="n">
        <v>85.90000000000001</v>
      </c>
      <c r="BC523" t="n">
        <v>83.59999999999999</v>
      </c>
      <c r="BD523" t="n">
        <v>14.1</v>
      </c>
      <c r="BE523" t="n">
        <v>16.4</v>
      </c>
      <c r="BF523" t="n">
        <v>100</v>
      </c>
      <c r="BG523" t="n">
        <v>24.4</v>
      </c>
      <c r="BH523" t="n">
        <v>23.9</v>
      </c>
      <c r="BI523" t="n">
        <v>1.9</v>
      </c>
      <c r="BJ523" t="n">
        <v>59.6</v>
      </c>
      <c r="BK523" t="n">
        <v>57.9</v>
      </c>
      <c r="BL523" t="n">
        <v>85.90000000000001</v>
      </c>
      <c r="BM523" t="n">
        <v>83.59999999999999</v>
      </c>
      <c r="BN523" t="n">
        <v>14.1</v>
      </c>
      <c r="BO523" t="n">
        <v>16.4</v>
      </c>
      <c r="BP523" t="n">
        <v>0</v>
      </c>
      <c r="BQ523" t="n">
        <v>0</v>
      </c>
      <c r="BR523" t="n">
        <v>0</v>
      </c>
      <c r="BS523" t="n">
        <v>0</v>
      </c>
      <c r="BT523" t="n">
        <v>0</v>
      </c>
      <c r="BU523" t="n">
        <v>0</v>
      </c>
      <c r="BV523" t="n">
        <v>0</v>
      </c>
      <c r="BW523" t="n">
        <v>0</v>
      </c>
      <c r="BX523" t="n">
        <v>0</v>
      </c>
      <c r="BY523" t="n">
        <v>0</v>
      </c>
      <c r="BZ523" t="n">
        <v>286</v>
      </c>
      <c r="CA523" t="n">
        <v>53</v>
      </c>
      <c r="CB523" t="n">
        <v>59</v>
      </c>
      <c r="CC523" t="n">
        <v>22</v>
      </c>
      <c r="CD523" t="n">
        <v>112</v>
      </c>
      <c r="CE523" t="n">
        <v>103</v>
      </c>
      <c r="CF523" t="n">
        <v>178</v>
      </c>
      <c r="CG523" t="n">
        <v>171</v>
      </c>
      <c r="CH523" t="n">
        <v>286</v>
      </c>
      <c r="CI523" t="n">
        <v>53</v>
      </c>
      <c r="CJ523" t="n">
        <v>59</v>
      </c>
      <c r="CK523" t="n">
        <v>22</v>
      </c>
      <c r="CL523" t="n">
        <v>112</v>
      </c>
      <c r="CM523" t="n">
        <v>103</v>
      </c>
      <c r="CN523" t="n">
        <v>178</v>
      </c>
      <c r="CO523" t="n">
        <v>171</v>
      </c>
      <c r="CP523" t="n">
        <v>0</v>
      </c>
      <c r="CQ523" t="n">
        <v>0</v>
      </c>
      <c r="CR523" t="n">
        <v>0</v>
      </c>
      <c r="CS523" t="n">
        <v>0</v>
      </c>
      <c r="CT523" t="n">
        <v>0</v>
      </c>
      <c r="CU523" t="n">
        <v>0</v>
      </c>
      <c r="CV523" t="n">
        <v>0</v>
      </c>
      <c r="CW523" t="n">
        <v>0</v>
      </c>
      <c r="CX523" t="n">
        <v>23.1</v>
      </c>
      <c r="CY523" t="n">
        <v>22.8</v>
      </c>
      <c r="CZ523" t="n">
        <v>35.1</v>
      </c>
      <c r="DA523" t="n">
        <v>35</v>
      </c>
      <c r="DB523" t="n">
        <v>22.9</v>
      </c>
      <c r="DC523" t="n">
        <v>22.6</v>
      </c>
      <c r="DD523" t="n">
        <v>34.8</v>
      </c>
      <c r="DE523" t="n">
        <v>34.8</v>
      </c>
      <c r="DF523" t="n">
        <v>23.1</v>
      </c>
      <c r="DG523" t="n">
        <v>22.8</v>
      </c>
      <c r="DH523" t="n">
        <v>35.1</v>
      </c>
      <c r="DI523" t="n">
        <v>35</v>
      </c>
      <c r="DJ523" t="n">
        <v>22.9</v>
      </c>
      <c r="DK523" t="n">
        <v>22.6</v>
      </c>
      <c r="DL523" t="n">
        <v>34.8</v>
      </c>
      <c r="DM523" t="n">
        <v>34.8</v>
      </c>
      <c r="DN523" t="n">
        <v>0</v>
      </c>
      <c r="DO523" t="n">
        <v>0</v>
      </c>
      <c r="DP523" t="n">
        <v>0</v>
      </c>
      <c r="DQ523" t="n">
        <v>0</v>
      </c>
      <c r="DR523" t="n">
        <v>0</v>
      </c>
      <c r="DS523" t="n">
        <v>0</v>
      </c>
      <c r="DT523" t="n">
        <v>0</v>
      </c>
      <c r="DU523" t="n">
        <v>0</v>
      </c>
      <c r="DV523" t="inlineStr">
        <is>
          <t>(NASDAQ 100 STOCK INDEX X $20)</t>
        </is>
      </c>
    </row>
    <row r="524">
      <c r="A524" t="inlineStr">
        <is>
          <t>MICRO E-MINI NASDAQ-100 INDEX - CHICAGO MERCANTILE EXCHANGE</t>
        </is>
      </c>
      <c r="B524" t="n">
        <v>230110</v>
      </c>
      <c r="C524" s="1" t="n">
        <v>44936</v>
      </c>
      <c r="D524" t="inlineStr">
        <is>
          <t>209747</t>
        </is>
      </c>
      <c r="E524" t="inlineStr">
        <is>
          <t xml:space="preserve">CME </t>
        </is>
      </c>
      <c r="F524" t="inlineStr">
        <is>
          <t>00</t>
        </is>
      </c>
      <c r="G524" t="inlineStr">
        <is>
          <t xml:space="preserve">209 </t>
        </is>
      </c>
      <c r="H524" t="n">
        <v>73577</v>
      </c>
      <c r="I524" s="17" t="n">
        <v>14093</v>
      </c>
      <c r="J524" s="17" t="n">
        <v>42849</v>
      </c>
      <c r="K524" t="n">
        <v>302</v>
      </c>
      <c r="L524" t="n">
        <v>11971</v>
      </c>
      <c r="M524" t="n">
        <v>4210</v>
      </c>
      <c r="N524" t="n">
        <v>26366</v>
      </c>
      <c r="O524" t="n">
        <v>47361</v>
      </c>
      <c r="P524" t="n">
        <v>47211</v>
      </c>
      <c r="Q524" t="n">
        <v>26216</v>
      </c>
      <c r="R524" t="n">
        <v>73577</v>
      </c>
      <c r="S524" t="n">
        <v>14093</v>
      </c>
      <c r="T524" t="n">
        <v>42849</v>
      </c>
      <c r="U524" t="n">
        <v>302</v>
      </c>
      <c r="V524" t="n">
        <v>11971</v>
      </c>
      <c r="W524" t="n">
        <v>4210</v>
      </c>
      <c r="X524" t="n">
        <v>26366</v>
      </c>
      <c r="Y524" t="n">
        <v>47361</v>
      </c>
      <c r="Z524" t="n">
        <v>47211</v>
      </c>
      <c r="AA524" t="n">
        <v>26216</v>
      </c>
      <c r="AB524" t="n">
        <v>0</v>
      </c>
      <c r="AC524" t="n">
        <v>0</v>
      </c>
      <c r="AD524" t="n">
        <v>0</v>
      </c>
      <c r="AE524" t="n">
        <v>0</v>
      </c>
      <c r="AF524" t="n">
        <v>0</v>
      </c>
      <c r="AG524" t="n">
        <v>0</v>
      </c>
      <c r="AH524" t="n">
        <v>0</v>
      </c>
      <c r="AI524" t="n">
        <v>0</v>
      </c>
      <c r="AJ524" t="n">
        <v>0</v>
      </c>
      <c r="AK524" t="n">
        <v>0</v>
      </c>
      <c r="AL524" t="n">
        <v>-1710</v>
      </c>
      <c r="AM524" t="n">
        <v>5693</v>
      </c>
      <c r="AN524" t="n">
        <v>-5596</v>
      </c>
      <c r="AO524" t="n">
        <v>-517</v>
      </c>
      <c r="AP524" t="n">
        <v>-2149</v>
      </c>
      <c r="AQ524" t="n">
        <v>-1091</v>
      </c>
      <c r="AR524" t="n">
        <v>3027</v>
      </c>
      <c r="AS524" t="n">
        <v>-7204</v>
      </c>
      <c r="AT524" t="n">
        <v>-4737</v>
      </c>
      <c r="AU524" t="n">
        <v>5494</v>
      </c>
      <c r="AV524" t="n">
        <v>100</v>
      </c>
      <c r="AW524" t="n">
        <v>19.2</v>
      </c>
      <c r="AX524" t="n">
        <v>58.2</v>
      </c>
      <c r="AY524" t="n">
        <v>0.4</v>
      </c>
      <c r="AZ524" t="n">
        <v>16.3</v>
      </c>
      <c r="BA524" t="n">
        <v>5.7</v>
      </c>
      <c r="BB524" t="n">
        <v>35.8</v>
      </c>
      <c r="BC524" t="n">
        <v>64.40000000000001</v>
      </c>
      <c r="BD524" t="n">
        <v>64.2</v>
      </c>
      <c r="BE524" t="n">
        <v>35.6</v>
      </c>
      <c r="BF524" t="n">
        <v>100</v>
      </c>
      <c r="BG524" t="n">
        <v>19.2</v>
      </c>
      <c r="BH524" t="n">
        <v>58.2</v>
      </c>
      <c r="BI524" t="n">
        <v>0.4</v>
      </c>
      <c r="BJ524" t="n">
        <v>16.3</v>
      </c>
      <c r="BK524" t="n">
        <v>5.7</v>
      </c>
      <c r="BL524" t="n">
        <v>35.8</v>
      </c>
      <c r="BM524" t="n">
        <v>64.40000000000001</v>
      </c>
      <c r="BN524" t="n">
        <v>64.2</v>
      </c>
      <c r="BO524" t="n">
        <v>35.6</v>
      </c>
      <c r="BP524" t="n">
        <v>0</v>
      </c>
      <c r="BQ524" t="n">
        <v>0</v>
      </c>
      <c r="BR524" t="n">
        <v>0</v>
      </c>
      <c r="BS524" t="n">
        <v>0</v>
      </c>
      <c r="BT524" t="n">
        <v>0</v>
      </c>
      <c r="BU524" t="n">
        <v>0</v>
      </c>
      <c r="BV524" t="n">
        <v>0</v>
      </c>
      <c r="BW524" t="n">
        <v>0</v>
      </c>
      <c r="BX524" t="n">
        <v>0</v>
      </c>
      <c r="BY524" t="n">
        <v>0</v>
      </c>
      <c r="BZ524" t="n">
        <v>38</v>
      </c>
      <c r="CA524" t="n">
        <v>15</v>
      </c>
      <c r="CB524" t="n">
        <v>11</v>
      </c>
      <c r="CC524" t="n">
        <v>6</v>
      </c>
      <c r="CD524" t="n">
        <v>7</v>
      </c>
      <c r="CE524" t="n">
        <v>7</v>
      </c>
      <c r="CF524" t="n">
        <v>26</v>
      </c>
      <c r="CG524" t="n">
        <v>20</v>
      </c>
      <c r="CH524" t="n">
        <v>38</v>
      </c>
      <c r="CI524" t="n">
        <v>15</v>
      </c>
      <c r="CJ524" t="n">
        <v>11</v>
      </c>
      <c r="CK524" t="n">
        <v>6</v>
      </c>
      <c r="CL524" t="n">
        <v>7</v>
      </c>
      <c r="CM524" t="n">
        <v>7</v>
      </c>
      <c r="CN524" t="n">
        <v>26</v>
      </c>
      <c r="CO524" t="n">
        <v>20</v>
      </c>
      <c r="CP524" t="n">
        <v>0</v>
      </c>
      <c r="CQ524" t="n">
        <v>0</v>
      </c>
      <c r="CR524" t="n">
        <v>0</v>
      </c>
      <c r="CS524" t="n">
        <v>0</v>
      </c>
      <c r="CT524" t="n">
        <v>0</v>
      </c>
      <c r="CU524" t="n">
        <v>0</v>
      </c>
      <c r="CV524" t="n">
        <v>0</v>
      </c>
      <c r="CW524" t="n">
        <v>0</v>
      </c>
      <c r="CX524" t="n">
        <v>15.1</v>
      </c>
      <c r="CY524" t="n">
        <v>55.4</v>
      </c>
      <c r="CZ524" t="n">
        <v>25.1</v>
      </c>
      <c r="DA524" t="n">
        <v>60.2</v>
      </c>
      <c r="DB524" t="n">
        <v>15.1</v>
      </c>
      <c r="DC524" t="n">
        <v>55.1</v>
      </c>
      <c r="DD524" t="n">
        <v>23.7</v>
      </c>
      <c r="DE524" t="n">
        <v>58.2</v>
      </c>
      <c r="DF524" t="n">
        <v>15.1</v>
      </c>
      <c r="DG524" t="n">
        <v>55.4</v>
      </c>
      <c r="DH524" t="n">
        <v>25.1</v>
      </c>
      <c r="DI524" t="n">
        <v>60.2</v>
      </c>
      <c r="DJ524" t="n">
        <v>15.1</v>
      </c>
      <c r="DK524" t="n">
        <v>55.1</v>
      </c>
      <c r="DL524" t="n">
        <v>23.7</v>
      </c>
      <c r="DM524" t="n">
        <v>58.2</v>
      </c>
      <c r="DN524" t="n">
        <v>0</v>
      </c>
      <c r="DO524" t="n">
        <v>0</v>
      </c>
      <c r="DP524" t="n">
        <v>0</v>
      </c>
      <c r="DQ524" t="n">
        <v>0</v>
      </c>
      <c r="DR524" t="n">
        <v>0</v>
      </c>
      <c r="DS524" t="n">
        <v>0</v>
      </c>
      <c r="DT524" t="n">
        <v>0</v>
      </c>
      <c r="DU524" t="n">
        <v>0</v>
      </c>
      <c r="DV524" t="inlineStr">
        <is>
          <t>(NASDAQ 100 STOCK INDEX x $2)</t>
        </is>
      </c>
    </row>
    <row r="525">
      <c r="A525" t="inlineStr">
        <is>
          <t>MICRO E-MINI NASDAQ-100 INDEX - CHICAGO MERCANTILE EXCHANGE</t>
        </is>
      </c>
      <c r="B525" t="n">
        <v>230103</v>
      </c>
      <c r="C525" s="1" t="n">
        <v>44929</v>
      </c>
      <c r="D525" t="inlineStr">
        <is>
          <t>209747</t>
        </is>
      </c>
      <c r="E525" t="inlineStr">
        <is>
          <t xml:space="preserve">CME </t>
        </is>
      </c>
      <c r="F525" t="inlineStr">
        <is>
          <t>00</t>
        </is>
      </c>
      <c r="G525" t="inlineStr">
        <is>
          <t xml:space="preserve">209 </t>
        </is>
      </c>
      <c r="H525" t="n">
        <v>75287</v>
      </c>
      <c r="I525" s="17" t="n">
        <v>8400</v>
      </c>
      <c r="J525" s="17" t="n">
        <v>48445</v>
      </c>
      <c r="K525" t="n">
        <v>819</v>
      </c>
      <c r="L525" t="n">
        <v>14120</v>
      </c>
      <c r="M525" t="n">
        <v>5301</v>
      </c>
      <c r="N525" t="n">
        <v>23339</v>
      </c>
      <c r="O525" t="n">
        <v>54565</v>
      </c>
      <c r="P525" t="n">
        <v>51948</v>
      </c>
      <c r="Q525" t="n">
        <v>20722</v>
      </c>
      <c r="R525" t="n">
        <v>75287</v>
      </c>
      <c r="S525" t="n">
        <v>8400</v>
      </c>
      <c r="T525" t="n">
        <v>48445</v>
      </c>
      <c r="U525" t="n">
        <v>819</v>
      </c>
      <c r="V525" t="n">
        <v>14120</v>
      </c>
      <c r="W525" t="n">
        <v>5301</v>
      </c>
      <c r="X525" t="n">
        <v>23339</v>
      </c>
      <c r="Y525" t="n">
        <v>54565</v>
      </c>
      <c r="Z525" t="n">
        <v>51948</v>
      </c>
      <c r="AA525" t="n">
        <v>20722</v>
      </c>
      <c r="AB525" t="n">
        <v>0</v>
      </c>
      <c r="AC525" t="n">
        <v>0</v>
      </c>
      <c r="AD525" t="n">
        <v>0</v>
      </c>
      <c r="AE525" t="n">
        <v>0</v>
      </c>
      <c r="AF525" t="n">
        <v>0</v>
      </c>
      <c r="AG525" t="n">
        <v>0</v>
      </c>
      <c r="AH525" t="n">
        <v>0</v>
      </c>
      <c r="AI525" t="n">
        <v>0</v>
      </c>
      <c r="AJ525" t="n">
        <v>0</v>
      </c>
      <c r="AK525" t="n">
        <v>0</v>
      </c>
      <c r="AL525" t="n">
        <v>-2058</v>
      </c>
      <c r="AM525" t="n">
        <v>1043</v>
      </c>
      <c r="AN525" t="n">
        <v>-3947</v>
      </c>
      <c r="AO525" t="n">
        <v>205</v>
      </c>
      <c r="AP525" t="n">
        <v>2821</v>
      </c>
      <c r="AQ525" t="n">
        <v>963</v>
      </c>
      <c r="AR525" t="n">
        <v>4069</v>
      </c>
      <c r="AS525" t="n">
        <v>-2779</v>
      </c>
      <c r="AT525" t="n">
        <v>-6127</v>
      </c>
      <c r="AU525" t="n">
        <v>721</v>
      </c>
      <c r="AV525" t="n">
        <v>100</v>
      </c>
      <c r="AW525" t="n">
        <v>11.2</v>
      </c>
      <c r="AX525" t="n">
        <v>64.3</v>
      </c>
      <c r="AY525" t="n">
        <v>1.1</v>
      </c>
      <c r="AZ525" t="n">
        <v>18.8</v>
      </c>
      <c r="BA525" t="n">
        <v>7</v>
      </c>
      <c r="BB525" t="n">
        <v>31</v>
      </c>
      <c r="BC525" t="n">
        <v>72.5</v>
      </c>
      <c r="BD525" t="n">
        <v>69</v>
      </c>
      <c r="BE525" t="n">
        <v>27.5</v>
      </c>
      <c r="BF525" t="n">
        <v>100</v>
      </c>
      <c r="BG525" t="n">
        <v>11.2</v>
      </c>
      <c r="BH525" t="n">
        <v>64.3</v>
      </c>
      <c r="BI525" t="n">
        <v>1.1</v>
      </c>
      <c r="BJ525" t="n">
        <v>18.8</v>
      </c>
      <c r="BK525" t="n">
        <v>7</v>
      </c>
      <c r="BL525" t="n">
        <v>31</v>
      </c>
      <c r="BM525" t="n">
        <v>72.5</v>
      </c>
      <c r="BN525" t="n">
        <v>69</v>
      </c>
      <c r="BO525" t="n">
        <v>27.5</v>
      </c>
      <c r="BP525" t="n">
        <v>0</v>
      </c>
      <c r="BQ525" t="n">
        <v>0</v>
      </c>
      <c r="BR525" t="n">
        <v>0</v>
      </c>
      <c r="BS525" t="n">
        <v>0</v>
      </c>
      <c r="BT525" t="n">
        <v>0</v>
      </c>
      <c r="BU525" t="n">
        <v>0</v>
      </c>
      <c r="BV525" t="n">
        <v>0</v>
      </c>
      <c r="BW525" t="n">
        <v>0</v>
      </c>
      <c r="BX525" t="n">
        <v>0</v>
      </c>
      <c r="BY525" t="n">
        <v>0</v>
      </c>
      <c r="BZ525" t="n">
        <v>33</v>
      </c>
      <c r="CA525" t="n">
        <v>11</v>
      </c>
      <c r="CB525" t="n">
        <v>12</v>
      </c>
      <c r="CC525" t="n">
        <v>5</v>
      </c>
      <c r="CD525" t="n">
        <v>7</v>
      </c>
      <c r="CE525" t="n">
        <v>5</v>
      </c>
      <c r="CF525" t="n">
        <v>23</v>
      </c>
      <c r="CG525" t="n">
        <v>17</v>
      </c>
      <c r="CH525" t="n">
        <v>33</v>
      </c>
      <c r="CI525" t="n">
        <v>11</v>
      </c>
      <c r="CJ525" t="n">
        <v>12</v>
      </c>
      <c r="CK525" t="n">
        <v>5</v>
      </c>
      <c r="CL525" t="n">
        <v>7</v>
      </c>
      <c r="CM525" t="n">
        <v>5</v>
      </c>
      <c r="CN525" t="n">
        <v>23</v>
      </c>
      <c r="CO525" t="n">
        <v>17</v>
      </c>
      <c r="CP525" t="n">
        <v>0</v>
      </c>
      <c r="CQ525" t="n">
        <v>0</v>
      </c>
      <c r="CR525" t="n">
        <v>0</v>
      </c>
      <c r="CS525" t="n">
        <v>0</v>
      </c>
      <c r="CT525" t="n">
        <v>0</v>
      </c>
      <c r="CU525" t="n">
        <v>0</v>
      </c>
      <c r="CV525" t="n">
        <v>0</v>
      </c>
      <c r="CW525" t="n">
        <v>0</v>
      </c>
      <c r="CX525" t="n">
        <v>17.6</v>
      </c>
      <c r="CY525" t="n">
        <v>58.9</v>
      </c>
      <c r="CZ525" t="n">
        <v>25.2</v>
      </c>
      <c r="DA525" t="n">
        <v>68.2</v>
      </c>
      <c r="DB525" t="n">
        <v>17.4</v>
      </c>
      <c r="DC525" t="n">
        <v>57.9</v>
      </c>
      <c r="DD525" t="n">
        <v>23.1</v>
      </c>
      <c r="DE525" t="n">
        <v>64.8</v>
      </c>
      <c r="DF525" t="n">
        <v>17.6</v>
      </c>
      <c r="DG525" t="n">
        <v>58.9</v>
      </c>
      <c r="DH525" t="n">
        <v>25.2</v>
      </c>
      <c r="DI525" t="n">
        <v>68.2</v>
      </c>
      <c r="DJ525" t="n">
        <v>17.4</v>
      </c>
      <c r="DK525" t="n">
        <v>57.9</v>
      </c>
      <c r="DL525" t="n">
        <v>23.1</v>
      </c>
      <c r="DM525" t="n">
        <v>64.8</v>
      </c>
      <c r="DN525" t="n">
        <v>0</v>
      </c>
      <c r="DO525" t="n">
        <v>0</v>
      </c>
      <c r="DP525" t="n">
        <v>0</v>
      </c>
      <c r="DQ525" t="n">
        <v>0</v>
      </c>
      <c r="DR525" t="n">
        <v>0</v>
      </c>
      <c r="DS525" t="n">
        <v>0</v>
      </c>
      <c r="DT525" t="n">
        <v>0</v>
      </c>
      <c r="DU525" t="n">
        <v>0</v>
      </c>
      <c r="DV525" t="inlineStr">
        <is>
          <t>(NASDAQ 100 STOCK INDEX x $2)</t>
        </is>
      </c>
    </row>
    <row r="526">
      <c r="A526" t="inlineStr">
        <is>
          <t>BBG COMMODITY - CHICAGO BOARD OF TRADE</t>
        </is>
      </c>
      <c r="B526" t="n">
        <v>230110</v>
      </c>
      <c r="C526" s="1" t="n">
        <v>44936</v>
      </c>
      <c r="D526" t="inlineStr">
        <is>
          <t>221602</t>
        </is>
      </c>
      <c r="E526" t="inlineStr">
        <is>
          <t xml:space="preserve">CBT </t>
        </is>
      </c>
      <c r="F526" t="inlineStr">
        <is>
          <t>00</t>
        </is>
      </c>
      <c r="G526" t="inlineStr">
        <is>
          <t xml:space="preserve">221 </t>
        </is>
      </c>
      <c r="H526" t="n">
        <v>63360</v>
      </c>
      <c r="I526" s="17" t="n">
        <v>9790</v>
      </c>
      <c r="J526" s="17" t="n">
        <v>22387</v>
      </c>
      <c r="K526" t="n">
        <v>823</v>
      </c>
      <c r="L526" t="n">
        <v>52390</v>
      </c>
      <c r="M526" t="n">
        <v>40060</v>
      </c>
      <c r="N526" t="n">
        <v>63003</v>
      </c>
      <c r="O526" t="n">
        <v>63270</v>
      </c>
      <c r="P526" t="n">
        <v>357</v>
      </c>
      <c r="Q526" t="n">
        <v>90</v>
      </c>
      <c r="R526" t="n">
        <v>63360</v>
      </c>
      <c r="S526" t="n">
        <v>9790</v>
      </c>
      <c r="T526" t="n">
        <v>22387</v>
      </c>
      <c r="U526" t="n">
        <v>823</v>
      </c>
      <c r="V526" t="n">
        <v>52390</v>
      </c>
      <c r="W526" t="n">
        <v>40060</v>
      </c>
      <c r="X526" t="n">
        <v>63003</v>
      </c>
      <c r="Y526" t="n">
        <v>63270</v>
      </c>
      <c r="Z526" t="n">
        <v>357</v>
      </c>
      <c r="AA526" t="n">
        <v>90</v>
      </c>
      <c r="AB526" t="n">
        <v>0</v>
      </c>
      <c r="AC526" t="n">
        <v>0</v>
      </c>
      <c r="AD526" t="n">
        <v>0</v>
      </c>
      <c r="AE526" t="n">
        <v>0</v>
      </c>
      <c r="AF526" t="n">
        <v>0</v>
      </c>
      <c r="AG526" t="n">
        <v>0</v>
      </c>
      <c r="AH526" t="n">
        <v>0</v>
      </c>
      <c r="AI526" t="n">
        <v>0</v>
      </c>
      <c r="AJ526" t="n">
        <v>0</v>
      </c>
      <c r="AK526" t="n">
        <v>0</v>
      </c>
      <c r="AL526" t="n">
        <v>7236</v>
      </c>
      <c r="AM526" t="n">
        <v>-864</v>
      </c>
      <c r="AN526" t="n">
        <v>7432</v>
      </c>
      <c r="AO526" t="n">
        <v>90</v>
      </c>
      <c r="AP526" t="n">
        <v>8987</v>
      </c>
      <c r="AQ526" t="n">
        <v>-262</v>
      </c>
      <c r="AR526" t="n">
        <v>8213</v>
      </c>
      <c r="AS526" t="n">
        <v>7260</v>
      </c>
      <c r="AT526" t="n">
        <v>-977</v>
      </c>
      <c r="AU526" t="n">
        <v>-24</v>
      </c>
      <c r="AV526" t="n">
        <v>100</v>
      </c>
      <c r="AW526" t="n">
        <v>15.5</v>
      </c>
      <c r="AX526" t="n">
        <v>35.3</v>
      </c>
      <c r="AY526" t="n">
        <v>1.3</v>
      </c>
      <c r="AZ526" t="n">
        <v>82.7</v>
      </c>
      <c r="BA526" t="n">
        <v>63.2</v>
      </c>
      <c r="BB526" t="n">
        <v>99.40000000000001</v>
      </c>
      <c r="BC526" t="n">
        <v>99.90000000000001</v>
      </c>
      <c r="BD526" t="n">
        <v>0.6</v>
      </c>
      <c r="BE526" t="n">
        <v>0.1</v>
      </c>
      <c r="BF526" t="n">
        <v>100</v>
      </c>
      <c r="BG526" t="n">
        <v>15.5</v>
      </c>
      <c r="BH526" t="n">
        <v>35.3</v>
      </c>
      <c r="BI526" t="n">
        <v>1.3</v>
      </c>
      <c r="BJ526" t="n">
        <v>82.7</v>
      </c>
      <c r="BK526" t="n">
        <v>63.2</v>
      </c>
      <c r="BL526" t="n">
        <v>99.40000000000001</v>
      </c>
      <c r="BM526" t="n">
        <v>99.90000000000001</v>
      </c>
      <c r="BN526" t="n">
        <v>0.6</v>
      </c>
      <c r="BO526" t="n">
        <v>0.1</v>
      </c>
      <c r="BP526" t="n">
        <v>0</v>
      </c>
      <c r="BQ526" t="n">
        <v>0</v>
      </c>
      <c r="BR526" t="n">
        <v>0</v>
      </c>
      <c r="BS526" t="n">
        <v>0</v>
      </c>
      <c r="BT526" t="n">
        <v>0</v>
      </c>
      <c r="BU526" t="n">
        <v>0</v>
      </c>
      <c r="BV526" t="n">
        <v>0</v>
      </c>
      <c r="BW526" t="n">
        <v>0</v>
      </c>
      <c r="BX526" t="n">
        <v>0</v>
      </c>
      <c r="BY526" t="n">
        <v>0</v>
      </c>
      <c r="BZ526" t="n">
        <v>51</v>
      </c>
      <c r="CA526" t="n">
        <v>21</v>
      </c>
      <c r="CB526" t="n">
        <v>20</v>
      </c>
      <c r="CC526" t="n">
        <v>2</v>
      </c>
      <c r="CD526" t="n">
        <v>8</v>
      </c>
      <c r="CE526" t="n">
        <v>2</v>
      </c>
      <c r="CF526" t="n">
        <v>30</v>
      </c>
      <c r="CG526" t="n">
        <v>24</v>
      </c>
      <c r="CH526" t="n">
        <v>51</v>
      </c>
      <c r="CI526" t="n">
        <v>21</v>
      </c>
      <c r="CJ526" t="n">
        <v>20</v>
      </c>
      <c r="CK526" t="n">
        <v>2</v>
      </c>
      <c r="CL526" t="n">
        <v>8</v>
      </c>
      <c r="CM526" t="n">
        <v>2</v>
      </c>
      <c r="CN526" t="n">
        <v>30</v>
      </c>
      <c r="CO526" t="n">
        <v>24</v>
      </c>
      <c r="CP526" t="n">
        <v>0</v>
      </c>
      <c r="CQ526" t="n">
        <v>0</v>
      </c>
      <c r="CR526" t="n">
        <v>0</v>
      </c>
      <c r="CS526" t="n">
        <v>0</v>
      </c>
      <c r="CT526" t="n">
        <v>0</v>
      </c>
      <c r="CU526" t="n">
        <v>0</v>
      </c>
      <c r="CV526" t="n">
        <v>0</v>
      </c>
      <c r="CW526" t="n">
        <v>0</v>
      </c>
      <c r="CX526" t="n">
        <v>81.7</v>
      </c>
      <c r="CY526" t="n">
        <v>82.2</v>
      </c>
      <c r="CZ526" t="n">
        <v>91.59999999999999</v>
      </c>
      <c r="DA526" t="n">
        <v>94.8</v>
      </c>
      <c r="DB526" t="n">
        <v>81.59999999999999</v>
      </c>
      <c r="DC526" t="n">
        <v>82.2</v>
      </c>
      <c r="DD526" t="n">
        <v>91.59999999999999</v>
      </c>
      <c r="DE526" t="n">
        <v>94.8</v>
      </c>
      <c r="DF526" t="n">
        <v>81.7</v>
      </c>
      <c r="DG526" t="n">
        <v>82.2</v>
      </c>
      <c r="DH526" t="n">
        <v>91.59999999999999</v>
      </c>
      <c r="DI526" t="n">
        <v>94.8</v>
      </c>
      <c r="DJ526" t="n">
        <v>81.59999999999999</v>
      </c>
      <c r="DK526" t="n">
        <v>82.2</v>
      </c>
      <c r="DL526" t="n">
        <v>91.59999999999999</v>
      </c>
      <c r="DM526" t="n">
        <v>94.8</v>
      </c>
      <c r="DN526" t="n">
        <v>0</v>
      </c>
      <c r="DO526" t="n">
        <v>0</v>
      </c>
      <c r="DP526" t="n">
        <v>0</v>
      </c>
      <c r="DQ526" t="n">
        <v>0</v>
      </c>
      <c r="DR526" t="n">
        <v>0</v>
      </c>
      <c r="DS526" t="n">
        <v>0</v>
      </c>
      <c r="DT526" t="n">
        <v>0</v>
      </c>
      <c r="DU526" t="n">
        <v>0</v>
      </c>
      <c r="DV526" t="inlineStr">
        <is>
          <t>($100 X INDEX)</t>
        </is>
      </c>
    </row>
    <row r="527">
      <c r="A527" t="inlineStr">
        <is>
          <t>BBG COMMODITY - CHICAGO BOARD OF TRADE</t>
        </is>
      </c>
      <c r="B527" t="n">
        <v>230103</v>
      </c>
      <c r="C527" s="1" t="n">
        <v>44929</v>
      </c>
      <c r="D527" t="inlineStr">
        <is>
          <t>221602</t>
        </is>
      </c>
      <c r="E527" t="inlineStr">
        <is>
          <t xml:space="preserve">CBT </t>
        </is>
      </c>
      <c r="F527" t="inlineStr">
        <is>
          <t>00</t>
        </is>
      </c>
      <c r="G527" t="inlineStr">
        <is>
          <t xml:space="preserve">221 </t>
        </is>
      </c>
      <c r="H527" t="n">
        <v>56124</v>
      </c>
      <c r="I527" s="17" t="n">
        <v>10654</v>
      </c>
      <c r="J527" s="17" t="n">
        <v>14955</v>
      </c>
      <c r="K527" t="n">
        <v>733</v>
      </c>
      <c r="L527" t="n">
        <v>43403</v>
      </c>
      <c r="M527" t="n">
        <v>40322</v>
      </c>
      <c r="N527" t="n">
        <v>54790</v>
      </c>
      <c r="O527" t="n">
        <v>56010</v>
      </c>
      <c r="P527" t="n">
        <v>1334</v>
      </c>
      <c r="Q527" t="n">
        <v>114</v>
      </c>
      <c r="R527" t="n">
        <v>56124</v>
      </c>
      <c r="S527" t="n">
        <v>10654</v>
      </c>
      <c r="T527" t="n">
        <v>14955</v>
      </c>
      <c r="U527" t="n">
        <v>733</v>
      </c>
      <c r="V527" t="n">
        <v>43403</v>
      </c>
      <c r="W527" t="n">
        <v>40322</v>
      </c>
      <c r="X527" t="n">
        <v>54790</v>
      </c>
      <c r="Y527" t="n">
        <v>56010</v>
      </c>
      <c r="Z527" t="n">
        <v>1334</v>
      </c>
      <c r="AA527" t="n">
        <v>114</v>
      </c>
      <c r="AB527" t="n">
        <v>0</v>
      </c>
      <c r="AC527" t="n">
        <v>0</v>
      </c>
      <c r="AD527" t="n">
        <v>0</v>
      </c>
      <c r="AE527" t="n">
        <v>0</v>
      </c>
      <c r="AF527" t="n">
        <v>0</v>
      </c>
      <c r="AG527" t="n">
        <v>0</v>
      </c>
      <c r="AH527" t="n">
        <v>0</v>
      </c>
      <c r="AI527" t="n">
        <v>0</v>
      </c>
      <c r="AJ527" t="n">
        <v>0</v>
      </c>
      <c r="AK527" t="n">
        <v>0</v>
      </c>
      <c r="AL527" t="n">
        <v>599</v>
      </c>
      <c r="AM527" t="n">
        <v>-402</v>
      </c>
      <c r="AN527" t="n">
        <v>578</v>
      </c>
      <c r="AO527" t="n">
        <v>0</v>
      </c>
      <c r="AP527" t="n">
        <v>0</v>
      </c>
      <c r="AQ527" t="n">
        <v>0</v>
      </c>
      <c r="AR527" t="n">
        <v>-402</v>
      </c>
      <c r="AS527" t="n">
        <v>578</v>
      </c>
      <c r="AT527" t="n">
        <v>1001</v>
      </c>
      <c r="AU527" t="n">
        <v>21</v>
      </c>
      <c r="AV527" t="n">
        <v>100</v>
      </c>
      <c r="AW527" t="n">
        <v>19</v>
      </c>
      <c r="AX527" t="n">
        <v>26.6</v>
      </c>
      <c r="AY527" t="n">
        <v>1.3</v>
      </c>
      <c r="AZ527" t="n">
        <v>77.3</v>
      </c>
      <c r="BA527" t="n">
        <v>71.8</v>
      </c>
      <c r="BB527" t="n">
        <v>97.59999999999999</v>
      </c>
      <c r="BC527" t="n">
        <v>99.8</v>
      </c>
      <c r="BD527" t="n">
        <v>2.4</v>
      </c>
      <c r="BE527" t="n">
        <v>0.2</v>
      </c>
      <c r="BF527" t="n">
        <v>100</v>
      </c>
      <c r="BG527" t="n">
        <v>19</v>
      </c>
      <c r="BH527" t="n">
        <v>26.6</v>
      </c>
      <c r="BI527" t="n">
        <v>1.3</v>
      </c>
      <c r="BJ527" t="n">
        <v>77.3</v>
      </c>
      <c r="BK527" t="n">
        <v>71.8</v>
      </c>
      <c r="BL527" t="n">
        <v>97.59999999999999</v>
      </c>
      <c r="BM527" t="n">
        <v>99.8</v>
      </c>
      <c r="BN527" t="n">
        <v>2.4</v>
      </c>
      <c r="BO527" t="n">
        <v>0.2</v>
      </c>
      <c r="BP527" t="n">
        <v>0</v>
      </c>
      <c r="BQ527" t="n">
        <v>0</v>
      </c>
      <c r="BR527" t="n">
        <v>0</v>
      </c>
      <c r="BS527" t="n">
        <v>0</v>
      </c>
      <c r="BT527" t="n">
        <v>0</v>
      </c>
      <c r="BU527" t="n">
        <v>0</v>
      </c>
      <c r="BV527" t="n">
        <v>0</v>
      </c>
      <c r="BW527" t="n">
        <v>0</v>
      </c>
      <c r="BX527" t="n">
        <v>0</v>
      </c>
      <c r="BY527" t="n">
        <v>0</v>
      </c>
      <c r="BZ527" t="n">
        <v>42</v>
      </c>
      <c r="CA527" t="n">
        <v>17</v>
      </c>
      <c r="CB527" t="n">
        <v>17</v>
      </c>
      <c r="CC527" t="n">
        <v>2</v>
      </c>
      <c r="CD527" t="n">
        <v>7</v>
      </c>
      <c r="CE527" t="n">
        <v>2</v>
      </c>
      <c r="CF527" t="n">
        <v>24</v>
      </c>
      <c r="CG527" t="n">
        <v>21</v>
      </c>
      <c r="CH527" t="n">
        <v>42</v>
      </c>
      <c r="CI527" t="n">
        <v>17</v>
      </c>
      <c r="CJ527" t="n">
        <v>17</v>
      </c>
      <c r="CK527" t="n">
        <v>2</v>
      </c>
      <c r="CL527" t="n">
        <v>7</v>
      </c>
      <c r="CM527" t="n">
        <v>2</v>
      </c>
      <c r="CN527" t="n">
        <v>24</v>
      </c>
      <c r="CO527" t="n">
        <v>21</v>
      </c>
      <c r="CP527" t="n">
        <v>0</v>
      </c>
      <c r="CQ527" t="n">
        <v>0</v>
      </c>
      <c r="CR527" t="n">
        <v>0</v>
      </c>
      <c r="CS527" t="n">
        <v>0</v>
      </c>
      <c r="CT527" t="n">
        <v>0</v>
      </c>
      <c r="CU527" t="n">
        <v>0</v>
      </c>
      <c r="CV527" t="n">
        <v>0</v>
      </c>
      <c r="CW527" t="n">
        <v>0</v>
      </c>
      <c r="CX527" t="n">
        <v>82.90000000000001</v>
      </c>
      <c r="CY527" t="n">
        <v>85.90000000000001</v>
      </c>
      <c r="CZ527" t="n">
        <v>92.7</v>
      </c>
      <c r="DA527" t="n">
        <v>95.59999999999999</v>
      </c>
      <c r="DB527" t="n">
        <v>82.90000000000001</v>
      </c>
      <c r="DC527" t="n">
        <v>85.90000000000001</v>
      </c>
      <c r="DD527" t="n">
        <v>91.59999999999999</v>
      </c>
      <c r="DE527" t="n">
        <v>95.59999999999999</v>
      </c>
      <c r="DF527" t="n">
        <v>82.90000000000001</v>
      </c>
      <c r="DG527" t="n">
        <v>85.90000000000001</v>
      </c>
      <c r="DH527" t="n">
        <v>92.7</v>
      </c>
      <c r="DI527" t="n">
        <v>95.59999999999999</v>
      </c>
      <c r="DJ527" t="n">
        <v>82.90000000000001</v>
      </c>
      <c r="DK527" t="n">
        <v>85.90000000000001</v>
      </c>
      <c r="DL527" t="n">
        <v>91.59999999999999</v>
      </c>
      <c r="DM527" t="n">
        <v>95.59999999999999</v>
      </c>
      <c r="DN527" t="n">
        <v>0</v>
      </c>
      <c r="DO527" t="n">
        <v>0</v>
      </c>
      <c r="DP527" t="n">
        <v>0</v>
      </c>
      <c r="DQ527" t="n">
        <v>0</v>
      </c>
      <c r="DR527" t="n">
        <v>0</v>
      </c>
      <c r="DS527" t="n">
        <v>0</v>
      </c>
      <c r="DT527" t="n">
        <v>0</v>
      </c>
      <c r="DU527" t="n">
        <v>0</v>
      </c>
      <c r="DV527" t="inlineStr">
        <is>
          <t>($100 X INDEX)</t>
        </is>
      </c>
    </row>
    <row r="528">
      <c r="A528" t="inlineStr">
        <is>
          <t>AUSTRALIAN DOLLAR - CHICAGO MERCANTILE EXCHANGE</t>
        </is>
      </c>
      <c r="B528" t="n">
        <v>230110</v>
      </c>
      <c r="C528" s="1" t="n">
        <v>44936</v>
      </c>
      <c r="D528" t="inlineStr">
        <is>
          <t>232741</t>
        </is>
      </c>
      <c r="E528" t="inlineStr">
        <is>
          <t xml:space="preserve">CME </t>
        </is>
      </c>
      <c r="F528" t="inlineStr">
        <is>
          <t>00</t>
        </is>
      </c>
      <c r="G528" t="inlineStr">
        <is>
          <t xml:space="preserve">232 </t>
        </is>
      </c>
      <c r="H528" t="n">
        <v>126028</v>
      </c>
      <c r="I528" s="17" t="n">
        <v>30210</v>
      </c>
      <c r="J528" s="17" t="n">
        <v>63900</v>
      </c>
      <c r="K528" t="n">
        <v>3549</v>
      </c>
      <c r="L528" t="n">
        <v>71696</v>
      </c>
      <c r="M528" t="n">
        <v>39486</v>
      </c>
      <c r="N528" t="n">
        <v>105455</v>
      </c>
      <c r="O528" t="n">
        <v>106935</v>
      </c>
      <c r="P528" t="n">
        <v>20573</v>
      </c>
      <c r="Q528" t="n">
        <v>19093</v>
      </c>
      <c r="R528" t="n">
        <v>126028</v>
      </c>
      <c r="S528" t="n">
        <v>30210</v>
      </c>
      <c r="T528" t="n">
        <v>63900</v>
      </c>
      <c r="U528" t="n">
        <v>3549</v>
      </c>
      <c r="V528" t="n">
        <v>71696</v>
      </c>
      <c r="W528" t="n">
        <v>39486</v>
      </c>
      <c r="X528" t="n">
        <v>105455</v>
      </c>
      <c r="Y528" t="n">
        <v>106935</v>
      </c>
      <c r="Z528" t="n">
        <v>20573</v>
      </c>
      <c r="AA528" t="n">
        <v>19093</v>
      </c>
      <c r="AB528" t="n">
        <v>0</v>
      </c>
      <c r="AC528" t="n">
        <v>0</v>
      </c>
      <c r="AD528" t="n">
        <v>0</v>
      </c>
      <c r="AE528" t="n">
        <v>0</v>
      </c>
      <c r="AF528" t="n">
        <v>0</v>
      </c>
      <c r="AG528" t="n">
        <v>0</v>
      </c>
      <c r="AH528" t="n">
        <v>0</v>
      </c>
      <c r="AI528" t="n">
        <v>0</v>
      </c>
      <c r="AJ528" t="n">
        <v>0</v>
      </c>
      <c r="AK528" t="n">
        <v>0</v>
      </c>
      <c r="AL528" t="n">
        <v>-6932</v>
      </c>
      <c r="AM528" t="n">
        <v>-4998</v>
      </c>
      <c r="AN528" t="n">
        <v>-7575</v>
      </c>
      <c r="AO528" t="n">
        <v>-1632</v>
      </c>
      <c r="AP528" t="n">
        <v>-3028</v>
      </c>
      <c r="AQ528" t="n">
        <v>4357</v>
      </c>
      <c r="AR528" t="n">
        <v>-9658</v>
      </c>
      <c r="AS528" t="n">
        <v>-4850</v>
      </c>
      <c r="AT528" t="n">
        <v>2726</v>
      </c>
      <c r="AU528" t="n">
        <v>-2082</v>
      </c>
      <c r="AV528" t="n">
        <v>100</v>
      </c>
      <c r="AW528" t="n">
        <v>24</v>
      </c>
      <c r="AX528" t="n">
        <v>50.7</v>
      </c>
      <c r="AY528" t="n">
        <v>2.8</v>
      </c>
      <c r="AZ528" t="n">
        <v>56.9</v>
      </c>
      <c r="BA528" t="n">
        <v>31.3</v>
      </c>
      <c r="BB528" t="n">
        <v>83.7</v>
      </c>
      <c r="BC528" t="n">
        <v>84.90000000000001</v>
      </c>
      <c r="BD528" t="n">
        <v>16.3</v>
      </c>
      <c r="BE528" t="n">
        <v>15.1</v>
      </c>
      <c r="BF528" t="n">
        <v>100</v>
      </c>
      <c r="BG528" t="n">
        <v>24</v>
      </c>
      <c r="BH528" t="n">
        <v>50.7</v>
      </c>
      <c r="BI528" t="n">
        <v>2.8</v>
      </c>
      <c r="BJ528" t="n">
        <v>56.9</v>
      </c>
      <c r="BK528" t="n">
        <v>31.3</v>
      </c>
      <c r="BL528" t="n">
        <v>83.7</v>
      </c>
      <c r="BM528" t="n">
        <v>84.90000000000001</v>
      </c>
      <c r="BN528" t="n">
        <v>16.3</v>
      </c>
      <c r="BO528" t="n">
        <v>15.1</v>
      </c>
      <c r="BP528" t="n">
        <v>0</v>
      </c>
      <c r="BQ528" t="n">
        <v>0</v>
      </c>
      <c r="BR528" t="n">
        <v>0</v>
      </c>
      <c r="BS528" t="n">
        <v>0</v>
      </c>
      <c r="BT528" t="n">
        <v>0</v>
      </c>
      <c r="BU528" t="n">
        <v>0</v>
      </c>
      <c r="BV528" t="n">
        <v>0</v>
      </c>
      <c r="BW528" t="n">
        <v>0</v>
      </c>
      <c r="BX528" t="n">
        <v>0</v>
      </c>
      <c r="BY528" t="n">
        <v>0</v>
      </c>
      <c r="BZ528" t="n">
        <v>80</v>
      </c>
      <c r="CA528" t="n">
        <v>20</v>
      </c>
      <c r="CB528" t="n">
        <v>21</v>
      </c>
      <c r="CC528" t="n">
        <v>9</v>
      </c>
      <c r="CD528" t="n">
        <v>24</v>
      </c>
      <c r="CE528" t="n">
        <v>21</v>
      </c>
      <c r="CF528" t="n">
        <v>48</v>
      </c>
      <c r="CG528" t="n">
        <v>47</v>
      </c>
      <c r="CH528" t="n">
        <v>80</v>
      </c>
      <c r="CI528" t="n">
        <v>20</v>
      </c>
      <c r="CJ528" t="n">
        <v>21</v>
      </c>
      <c r="CK528" t="n">
        <v>9</v>
      </c>
      <c r="CL528" t="n">
        <v>24</v>
      </c>
      <c r="CM528" t="n">
        <v>21</v>
      </c>
      <c r="CN528" t="n">
        <v>48</v>
      </c>
      <c r="CO528" t="n">
        <v>47</v>
      </c>
      <c r="CP528" t="n">
        <v>0</v>
      </c>
      <c r="CQ528" t="n">
        <v>0</v>
      </c>
      <c r="CR528" t="n">
        <v>0</v>
      </c>
      <c r="CS528" t="n">
        <v>0</v>
      </c>
      <c r="CT528" t="n">
        <v>0</v>
      </c>
      <c r="CU528" t="n">
        <v>0</v>
      </c>
      <c r="CV528" t="n">
        <v>0</v>
      </c>
      <c r="CW528" t="n">
        <v>0</v>
      </c>
      <c r="CX528" t="n">
        <v>42.2</v>
      </c>
      <c r="CY528" t="n">
        <v>47.8</v>
      </c>
      <c r="CZ528" t="n">
        <v>54</v>
      </c>
      <c r="DA528" t="n">
        <v>57.7</v>
      </c>
      <c r="DB528" t="n">
        <v>42.2</v>
      </c>
      <c r="DC528" t="n">
        <v>47.7</v>
      </c>
      <c r="DD528" t="n">
        <v>53.6</v>
      </c>
      <c r="DE528" t="n">
        <v>57.3</v>
      </c>
      <c r="DF528" t="n">
        <v>42.2</v>
      </c>
      <c r="DG528" t="n">
        <v>47.8</v>
      </c>
      <c r="DH528" t="n">
        <v>54</v>
      </c>
      <c r="DI528" t="n">
        <v>57.7</v>
      </c>
      <c r="DJ528" t="n">
        <v>42.2</v>
      </c>
      <c r="DK528" t="n">
        <v>47.7</v>
      </c>
      <c r="DL528" t="n">
        <v>53.6</v>
      </c>
      <c r="DM528" t="n">
        <v>57.3</v>
      </c>
      <c r="DN528" t="n">
        <v>0</v>
      </c>
      <c r="DO528" t="n">
        <v>0</v>
      </c>
      <c r="DP528" t="n">
        <v>0</v>
      </c>
      <c r="DQ528" t="n">
        <v>0</v>
      </c>
      <c r="DR528" t="n">
        <v>0</v>
      </c>
      <c r="DS528" t="n">
        <v>0</v>
      </c>
      <c r="DT528" t="n">
        <v>0</v>
      </c>
      <c r="DU528" t="n">
        <v>0</v>
      </c>
      <c r="DV528" t="inlineStr">
        <is>
          <t>(CONTRACTS OF AUD 100,000)</t>
        </is>
      </c>
    </row>
    <row r="529">
      <c r="A529" t="inlineStr">
        <is>
          <t>AUSTRALIAN DOLLAR - CHICAGO MERCANTILE EXCHANGE</t>
        </is>
      </c>
      <c r="B529" t="n">
        <v>230103</v>
      </c>
      <c r="C529" s="1" t="n">
        <v>44929</v>
      </c>
      <c r="D529" t="inlineStr">
        <is>
          <t>232741</t>
        </is>
      </c>
      <c r="E529" t="inlineStr">
        <is>
          <t xml:space="preserve">CME </t>
        </is>
      </c>
      <c r="F529" t="inlineStr">
        <is>
          <t>00</t>
        </is>
      </c>
      <c r="G529" t="inlineStr">
        <is>
          <t xml:space="preserve">232 </t>
        </is>
      </c>
      <c r="H529" t="n">
        <v>132960</v>
      </c>
      <c r="I529" s="17" t="n">
        <v>35208</v>
      </c>
      <c r="J529" s="17" t="n">
        <v>71475</v>
      </c>
      <c r="K529" t="n">
        <v>5181</v>
      </c>
      <c r="L529" t="n">
        <v>74724</v>
      </c>
      <c r="M529" t="n">
        <v>35129</v>
      </c>
      <c r="N529" t="n">
        <v>115113</v>
      </c>
      <c r="O529" t="n">
        <v>111785</v>
      </c>
      <c r="P529" t="n">
        <v>17847</v>
      </c>
      <c r="Q529" t="n">
        <v>21175</v>
      </c>
      <c r="R529" t="n">
        <v>132960</v>
      </c>
      <c r="S529" t="n">
        <v>35208</v>
      </c>
      <c r="T529" t="n">
        <v>71475</v>
      </c>
      <c r="U529" t="n">
        <v>5181</v>
      </c>
      <c r="V529" t="n">
        <v>74724</v>
      </c>
      <c r="W529" t="n">
        <v>35129</v>
      </c>
      <c r="X529" t="n">
        <v>115113</v>
      </c>
      <c r="Y529" t="n">
        <v>111785</v>
      </c>
      <c r="Z529" t="n">
        <v>17847</v>
      </c>
      <c r="AA529" t="n">
        <v>21175</v>
      </c>
      <c r="AB529" t="n">
        <v>0</v>
      </c>
      <c r="AC529" t="n">
        <v>0</v>
      </c>
      <c r="AD529" t="n">
        <v>0</v>
      </c>
      <c r="AE529" t="n">
        <v>0</v>
      </c>
      <c r="AF529" t="n">
        <v>0</v>
      </c>
      <c r="AG529" t="n">
        <v>0</v>
      </c>
      <c r="AH529" t="n">
        <v>0</v>
      </c>
      <c r="AI529" t="n">
        <v>0</v>
      </c>
      <c r="AJ529" t="n">
        <v>0</v>
      </c>
      <c r="AK529" t="n">
        <v>0</v>
      </c>
      <c r="AL529" t="n">
        <v>3765</v>
      </c>
      <c r="AM529" t="n">
        <v>2253</v>
      </c>
      <c r="AN529" t="n">
        <v>1729</v>
      </c>
      <c r="AO529" t="n">
        <v>-217</v>
      </c>
      <c r="AP529" t="n">
        <v>1895</v>
      </c>
      <c r="AQ529" t="n">
        <v>581</v>
      </c>
      <c r="AR529" t="n">
        <v>3931</v>
      </c>
      <c r="AS529" t="n">
        <v>2093</v>
      </c>
      <c r="AT529" t="n">
        <v>-166</v>
      </c>
      <c r="AU529" t="n">
        <v>1672</v>
      </c>
      <c r="AV529" t="n">
        <v>100</v>
      </c>
      <c r="AW529" t="n">
        <v>26.5</v>
      </c>
      <c r="AX529" t="n">
        <v>53.8</v>
      </c>
      <c r="AY529" t="n">
        <v>3.9</v>
      </c>
      <c r="AZ529" t="n">
        <v>56.2</v>
      </c>
      <c r="BA529" t="n">
        <v>26.4</v>
      </c>
      <c r="BB529" t="n">
        <v>86.59999999999999</v>
      </c>
      <c r="BC529" t="n">
        <v>84.09999999999999</v>
      </c>
      <c r="BD529" t="n">
        <v>13.4</v>
      </c>
      <c r="BE529" t="n">
        <v>15.9</v>
      </c>
      <c r="BF529" t="n">
        <v>100</v>
      </c>
      <c r="BG529" t="n">
        <v>26.5</v>
      </c>
      <c r="BH529" t="n">
        <v>53.8</v>
      </c>
      <c r="BI529" t="n">
        <v>3.9</v>
      </c>
      <c r="BJ529" t="n">
        <v>56.2</v>
      </c>
      <c r="BK529" t="n">
        <v>26.4</v>
      </c>
      <c r="BL529" t="n">
        <v>86.59999999999999</v>
      </c>
      <c r="BM529" t="n">
        <v>84.09999999999999</v>
      </c>
      <c r="BN529" t="n">
        <v>13.4</v>
      </c>
      <c r="BO529" t="n">
        <v>15.9</v>
      </c>
      <c r="BP529" t="n">
        <v>0</v>
      </c>
      <c r="BQ529" t="n">
        <v>0</v>
      </c>
      <c r="BR529" t="n">
        <v>0</v>
      </c>
      <c r="BS529" t="n">
        <v>0</v>
      </c>
      <c r="BT529" t="n">
        <v>0</v>
      </c>
      <c r="BU529" t="n">
        <v>0</v>
      </c>
      <c r="BV529" t="n">
        <v>0</v>
      </c>
      <c r="BW529" t="n">
        <v>0</v>
      </c>
      <c r="BX529" t="n">
        <v>0</v>
      </c>
      <c r="BY529" t="n">
        <v>0</v>
      </c>
      <c r="BZ529" t="n">
        <v>80</v>
      </c>
      <c r="CA529" t="n">
        <v>20</v>
      </c>
      <c r="CB529" t="n">
        <v>22</v>
      </c>
      <c r="CC529" t="n">
        <v>9</v>
      </c>
      <c r="CD529" t="n">
        <v>23</v>
      </c>
      <c r="CE529" t="n">
        <v>20</v>
      </c>
      <c r="CF529" t="n">
        <v>46</v>
      </c>
      <c r="CG529" t="n">
        <v>48</v>
      </c>
      <c r="CH529" t="n">
        <v>80</v>
      </c>
      <c r="CI529" t="n">
        <v>20</v>
      </c>
      <c r="CJ529" t="n">
        <v>22</v>
      </c>
      <c r="CK529" t="n">
        <v>9</v>
      </c>
      <c r="CL529" t="n">
        <v>23</v>
      </c>
      <c r="CM529" t="n">
        <v>20</v>
      </c>
      <c r="CN529" t="n">
        <v>46</v>
      </c>
      <c r="CO529" t="n">
        <v>48</v>
      </c>
      <c r="CP529" t="n">
        <v>0</v>
      </c>
      <c r="CQ529" t="n">
        <v>0</v>
      </c>
      <c r="CR529" t="n">
        <v>0</v>
      </c>
      <c r="CS529" t="n">
        <v>0</v>
      </c>
      <c r="CT529" t="n">
        <v>0</v>
      </c>
      <c r="CU529" t="n">
        <v>0</v>
      </c>
      <c r="CV529" t="n">
        <v>0</v>
      </c>
      <c r="CW529" t="n">
        <v>0</v>
      </c>
      <c r="CX529" t="n">
        <v>39.8</v>
      </c>
      <c r="CY529" t="n">
        <v>45.8</v>
      </c>
      <c r="CZ529" t="n">
        <v>51.8</v>
      </c>
      <c r="DA529" t="n">
        <v>55</v>
      </c>
      <c r="DB529" t="n">
        <v>39.8</v>
      </c>
      <c r="DC529" t="n">
        <v>45.7</v>
      </c>
      <c r="DD529" t="n">
        <v>51.5</v>
      </c>
      <c r="DE529" t="n">
        <v>54.7</v>
      </c>
      <c r="DF529" t="n">
        <v>39.8</v>
      </c>
      <c r="DG529" t="n">
        <v>45.8</v>
      </c>
      <c r="DH529" t="n">
        <v>51.8</v>
      </c>
      <c r="DI529" t="n">
        <v>55</v>
      </c>
      <c r="DJ529" t="n">
        <v>39.8</v>
      </c>
      <c r="DK529" t="n">
        <v>45.7</v>
      </c>
      <c r="DL529" t="n">
        <v>51.5</v>
      </c>
      <c r="DM529" t="n">
        <v>54.7</v>
      </c>
      <c r="DN529" t="n">
        <v>0</v>
      </c>
      <c r="DO529" t="n">
        <v>0</v>
      </c>
      <c r="DP529" t="n">
        <v>0</v>
      </c>
      <c r="DQ529" t="n">
        <v>0</v>
      </c>
      <c r="DR529" t="n">
        <v>0</v>
      </c>
      <c r="DS529" t="n">
        <v>0</v>
      </c>
      <c r="DT529" t="n">
        <v>0</v>
      </c>
      <c r="DU529" t="n">
        <v>0</v>
      </c>
      <c r="DV529" t="inlineStr">
        <is>
          <t>(CONTRACTS OF AUD 100,000)</t>
        </is>
      </c>
    </row>
    <row r="530">
      <c r="A530" t="inlineStr">
        <is>
          <t>RUSSELL E-MINI - CHICAGO MERCANTILE EXCHANGE</t>
        </is>
      </c>
      <c r="B530" t="n">
        <v>230110</v>
      </c>
      <c r="C530" s="1" t="n">
        <v>44936</v>
      </c>
      <c r="D530" t="inlineStr">
        <is>
          <t>239742</t>
        </is>
      </c>
      <c r="E530" t="inlineStr">
        <is>
          <t xml:space="preserve">CME </t>
        </is>
      </c>
      <c r="F530" t="inlineStr">
        <is>
          <t>00</t>
        </is>
      </c>
      <c r="G530" t="inlineStr">
        <is>
          <t xml:space="preserve">239 </t>
        </is>
      </c>
      <c r="H530" t="n">
        <v>432408</v>
      </c>
      <c r="I530" s="17" t="n">
        <v>44813</v>
      </c>
      <c r="J530" s="17" t="n">
        <v>102941</v>
      </c>
      <c r="K530" t="n">
        <v>5324</v>
      </c>
      <c r="L530" t="n">
        <v>357515</v>
      </c>
      <c r="M530" t="n">
        <v>302976</v>
      </c>
      <c r="N530" t="n">
        <v>407652</v>
      </c>
      <c r="O530" t="n">
        <v>411241</v>
      </c>
      <c r="P530" t="n">
        <v>24756</v>
      </c>
      <c r="Q530" t="n">
        <v>21167</v>
      </c>
      <c r="R530" t="n">
        <v>432408</v>
      </c>
      <c r="S530" t="n">
        <v>44813</v>
      </c>
      <c r="T530" t="n">
        <v>102941</v>
      </c>
      <c r="U530" t="n">
        <v>5324</v>
      </c>
      <c r="V530" t="n">
        <v>357515</v>
      </c>
      <c r="W530" t="n">
        <v>302976</v>
      </c>
      <c r="X530" t="n">
        <v>407652</v>
      </c>
      <c r="Y530" t="n">
        <v>411241</v>
      </c>
      <c r="Z530" t="n">
        <v>24756</v>
      </c>
      <c r="AA530" t="n">
        <v>21167</v>
      </c>
      <c r="AB530" t="n">
        <v>0</v>
      </c>
      <c r="AC530" t="n">
        <v>0</v>
      </c>
      <c r="AD530" t="n">
        <v>0</v>
      </c>
      <c r="AE530" t="n">
        <v>0</v>
      </c>
      <c r="AF530" t="n">
        <v>0</v>
      </c>
      <c r="AG530" t="n">
        <v>0</v>
      </c>
      <c r="AH530" t="n">
        <v>0</v>
      </c>
      <c r="AI530" t="n">
        <v>0</v>
      </c>
      <c r="AJ530" t="n">
        <v>0</v>
      </c>
      <c r="AK530" t="n">
        <v>0</v>
      </c>
      <c r="AL530" t="n">
        <v>-1797</v>
      </c>
      <c r="AM530" t="n">
        <v>1014</v>
      </c>
      <c r="AN530" t="n">
        <v>-6219</v>
      </c>
      <c r="AO530" t="n">
        <v>16</v>
      </c>
      <c r="AP530" t="n">
        <v>-5610</v>
      </c>
      <c r="AQ530" t="n">
        <v>4930</v>
      </c>
      <c r="AR530" t="n">
        <v>-4580</v>
      </c>
      <c r="AS530" t="n">
        <v>-1273</v>
      </c>
      <c r="AT530" t="n">
        <v>2783</v>
      </c>
      <c r="AU530" t="n">
        <v>-524</v>
      </c>
      <c r="AV530" t="n">
        <v>100</v>
      </c>
      <c r="AW530" t="n">
        <v>10.4</v>
      </c>
      <c r="AX530" t="n">
        <v>23.8</v>
      </c>
      <c r="AY530" t="n">
        <v>1.2</v>
      </c>
      <c r="AZ530" t="n">
        <v>82.7</v>
      </c>
      <c r="BA530" t="n">
        <v>70.09999999999999</v>
      </c>
      <c r="BB530" t="n">
        <v>94.3</v>
      </c>
      <c r="BC530" t="n">
        <v>95.09999999999999</v>
      </c>
      <c r="BD530" t="n">
        <v>5.7</v>
      </c>
      <c r="BE530" t="n">
        <v>4.9</v>
      </c>
      <c r="BF530" t="n">
        <v>100</v>
      </c>
      <c r="BG530" t="n">
        <v>10.4</v>
      </c>
      <c r="BH530" t="n">
        <v>23.8</v>
      </c>
      <c r="BI530" t="n">
        <v>1.2</v>
      </c>
      <c r="BJ530" t="n">
        <v>82.7</v>
      </c>
      <c r="BK530" t="n">
        <v>70.09999999999999</v>
      </c>
      <c r="BL530" t="n">
        <v>94.3</v>
      </c>
      <c r="BM530" t="n">
        <v>95.09999999999999</v>
      </c>
      <c r="BN530" t="n">
        <v>5.7</v>
      </c>
      <c r="BO530" t="n">
        <v>4.9</v>
      </c>
      <c r="BP530" t="n">
        <v>0</v>
      </c>
      <c r="BQ530" t="n">
        <v>0</v>
      </c>
      <c r="BR530" t="n">
        <v>0</v>
      </c>
      <c r="BS530" t="n">
        <v>0</v>
      </c>
      <c r="BT530" t="n">
        <v>0</v>
      </c>
      <c r="BU530" t="n">
        <v>0</v>
      </c>
      <c r="BV530" t="n">
        <v>0</v>
      </c>
      <c r="BW530" t="n">
        <v>0</v>
      </c>
      <c r="BX530" t="n">
        <v>0</v>
      </c>
      <c r="BY530" t="n">
        <v>0</v>
      </c>
      <c r="BZ530" t="n">
        <v>302</v>
      </c>
      <c r="CA530" t="n">
        <v>47</v>
      </c>
      <c r="CB530" t="n">
        <v>48</v>
      </c>
      <c r="CC530" t="n">
        <v>18</v>
      </c>
      <c r="CD530" t="n">
        <v>138</v>
      </c>
      <c r="CE530" t="n">
        <v>119</v>
      </c>
      <c r="CF530" t="n">
        <v>193</v>
      </c>
      <c r="CG530" t="n">
        <v>177</v>
      </c>
      <c r="CH530" t="n">
        <v>302</v>
      </c>
      <c r="CI530" t="n">
        <v>47</v>
      </c>
      <c r="CJ530" t="n">
        <v>48</v>
      </c>
      <c r="CK530" t="n">
        <v>18</v>
      </c>
      <c r="CL530" t="n">
        <v>138</v>
      </c>
      <c r="CM530" t="n">
        <v>119</v>
      </c>
      <c r="CN530" t="n">
        <v>193</v>
      </c>
      <c r="CO530" t="n">
        <v>177</v>
      </c>
      <c r="CP530" t="n">
        <v>0</v>
      </c>
      <c r="CQ530" t="n">
        <v>0</v>
      </c>
      <c r="CR530" t="n">
        <v>0</v>
      </c>
      <c r="CS530" t="n">
        <v>0</v>
      </c>
      <c r="CT530" t="n">
        <v>0</v>
      </c>
      <c r="CU530" t="n">
        <v>0</v>
      </c>
      <c r="CV530" t="n">
        <v>0</v>
      </c>
      <c r="CW530" t="n">
        <v>0</v>
      </c>
      <c r="CX530" t="n">
        <v>23.4</v>
      </c>
      <c r="CY530" t="n">
        <v>24</v>
      </c>
      <c r="CZ530" t="n">
        <v>35.9</v>
      </c>
      <c r="DA530" t="n">
        <v>33.5</v>
      </c>
      <c r="DB530" t="n">
        <v>23.4</v>
      </c>
      <c r="DC530" t="n">
        <v>23.4</v>
      </c>
      <c r="DD530" t="n">
        <v>34.7</v>
      </c>
      <c r="DE530" t="n">
        <v>32.4</v>
      </c>
      <c r="DF530" t="n">
        <v>23.4</v>
      </c>
      <c r="DG530" t="n">
        <v>24</v>
      </c>
      <c r="DH530" t="n">
        <v>35.9</v>
      </c>
      <c r="DI530" t="n">
        <v>33.5</v>
      </c>
      <c r="DJ530" t="n">
        <v>23.4</v>
      </c>
      <c r="DK530" t="n">
        <v>23.4</v>
      </c>
      <c r="DL530" t="n">
        <v>34.7</v>
      </c>
      <c r="DM530" t="n">
        <v>32.4</v>
      </c>
      <c r="DN530" t="n">
        <v>0</v>
      </c>
      <c r="DO530" t="n">
        <v>0</v>
      </c>
      <c r="DP530" t="n">
        <v>0</v>
      </c>
      <c r="DQ530" t="n">
        <v>0</v>
      </c>
      <c r="DR530" t="n">
        <v>0</v>
      </c>
      <c r="DS530" t="n">
        <v>0</v>
      </c>
      <c r="DT530" t="n">
        <v>0</v>
      </c>
      <c r="DU530" t="n">
        <v>0</v>
      </c>
      <c r="DV530" t="inlineStr">
        <is>
          <t>(RUSSEL 2000 INDEX X $50)</t>
        </is>
      </c>
    </row>
    <row r="531">
      <c r="A531" t="inlineStr">
        <is>
          <t>RUSSELL E-MINI - CHICAGO MERCANTILE EXCHANGE</t>
        </is>
      </c>
      <c r="B531" t="n">
        <v>230103</v>
      </c>
      <c r="C531" s="1" t="n">
        <v>44929</v>
      </c>
      <c r="D531" t="inlineStr">
        <is>
          <t>239742</t>
        </is>
      </c>
      <c r="E531" t="inlineStr">
        <is>
          <t xml:space="preserve">CME </t>
        </is>
      </c>
      <c r="F531" t="inlineStr">
        <is>
          <t>00</t>
        </is>
      </c>
      <c r="G531" t="inlineStr">
        <is>
          <t xml:space="preserve">239 </t>
        </is>
      </c>
      <c r="H531" t="n">
        <v>434205</v>
      </c>
      <c r="I531" s="17" t="n">
        <v>43799</v>
      </c>
      <c r="J531" s="17" t="n">
        <v>109160</v>
      </c>
      <c r="K531" t="n">
        <v>5308</v>
      </c>
      <c r="L531" t="n">
        <v>363125</v>
      </c>
      <c r="M531" t="n">
        <v>298046</v>
      </c>
      <c r="N531" t="n">
        <v>412232</v>
      </c>
      <c r="O531" t="n">
        <v>412514</v>
      </c>
      <c r="P531" t="n">
        <v>21973</v>
      </c>
      <c r="Q531" t="n">
        <v>21691</v>
      </c>
      <c r="R531" t="n">
        <v>434205</v>
      </c>
      <c r="S531" t="n">
        <v>43799</v>
      </c>
      <c r="T531" t="n">
        <v>109160</v>
      </c>
      <c r="U531" t="n">
        <v>5308</v>
      </c>
      <c r="V531" t="n">
        <v>363125</v>
      </c>
      <c r="W531" t="n">
        <v>298046</v>
      </c>
      <c r="X531" t="n">
        <v>412232</v>
      </c>
      <c r="Y531" t="n">
        <v>412514</v>
      </c>
      <c r="Z531" t="n">
        <v>21973</v>
      </c>
      <c r="AA531" t="n">
        <v>21691</v>
      </c>
      <c r="AB531" t="n">
        <v>0</v>
      </c>
      <c r="AC531" t="n">
        <v>0</v>
      </c>
      <c r="AD531" t="n">
        <v>0</v>
      </c>
      <c r="AE531" t="n">
        <v>0</v>
      </c>
      <c r="AF531" t="n">
        <v>0</v>
      </c>
      <c r="AG531" t="n">
        <v>0</v>
      </c>
      <c r="AH531" t="n">
        <v>0</v>
      </c>
      <c r="AI531" t="n">
        <v>0</v>
      </c>
      <c r="AJ531" t="n">
        <v>0</v>
      </c>
      <c r="AK531" t="n">
        <v>0</v>
      </c>
      <c r="AL531" t="n">
        <v>-569</v>
      </c>
      <c r="AM531" t="n">
        <v>4200</v>
      </c>
      <c r="AN531" t="n">
        <v>-363</v>
      </c>
      <c r="AO531" t="n">
        <v>-1431</v>
      </c>
      <c r="AP531" t="n">
        <v>-2817</v>
      </c>
      <c r="AQ531" t="n">
        <v>1619</v>
      </c>
      <c r="AR531" t="n">
        <v>-48</v>
      </c>
      <c r="AS531" t="n">
        <v>-175</v>
      </c>
      <c r="AT531" t="n">
        <v>-521</v>
      </c>
      <c r="AU531" t="n">
        <v>-394</v>
      </c>
      <c r="AV531" t="n">
        <v>100</v>
      </c>
      <c r="AW531" t="n">
        <v>10.1</v>
      </c>
      <c r="AX531" t="n">
        <v>25.1</v>
      </c>
      <c r="AY531" t="n">
        <v>1.2</v>
      </c>
      <c r="AZ531" t="n">
        <v>83.59999999999999</v>
      </c>
      <c r="BA531" t="n">
        <v>68.59999999999999</v>
      </c>
      <c r="BB531" t="n">
        <v>94.90000000000001</v>
      </c>
      <c r="BC531" t="n">
        <v>95</v>
      </c>
      <c r="BD531" t="n">
        <v>5.1</v>
      </c>
      <c r="BE531" t="n">
        <v>5</v>
      </c>
      <c r="BF531" t="n">
        <v>100</v>
      </c>
      <c r="BG531" t="n">
        <v>10.1</v>
      </c>
      <c r="BH531" t="n">
        <v>25.1</v>
      </c>
      <c r="BI531" t="n">
        <v>1.2</v>
      </c>
      <c r="BJ531" t="n">
        <v>83.59999999999999</v>
      </c>
      <c r="BK531" t="n">
        <v>68.59999999999999</v>
      </c>
      <c r="BL531" t="n">
        <v>94.90000000000001</v>
      </c>
      <c r="BM531" t="n">
        <v>95</v>
      </c>
      <c r="BN531" t="n">
        <v>5.1</v>
      </c>
      <c r="BO531" t="n">
        <v>5</v>
      </c>
      <c r="BP531" t="n">
        <v>0</v>
      </c>
      <c r="BQ531" t="n">
        <v>0</v>
      </c>
      <c r="BR531" t="n">
        <v>0</v>
      </c>
      <c r="BS531" t="n">
        <v>0</v>
      </c>
      <c r="BT531" t="n">
        <v>0</v>
      </c>
      <c r="BU531" t="n">
        <v>0</v>
      </c>
      <c r="BV531" t="n">
        <v>0</v>
      </c>
      <c r="BW531" t="n">
        <v>0</v>
      </c>
      <c r="BX531" t="n">
        <v>0</v>
      </c>
      <c r="BY531" t="n">
        <v>0</v>
      </c>
      <c r="BZ531" t="n">
        <v>305</v>
      </c>
      <c r="CA531" t="n">
        <v>49</v>
      </c>
      <c r="CB531" t="n">
        <v>45</v>
      </c>
      <c r="CC531" t="n">
        <v>20</v>
      </c>
      <c r="CD531" t="n">
        <v>136</v>
      </c>
      <c r="CE531" t="n">
        <v>123</v>
      </c>
      <c r="CF531" t="n">
        <v>194</v>
      </c>
      <c r="CG531" t="n">
        <v>179</v>
      </c>
      <c r="CH531" t="n">
        <v>305</v>
      </c>
      <c r="CI531" t="n">
        <v>49</v>
      </c>
      <c r="CJ531" t="n">
        <v>45</v>
      </c>
      <c r="CK531" t="n">
        <v>20</v>
      </c>
      <c r="CL531" t="n">
        <v>136</v>
      </c>
      <c r="CM531" t="n">
        <v>123</v>
      </c>
      <c r="CN531" t="n">
        <v>194</v>
      </c>
      <c r="CO531" t="n">
        <v>179</v>
      </c>
      <c r="CP531" t="n">
        <v>0</v>
      </c>
      <c r="CQ531" t="n">
        <v>0</v>
      </c>
      <c r="CR531" t="n">
        <v>0</v>
      </c>
      <c r="CS531" t="n">
        <v>0</v>
      </c>
      <c r="CT531" t="n">
        <v>0</v>
      </c>
      <c r="CU531" t="n">
        <v>0</v>
      </c>
      <c r="CV531" t="n">
        <v>0</v>
      </c>
      <c r="CW531" t="n">
        <v>0</v>
      </c>
      <c r="CX531" t="n">
        <v>23.1</v>
      </c>
      <c r="CY531" t="n">
        <v>25.5</v>
      </c>
      <c r="CZ531" t="n">
        <v>35.7</v>
      </c>
      <c r="DA531" t="n">
        <v>34.9</v>
      </c>
      <c r="DB531" t="n">
        <v>23.1</v>
      </c>
      <c r="DC531" t="n">
        <v>25.1</v>
      </c>
      <c r="DD531" t="n">
        <v>34.7</v>
      </c>
      <c r="DE531" t="n">
        <v>33.6</v>
      </c>
      <c r="DF531" t="n">
        <v>23.1</v>
      </c>
      <c r="DG531" t="n">
        <v>25.5</v>
      </c>
      <c r="DH531" t="n">
        <v>35.7</v>
      </c>
      <c r="DI531" t="n">
        <v>34.9</v>
      </c>
      <c r="DJ531" t="n">
        <v>23.1</v>
      </c>
      <c r="DK531" t="n">
        <v>25.1</v>
      </c>
      <c r="DL531" t="n">
        <v>34.7</v>
      </c>
      <c r="DM531" t="n">
        <v>33.6</v>
      </c>
      <c r="DN531" t="n">
        <v>0</v>
      </c>
      <c r="DO531" t="n">
        <v>0</v>
      </c>
      <c r="DP531" t="n">
        <v>0</v>
      </c>
      <c r="DQ531" t="n">
        <v>0</v>
      </c>
      <c r="DR531" t="n">
        <v>0</v>
      </c>
      <c r="DS531" t="n">
        <v>0</v>
      </c>
      <c r="DT531" t="n">
        <v>0</v>
      </c>
      <c r="DU531" t="n">
        <v>0</v>
      </c>
      <c r="DV531" t="inlineStr">
        <is>
          <t>(RUSSEL 2000 INDEX X $50)</t>
        </is>
      </c>
    </row>
    <row r="532">
      <c r="A532" t="inlineStr">
        <is>
          <t>EMINI RUSSELL 1000 VALUE INDEX - CHICAGO MERCANTILE EXCHANGE</t>
        </is>
      </c>
      <c r="B532" t="n">
        <v>230110</v>
      </c>
      <c r="C532" s="1" t="n">
        <v>44936</v>
      </c>
      <c r="D532" t="inlineStr">
        <is>
          <t>239744</t>
        </is>
      </c>
      <c r="E532" t="inlineStr">
        <is>
          <t xml:space="preserve">CME </t>
        </is>
      </c>
      <c r="F532" t="inlineStr">
        <is>
          <t>00</t>
        </is>
      </c>
      <c r="G532" t="inlineStr">
        <is>
          <t xml:space="preserve">239 </t>
        </is>
      </c>
      <c r="H532" t="n">
        <v>19049</v>
      </c>
      <c r="I532" s="17" t="n">
        <v>4194</v>
      </c>
      <c r="J532" s="17" t="n">
        <v>0</v>
      </c>
      <c r="K532" t="n">
        <v>0</v>
      </c>
      <c r="L532" t="n">
        <v>13849</v>
      </c>
      <c r="M532" t="n">
        <v>18779</v>
      </c>
      <c r="N532" t="n">
        <v>18043</v>
      </c>
      <c r="O532" t="n">
        <v>18779</v>
      </c>
      <c r="P532" t="n">
        <v>1006</v>
      </c>
      <c r="Q532" t="n">
        <v>270</v>
      </c>
      <c r="R532" t="n">
        <v>19049</v>
      </c>
      <c r="S532" t="n">
        <v>4194</v>
      </c>
      <c r="T532" t="n">
        <v>0</v>
      </c>
      <c r="U532" t="n">
        <v>0</v>
      </c>
      <c r="V532" t="n">
        <v>13849</v>
      </c>
      <c r="W532" t="n">
        <v>18779</v>
      </c>
      <c r="X532" t="n">
        <v>18043</v>
      </c>
      <c r="Y532" t="n">
        <v>18779</v>
      </c>
      <c r="Z532" t="n">
        <v>1006</v>
      </c>
      <c r="AA532" t="n">
        <v>270</v>
      </c>
      <c r="AB532" t="n">
        <v>0</v>
      </c>
      <c r="AC532" t="n">
        <v>0</v>
      </c>
      <c r="AD532" t="n">
        <v>0</v>
      </c>
      <c r="AE532" t="n">
        <v>0</v>
      </c>
      <c r="AF532" t="n">
        <v>0</v>
      </c>
      <c r="AG532" t="n">
        <v>0</v>
      </c>
      <c r="AH532" t="n">
        <v>0</v>
      </c>
      <c r="AI532" t="n">
        <v>0</v>
      </c>
      <c r="AJ532" t="n">
        <v>0</v>
      </c>
      <c r="AK532" t="n">
        <v>0</v>
      </c>
      <c r="AL532" t="n">
        <v>-700</v>
      </c>
      <c r="AM532" t="n">
        <v>347</v>
      </c>
      <c r="AN532" t="n">
        <v>0</v>
      </c>
      <c r="AO532" t="n">
        <v>0</v>
      </c>
      <c r="AP532" t="n">
        <v>-717</v>
      </c>
      <c r="AQ532" t="n">
        <v>-787</v>
      </c>
      <c r="AR532" t="n">
        <v>-370</v>
      </c>
      <c r="AS532" t="n">
        <v>-787</v>
      </c>
      <c r="AT532" t="n">
        <v>-330</v>
      </c>
      <c r="AU532" t="n">
        <v>87</v>
      </c>
      <c r="AV532" t="n">
        <v>100</v>
      </c>
      <c r="AW532" t="n">
        <v>22</v>
      </c>
      <c r="AX532" t="n">
        <v>0</v>
      </c>
      <c r="AY532" t="n">
        <v>0</v>
      </c>
      <c r="AZ532" t="n">
        <v>72.7</v>
      </c>
      <c r="BA532" t="n">
        <v>98.59999999999999</v>
      </c>
      <c r="BB532" t="n">
        <v>94.7</v>
      </c>
      <c r="BC532" t="n">
        <v>98.59999999999999</v>
      </c>
      <c r="BD532" t="n">
        <v>5.3</v>
      </c>
      <c r="BE532" t="n">
        <v>1.4</v>
      </c>
      <c r="BF532" t="n">
        <v>100</v>
      </c>
      <c r="BG532" t="n">
        <v>22</v>
      </c>
      <c r="BH532" t="n">
        <v>0</v>
      </c>
      <c r="BI532" t="n">
        <v>0</v>
      </c>
      <c r="BJ532" t="n">
        <v>72.7</v>
      </c>
      <c r="BK532" t="n">
        <v>98.59999999999999</v>
      </c>
      <c r="BL532" t="n">
        <v>94.7</v>
      </c>
      <c r="BM532" t="n">
        <v>98.59999999999999</v>
      </c>
      <c r="BN532" t="n">
        <v>5.3</v>
      </c>
      <c r="BO532" t="n">
        <v>1.4</v>
      </c>
      <c r="BP532" t="n">
        <v>0</v>
      </c>
      <c r="BQ532" t="n">
        <v>0</v>
      </c>
      <c r="BR532" t="n">
        <v>0</v>
      </c>
      <c r="BS532" t="n">
        <v>0</v>
      </c>
      <c r="BT532" t="n">
        <v>0</v>
      </c>
      <c r="BU532" t="n">
        <v>0</v>
      </c>
      <c r="BV532" t="n">
        <v>0</v>
      </c>
      <c r="BW532" t="n">
        <v>0</v>
      </c>
      <c r="BX532" t="n">
        <v>0</v>
      </c>
      <c r="BY532" t="n">
        <v>0</v>
      </c>
      <c r="BZ532" t="n">
        <v>23</v>
      </c>
      <c r="CA532" t="n">
        <v>4</v>
      </c>
      <c r="CB532" t="n">
        <v>0</v>
      </c>
      <c r="CC532" t="n">
        <v>0</v>
      </c>
      <c r="CD532" t="n">
        <v>11</v>
      </c>
      <c r="CE532" t="n">
        <v>8</v>
      </c>
      <c r="CF532" t="n">
        <v>15</v>
      </c>
      <c r="CG532" t="n">
        <v>8</v>
      </c>
      <c r="CH532" t="n">
        <v>23</v>
      </c>
      <c r="CI532" t="n">
        <v>4</v>
      </c>
      <c r="CJ532" t="n">
        <v>0</v>
      </c>
      <c r="CK532" t="n">
        <v>0</v>
      </c>
      <c r="CL532" t="n">
        <v>11</v>
      </c>
      <c r="CM532" t="n">
        <v>8</v>
      </c>
      <c r="CN532" t="n">
        <v>15</v>
      </c>
      <c r="CO532" t="n">
        <v>8</v>
      </c>
      <c r="CP532" t="n">
        <v>0</v>
      </c>
      <c r="CQ532" t="n">
        <v>0</v>
      </c>
      <c r="CR532" t="n">
        <v>0</v>
      </c>
      <c r="CS532" t="n">
        <v>0</v>
      </c>
      <c r="CT532" t="n">
        <v>0</v>
      </c>
      <c r="CU532" t="n">
        <v>0</v>
      </c>
      <c r="CV532" t="n">
        <v>0</v>
      </c>
      <c r="CW532" t="n">
        <v>0</v>
      </c>
      <c r="CX532" t="n">
        <v>58.5</v>
      </c>
      <c r="CY532" t="n">
        <v>91</v>
      </c>
      <c r="CZ532" t="n">
        <v>79.5</v>
      </c>
      <c r="DA532" t="n">
        <v>98.59999999999999</v>
      </c>
      <c r="DB532" t="n">
        <v>58.5</v>
      </c>
      <c r="DC532" t="n">
        <v>91</v>
      </c>
      <c r="DD532" t="n">
        <v>79.5</v>
      </c>
      <c r="DE532" t="n">
        <v>98.59999999999999</v>
      </c>
      <c r="DF532" t="n">
        <v>58.5</v>
      </c>
      <c r="DG532" t="n">
        <v>91</v>
      </c>
      <c r="DH532" t="n">
        <v>79.5</v>
      </c>
      <c r="DI532" t="n">
        <v>98.59999999999999</v>
      </c>
      <c r="DJ532" t="n">
        <v>58.5</v>
      </c>
      <c r="DK532" t="n">
        <v>91</v>
      </c>
      <c r="DL532" t="n">
        <v>79.5</v>
      </c>
      <c r="DM532" t="n">
        <v>98.59999999999999</v>
      </c>
      <c r="DN532" t="n">
        <v>0</v>
      </c>
      <c r="DO532" t="n">
        <v>0</v>
      </c>
      <c r="DP532" t="n">
        <v>0</v>
      </c>
      <c r="DQ532" t="n">
        <v>0</v>
      </c>
      <c r="DR532" t="n">
        <v>0</v>
      </c>
      <c r="DS532" t="n">
        <v>0</v>
      </c>
      <c r="DT532" t="n">
        <v>0</v>
      </c>
      <c r="DU532" t="n">
        <v>0</v>
      </c>
      <c r="DV532" t="inlineStr">
        <is>
          <t>(RUSSELL 1000 VALUE INDEX x $50)</t>
        </is>
      </c>
    </row>
    <row r="533">
      <c r="A533" t="inlineStr">
        <is>
          <t>EMINI RUSSELL 1000 VALUE INDEX - CHICAGO MERCANTILE EXCHANGE</t>
        </is>
      </c>
      <c r="B533" t="n">
        <v>230103</v>
      </c>
      <c r="C533" s="1" t="n">
        <v>44929</v>
      </c>
      <c r="D533" t="inlineStr">
        <is>
          <t>239744</t>
        </is>
      </c>
      <c r="E533" t="inlineStr">
        <is>
          <t xml:space="preserve">CME </t>
        </is>
      </c>
      <c r="F533" t="inlineStr">
        <is>
          <t>00</t>
        </is>
      </c>
      <c r="G533" t="inlineStr">
        <is>
          <t xml:space="preserve">239 </t>
        </is>
      </c>
      <c r="H533" t="n">
        <v>19749</v>
      </c>
      <c r="I533" s="17" t="n">
        <v>3847</v>
      </c>
      <c r="J533" s="17" t="n">
        <v>0</v>
      </c>
      <c r="K533" t="n">
        <v>0</v>
      </c>
      <c r="L533" t="n">
        <v>14566</v>
      </c>
      <c r="M533" t="n">
        <v>19566</v>
      </c>
      <c r="N533" t="n">
        <v>18413</v>
      </c>
      <c r="O533" t="n">
        <v>19566</v>
      </c>
      <c r="P533" t="n">
        <v>1336</v>
      </c>
      <c r="Q533" t="n">
        <v>183</v>
      </c>
      <c r="R533" t="n">
        <v>19749</v>
      </c>
      <c r="S533" t="n">
        <v>3847</v>
      </c>
      <c r="T533" t="n">
        <v>0</v>
      </c>
      <c r="U533" t="n">
        <v>0</v>
      </c>
      <c r="V533" t="n">
        <v>14566</v>
      </c>
      <c r="W533" t="n">
        <v>19566</v>
      </c>
      <c r="X533" t="n">
        <v>18413</v>
      </c>
      <c r="Y533" t="n">
        <v>19566</v>
      </c>
      <c r="Z533" t="n">
        <v>1336</v>
      </c>
      <c r="AA533" t="n">
        <v>183</v>
      </c>
      <c r="AB533" t="n">
        <v>0</v>
      </c>
      <c r="AC533" t="n">
        <v>0</v>
      </c>
      <c r="AD533" t="n">
        <v>0</v>
      </c>
      <c r="AE533" t="n">
        <v>0</v>
      </c>
      <c r="AF533" t="n">
        <v>0</v>
      </c>
      <c r="AG533" t="n">
        <v>0</v>
      </c>
      <c r="AH533" t="n">
        <v>0</v>
      </c>
      <c r="AI533" t="n">
        <v>0</v>
      </c>
      <c r="AJ533" t="n">
        <v>0</v>
      </c>
      <c r="AK533" t="n">
        <v>0</v>
      </c>
      <c r="AL533" t="n">
        <v>27</v>
      </c>
      <c r="AM533" t="n">
        <v>133</v>
      </c>
      <c r="AN533" t="n">
        <v>0</v>
      </c>
      <c r="AO533" t="n">
        <v>0</v>
      </c>
      <c r="AP533" t="n">
        <v>-87</v>
      </c>
      <c r="AQ533" t="n">
        <v>47</v>
      </c>
      <c r="AR533" t="n">
        <v>46</v>
      </c>
      <c r="AS533" t="n">
        <v>47</v>
      </c>
      <c r="AT533" t="n">
        <v>-19</v>
      </c>
      <c r="AU533" t="n">
        <v>-20</v>
      </c>
      <c r="AV533" t="n">
        <v>100</v>
      </c>
      <c r="AW533" t="n">
        <v>19.5</v>
      </c>
      <c r="AX533" t="n">
        <v>0</v>
      </c>
      <c r="AY533" t="n">
        <v>0</v>
      </c>
      <c r="AZ533" t="n">
        <v>73.8</v>
      </c>
      <c r="BA533" t="n">
        <v>99.09999999999999</v>
      </c>
      <c r="BB533" t="n">
        <v>93.2</v>
      </c>
      <c r="BC533" t="n">
        <v>99.09999999999999</v>
      </c>
      <c r="BD533" t="n">
        <v>6.8</v>
      </c>
      <c r="BE533" t="n">
        <v>0.9</v>
      </c>
      <c r="BF533" t="n">
        <v>100</v>
      </c>
      <c r="BG533" t="n">
        <v>19.5</v>
      </c>
      <c r="BH533" t="n">
        <v>0</v>
      </c>
      <c r="BI533" t="n">
        <v>0</v>
      </c>
      <c r="BJ533" t="n">
        <v>73.8</v>
      </c>
      <c r="BK533" t="n">
        <v>99.09999999999999</v>
      </c>
      <c r="BL533" t="n">
        <v>93.2</v>
      </c>
      <c r="BM533" t="n">
        <v>99.09999999999999</v>
      </c>
      <c r="BN533" t="n">
        <v>6.8</v>
      </c>
      <c r="BO533" t="n">
        <v>0.9</v>
      </c>
      <c r="BP533" t="n">
        <v>0</v>
      </c>
      <c r="BQ533" t="n">
        <v>0</v>
      </c>
      <c r="BR533" t="n">
        <v>0</v>
      </c>
      <c r="BS533" t="n">
        <v>0</v>
      </c>
      <c r="BT533" t="n">
        <v>0</v>
      </c>
      <c r="BU533" t="n">
        <v>0</v>
      </c>
      <c r="BV533" t="n">
        <v>0</v>
      </c>
      <c r="BW533" t="n">
        <v>0</v>
      </c>
      <c r="BX533" t="n">
        <v>0</v>
      </c>
      <c r="BY533" t="n">
        <v>0</v>
      </c>
      <c r="BZ533" t="n">
        <v>22</v>
      </c>
      <c r="CA533" t="n">
        <v>3</v>
      </c>
      <c r="CB533" t="n">
        <v>0</v>
      </c>
      <c r="CC533" t="n">
        <v>0</v>
      </c>
      <c r="CD533" t="n">
        <v>11</v>
      </c>
      <c r="CE533" t="n">
        <v>8</v>
      </c>
      <c r="CF533" t="n">
        <v>14</v>
      </c>
      <c r="CG533" t="n">
        <v>8</v>
      </c>
      <c r="CH533" t="n">
        <v>22</v>
      </c>
      <c r="CI533" t="n">
        <v>3</v>
      </c>
      <c r="CJ533" t="n">
        <v>0</v>
      </c>
      <c r="CK533" t="n">
        <v>0</v>
      </c>
      <c r="CL533" t="n">
        <v>11</v>
      </c>
      <c r="CM533" t="n">
        <v>8</v>
      </c>
      <c r="CN533" t="n">
        <v>14</v>
      </c>
      <c r="CO533" t="n">
        <v>8</v>
      </c>
      <c r="CP533" t="n">
        <v>0</v>
      </c>
      <c r="CQ533" t="n">
        <v>0</v>
      </c>
      <c r="CR533" t="n">
        <v>0</v>
      </c>
      <c r="CS533" t="n">
        <v>0</v>
      </c>
      <c r="CT533" t="n">
        <v>0</v>
      </c>
      <c r="CU533" t="n">
        <v>0</v>
      </c>
      <c r="CV533" t="n">
        <v>0</v>
      </c>
      <c r="CW533" t="n">
        <v>0</v>
      </c>
      <c r="CX533" t="n">
        <v>57.4</v>
      </c>
      <c r="CY533" t="n">
        <v>91.7</v>
      </c>
      <c r="CZ533" t="n">
        <v>79</v>
      </c>
      <c r="DA533" t="n">
        <v>99.09999999999999</v>
      </c>
      <c r="DB533" t="n">
        <v>57.4</v>
      </c>
      <c r="DC533" t="n">
        <v>91.7</v>
      </c>
      <c r="DD533" t="n">
        <v>79</v>
      </c>
      <c r="DE533" t="n">
        <v>99.09999999999999</v>
      </c>
      <c r="DF533" t="n">
        <v>57.4</v>
      </c>
      <c r="DG533" t="n">
        <v>91.7</v>
      </c>
      <c r="DH533" t="n">
        <v>79</v>
      </c>
      <c r="DI533" t="n">
        <v>99.09999999999999</v>
      </c>
      <c r="DJ533" t="n">
        <v>57.4</v>
      </c>
      <c r="DK533" t="n">
        <v>91.7</v>
      </c>
      <c r="DL533" t="n">
        <v>79</v>
      </c>
      <c r="DM533" t="n">
        <v>99.09999999999999</v>
      </c>
      <c r="DN533" t="n">
        <v>0</v>
      </c>
      <c r="DO533" t="n">
        <v>0</v>
      </c>
      <c r="DP533" t="n">
        <v>0</v>
      </c>
      <c r="DQ533" t="n">
        <v>0</v>
      </c>
      <c r="DR533" t="n">
        <v>0</v>
      </c>
      <c r="DS533" t="n">
        <v>0</v>
      </c>
      <c r="DT533" t="n">
        <v>0</v>
      </c>
      <c r="DU533" t="n">
        <v>0</v>
      </c>
      <c r="DV533" t="inlineStr">
        <is>
          <t>(RUSSELL 1000 VALUE INDEX x $50)</t>
        </is>
      </c>
    </row>
    <row r="534">
      <c r="A534" t="inlineStr">
        <is>
          <t>NIKKEI STOCK AVERAGE - CHICAGO MERCANTILE EXCHANGE</t>
        </is>
      </c>
      <c r="B534" t="n">
        <v>230110</v>
      </c>
      <c r="C534" s="1" t="n">
        <v>44936</v>
      </c>
      <c r="D534" t="inlineStr">
        <is>
          <t>240741</t>
        </is>
      </c>
      <c r="E534" t="inlineStr">
        <is>
          <t xml:space="preserve">CME </t>
        </is>
      </c>
      <c r="F534" t="inlineStr">
        <is>
          <t>00</t>
        </is>
      </c>
      <c r="G534" t="inlineStr">
        <is>
          <t xml:space="preserve">240 </t>
        </is>
      </c>
      <c r="H534" t="n">
        <v>11991</v>
      </c>
      <c r="I534" s="17" t="n">
        <v>2886</v>
      </c>
      <c r="J534" s="17" t="n">
        <v>5605</v>
      </c>
      <c r="K534" t="n">
        <v>0</v>
      </c>
      <c r="L534" t="n">
        <v>6257</v>
      </c>
      <c r="M534" t="n">
        <v>3540</v>
      </c>
      <c r="N534" t="n">
        <v>9143</v>
      </c>
      <c r="O534" t="n">
        <v>9145</v>
      </c>
      <c r="P534" t="n">
        <v>2848</v>
      </c>
      <c r="Q534" t="n">
        <v>2846</v>
      </c>
      <c r="R534" t="n">
        <v>11991</v>
      </c>
      <c r="S534" t="n">
        <v>2886</v>
      </c>
      <c r="T534" t="n">
        <v>5605</v>
      </c>
      <c r="U534" t="n">
        <v>0</v>
      </c>
      <c r="V534" t="n">
        <v>6257</v>
      </c>
      <c r="W534" t="n">
        <v>3540</v>
      </c>
      <c r="X534" t="n">
        <v>9143</v>
      </c>
      <c r="Y534" t="n">
        <v>9145</v>
      </c>
      <c r="Z534" t="n">
        <v>2848</v>
      </c>
      <c r="AA534" t="n">
        <v>2846</v>
      </c>
      <c r="AB534" t="n">
        <v>0</v>
      </c>
      <c r="AC534" t="n">
        <v>0</v>
      </c>
      <c r="AD534" t="n">
        <v>0</v>
      </c>
      <c r="AE534" t="n">
        <v>0</v>
      </c>
      <c r="AF534" t="n">
        <v>0</v>
      </c>
      <c r="AG534" t="n">
        <v>0</v>
      </c>
      <c r="AH534" t="n">
        <v>0</v>
      </c>
      <c r="AI534" t="n">
        <v>0</v>
      </c>
      <c r="AJ534" t="n">
        <v>0</v>
      </c>
      <c r="AK534" t="n">
        <v>0</v>
      </c>
      <c r="AL534" t="n">
        <v>102</v>
      </c>
      <c r="AM534" t="n">
        <v>277</v>
      </c>
      <c r="AN534" t="n">
        <v>22</v>
      </c>
      <c r="AO534" t="n">
        <v>0</v>
      </c>
      <c r="AP534" t="n">
        <v>15</v>
      </c>
      <c r="AQ534" t="n">
        <v>190</v>
      </c>
      <c r="AR534" t="n">
        <v>292</v>
      </c>
      <c r="AS534" t="n">
        <v>212</v>
      </c>
      <c r="AT534" t="n">
        <v>-190</v>
      </c>
      <c r="AU534" t="n">
        <v>-110</v>
      </c>
      <c r="AV534" t="n">
        <v>100</v>
      </c>
      <c r="AW534" t="n">
        <v>24.1</v>
      </c>
      <c r="AX534" t="n">
        <v>46.7</v>
      </c>
      <c r="AY534" t="n">
        <v>0</v>
      </c>
      <c r="AZ534" t="n">
        <v>52.2</v>
      </c>
      <c r="BA534" t="n">
        <v>29.5</v>
      </c>
      <c r="BB534" t="n">
        <v>76.2</v>
      </c>
      <c r="BC534" t="n">
        <v>76.3</v>
      </c>
      <c r="BD534" t="n">
        <v>23.8</v>
      </c>
      <c r="BE534" t="n">
        <v>23.7</v>
      </c>
      <c r="BF534" t="n">
        <v>100</v>
      </c>
      <c r="BG534" t="n">
        <v>24.1</v>
      </c>
      <c r="BH534" t="n">
        <v>46.7</v>
      </c>
      <c r="BI534" t="n">
        <v>0</v>
      </c>
      <c r="BJ534" t="n">
        <v>52.2</v>
      </c>
      <c r="BK534" t="n">
        <v>29.5</v>
      </c>
      <c r="BL534" t="n">
        <v>76.2</v>
      </c>
      <c r="BM534" t="n">
        <v>76.3</v>
      </c>
      <c r="BN534" t="n">
        <v>23.8</v>
      </c>
      <c r="BO534" t="n">
        <v>23.7</v>
      </c>
      <c r="BP534" t="n">
        <v>0</v>
      </c>
      <c r="BQ534" t="n">
        <v>0</v>
      </c>
      <c r="BR534" t="n">
        <v>0</v>
      </c>
      <c r="BS534" t="n">
        <v>0</v>
      </c>
      <c r="BT534" t="n">
        <v>0</v>
      </c>
      <c r="BU534" t="n">
        <v>0</v>
      </c>
      <c r="BV534" t="n">
        <v>0</v>
      </c>
      <c r="BW534" t="n">
        <v>0</v>
      </c>
      <c r="BX534" t="n">
        <v>0</v>
      </c>
      <c r="BY534" t="n">
        <v>0</v>
      </c>
      <c r="BZ534" t="n">
        <v>21</v>
      </c>
      <c r="CA534" t="n">
        <v>4</v>
      </c>
      <c r="CB534" t="n">
        <v>7</v>
      </c>
      <c r="CC534" t="n">
        <v>0</v>
      </c>
      <c r="CD534" t="n">
        <v>5</v>
      </c>
      <c r="CE534" t="n">
        <v>6</v>
      </c>
      <c r="CF534" t="n">
        <v>9</v>
      </c>
      <c r="CG534" t="n">
        <v>13</v>
      </c>
      <c r="CH534" t="n">
        <v>21</v>
      </c>
      <c r="CI534" t="n">
        <v>4</v>
      </c>
      <c r="CJ534" t="n">
        <v>7</v>
      </c>
      <c r="CK534" t="n">
        <v>0</v>
      </c>
      <c r="CL534" t="n">
        <v>5</v>
      </c>
      <c r="CM534" t="n">
        <v>6</v>
      </c>
      <c r="CN534" t="n">
        <v>9</v>
      </c>
      <c r="CO534" t="n">
        <v>13</v>
      </c>
      <c r="CP534" t="n">
        <v>0</v>
      </c>
      <c r="CQ534" t="n">
        <v>0</v>
      </c>
      <c r="CR534" t="n">
        <v>0</v>
      </c>
      <c r="CS534" t="n">
        <v>0</v>
      </c>
      <c r="CT534" t="n">
        <v>0</v>
      </c>
      <c r="CU534" t="n">
        <v>0</v>
      </c>
      <c r="CV534" t="n">
        <v>0</v>
      </c>
      <c r="CW534" t="n">
        <v>0</v>
      </c>
      <c r="CX534" t="n">
        <v>54.3</v>
      </c>
      <c r="CY534" t="n">
        <v>49.5</v>
      </c>
      <c r="CZ534" t="n">
        <v>74.40000000000001</v>
      </c>
      <c r="DA534" t="n">
        <v>65.7</v>
      </c>
      <c r="DB534" t="n">
        <v>54.3</v>
      </c>
      <c r="DC534" t="n">
        <v>49.5</v>
      </c>
      <c r="DD534" t="n">
        <v>74.3</v>
      </c>
      <c r="DE534" t="n">
        <v>65.7</v>
      </c>
      <c r="DF534" t="n">
        <v>54.3</v>
      </c>
      <c r="DG534" t="n">
        <v>49.5</v>
      </c>
      <c r="DH534" t="n">
        <v>74.40000000000001</v>
      </c>
      <c r="DI534" t="n">
        <v>65.7</v>
      </c>
      <c r="DJ534" t="n">
        <v>54.3</v>
      </c>
      <c r="DK534" t="n">
        <v>49.5</v>
      </c>
      <c r="DL534" t="n">
        <v>74.3</v>
      </c>
      <c r="DM534" t="n">
        <v>65.7</v>
      </c>
      <c r="DN534" t="n">
        <v>0</v>
      </c>
      <c r="DO534" t="n">
        <v>0</v>
      </c>
      <c r="DP534" t="n">
        <v>0</v>
      </c>
      <c r="DQ534" t="n">
        <v>0</v>
      </c>
      <c r="DR534" t="n">
        <v>0</v>
      </c>
      <c r="DS534" t="n">
        <v>0</v>
      </c>
      <c r="DT534" t="n">
        <v>0</v>
      </c>
      <c r="DU534" t="n">
        <v>0</v>
      </c>
      <c r="DV534" t="inlineStr">
        <is>
          <t>(NIKKEI INDEX X $5.00)</t>
        </is>
      </c>
    </row>
    <row r="535">
      <c r="A535" t="inlineStr">
        <is>
          <t>NIKKEI STOCK AVERAGE - CHICAGO MERCANTILE EXCHANGE</t>
        </is>
      </c>
      <c r="B535" t="n">
        <v>230103</v>
      </c>
      <c r="C535" s="1" t="n">
        <v>44929</v>
      </c>
      <c r="D535" t="inlineStr">
        <is>
          <t>240741</t>
        </is>
      </c>
      <c r="E535" t="inlineStr">
        <is>
          <t xml:space="preserve">CME </t>
        </is>
      </c>
      <c r="F535" t="inlineStr">
        <is>
          <t>00</t>
        </is>
      </c>
      <c r="G535" t="inlineStr">
        <is>
          <t xml:space="preserve">240 </t>
        </is>
      </c>
      <c r="H535" t="n">
        <v>11889</v>
      </c>
      <c r="I535" s="17" t="n">
        <v>2609</v>
      </c>
      <c r="J535" s="17" t="n">
        <v>5583</v>
      </c>
      <c r="K535" t="n">
        <v>0</v>
      </c>
      <c r="L535" t="n">
        <v>6242</v>
      </c>
      <c r="M535" t="n">
        <v>3350</v>
      </c>
      <c r="N535" t="n">
        <v>8851</v>
      </c>
      <c r="O535" t="n">
        <v>8933</v>
      </c>
      <c r="P535" t="n">
        <v>3038</v>
      </c>
      <c r="Q535" t="n">
        <v>2956</v>
      </c>
      <c r="R535" t="n">
        <v>11889</v>
      </c>
      <c r="S535" t="n">
        <v>2609</v>
      </c>
      <c r="T535" t="n">
        <v>5583</v>
      </c>
      <c r="U535" t="n">
        <v>0</v>
      </c>
      <c r="V535" t="n">
        <v>6242</v>
      </c>
      <c r="W535" t="n">
        <v>3350</v>
      </c>
      <c r="X535" t="n">
        <v>8851</v>
      </c>
      <c r="Y535" t="n">
        <v>8933</v>
      </c>
      <c r="Z535" t="n">
        <v>3038</v>
      </c>
      <c r="AA535" t="n">
        <v>2956</v>
      </c>
      <c r="AB535" t="n">
        <v>0</v>
      </c>
      <c r="AC535" t="n">
        <v>0</v>
      </c>
      <c r="AD535" t="n">
        <v>0</v>
      </c>
      <c r="AE535" t="n">
        <v>0</v>
      </c>
      <c r="AF535" t="n">
        <v>0</v>
      </c>
      <c r="AG535" t="n">
        <v>0</v>
      </c>
      <c r="AH535" t="n">
        <v>0</v>
      </c>
      <c r="AI535" t="n">
        <v>0</v>
      </c>
      <c r="AJ535" t="n">
        <v>0</v>
      </c>
      <c r="AK535" t="n">
        <v>0</v>
      </c>
      <c r="AV535" t="n">
        <v>100</v>
      </c>
      <c r="AW535" t="n">
        <v>21.9</v>
      </c>
      <c r="AX535" t="n">
        <v>47</v>
      </c>
      <c r="AY535" t="n">
        <v>0</v>
      </c>
      <c r="AZ535" t="n">
        <v>52.5</v>
      </c>
      <c r="BA535" t="n">
        <v>28.2</v>
      </c>
      <c r="BB535" t="n">
        <v>74.40000000000001</v>
      </c>
      <c r="BC535" t="n">
        <v>75.09999999999999</v>
      </c>
      <c r="BD535" t="n">
        <v>25.6</v>
      </c>
      <c r="BE535" t="n">
        <v>24.9</v>
      </c>
      <c r="BF535" t="n">
        <v>100</v>
      </c>
      <c r="BG535" t="n">
        <v>21.9</v>
      </c>
      <c r="BH535" t="n">
        <v>47</v>
      </c>
      <c r="BI535" t="n">
        <v>0</v>
      </c>
      <c r="BJ535" t="n">
        <v>52.5</v>
      </c>
      <c r="BK535" t="n">
        <v>28.2</v>
      </c>
      <c r="BL535" t="n">
        <v>74.40000000000001</v>
      </c>
      <c r="BM535" t="n">
        <v>75.09999999999999</v>
      </c>
      <c r="BN535" t="n">
        <v>25.6</v>
      </c>
      <c r="BO535" t="n">
        <v>24.9</v>
      </c>
      <c r="BP535" t="n">
        <v>0</v>
      </c>
      <c r="BQ535" t="n">
        <v>0</v>
      </c>
      <c r="BR535" t="n">
        <v>0</v>
      </c>
      <c r="BS535" t="n">
        <v>0</v>
      </c>
      <c r="BT535" t="n">
        <v>0</v>
      </c>
      <c r="BU535" t="n">
        <v>0</v>
      </c>
      <c r="BV535" t="n">
        <v>0</v>
      </c>
      <c r="BW535" t="n">
        <v>0</v>
      </c>
      <c r="BX535" t="n">
        <v>0</v>
      </c>
      <c r="BY535" t="n">
        <v>0</v>
      </c>
      <c r="BZ535" t="n">
        <v>21</v>
      </c>
      <c r="CA535" t="n">
        <v>3</v>
      </c>
      <c r="CB535" t="n">
        <v>7</v>
      </c>
      <c r="CC535" t="n">
        <v>0</v>
      </c>
      <c r="CD535" t="n">
        <v>6</v>
      </c>
      <c r="CE535" t="n">
        <v>7</v>
      </c>
      <c r="CF535" t="n">
        <v>9</v>
      </c>
      <c r="CG535" t="n">
        <v>14</v>
      </c>
      <c r="CH535" t="n">
        <v>21</v>
      </c>
      <c r="CI535" t="n">
        <v>3</v>
      </c>
      <c r="CJ535" t="n">
        <v>7</v>
      </c>
      <c r="CK535" t="n">
        <v>0</v>
      </c>
      <c r="CL535" t="n">
        <v>6</v>
      </c>
      <c r="CM535" t="n">
        <v>7</v>
      </c>
      <c r="CN535" t="n">
        <v>9</v>
      </c>
      <c r="CO535" t="n">
        <v>14</v>
      </c>
      <c r="CP535" t="n">
        <v>0</v>
      </c>
      <c r="CQ535" t="n">
        <v>0</v>
      </c>
      <c r="CR535" t="n">
        <v>0</v>
      </c>
      <c r="CS535" t="n">
        <v>0</v>
      </c>
      <c r="CT535" t="n">
        <v>0</v>
      </c>
      <c r="CU535" t="n">
        <v>0</v>
      </c>
      <c r="CV535" t="n">
        <v>0</v>
      </c>
      <c r="CW535" t="n">
        <v>0</v>
      </c>
      <c r="CX535" t="n">
        <v>60</v>
      </c>
      <c r="CY535" t="n">
        <v>50.3</v>
      </c>
      <c r="CZ535" t="n">
        <v>72.8</v>
      </c>
      <c r="DA535" t="n">
        <v>64.7</v>
      </c>
      <c r="DB535" t="n">
        <v>60</v>
      </c>
      <c r="DC535" t="n">
        <v>50.3</v>
      </c>
      <c r="DD535" t="n">
        <v>72.7</v>
      </c>
      <c r="DE535" t="n">
        <v>64.7</v>
      </c>
      <c r="DF535" t="n">
        <v>60</v>
      </c>
      <c r="DG535" t="n">
        <v>50.3</v>
      </c>
      <c r="DH535" t="n">
        <v>72.8</v>
      </c>
      <c r="DI535" t="n">
        <v>64.7</v>
      </c>
      <c r="DJ535" t="n">
        <v>60</v>
      </c>
      <c r="DK535" t="n">
        <v>50.3</v>
      </c>
      <c r="DL535" t="n">
        <v>72.7</v>
      </c>
      <c r="DM535" t="n">
        <v>64.7</v>
      </c>
      <c r="DN535" t="n">
        <v>0</v>
      </c>
      <c r="DO535" t="n">
        <v>0</v>
      </c>
      <c r="DP535" t="n">
        <v>0</v>
      </c>
      <c r="DQ535" t="n">
        <v>0</v>
      </c>
      <c r="DR535" t="n">
        <v>0</v>
      </c>
      <c r="DS535" t="n">
        <v>0</v>
      </c>
      <c r="DT535" t="n">
        <v>0</v>
      </c>
      <c r="DU535" t="n">
        <v>0</v>
      </c>
      <c r="DV535" t="inlineStr">
        <is>
          <t>(NIKKEI INDEX X $5.00)</t>
        </is>
      </c>
    </row>
    <row r="536">
      <c r="A536" t="inlineStr">
        <is>
          <t>NIKKEI STOCK AVERAGE YEN DENOM - CHICAGO MERCANTILE EXCHANGE</t>
        </is>
      </c>
      <c r="B536" t="n">
        <v>230110</v>
      </c>
      <c r="C536" s="1" t="n">
        <v>44936</v>
      </c>
      <c r="D536" t="inlineStr">
        <is>
          <t>240743</t>
        </is>
      </c>
      <c r="E536" t="inlineStr">
        <is>
          <t xml:space="preserve">CME </t>
        </is>
      </c>
      <c r="F536" t="inlineStr">
        <is>
          <t>00</t>
        </is>
      </c>
      <c r="G536" t="inlineStr">
        <is>
          <t xml:space="preserve">240 </t>
        </is>
      </c>
      <c r="H536" t="n">
        <v>41161</v>
      </c>
      <c r="I536" s="17" t="n">
        <v>16588</v>
      </c>
      <c r="J536" s="17" t="n">
        <v>7503</v>
      </c>
      <c r="K536" t="n">
        <v>210</v>
      </c>
      <c r="L536" t="n">
        <v>18186</v>
      </c>
      <c r="M536" t="n">
        <v>19087</v>
      </c>
      <c r="N536" t="n">
        <v>34984</v>
      </c>
      <c r="O536" t="n">
        <v>26800</v>
      </c>
      <c r="P536" t="n">
        <v>6177</v>
      </c>
      <c r="Q536" t="n">
        <v>14361</v>
      </c>
      <c r="R536" t="n">
        <v>41161</v>
      </c>
      <c r="S536" t="n">
        <v>16588</v>
      </c>
      <c r="T536" t="n">
        <v>7503</v>
      </c>
      <c r="U536" t="n">
        <v>210</v>
      </c>
      <c r="V536" t="n">
        <v>18186</v>
      </c>
      <c r="W536" t="n">
        <v>19087</v>
      </c>
      <c r="X536" t="n">
        <v>34984</v>
      </c>
      <c r="Y536" t="n">
        <v>26800</v>
      </c>
      <c r="Z536" t="n">
        <v>6177</v>
      </c>
      <c r="AA536" t="n">
        <v>14361</v>
      </c>
      <c r="AB536" t="n">
        <v>0</v>
      </c>
      <c r="AC536" t="n">
        <v>0</v>
      </c>
      <c r="AD536" t="n">
        <v>0</v>
      </c>
      <c r="AE536" t="n">
        <v>0</v>
      </c>
      <c r="AF536" t="n">
        <v>0</v>
      </c>
      <c r="AG536" t="n">
        <v>0</v>
      </c>
      <c r="AH536" t="n">
        <v>0</v>
      </c>
      <c r="AI536" t="n">
        <v>0</v>
      </c>
      <c r="AJ536" t="n">
        <v>0</v>
      </c>
      <c r="AK536" t="n">
        <v>0</v>
      </c>
      <c r="AL536" t="n">
        <v>2913</v>
      </c>
      <c r="AM536" t="n">
        <v>2246</v>
      </c>
      <c r="AN536" t="n">
        <v>-634</v>
      </c>
      <c r="AO536" t="n">
        <v>209</v>
      </c>
      <c r="AP536" t="n">
        <v>55</v>
      </c>
      <c r="AQ536" t="n">
        <v>1031</v>
      </c>
      <c r="AR536" t="n">
        <v>2510</v>
      </c>
      <c r="AS536" t="n">
        <v>606</v>
      </c>
      <c r="AT536" t="n">
        <v>403</v>
      </c>
      <c r="AU536" t="n">
        <v>2307</v>
      </c>
      <c r="AV536" t="n">
        <v>100</v>
      </c>
      <c r="AW536" t="n">
        <v>40.3</v>
      </c>
      <c r="AX536" t="n">
        <v>18.2</v>
      </c>
      <c r="AY536" t="n">
        <v>0.5</v>
      </c>
      <c r="AZ536" t="n">
        <v>44.2</v>
      </c>
      <c r="BA536" t="n">
        <v>46.4</v>
      </c>
      <c r="BB536" t="n">
        <v>85</v>
      </c>
      <c r="BC536" t="n">
        <v>65.09999999999999</v>
      </c>
      <c r="BD536" t="n">
        <v>15</v>
      </c>
      <c r="BE536" t="n">
        <v>34.9</v>
      </c>
      <c r="BF536" t="n">
        <v>100</v>
      </c>
      <c r="BG536" t="n">
        <v>40.3</v>
      </c>
      <c r="BH536" t="n">
        <v>18.2</v>
      </c>
      <c r="BI536" t="n">
        <v>0.5</v>
      </c>
      <c r="BJ536" t="n">
        <v>44.2</v>
      </c>
      <c r="BK536" t="n">
        <v>46.4</v>
      </c>
      <c r="BL536" t="n">
        <v>85</v>
      </c>
      <c r="BM536" t="n">
        <v>65.09999999999999</v>
      </c>
      <c r="BN536" t="n">
        <v>15</v>
      </c>
      <c r="BO536" t="n">
        <v>34.9</v>
      </c>
      <c r="BP536" t="n">
        <v>0</v>
      </c>
      <c r="BQ536" t="n">
        <v>0</v>
      </c>
      <c r="BR536" t="n">
        <v>0</v>
      </c>
      <c r="BS536" t="n">
        <v>0</v>
      </c>
      <c r="BT536" t="n">
        <v>0</v>
      </c>
      <c r="BU536" t="n">
        <v>0</v>
      </c>
      <c r="BV536" t="n">
        <v>0</v>
      </c>
      <c r="BW536" t="n">
        <v>0</v>
      </c>
      <c r="BX536" t="n">
        <v>0</v>
      </c>
      <c r="BY536" t="n">
        <v>0</v>
      </c>
      <c r="BZ536" t="n">
        <v>50</v>
      </c>
      <c r="CA536" t="n">
        <v>10</v>
      </c>
      <c r="CB536" t="n">
        <v>7</v>
      </c>
      <c r="CC536" t="n">
        <v>4</v>
      </c>
      <c r="CD536" t="n">
        <v>21</v>
      </c>
      <c r="CE536" t="n">
        <v>18</v>
      </c>
      <c r="CF536" t="n">
        <v>34</v>
      </c>
      <c r="CG536" t="n">
        <v>26</v>
      </c>
      <c r="CH536" t="n">
        <v>50</v>
      </c>
      <c r="CI536" t="n">
        <v>10</v>
      </c>
      <c r="CJ536" t="n">
        <v>7</v>
      </c>
      <c r="CK536" t="n">
        <v>4</v>
      </c>
      <c r="CL536" t="n">
        <v>21</v>
      </c>
      <c r="CM536" t="n">
        <v>18</v>
      </c>
      <c r="CN536" t="n">
        <v>34</v>
      </c>
      <c r="CO536" t="n">
        <v>26</v>
      </c>
      <c r="CP536" t="n">
        <v>0</v>
      </c>
      <c r="CQ536" t="n">
        <v>0</v>
      </c>
      <c r="CR536" t="n">
        <v>0</v>
      </c>
      <c r="CS536" t="n">
        <v>0</v>
      </c>
      <c r="CT536" t="n">
        <v>0</v>
      </c>
      <c r="CU536" t="n">
        <v>0</v>
      </c>
      <c r="CV536" t="n">
        <v>0</v>
      </c>
      <c r="CW536" t="n">
        <v>0</v>
      </c>
      <c r="CX536" t="n">
        <v>37.2</v>
      </c>
      <c r="CY536" t="n">
        <v>33.2</v>
      </c>
      <c r="CZ536" t="n">
        <v>56.3</v>
      </c>
      <c r="DA536" t="n">
        <v>47.5</v>
      </c>
      <c r="DB536" t="n">
        <v>37.2</v>
      </c>
      <c r="DC536" t="n">
        <v>31.6</v>
      </c>
      <c r="DD536" t="n">
        <v>53</v>
      </c>
      <c r="DE536" t="n">
        <v>43.7</v>
      </c>
      <c r="DF536" t="n">
        <v>37.2</v>
      </c>
      <c r="DG536" t="n">
        <v>33.2</v>
      </c>
      <c r="DH536" t="n">
        <v>56.3</v>
      </c>
      <c r="DI536" t="n">
        <v>47.5</v>
      </c>
      <c r="DJ536" t="n">
        <v>37.2</v>
      </c>
      <c r="DK536" t="n">
        <v>31.6</v>
      </c>
      <c r="DL536" t="n">
        <v>53</v>
      </c>
      <c r="DM536" t="n">
        <v>43.7</v>
      </c>
      <c r="DN536" t="n">
        <v>0</v>
      </c>
      <c r="DO536" t="n">
        <v>0</v>
      </c>
      <c r="DP536" t="n">
        <v>0</v>
      </c>
      <c r="DQ536" t="n">
        <v>0</v>
      </c>
      <c r="DR536" t="n">
        <v>0</v>
      </c>
      <c r="DS536" t="n">
        <v>0</v>
      </c>
      <c r="DT536" t="n">
        <v>0</v>
      </c>
      <c r="DU536" t="n">
        <v>0</v>
      </c>
      <c r="DV536" t="inlineStr">
        <is>
          <t>(NIKKEI INDEX X JPY 500)</t>
        </is>
      </c>
    </row>
    <row r="537">
      <c r="A537" t="inlineStr">
        <is>
          <t>NIKKEI STOCK AVERAGE YEN DENOM - CHICAGO MERCANTILE EXCHANGE</t>
        </is>
      </c>
      <c r="B537" t="n">
        <v>230103</v>
      </c>
      <c r="C537" s="1" t="n">
        <v>44929</v>
      </c>
      <c r="D537" t="inlineStr">
        <is>
          <t>240743</t>
        </is>
      </c>
      <c r="E537" t="inlineStr">
        <is>
          <t xml:space="preserve">CME </t>
        </is>
      </c>
      <c r="F537" t="inlineStr">
        <is>
          <t>00</t>
        </is>
      </c>
      <c r="G537" t="inlineStr">
        <is>
          <t xml:space="preserve">240 </t>
        </is>
      </c>
      <c r="H537" t="n">
        <v>38248</v>
      </c>
      <c r="I537" s="17" t="n">
        <v>14342</v>
      </c>
      <c r="J537" s="17" t="n">
        <v>8137</v>
      </c>
      <c r="K537" t="n">
        <v>1</v>
      </c>
      <c r="L537" t="n">
        <v>18131</v>
      </c>
      <c r="M537" t="n">
        <v>18056</v>
      </c>
      <c r="N537" t="n">
        <v>32474</v>
      </c>
      <c r="O537" t="n">
        <v>26194</v>
      </c>
      <c r="P537" t="n">
        <v>5774</v>
      </c>
      <c r="Q537" t="n">
        <v>12054</v>
      </c>
      <c r="R537" t="n">
        <v>38248</v>
      </c>
      <c r="S537" t="n">
        <v>14342</v>
      </c>
      <c r="T537" t="n">
        <v>8137</v>
      </c>
      <c r="U537" t="n">
        <v>1</v>
      </c>
      <c r="V537" t="n">
        <v>18131</v>
      </c>
      <c r="W537" t="n">
        <v>18056</v>
      </c>
      <c r="X537" t="n">
        <v>32474</v>
      </c>
      <c r="Y537" t="n">
        <v>26194</v>
      </c>
      <c r="Z537" t="n">
        <v>5774</v>
      </c>
      <c r="AA537" t="n">
        <v>12054</v>
      </c>
      <c r="AB537" t="n">
        <v>0</v>
      </c>
      <c r="AC537" t="n">
        <v>0</v>
      </c>
      <c r="AD537" t="n">
        <v>0</v>
      </c>
      <c r="AE537" t="n">
        <v>0</v>
      </c>
      <c r="AF537" t="n">
        <v>0</v>
      </c>
      <c r="AG537" t="n">
        <v>0</v>
      </c>
      <c r="AH537" t="n">
        <v>0</v>
      </c>
      <c r="AI537" t="n">
        <v>0</v>
      </c>
      <c r="AJ537" t="n">
        <v>0</v>
      </c>
      <c r="AK537" t="n">
        <v>0</v>
      </c>
      <c r="AL537" t="n">
        <v>1241</v>
      </c>
      <c r="AM537" t="n">
        <v>1397</v>
      </c>
      <c r="AN537" t="n">
        <v>405</v>
      </c>
      <c r="AO537" t="n">
        <v>-225</v>
      </c>
      <c r="AP537" t="n">
        <v>-45</v>
      </c>
      <c r="AQ537" t="n">
        <v>417</v>
      </c>
      <c r="AR537" t="n">
        <v>1127</v>
      </c>
      <c r="AS537" t="n">
        <v>597</v>
      </c>
      <c r="AT537" t="n">
        <v>114</v>
      </c>
      <c r="AU537" t="n">
        <v>644</v>
      </c>
      <c r="AV537" t="n">
        <v>100</v>
      </c>
      <c r="AW537" t="n">
        <v>37.5</v>
      </c>
      <c r="AX537" t="n">
        <v>21.3</v>
      </c>
      <c r="AY537" t="n">
        <v>0</v>
      </c>
      <c r="AZ537" t="n">
        <v>47.4</v>
      </c>
      <c r="BA537" t="n">
        <v>47.2</v>
      </c>
      <c r="BB537" t="n">
        <v>84.90000000000001</v>
      </c>
      <c r="BC537" t="n">
        <v>68.5</v>
      </c>
      <c r="BD537" t="n">
        <v>15.1</v>
      </c>
      <c r="BE537" t="n">
        <v>31.5</v>
      </c>
      <c r="BF537" t="n">
        <v>100</v>
      </c>
      <c r="BG537" t="n">
        <v>37.5</v>
      </c>
      <c r="BH537" t="n">
        <v>21.3</v>
      </c>
      <c r="BI537" t="n">
        <v>0</v>
      </c>
      <c r="BJ537" t="n">
        <v>47.4</v>
      </c>
      <c r="BK537" t="n">
        <v>47.2</v>
      </c>
      <c r="BL537" t="n">
        <v>84.90000000000001</v>
      </c>
      <c r="BM537" t="n">
        <v>68.5</v>
      </c>
      <c r="BN537" t="n">
        <v>15.1</v>
      </c>
      <c r="BO537" t="n">
        <v>31.5</v>
      </c>
      <c r="BP537" t="n">
        <v>0</v>
      </c>
      <c r="BQ537" t="n">
        <v>0</v>
      </c>
      <c r="BR537" t="n">
        <v>0</v>
      </c>
      <c r="BS537" t="n">
        <v>0</v>
      </c>
      <c r="BT537" t="n">
        <v>0</v>
      </c>
      <c r="BU537" t="n">
        <v>0</v>
      </c>
      <c r="BV537" t="n">
        <v>0</v>
      </c>
      <c r="BW537" t="n">
        <v>0</v>
      </c>
      <c r="BX537" t="n">
        <v>0</v>
      </c>
      <c r="BY537" t="n">
        <v>0</v>
      </c>
      <c r="BZ537" t="n">
        <v>53</v>
      </c>
      <c r="CA537" t="n">
        <v>11</v>
      </c>
      <c r="CB537" t="n">
        <v>10</v>
      </c>
      <c r="CC537" t="n">
        <v>1</v>
      </c>
      <c r="CD537" t="n">
        <v>21</v>
      </c>
      <c r="CE537" t="n">
        <v>17</v>
      </c>
      <c r="CF537" t="n">
        <v>33</v>
      </c>
      <c r="CG537" t="n">
        <v>27</v>
      </c>
      <c r="CH537" t="n">
        <v>53</v>
      </c>
      <c r="CI537" t="n">
        <v>11</v>
      </c>
      <c r="CJ537" t="n">
        <v>10</v>
      </c>
      <c r="CK537" t="n">
        <v>1</v>
      </c>
      <c r="CL537" t="n">
        <v>21</v>
      </c>
      <c r="CM537" t="n">
        <v>17</v>
      </c>
      <c r="CN537" t="n">
        <v>33</v>
      </c>
      <c r="CO537" t="n">
        <v>27</v>
      </c>
      <c r="CP537" t="n">
        <v>0</v>
      </c>
      <c r="CQ537" t="n">
        <v>0</v>
      </c>
      <c r="CR537" t="n">
        <v>0</v>
      </c>
      <c r="CS537" t="n">
        <v>0</v>
      </c>
      <c r="CT537" t="n">
        <v>0</v>
      </c>
      <c r="CU537" t="n">
        <v>0</v>
      </c>
      <c r="CV537" t="n">
        <v>0</v>
      </c>
      <c r="CW537" t="n">
        <v>0</v>
      </c>
      <c r="CX537" t="n">
        <v>35.6</v>
      </c>
      <c r="CY537" t="n">
        <v>35.9</v>
      </c>
      <c r="CZ537" t="n">
        <v>55</v>
      </c>
      <c r="DA537" t="n">
        <v>49.3</v>
      </c>
      <c r="DB537" t="n">
        <v>35.6</v>
      </c>
      <c r="DC537" t="n">
        <v>34.2</v>
      </c>
      <c r="DD537" t="n">
        <v>50.9</v>
      </c>
      <c r="DE537" t="n">
        <v>45.3</v>
      </c>
      <c r="DF537" t="n">
        <v>35.6</v>
      </c>
      <c r="DG537" t="n">
        <v>35.9</v>
      </c>
      <c r="DH537" t="n">
        <v>55</v>
      </c>
      <c r="DI537" t="n">
        <v>49.3</v>
      </c>
      <c r="DJ537" t="n">
        <v>35.6</v>
      </c>
      <c r="DK537" t="n">
        <v>34.2</v>
      </c>
      <c r="DL537" t="n">
        <v>50.9</v>
      </c>
      <c r="DM537" t="n">
        <v>45.3</v>
      </c>
      <c r="DN537" t="n">
        <v>0</v>
      </c>
      <c r="DO537" t="n">
        <v>0</v>
      </c>
      <c r="DP537" t="n">
        <v>0</v>
      </c>
      <c r="DQ537" t="n">
        <v>0</v>
      </c>
      <c r="DR537" t="n">
        <v>0</v>
      </c>
      <c r="DS537" t="n">
        <v>0</v>
      </c>
      <c r="DT537" t="n">
        <v>0</v>
      </c>
      <c r="DU537" t="n">
        <v>0</v>
      </c>
      <c r="DV537" t="inlineStr">
        <is>
          <t>(NIKKEI INDEX X JPY 500)</t>
        </is>
      </c>
    </row>
    <row r="538">
      <c r="A538" t="inlineStr">
        <is>
          <t>MSCI EAFE - ICE FUTURES U.S.</t>
        </is>
      </c>
      <c r="B538" t="n">
        <v>230110</v>
      </c>
      <c r="C538" s="1" t="n">
        <v>44936</v>
      </c>
      <c r="D538" t="inlineStr">
        <is>
          <t>244041</t>
        </is>
      </c>
      <c r="E538" t="inlineStr">
        <is>
          <t>ICUS</t>
        </is>
      </c>
      <c r="F538" t="inlineStr">
        <is>
          <t>01</t>
        </is>
      </c>
      <c r="G538" t="inlineStr">
        <is>
          <t xml:space="preserve">244 </t>
        </is>
      </c>
      <c r="H538" t="n">
        <v>348473</v>
      </c>
      <c r="I538" s="17" t="n">
        <v>15571</v>
      </c>
      <c r="J538" s="17" t="n">
        <v>28980</v>
      </c>
      <c r="K538" t="n">
        <v>1620</v>
      </c>
      <c r="L538" t="n">
        <v>318983</v>
      </c>
      <c r="M538" t="n">
        <v>312015</v>
      </c>
      <c r="N538" t="n">
        <v>336174</v>
      </c>
      <c r="O538" t="n">
        <v>342615</v>
      </c>
      <c r="P538" t="n">
        <v>12299</v>
      </c>
      <c r="Q538" t="n">
        <v>5858</v>
      </c>
      <c r="R538" t="n">
        <v>348473</v>
      </c>
      <c r="S538" t="n">
        <v>15571</v>
      </c>
      <c r="T538" t="n">
        <v>28980</v>
      </c>
      <c r="U538" t="n">
        <v>1620</v>
      </c>
      <c r="V538" t="n">
        <v>318983</v>
      </c>
      <c r="W538" t="n">
        <v>312015</v>
      </c>
      <c r="X538" t="n">
        <v>336174</v>
      </c>
      <c r="Y538" t="n">
        <v>342615</v>
      </c>
      <c r="Z538" t="n">
        <v>12299</v>
      </c>
      <c r="AA538" t="n">
        <v>5858</v>
      </c>
      <c r="AB538" t="n">
        <v>0</v>
      </c>
      <c r="AC538" t="n">
        <v>0</v>
      </c>
      <c r="AD538" t="n">
        <v>0</v>
      </c>
      <c r="AE538" t="n">
        <v>0</v>
      </c>
      <c r="AF538" t="n">
        <v>0</v>
      </c>
      <c r="AG538" t="n">
        <v>0</v>
      </c>
      <c r="AH538" t="n">
        <v>0</v>
      </c>
      <c r="AI538" t="n">
        <v>0</v>
      </c>
      <c r="AJ538" t="n">
        <v>0</v>
      </c>
      <c r="AK538" t="n">
        <v>0</v>
      </c>
      <c r="AL538" t="n">
        <v>-867</v>
      </c>
      <c r="AM538" t="n">
        <v>-1272</v>
      </c>
      <c r="AN538" t="n">
        <v>6141</v>
      </c>
      <c r="AO538" t="n">
        <v>310</v>
      </c>
      <c r="AP538" t="n">
        <v>-1484</v>
      </c>
      <c r="AQ538" t="n">
        <v>-8461</v>
      </c>
      <c r="AR538" t="n">
        <v>-2446</v>
      </c>
      <c r="AS538" t="n">
        <v>-2010</v>
      </c>
      <c r="AT538" t="n">
        <v>1579</v>
      </c>
      <c r="AU538" t="n">
        <v>1143</v>
      </c>
      <c r="AV538" t="n">
        <v>100</v>
      </c>
      <c r="AW538" t="n">
        <v>4.5</v>
      </c>
      <c r="AX538" t="n">
        <v>8.300000000000001</v>
      </c>
      <c r="AY538" t="n">
        <v>0.5</v>
      </c>
      <c r="AZ538" t="n">
        <v>91.5</v>
      </c>
      <c r="BA538" t="n">
        <v>89.5</v>
      </c>
      <c r="BB538" t="n">
        <v>96.5</v>
      </c>
      <c r="BC538" t="n">
        <v>98.3</v>
      </c>
      <c r="BD538" t="n">
        <v>3.5</v>
      </c>
      <c r="BE538" t="n">
        <v>1.7</v>
      </c>
      <c r="BF538" t="n">
        <v>100</v>
      </c>
      <c r="BG538" t="n">
        <v>4.5</v>
      </c>
      <c r="BH538" t="n">
        <v>8.300000000000001</v>
      </c>
      <c r="BI538" t="n">
        <v>0.5</v>
      </c>
      <c r="BJ538" t="n">
        <v>91.5</v>
      </c>
      <c r="BK538" t="n">
        <v>89.5</v>
      </c>
      <c r="BL538" t="n">
        <v>96.5</v>
      </c>
      <c r="BM538" t="n">
        <v>98.3</v>
      </c>
      <c r="BN538" t="n">
        <v>3.5</v>
      </c>
      <c r="BO538" t="n">
        <v>1.7</v>
      </c>
      <c r="BP538" t="n">
        <v>0</v>
      </c>
      <c r="BQ538" t="n">
        <v>0</v>
      </c>
      <c r="BR538" t="n">
        <v>0</v>
      </c>
      <c r="BS538" t="n">
        <v>0</v>
      </c>
      <c r="BT538" t="n">
        <v>0</v>
      </c>
      <c r="BU538" t="n">
        <v>0</v>
      </c>
      <c r="BV538" t="n">
        <v>0</v>
      </c>
      <c r="BW538" t="n">
        <v>0</v>
      </c>
      <c r="BX538" t="n">
        <v>0</v>
      </c>
      <c r="BY538" t="n">
        <v>0</v>
      </c>
      <c r="BZ538" t="n">
        <v>191</v>
      </c>
      <c r="CA538" t="n">
        <v>21</v>
      </c>
      <c r="CB538" t="n">
        <v>19</v>
      </c>
      <c r="CC538" t="n">
        <v>6</v>
      </c>
      <c r="CD538" t="n">
        <v>103</v>
      </c>
      <c r="CE538" t="n">
        <v>87</v>
      </c>
      <c r="CF538" t="n">
        <v>127</v>
      </c>
      <c r="CG538" t="n">
        <v>109</v>
      </c>
      <c r="CH538" t="n">
        <v>191</v>
      </c>
      <c r="CI538" t="n">
        <v>21</v>
      </c>
      <c r="CJ538" t="n">
        <v>19</v>
      </c>
      <c r="CK538" t="n">
        <v>6</v>
      </c>
      <c r="CL538" t="n">
        <v>103</v>
      </c>
      <c r="CM538" t="n">
        <v>87</v>
      </c>
      <c r="CN538" t="n">
        <v>127</v>
      </c>
      <c r="CO538" t="n">
        <v>109</v>
      </c>
      <c r="CP538" t="n">
        <v>0</v>
      </c>
      <c r="CQ538" t="n">
        <v>0</v>
      </c>
      <c r="CR538" t="n">
        <v>0</v>
      </c>
      <c r="CS538" t="n">
        <v>0</v>
      </c>
      <c r="CT538" t="n">
        <v>0</v>
      </c>
      <c r="CU538" t="n">
        <v>0</v>
      </c>
      <c r="CV538" t="n">
        <v>0</v>
      </c>
      <c r="CW538" t="n">
        <v>0</v>
      </c>
      <c r="CX538" t="n">
        <v>26.3</v>
      </c>
      <c r="CY538" t="n">
        <v>34</v>
      </c>
      <c r="CZ538" t="n">
        <v>38.5</v>
      </c>
      <c r="DA538" t="n">
        <v>48.2</v>
      </c>
      <c r="DB538" t="n">
        <v>24.1</v>
      </c>
      <c r="DC538" t="n">
        <v>33.1</v>
      </c>
      <c r="DD538" t="n">
        <v>35.7</v>
      </c>
      <c r="DE538" t="n">
        <v>46.7</v>
      </c>
      <c r="DF538" t="n">
        <v>26.3</v>
      </c>
      <c r="DG538" t="n">
        <v>34</v>
      </c>
      <c r="DH538" t="n">
        <v>38.5</v>
      </c>
      <c r="DI538" t="n">
        <v>48.2</v>
      </c>
      <c r="DJ538" t="n">
        <v>24.1</v>
      </c>
      <c r="DK538" t="n">
        <v>33.1</v>
      </c>
      <c r="DL538" t="n">
        <v>35.7</v>
      </c>
      <c r="DM538" t="n">
        <v>46.7</v>
      </c>
      <c r="DN538" t="n">
        <v>0</v>
      </c>
      <c r="DO538" t="n">
        <v>0</v>
      </c>
      <c r="DP538" t="n">
        <v>0</v>
      </c>
      <c r="DQ538" t="n">
        <v>0</v>
      </c>
      <c r="DR538" t="n">
        <v>0</v>
      </c>
      <c r="DS538" t="n">
        <v>0</v>
      </c>
      <c r="DT538" t="n">
        <v>0</v>
      </c>
      <c r="DU538" t="n">
        <v>0</v>
      </c>
      <c r="DV538" t="inlineStr">
        <is>
          <t>(MSCI EAFE INDEX X $50)</t>
        </is>
      </c>
    </row>
    <row r="539">
      <c r="A539" t="inlineStr">
        <is>
          <t>MSCI EAFE - ICE FUTURES U.S.</t>
        </is>
      </c>
      <c r="B539" t="n">
        <v>230103</v>
      </c>
      <c r="C539" s="1" t="n">
        <v>44929</v>
      </c>
      <c r="D539" t="inlineStr">
        <is>
          <t>244041</t>
        </is>
      </c>
      <c r="E539" t="inlineStr">
        <is>
          <t>ICUS</t>
        </is>
      </c>
      <c r="F539" t="inlineStr">
        <is>
          <t>01</t>
        </is>
      </c>
      <c r="G539" t="inlineStr">
        <is>
          <t xml:space="preserve">244 </t>
        </is>
      </c>
      <c r="H539" t="n">
        <v>349340</v>
      </c>
      <c r="I539" s="17" t="n">
        <v>16843</v>
      </c>
      <c r="J539" s="17" t="n">
        <v>22839</v>
      </c>
      <c r="K539" t="n">
        <v>1310</v>
      </c>
      <c r="L539" t="n">
        <v>320467</v>
      </c>
      <c r="M539" t="n">
        <v>320476</v>
      </c>
      <c r="N539" t="n">
        <v>338620</v>
      </c>
      <c r="O539" t="n">
        <v>344625</v>
      </c>
      <c r="P539" t="n">
        <v>10720</v>
      </c>
      <c r="Q539" t="n">
        <v>4715</v>
      </c>
      <c r="R539" t="n">
        <v>349340</v>
      </c>
      <c r="S539" t="n">
        <v>16843</v>
      </c>
      <c r="T539" t="n">
        <v>22839</v>
      </c>
      <c r="U539" t="n">
        <v>1310</v>
      </c>
      <c r="V539" t="n">
        <v>320467</v>
      </c>
      <c r="W539" t="n">
        <v>320476</v>
      </c>
      <c r="X539" t="n">
        <v>338620</v>
      </c>
      <c r="Y539" t="n">
        <v>344625</v>
      </c>
      <c r="Z539" t="n">
        <v>10720</v>
      </c>
      <c r="AA539" t="n">
        <v>4715</v>
      </c>
      <c r="AB539" t="n">
        <v>0</v>
      </c>
      <c r="AC539" t="n">
        <v>0</v>
      </c>
      <c r="AD539" t="n">
        <v>0</v>
      </c>
      <c r="AE539" t="n">
        <v>0</v>
      </c>
      <c r="AF539" t="n">
        <v>0</v>
      </c>
      <c r="AG539" t="n">
        <v>0</v>
      </c>
      <c r="AH539" t="n">
        <v>0</v>
      </c>
      <c r="AI539" t="n">
        <v>0</v>
      </c>
      <c r="AJ539" t="n">
        <v>0</v>
      </c>
      <c r="AK539" t="n">
        <v>0</v>
      </c>
      <c r="AL539" t="n">
        <v>-11261</v>
      </c>
      <c r="AM539" t="n">
        <v>-650</v>
      </c>
      <c r="AN539" t="n">
        <v>-7388</v>
      </c>
      <c r="AO539" t="n">
        <v>-76</v>
      </c>
      <c r="AP539" t="n">
        <v>-8524</v>
      </c>
      <c r="AQ539" t="n">
        <v>-1651</v>
      </c>
      <c r="AR539" t="n">
        <v>-9250</v>
      </c>
      <c r="AS539" t="n">
        <v>-9115</v>
      </c>
      <c r="AT539" t="n">
        <v>-2011</v>
      </c>
      <c r="AU539" t="n">
        <v>-2146</v>
      </c>
      <c r="AV539" t="n">
        <v>100</v>
      </c>
      <c r="AW539" t="n">
        <v>4.8</v>
      </c>
      <c r="AX539" t="n">
        <v>6.5</v>
      </c>
      <c r="AY539" t="n">
        <v>0.4</v>
      </c>
      <c r="AZ539" t="n">
        <v>91.7</v>
      </c>
      <c r="BA539" t="n">
        <v>91.7</v>
      </c>
      <c r="BB539" t="n">
        <v>96.90000000000001</v>
      </c>
      <c r="BC539" t="n">
        <v>98.7</v>
      </c>
      <c r="BD539" t="n">
        <v>3.1</v>
      </c>
      <c r="BE539" t="n">
        <v>1.3</v>
      </c>
      <c r="BF539" t="n">
        <v>100</v>
      </c>
      <c r="BG539" t="n">
        <v>4.8</v>
      </c>
      <c r="BH539" t="n">
        <v>6.5</v>
      </c>
      <c r="BI539" t="n">
        <v>0.4</v>
      </c>
      <c r="BJ539" t="n">
        <v>91.7</v>
      </c>
      <c r="BK539" t="n">
        <v>91.7</v>
      </c>
      <c r="BL539" t="n">
        <v>96.90000000000001</v>
      </c>
      <c r="BM539" t="n">
        <v>98.7</v>
      </c>
      <c r="BN539" t="n">
        <v>3.1</v>
      </c>
      <c r="BO539" t="n">
        <v>1.3</v>
      </c>
      <c r="BP539" t="n">
        <v>0</v>
      </c>
      <c r="BQ539" t="n">
        <v>0</v>
      </c>
      <c r="BR539" t="n">
        <v>0</v>
      </c>
      <c r="BS539" t="n">
        <v>0</v>
      </c>
      <c r="BT539" t="n">
        <v>0</v>
      </c>
      <c r="BU539" t="n">
        <v>0</v>
      </c>
      <c r="BV539" t="n">
        <v>0</v>
      </c>
      <c r="BW539" t="n">
        <v>0</v>
      </c>
      <c r="BX539" t="n">
        <v>0</v>
      </c>
      <c r="BY539" t="n">
        <v>0</v>
      </c>
      <c r="BZ539" t="n">
        <v>190</v>
      </c>
      <c r="CA539" t="n">
        <v>23</v>
      </c>
      <c r="CB539" t="n">
        <v>17</v>
      </c>
      <c r="CC539" t="n">
        <v>6</v>
      </c>
      <c r="CD539" t="n">
        <v>103</v>
      </c>
      <c r="CE539" t="n">
        <v>88</v>
      </c>
      <c r="CF539" t="n">
        <v>131</v>
      </c>
      <c r="CG539" t="n">
        <v>106</v>
      </c>
      <c r="CH539" t="n">
        <v>190</v>
      </c>
      <c r="CI539" t="n">
        <v>23</v>
      </c>
      <c r="CJ539" t="n">
        <v>17</v>
      </c>
      <c r="CK539" t="n">
        <v>6</v>
      </c>
      <c r="CL539" t="n">
        <v>103</v>
      </c>
      <c r="CM539" t="n">
        <v>88</v>
      </c>
      <c r="CN539" t="n">
        <v>131</v>
      </c>
      <c r="CO539" t="n">
        <v>106</v>
      </c>
      <c r="CP539" t="n">
        <v>0</v>
      </c>
      <c r="CQ539" t="n">
        <v>0</v>
      </c>
      <c r="CR539" t="n">
        <v>0</v>
      </c>
      <c r="CS539" t="n">
        <v>0</v>
      </c>
      <c r="CT539" t="n">
        <v>0</v>
      </c>
      <c r="CU539" t="n">
        <v>0</v>
      </c>
      <c r="CV539" t="n">
        <v>0</v>
      </c>
      <c r="CW539" t="n">
        <v>0</v>
      </c>
      <c r="CX539" t="n">
        <v>26</v>
      </c>
      <c r="CY539" t="n">
        <v>33.6</v>
      </c>
      <c r="CZ539" t="n">
        <v>38</v>
      </c>
      <c r="DA539" t="n">
        <v>49.5</v>
      </c>
      <c r="DB539" t="n">
        <v>23.8</v>
      </c>
      <c r="DC539" t="n">
        <v>32.8</v>
      </c>
      <c r="DD539" t="n">
        <v>35.4</v>
      </c>
      <c r="DE539" t="n">
        <v>46.1</v>
      </c>
      <c r="DF539" t="n">
        <v>26</v>
      </c>
      <c r="DG539" t="n">
        <v>33.6</v>
      </c>
      <c r="DH539" t="n">
        <v>38</v>
      </c>
      <c r="DI539" t="n">
        <v>49.5</v>
      </c>
      <c r="DJ539" t="n">
        <v>23.8</v>
      </c>
      <c r="DK539" t="n">
        <v>32.8</v>
      </c>
      <c r="DL539" t="n">
        <v>35.4</v>
      </c>
      <c r="DM539" t="n">
        <v>46.1</v>
      </c>
      <c r="DN539" t="n">
        <v>0</v>
      </c>
      <c r="DO539" t="n">
        <v>0</v>
      </c>
      <c r="DP539" t="n">
        <v>0</v>
      </c>
      <c r="DQ539" t="n">
        <v>0</v>
      </c>
      <c r="DR539" t="n">
        <v>0</v>
      </c>
      <c r="DS539" t="n">
        <v>0</v>
      </c>
      <c r="DT539" t="n">
        <v>0</v>
      </c>
      <c r="DU539" t="n">
        <v>0</v>
      </c>
      <c r="DV539" t="inlineStr">
        <is>
          <t>(MSCI EAFE INDEX X $50)</t>
        </is>
      </c>
    </row>
    <row r="540">
      <c r="A540" t="inlineStr">
        <is>
          <t>MSCI EM INDEX - ICE FUTURES U.S.</t>
        </is>
      </c>
      <c r="B540" t="n">
        <v>230110</v>
      </c>
      <c r="C540" s="1" t="n">
        <v>44936</v>
      </c>
      <c r="D540" t="inlineStr">
        <is>
          <t>244042</t>
        </is>
      </c>
      <c r="E540" t="inlineStr">
        <is>
          <t>ICUS</t>
        </is>
      </c>
      <c r="F540" t="inlineStr">
        <is>
          <t>01</t>
        </is>
      </c>
      <c r="G540" t="inlineStr">
        <is>
          <t xml:space="preserve">244 </t>
        </is>
      </c>
      <c r="H540" t="n">
        <v>1125754</v>
      </c>
      <c r="I540" s="17" t="n">
        <v>132412</v>
      </c>
      <c r="J540" s="17" t="n">
        <v>122452</v>
      </c>
      <c r="K540" t="n">
        <v>9393</v>
      </c>
      <c r="L540" t="n">
        <v>946091</v>
      </c>
      <c r="M540" t="n">
        <v>977991</v>
      </c>
      <c r="N540" t="n">
        <v>1087896</v>
      </c>
      <c r="O540" t="n">
        <v>1109836</v>
      </c>
      <c r="P540" t="n">
        <v>37858</v>
      </c>
      <c r="Q540" t="n">
        <v>15918</v>
      </c>
      <c r="R540" t="n">
        <v>1125754</v>
      </c>
      <c r="S540" t="n">
        <v>132412</v>
      </c>
      <c r="T540" t="n">
        <v>122452</v>
      </c>
      <c r="U540" t="n">
        <v>9393</v>
      </c>
      <c r="V540" t="n">
        <v>946091</v>
      </c>
      <c r="W540" t="n">
        <v>977991</v>
      </c>
      <c r="X540" t="n">
        <v>1087896</v>
      </c>
      <c r="Y540" t="n">
        <v>1109836</v>
      </c>
      <c r="Z540" t="n">
        <v>37858</v>
      </c>
      <c r="AA540" t="n">
        <v>15918</v>
      </c>
      <c r="AB540" t="n">
        <v>0</v>
      </c>
      <c r="AC540" t="n">
        <v>0</v>
      </c>
      <c r="AD540" t="n">
        <v>0</v>
      </c>
      <c r="AE540" t="n">
        <v>0</v>
      </c>
      <c r="AF540" t="n">
        <v>0</v>
      </c>
      <c r="AG540" t="n">
        <v>0</v>
      </c>
      <c r="AH540" t="n">
        <v>0</v>
      </c>
      <c r="AI540" t="n">
        <v>0</v>
      </c>
      <c r="AJ540" t="n">
        <v>0</v>
      </c>
      <c r="AK540" t="n">
        <v>0</v>
      </c>
      <c r="AL540" t="n">
        <v>69546</v>
      </c>
      <c r="AM540" t="n">
        <v>16621</v>
      </c>
      <c r="AN540" t="n">
        <v>43679</v>
      </c>
      <c r="AO540" t="n">
        <v>-1365</v>
      </c>
      <c r="AP540" t="n">
        <v>48824</v>
      </c>
      <c r="AQ540" t="n">
        <v>23306</v>
      </c>
      <c r="AR540" t="n">
        <v>64080</v>
      </c>
      <c r="AS540" t="n">
        <v>65620</v>
      </c>
      <c r="AT540" t="n">
        <v>5466</v>
      </c>
      <c r="AU540" t="n">
        <v>3926</v>
      </c>
      <c r="AV540" t="n">
        <v>100</v>
      </c>
      <c r="AW540" t="n">
        <v>11.8</v>
      </c>
      <c r="AX540" t="n">
        <v>10.9</v>
      </c>
      <c r="AY540" t="n">
        <v>0.8</v>
      </c>
      <c r="AZ540" t="n">
        <v>84</v>
      </c>
      <c r="BA540" t="n">
        <v>86.90000000000001</v>
      </c>
      <c r="BB540" t="n">
        <v>96.59999999999999</v>
      </c>
      <c r="BC540" t="n">
        <v>98.59999999999999</v>
      </c>
      <c r="BD540" t="n">
        <v>3.4</v>
      </c>
      <c r="BE540" t="n">
        <v>1.4</v>
      </c>
      <c r="BF540" t="n">
        <v>100</v>
      </c>
      <c r="BG540" t="n">
        <v>11.8</v>
      </c>
      <c r="BH540" t="n">
        <v>10.9</v>
      </c>
      <c r="BI540" t="n">
        <v>0.8</v>
      </c>
      <c r="BJ540" t="n">
        <v>84</v>
      </c>
      <c r="BK540" t="n">
        <v>86.90000000000001</v>
      </c>
      <c r="BL540" t="n">
        <v>96.59999999999999</v>
      </c>
      <c r="BM540" t="n">
        <v>98.59999999999999</v>
      </c>
      <c r="BN540" t="n">
        <v>3.4</v>
      </c>
      <c r="BO540" t="n">
        <v>1.4</v>
      </c>
      <c r="BP540" t="n">
        <v>0</v>
      </c>
      <c r="BQ540" t="n">
        <v>0</v>
      </c>
      <c r="BR540" t="n">
        <v>0</v>
      </c>
      <c r="BS540" t="n">
        <v>0</v>
      </c>
      <c r="BT540" t="n">
        <v>0</v>
      </c>
      <c r="BU540" t="n">
        <v>0</v>
      </c>
      <c r="BV540" t="n">
        <v>0</v>
      </c>
      <c r="BW540" t="n">
        <v>0</v>
      </c>
      <c r="BX540" t="n">
        <v>0</v>
      </c>
      <c r="BY540" t="n">
        <v>0</v>
      </c>
      <c r="BZ540" t="n">
        <v>409</v>
      </c>
      <c r="CA540" t="n">
        <v>70</v>
      </c>
      <c r="CB540" t="n">
        <v>41</v>
      </c>
      <c r="CC540" t="n">
        <v>25</v>
      </c>
      <c r="CD540" t="n">
        <v>250</v>
      </c>
      <c r="CE540" t="n">
        <v>150</v>
      </c>
      <c r="CF540" t="n">
        <v>332</v>
      </c>
      <c r="CG540" t="n">
        <v>204</v>
      </c>
      <c r="CH540" t="n">
        <v>409</v>
      </c>
      <c r="CI540" t="n">
        <v>70</v>
      </c>
      <c r="CJ540" t="n">
        <v>41</v>
      </c>
      <c r="CK540" t="n">
        <v>25</v>
      </c>
      <c r="CL540" t="n">
        <v>250</v>
      </c>
      <c r="CM540" t="n">
        <v>150</v>
      </c>
      <c r="CN540" t="n">
        <v>332</v>
      </c>
      <c r="CO540" t="n">
        <v>204</v>
      </c>
      <c r="CP540" t="n">
        <v>0</v>
      </c>
      <c r="CQ540" t="n">
        <v>0</v>
      </c>
      <c r="CR540" t="n">
        <v>0</v>
      </c>
      <c r="CS540" t="n">
        <v>0</v>
      </c>
      <c r="CT540" t="n">
        <v>0</v>
      </c>
      <c r="CU540" t="n">
        <v>0</v>
      </c>
      <c r="CV540" t="n">
        <v>0</v>
      </c>
      <c r="CW540" t="n">
        <v>0</v>
      </c>
      <c r="CX540" t="n">
        <v>14.6</v>
      </c>
      <c r="CY540" t="n">
        <v>35.1</v>
      </c>
      <c r="CZ540" t="n">
        <v>22.9</v>
      </c>
      <c r="DA540" t="n">
        <v>49.7</v>
      </c>
      <c r="DB540" t="n">
        <v>13.9</v>
      </c>
      <c r="DC540" t="n">
        <v>34.3</v>
      </c>
      <c r="DD540" t="n">
        <v>21.3</v>
      </c>
      <c r="DE540" t="n">
        <v>48.5</v>
      </c>
      <c r="DF540" t="n">
        <v>14.6</v>
      </c>
      <c r="DG540" t="n">
        <v>35.1</v>
      </c>
      <c r="DH540" t="n">
        <v>22.9</v>
      </c>
      <c r="DI540" t="n">
        <v>49.7</v>
      </c>
      <c r="DJ540" t="n">
        <v>13.9</v>
      </c>
      <c r="DK540" t="n">
        <v>34.3</v>
      </c>
      <c r="DL540" t="n">
        <v>21.3</v>
      </c>
      <c r="DM540" t="n">
        <v>48.5</v>
      </c>
      <c r="DN540" t="n">
        <v>0</v>
      </c>
      <c r="DO540" t="n">
        <v>0</v>
      </c>
      <c r="DP540" t="n">
        <v>0</v>
      </c>
      <c r="DQ540" t="n">
        <v>0</v>
      </c>
      <c r="DR540" t="n">
        <v>0</v>
      </c>
      <c r="DS540" t="n">
        <v>0</v>
      </c>
      <c r="DT540" t="n">
        <v>0</v>
      </c>
      <c r="DU540" t="n">
        <v>0</v>
      </c>
      <c r="DV540" t="inlineStr">
        <is>
          <t>(MSCI Emerging Markets Index x $50)</t>
        </is>
      </c>
    </row>
    <row r="541">
      <c r="A541" t="inlineStr">
        <is>
          <t>MSCI EM INDEX - ICE FUTURES U.S.</t>
        </is>
      </c>
      <c r="B541" t="n">
        <v>230103</v>
      </c>
      <c r="C541" s="1" t="n">
        <v>44929</v>
      </c>
      <c r="D541" t="inlineStr">
        <is>
          <t>244042</t>
        </is>
      </c>
      <c r="E541" t="inlineStr">
        <is>
          <t>ICUS</t>
        </is>
      </c>
      <c r="F541" t="inlineStr">
        <is>
          <t>01</t>
        </is>
      </c>
      <c r="G541" t="inlineStr">
        <is>
          <t xml:space="preserve">244 </t>
        </is>
      </c>
      <c r="H541" t="n">
        <v>1056208</v>
      </c>
      <c r="I541" s="17" t="n">
        <v>115791</v>
      </c>
      <c r="J541" s="17" t="n">
        <v>78773</v>
      </c>
      <c r="K541" t="n">
        <v>10758</v>
      </c>
      <c r="L541" t="n">
        <v>897267</v>
      </c>
      <c r="M541" t="n">
        <v>954685</v>
      </c>
      <c r="N541" t="n">
        <v>1023816</v>
      </c>
      <c r="O541" t="n">
        <v>1044216</v>
      </c>
      <c r="P541" t="n">
        <v>32392</v>
      </c>
      <c r="Q541" t="n">
        <v>11992</v>
      </c>
      <c r="R541" t="n">
        <v>1056208</v>
      </c>
      <c r="S541" t="n">
        <v>115791</v>
      </c>
      <c r="T541" t="n">
        <v>78773</v>
      </c>
      <c r="U541" t="n">
        <v>10758</v>
      </c>
      <c r="V541" t="n">
        <v>897267</v>
      </c>
      <c r="W541" t="n">
        <v>954685</v>
      </c>
      <c r="X541" t="n">
        <v>1023816</v>
      </c>
      <c r="Y541" t="n">
        <v>1044216</v>
      </c>
      <c r="Z541" t="n">
        <v>32392</v>
      </c>
      <c r="AA541" t="n">
        <v>11992</v>
      </c>
      <c r="AB541" t="n">
        <v>0</v>
      </c>
      <c r="AC541" t="n">
        <v>0</v>
      </c>
      <c r="AD541" t="n">
        <v>0</v>
      </c>
      <c r="AE541" t="n">
        <v>0</v>
      </c>
      <c r="AF541" t="n">
        <v>0</v>
      </c>
      <c r="AG541" t="n">
        <v>0</v>
      </c>
      <c r="AH541" t="n">
        <v>0</v>
      </c>
      <c r="AI541" t="n">
        <v>0</v>
      </c>
      <c r="AJ541" t="n">
        <v>0</v>
      </c>
      <c r="AK541" t="n">
        <v>0</v>
      </c>
      <c r="AL541" t="n">
        <v>-31151</v>
      </c>
      <c r="AM541" t="n">
        <v>1399</v>
      </c>
      <c r="AN541" t="n">
        <v>4898</v>
      </c>
      <c r="AO541" t="n">
        <v>-1321</v>
      </c>
      <c r="AP541" t="n">
        <v>-27007</v>
      </c>
      <c r="AQ541" t="n">
        <v>-30466</v>
      </c>
      <c r="AR541" t="n">
        <v>-26929</v>
      </c>
      <c r="AS541" t="n">
        <v>-26889</v>
      </c>
      <c r="AT541" t="n">
        <v>-4222</v>
      </c>
      <c r="AU541" t="n">
        <v>-4262</v>
      </c>
      <c r="AV541" t="n">
        <v>100</v>
      </c>
      <c r="AW541" t="n">
        <v>11</v>
      </c>
      <c r="AX541" t="n">
        <v>7.5</v>
      </c>
      <c r="AY541" t="n">
        <v>1</v>
      </c>
      <c r="AZ541" t="n">
        <v>85</v>
      </c>
      <c r="BA541" t="n">
        <v>90.40000000000001</v>
      </c>
      <c r="BB541" t="n">
        <v>96.90000000000001</v>
      </c>
      <c r="BC541" t="n">
        <v>98.90000000000001</v>
      </c>
      <c r="BD541" t="n">
        <v>3.1</v>
      </c>
      <c r="BE541" t="n">
        <v>1.1</v>
      </c>
      <c r="BF541" t="n">
        <v>100</v>
      </c>
      <c r="BG541" t="n">
        <v>11</v>
      </c>
      <c r="BH541" t="n">
        <v>7.5</v>
      </c>
      <c r="BI541" t="n">
        <v>1</v>
      </c>
      <c r="BJ541" t="n">
        <v>85</v>
      </c>
      <c r="BK541" t="n">
        <v>90.40000000000001</v>
      </c>
      <c r="BL541" t="n">
        <v>96.90000000000001</v>
      </c>
      <c r="BM541" t="n">
        <v>98.90000000000001</v>
      </c>
      <c r="BN541" t="n">
        <v>3.1</v>
      </c>
      <c r="BO541" t="n">
        <v>1.1</v>
      </c>
      <c r="BP541" t="n">
        <v>0</v>
      </c>
      <c r="BQ541" t="n">
        <v>0</v>
      </c>
      <c r="BR541" t="n">
        <v>0</v>
      </c>
      <c r="BS541" t="n">
        <v>0</v>
      </c>
      <c r="BT541" t="n">
        <v>0</v>
      </c>
      <c r="BU541" t="n">
        <v>0</v>
      </c>
      <c r="BV541" t="n">
        <v>0</v>
      </c>
      <c r="BW541" t="n">
        <v>0</v>
      </c>
      <c r="BX541" t="n">
        <v>0</v>
      </c>
      <c r="BY541" t="n">
        <v>0</v>
      </c>
      <c r="BZ541" t="n">
        <v>395</v>
      </c>
      <c r="CA541" t="n">
        <v>67</v>
      </c>
      <c r="CB541" t="n">
        <v>41</v>
      </c>
      <c r="CC541" t="n">
        <v>30</v>
      </c>
      <c r="CD541" t="n">
        <v>238</v>
      </c>
      <c r="CE541" t="n">
        <v>158</v>
      </c>
      <c r="CF541" t="n">
        <v>322</v>
      </c>
      <c r="CG541" t="n">
        <v>212</v>
      </c>
      <c r="CH541" t="n">
        <v>395</v>
      </c>
      <c r="CI541" t="n">
        <v>67</v>
      </c>
      <c r="CJ541" t="n">
        <v>41</v>
      </c>
      <c r="CK541" t="n">
        <v>30</v>
      </c>
      <c r="CL541" t="n">
        <v>238</v>
      </c>
      <c r="CM541" t="n">
        <v>158</v>
      </c>
      <c r="CN541" t="n">
        <v>322</v>
      </c>
      <c r="CO541" t="n">
        <v>212</v>
      </c>
      <c r="CP541" t="n">
        <v>0</v>
      </c>
      <c r="CQ541" t="n">
        <v>0</v>
      </c>
      <c r="CR541" t="n">
        <v>0</v>
      </c>
      <c r="CS541" t="n">
        <v>0</v>
      </c>
      <c r="CT541" t="n">
        <v>0</v>
      </c>
      <c r="CU541" t="n">
        <v>0</v>
      </c>
      <c r="CV541" t="n">
        <v>0</v>
      </c>
      <c r="CW541" t="n">
        <v>0</v>
      </c>
      <c r="CX541" t="n">
        <v>15.5</v>
      </c>
      <c r="CY541" t="n">
        <v>36.3</v>
      </c>
      <c r="CZ541" t="n">
        <v>24.2</v>
      </c>
      <c r="DA541" t="n">
        <v>49.9</v>
      </c>
      <c r="DB541" t="n">
        <v>14.8</v>
      </c>
      <c r="DC541" t="n">
        <v>35.7</v>
      </c>
      <c r="DD541" t="n">
        <v>23</v>
      </c>
      <c r="DE541" t="n">
        <v>47.5</v>
      </c>
      <c r="DF541" t="n">
        <v>15.5</v>
      </c>
      <c r="DG541" t="n">
        <v>36.3</v>
      </c>
      <c r="DH541" t="n">
        <v>24.2</v>
      </c>
      <c r="DI541" t="n">
        <v>49.9</v>
      </c>
      <c r="DJ541" t="n">
        <v>14.8</v>
      </c>
      <c r="DK541" t="n">
        <v>35.7</v>
      </c>
      <c r="DL541" t="n">
        <v>23</v>
      </c>
      <c r="DM541" t="n">
        <v>47.5</v>
      </c>
      <c r="DN541" t="n">
        <v>0</v>
      </c>
      <c r="DO541" t="n">
        <v>0</v>
      </c>
      <c r="DP541" t="n">
        <v>0</v>
      </c>
      <c r="DQ541" t="n">
        <v>0</v>
      </c>
      <c r="DR541" t="n">
        <v>0</v>
      </c>
      <c r="DS541" t="n">
        <v>0</v>
      </c>
      <c r="DT541" t="n">
        <v>0</v>
      </c>
      <c r="DU541" t="n">
        <v>0</v>
      </c>
      <c r="DV541" t="inlineStr">
        <is>
          <t>(MSCI Emerging Markets Index x $50)</t>
        </is>
      </c>
    </row>
    <row r="542">
      <c r="A542" t="inlineStr">
        <is>
          <t>EURO FX/BRITISH POUND XRATE - CHICAGO MERCANTILE EXCHANGE</t>
        </is>
      </c>
      <c r="B542" t="n">
        <v>230110</v>
      </c>
      <c r="C542" s="1" t="n">
        <v>44936</v>
      </c>
      <c r="D542" t="inlineStr">
        <is>
          <t>299741</t>
        </is>
      </c>
      <c r="E542" t="inlineStr">
        <is>
          <t xml:space="preserve">CME </t>
        </is>
      </c>
      <c r="F542" t="inlineStr">
        <is>
          <t>00</t>
        </is>
      </c>
      <c r="G542" t="inlineStr">
        <is>
          <t xml:space="preserve">099 </t>
        </is>
      </c>
      <c r="H542" t="n">
        <v>31657</v>
      </c>
      <c r="I542" s="17" t="n">
        <v>6915</v>
      </c>
      <c r="J542" s="17" t="n">
        <v>10013</v>
      </c>
      <c r="K542" t="n">
        <v>892</v>
      </c>
      <c r="L542" t="n">
        <v>11143</v>
      </c>
      <c r="M542" t="n">
        <v>18426</v>
      </c>
      <c r="N542" t="n">
        <v>18950</v>
      </c>
      <c r="O542" t="n">
        <v>29331</v>
      </c>
      <c r="P542" t="n">
        <v>12707</v>
      </c>
      <c r="Q542" t="n">
        <v>2326</v>
      </c>
      <c r="R542" t="n">
        <v>31657</v>
      </c>
      <c r="S542" t="n">
        <v>6915</v>
      </c>
      <c r="T542" t="n">
        <v>10013</v>
      </c>
      <c r="U542" t="n">
        <v>892</v>
      </c>
      <c r="V542" t="n">
        <v>11143</v>
      </c>
      <c r="W542" t="n">
        <v>18426</v>
      </c>
      <c r="X542" t="n">
        <v>18950</v>
      </c>
      <c r="Y542" t="n">
        <v>29331</v>
      </c>
      <c r="Z542" t="n">
        <v>12707</v>
      </c>
      <c r="AA542" t="n">
        <v>2326</v>
      </c>
      <c r="AB542" t="n">
        <v>0</v>
      </c>
      <c r="AC542" t="n">
        <v>0</v>
      </c>
      <c r="AD542" t="n">
        <v>0</v>
      </c>
      <c r="AE542" t="n">
        <v>0</v>
      </c>
      <c r="AF542" t="n">
        <v>0</v>
      </c>
      <c r="AG542" t="n">
        <v>0</v>
      </c>
      <c r="AH542" t="n">
        <v>0</v>
      </c>
      <c r="AI542" t="n">
        <v>0</v>
      </c>
      <c r="AJ542" t="n">
        <v>0</v>
      </c>
      <c r="AK542" t="n">
        <v>0</v>
      </c>
      <c r="AL542" t="n">
        <v>90</v>
      </c>
      <c r="AM542" t="n">
        <v>67</v>
      </c>
      <c r="AN542" t="n">
        <v>1</v>
      </c>
      <c r="AO542" t="n">
        <v>-64</v>
      </c>
      <c r="AP542" t="n">
        <v>-92</v>
      </c>
      <c r="AQ542" t="n">
        <v>128</v>
      </c>
      <c r="AR542" t="n">
        <v>-89</v>
      </c>
      <c r="AS542" t="n">
        <v>65</v>
      </c>
      <c r="AT542" t="n">
        <v>179</v>
      </c>
      <c r="AU542" t="n">
        <v>25</v>
      </c>
      <c r="AV542" t="n">
        <v>100</v>
      </c>
      <c r="AW542" t="n">
        <v>21.8</v>
      </c>
      <c r="AX542" t="n">
        <v>31.6</v>
      </c>
      <c r="AY542" t="n">
        <v>2.8</v>
      </c>
      <c r="AZ542" t="n">
        <v>35.2</v>
      </c>
      <c r="BA542" t="n">
        <v>58.2</v>
      </c>
      <c r="BB542" t="n">
        <v>59.9</v>
      </c>
      <c r="BC542" t="n">
        <v>92.7</v>
      </c>
      <c r="BD542" t="n">
        <v>40.1</v>
      </c>
      <c r="BE542" t="n">
        <v>7.3</v>
      </c>
      <c r="BF542" t="n">
        <v>100</v>
      </c>
      <c r="BG542" t="n">
        <v>21.8</v>
      </c>
      <c r="BH542" t="n">
        <v>31.6</v>
      </c>
      <c r="BI542" t="n">
        <v>2.8</v>
      </c>
      <c r="BJ542" t="n">
        <v>35.2</v>
      </c>
      <c r="BK542" t="n">
        <v>58.2</v>
      </c>
      <c r="BL542" t="n">
        <v>59.9</v>
      </c>
      <c r="BM542" t="n">
        <v>92.7</v>
      </c>
      <c r="BN542" t="n">
        <v>40.1</v>
      </c>
      <c r="BO542" t="n">
        <v>7.3</v>
      </c>
      <c r="BP542" t="n">
        <v>0</v>
      </c>
      <c r="BQ542" t="n">
        <v>0</v>
      </c>
      <c r="BR542" t="n">
        <v>0</v>
      </c>
      <c r="BS542" t="n">
        <v>0</v>
      </c>
      <c r="BT542" t="n">
        <v>0</v>
      </c>
      <c r="BU542" t="n">
        <v>0</v>
      </c>
      <c r="BV542" t="n">
        <v>0</v>
      </c>
      <c r="BW542" t="n">
        <v>0</v>
      </c>
      <c r="BX542" t="n">
        <v>0</v>
      </c>
      <c r="BY542" t="n">
        <v>0</v>
      </c>
      <c r="BZ542" t="n">
        <v>31</v>
      </c>
      <c r="CA542" t="n">
        <v>10</v>
      </c>
      <c r="CB542" t="n">
        <v>6</v>
      </c>
      <c r="CC542" t="n">
        <v>2</v>
      </c>
      <c r="CD542" t="n">
        <v>11</v>
      </c>
      <c r="CE542" t="n">
        <v>9</v>
      </c>
      <c r="CF542" t="n">
        <v>22</v>
      </c>
      <c r="CG542" t="n">
        <v>16</v>
      </c>
      <c r="CH542" t="n">
        <v>31</v>
      </c>
      <c r="CI542" t="n">
        <v>10</v>
      </c>
      <c r="CJ542" t="n">
        <v>6</v>
      </c>
      <c r="CK542" t="n">
        <v>2</v>
      </c>
      <c r="CL542" t="n">
        <v>11</v>
      </c>
      <c r="CM542" t="n">
        <v>9</v>
      </c>
      <c r="CN542" t="n">
        <v>22</v>
      </c>
      <c r="CO542" t="n">
        <v>16</v>
      </c>
      <c r="CP542" t="n">
        <v>0</v>
      </c>
      <c r="CQ542" t="n">
        <v>0</v>
      </c>
      <c r="CR542" t="n">
        <v>0</v>
      </c>
      <c r="CS542" t="n">
        <v>0</v>
      </c>
      <c r="CT542" t="n">
        <v>0</v>
      </c>
      <c r="CU542" t="n">
        <v>0</v>
      </c>
      <c r="CV542" t="n">
        <v>0</v>
      </c>
      <c r="CW542" t="n">
        <v>0</v>
      </c>
      <c r="CX542" t="n">
        <v>21.1</v>
      </c>
      <c r="CY542" t="n">
        <v>61.7</v>
      </c>
      <c r="CZ542" t="n">
        <v>36.8</v>
      </c>
      <c r="DA542" t="n">
        <v>80.59999999999999</v>
      </c>
      <c r="DB542" t="n">
        <v>21.1</v>
      </c>
      <c r="DC542" t="n">
        <v>61.6</v>
      </c>
      <c r="DD542" t="n">
        <v>33.4</v>
      </c>
      <c r="DE542" t="n">
        <v>78.7</v>
      </c>
      <c r="DF542" t="n">
        <v>21.1</v>
      </c>
      <c r="DG542" t="n">
        <v>61.7</v>
      </c>
      <c r="DH542" t="n">
        <v>36.8</v>
      </c>
      <c r="DI542" t="n">
        <v>80.59999999999999</v>
      </c>
      <c r="DJ542" t="n">
        <v>21.1</v>
      </c>
      <c r="DK542" t="n">
        <v>61.6</v>
      </c>
      <c r="DL542" t="n">
        <v>33.4</v>
      </c>
      <c r="DM542" t="n">
        <v>78.7</v>
      </c>
      <c r="DN542" t="n">
        <v>0</v>
      </c>
      <c r="DO542" t="n">
        <v>0</v>
      </c>
      <c r="DP542" t="n">
        <v>0</v>
      </c>
      <c r="DQ542" t="n">
        <v>0</v>
      </c>
      <c r="DR542" t="n">
        <v>0</v>
      </c>
      <c r="DS542" t="n">
        <v>0</v>
      </c>
      <c r="DT542" t="n">
        <v>0</v>
      </c>
      <c r="DU542" t="n">
        <v>0</v>
      </c>
      <c r="DV542" t="inlineStr">
        <is>
          <t>(CONTRACTS OF EUR 125,000)</t>
        </is>
      </c>
    </row>
    <row r="543">
      <c r="A543" t="inlineStr">
        <is>
          <t>EURO FX/BRITISH POUND XRATE - CHICAGO MERCANTILE EXCHANGE</t>
        </is>
      </c>
      <c r="B543" t="n">
        <v>230103</v>
      </c>
      <c r="C543" s="1" t="n">
        <v>44929</v>
      </c>
      <c r="D543" t="inlineStr">
        <is>
          <t>299741</t>
        </is>
      </c>
      <c r="E543" t="inlineStr">
        <is>
          <t xml:space="preserve">CME </t>
        </is>
      </c>
      <c r="F543" t="inlineStr">
        <is>
          <t>00</t>
        </is>
      </c>
      <c r="G543" t="inlineStr">
        <is>
          <t xml:space="preserve">099 </t>
        </is>
      </c>
      <c r="H543" t="n">
        <v>31567</v>
      </c>
      <c r="I543" s="17" t="n">
        <v>6848</v>
      </c>
      <c r="J543" s="17" t="n">
        <v>10012</v>
      </c>
      <c r="K543" t="n">
        <v>956</v>
      </c>
      <c r="L543" t="n">
        <v>11235</v>
      </c>
      <c r="M543" t="n">
        <v>18298</v>
      </c>
      <c r="N543" t="n">
        <v>19039</v>
      </c>
      <c r="O543" t="n">
        <v>29266</v>
      </c>
      <c r="P543" t="n">
        <v>12528</v>
      </c>
      <c r="Q543" t="n">
        <v>2301</v>
      </c>
      <c r="R543" t="n">
        <v>31567</v>
      </c>
      <c r="S543" t="n">
        <v>6848</v>
      </c>
      <c r="T543" t="n">
        <v>10012</v>
      </c>
      <c r="U543" t="n">
        <v>956</v>
      </c>
      <c r="V543" t="n">
        <v>11235</v>
      </c>
      <c r="W543" t="n">
        <v>18298</v>
      </c>
      <c r="X543" t="n">
        <v>19039</v>
      </c>
      <c r="Y543" t="n">
        <v>29266</v>
      </c>
      <c r="Z543" t="n">
        <v>12528</v>
      </c>
      <c r="AA543" t="n">
        <v>2301</v>
      </c>
      <c r="AB543" t="n">
        <v>0</v>
      </c>
      <c r="AC543" t="n">
        <v>0</v>
      </c>
      <c r="AD543" t="n">
        <v>0</v>
      </c>
      <c r="AE543" t="n">
        <v>0</v>
      </c>
      <c r="AF543" t="n">
        <v>0</v>
      </c>
      <c r="AG543" t="n">
        <v>0</v>
      </c>
      <c r="AH543" t="n">
        <v>0</v>
      </c>
      <c r="AI543" t="n">
        <v>0</v>
      </c>
      <c r="AJ543" t="n">
        <v>0</v>
      </c>
      <c r="AK543" t="n">
        <v>0</v>
      </c>
      <c r="AL543" t="n">
        <v>1868</v>
      </c>
      <c r="AM543" t="n">
        <v>2026</v>
      </c>
      <c r="AN543" t="n">
        <v>1433</v>
      </c>
      <c r="AO543" t="n">
        <v>496</v>
      </c>
      <c r="AP543" t="n">
        <v>35</v>
      </c>
      <c r="AQ543" t="n">
        <v>768</v>
      </c>
      <c r="AR543" t="n">
        <v>2557</v>
      </c>
      <c r="AS543" t="n">
        <v>2697</v>
      </c>
      <c r="AT543" t="n">
        <v>-689</v>
      </c>
      <c r="AU543" t="n">
        <v>-829</v>
      </c>
      <c r="AV543" t="n">
        <v>100</v>
      </c>
      <c r="AW543" t="n">
        <v>21.7</v>
      </c>
      <c r="AX543" t="n">
        <v>31.7</v>
      </c>
      <c r="AY543" t="n">
        <v>3</v>
      </c>
      <c r="AZ543" t="n">
        <v>35.6</v>
      </c>
      <c r="BA543" t="n">
        <v>58</v>
      </c>
      <c r="BB543" t="n">
        <v>60.3</v>
      </c>
      <c r="BC543" t="n">
        <v>92.7</v>
      </c>
      <c r="BD543" t="n">
        <v>39.7</v>
      </c>
      <c r="BE543" t="n">
        <v>7.3</v>
      </c>
      <c r="BF543" t="n">
        <v>100</v>
      </c>
      <c r="BG543" t="n">
        <v>21.7</v>
      </c>
      <c r="BH543" t="n">
        <v>31.7</v>
      </c>
      <c r="BI543" t="n">
        <v>3</v>
      </c>
      <c r="BJ543" t="n">
        <v>35.6</v>
      </c>
      <c r="BK543" t="n">
        <v>58</v>
      </c>
      <c r="BL543" t="n">
        <v>60.3</v>
      </c>
      <c r="BM543" t="n">
        <v>92.7</v>
      </c>
      <c r="BN543" t="n">
        <v>39.7</v>
      </c>
      <c r="BO543" t="n">
        <v>7.3</v>
      </c>
      <c r="BP543" t="n">
        <v>0</v>
      </c>
      <c r="BQ543" t="n">
        <v>0</v>
      </c>
      <c r="BR543" t="n">
        <v>0</v>
      </c>
      <c r="BS543" t="n">
        <v>0</v>
      </c>
      <c r="BT543" t="n">
        <v>0</v>
      </c>
      <c r="BU543" t="n">
        <v>0</v>
      </c>
      <c r="BV543" t="n">
        <v>0</v>
      </c>
      <c r="BW543" t="n">
        <v>0</v>
      </c>
      <c r="BX543" t="n">
        <v>0</v>
      </c>
      <c r="BY543" t="n">
        <v>0</v>
      </c>
      <c r="BZ543" t="n">
        <v>30</v>
      </c>
      <c r="CA543" t="n">
        <v>10</v>
      </c>
      <c r="CB543" t="n">
        <v>5</v>
      </c>
      <c r="CC543" t="n">
        <v>3</v>
      </c>
      <c r="CD543" t="n">
        <v>11</v>
      </c>
      <c r="CE543" t="n">
        <v>9</v>
      </c>
      <c r="CF543" t="n">
        <v>23</v>
      </c>
      <c r="CG543" t="n">
        <v>15</v>
      </c>
      <c r="CH543" t="n">
        <v>30</v>
      </c>
      <c r="CI543" t="n">
        <v>10</v>
      </c>
      <c r="CJ543" t="n">
        <v>5</v>
      </c>
      <c r="CK543" t="n">
        <v>3</v>
      </c>
      <c r="CL543" t="n">
        <v>11</v>
      </c>
      <c r="CM543" t="n">
        <v>9</v>
      </c>
      <c r="CN543" t="n">
        <v>23</v>
      </c>
      <c r="CO543" t="n">
        <v>15</v>
      </c>
      <c r="CP543" t="n">
        <v>0</v>
      </c>
      <c r="CQ543" t="n">
        <v>0</v>
      </c>
      <c r="CR543" t="n">
        <v>0</v>
      </c>
      <c r="CS543" t="n">
        <v>0</v>
      </c>
      <c r="CT543" t="n">
        <v>0</v>
      </c>
      <c r="CU543" t="n">
        <v>0</v>
      </c>
      <c r="CV543" t="n">
        <v>0</v>
      </c>
      <c r="CW543" t="n">
        <v>0</v>
      </c>
      <c r="CX543" t="n">
        <v>20.3</v>
      </c>
      <c r="CY543" t="n">
        <v>62.2</v>
      </c>
      <c r="CZ543" t="n">
        <v>36.5</v>
      </c>
      <c r="DA543" t="n">
        <v>82.90000000000001</v>
      </c>
      <c r="DB543" t="n">
        <v>20.3</v>
      </c>
      <c r="DC543" t="n">
        <v>62.1</v>
      </c>
      <c r="DD543" t="n">
        <v>33.7</v>
      </c>
      <c r="DE543" t="n">
        <v>80.5</v>
      </c>
      <c r="DF543" t="n">
        <v>20.3</v>
      </c>
      <c r="DG543" t="n">
        <v>62.2</v>
      </c>
      <c r="DH543" t="n">
        <v>36.5</v>
      </c>
      <c r="DI543" t="n">
        <v>82.90000000000001</v>
      </c>
      <c r="DJ543" t="n">
        <v>20.3</v>
      </c>
      <c r="DK543" t="n">
        <v>62.1</v>
      </c>
      <c r="DL543" t="n">
        <v>33.7</v>
      </c>
      <c r="DM543" t="n">
        <v>80.5</v>
      </c>
      <c r="DN543" t="n">
        <v>0</v>
      </c>
      <c r="DO543" t="n">
        <v>0</v>
      </c>
      <c r="DP543" t="n">
        <v>0</v>
      </c>
      <c r="DQ543" t="n">
        <v>0</v>
      </c>
      <c r="DR543" t="n">
        <v>0</v>
      </c>
      <c r="DS543" t="n">
        <v>0</v>
      </c>
      <c r="DT543" t="n">
        <v>0</v>
      </c>
      <c r="DU543" t="n">
        <v>0</v>
      </c>
      <c r="DV543" t="inlineStr">
        <is>
          <t>(CONTRACTS OF EUR 125,000)</t>
        </is>
      </c>
    </row>
    <row r="544">
      <c r="A544" t="inlineStr">
        <is>
          <t>E-MINI S&amp;P 400 STOCK INDEX - CHICAGO MERCANTILE EXCHANGE</t>
        </is>
      </c>
      <c r="B544" t="n">
        <v>230110</v>
      </c>
      <c r="C544" s="1" t="n">
        <v>44936</v>
      </c>
      <c r="D544" t="inlineStr">
        <is>
          <t>33874A</t>
        </is>
      </c>
      <c r="E544" t="inlineStr">
        <is>
          <t xml:space="preserve">CME </t>
        </is>
      </c>
      <c r="F544" t="inlineStr">
        <is>
          <t>00</t>
        </is>
      </c>
      <c r="G544" t="inlineStr">
        <is>
          <t xml:space="preserve">138 </t>
        </is>
      </c>
      <c r="H544" t="n">
        <v>42541</v>
      </c>
      <c r="I544" s="17" t="n">
        <v>8792</v>
      </c>
      <c r="J544" s="17" t="n">
        <v>1156</v>
      </c>
      <c r="K544" t="n">
        <v>254</v>
      </c>
      <c r="L544" t="n">
        <v>26537</v>
      </c>
      <c r="M544" t="n">
        <v>37143</v>
      </c>
      <c r="N544" t="n">
        <v>35583</v>
      </c>
      <c r="O544" t="n">
        <v>38553</v>
      </c>
      <c r="P544" t="n">
        <v>6958</v>
      </c>
      <c r="Q544" t="n">
        <v>3988</v>
      </c>
      <c r="R544" t="n">
        <v>42541</v>
      </c>
      <c r="S544" t="n">
        <v>8792</v>
      </c>
      <c r="T544" t="n">
        <v>1156</v>
      </c>
      <c r="U544" t="n">
        <v>254</v>
      </c>
      <c r="V544" t="n">
        <v>26537</v>
      </c>
      <c r="W544" t="n">
        <v>37143</v>
      </c>
      <c r="X544" t="n">
        <v>35583</v>
      </c>
      <c r="Y544" t="n">
        <v>38553</v>
      </c>
      <c r="Z544" t="n">
        <v>6958</v>
      </c>
      <c r="AA544" t="n">
        <v>3988</v>
      </c>
      <c r="AB544" t="n">
        <v>0</v>
      </c>
      <c r="AC544" t="n">
        <v>0</v>
      </c>
      <c r="AD544" t="n">
        <v>0</v>
      </c>
      <c r="AE544" t="n">
        <v>0</v>
      </c>
      <c r="AF544" t="n">
        <v>0</v>
      </c>
      <c r="AG544" t="n">
        <v>0</v>
      </c>
      <c r="AH544" t="n">
        <v>0</v>
      </c>
      <c r="AI544" t="n">
        <v>0</v>
      </c>
      <c r="AJ544" t="n">
        <v>0</v>
      </c>
      <c r="AK544" t="n">
        <v>0</v>
      </c>
      <c r="AL544" t="n">
        <v>-601</v>
      </c>
      <c r="AM544" t="n">
        <v>-1024</v>
      </c>
      <c r="AN544" t="n">
        <v>-1347</v>
      </c>
      <c r="AO544" t="n">
        <v>2</v>
      </c>
      <c r="AP544" t="n">
        <v>280</v>
      </c>
      <c r="AQ544" t="n">
        <v>745</v>
      </c>
      <c r="AR544" t="n">
        <v>-742</v>
      </c>
      <c r="AS544" t="n">
        <v>-600</v>
      </c>
      <c r="AT544" t="n">
        <v>141</v>
      </c>
      <c r="AU544" t="n">
        <v>-1</v>
      </c>
      <c r="AV544" t="n">
        <v>100</v>
      </c>
      <c r="AW544" t="n">
        <v>20.7</v>
      </c>
      <c r="AX544" t="n">
        <v>2.7</v>
      </c>
      <c r="AY544" t="n">
        <v>0.6</v>
      </c>
      <c r="AZ544" t="n">
        <v>62.4</v>
      </c>
      <c r="BA544" t="n">
        <v>87.3</v>
      </c>
      <c r="BB544" t="n">
        <v>83.59999999999999</v>
      </c>
      <c r="BC544" t="n">
        <v>90.59999999999999</v>
      </c>
      <c r="BD544" t="n">
        <v>16.4</v>
      </c>
      <c r="BE544" t="n">
        <v>9.4</v>
      </c>
      <c r="BF544" t="n">
        <v>100</v>
      </c>
      <c r="BG544" t="n">
        <v>20.7</v>
      </c>
      <c r="BH544" t="n">
        <v>2.7</v>
      </c>
      <c r="BI544" t="n">
        <v>0.6</v>
      </c>
      <c r="BJ544" t="n">
        <v>62.4</v>
      </c>
      <c r="BK544" t="n">
        <v>87.3</v>
      </c>
      <c r="BL544" t="n">
        <v>83.59999999999999</v>
      </c>
      <c r="BM544" t="n">
        <v>90.59999999999999</v>
      </c>
      <c r="BN544" t="n">
        <v>16.4</v>
      </c>
      <c r="BO544" t="n">
        <v>9.4</v>
      </c>
      <c r="BP544" t="n">
        <v>0</v>
      </c>
      <c r="BQ544" t="n">
        <v>0</v>
      </c>
      <c r="BR544" t="n">
        <v>0</v>
      </c>
      <c r="BS544" t="n">
        <v>0</v>
      </c>
      <c r="BT544" t="n">
        <v>0</v>
      </c>
      <c r="BU544" t="n">
        <v>0</v>
      </c>
      <c r="BV544" t="n">
        <v>0</v>
      </c>
      <c r="BW544" t="n">
        <v>0</v>
      </c>
      <c r="BX544" t="n">
        <v>0</v>
      </c>
      <c r="BY544" t="n">
        <v>0</v>
      </c>
      <c r="BZ544" t="n">
        <v>61</v>
      </c>
      <c r="CA544" t="n">
        <v>6</v>
      </c>
      <c r="CB544" t="n">
        <v>4</v>
      </c>
      <c r="CC544" t="n">
        <v>4</v>
      </c>
      <c r="CD544" t="n">
        <v>31</v>
      </c>
      <c r="CE544" t="n">
        <v>30</v>
      </c>
      <c r="CF544" t="n">
        <v>39</v>
      </c>
      <c r="CG544" t="n">
        <v>36</v>
      </c>
      <c r="CH544" t="n">
        <v>61</v>
      </c>
      <c r="CI544" t="n">
        <v>6</v>
      </c>
      <c r="CJ544" t="n">
        <v>4</v>
      </c>
      <c r="CK544" t="n">
        <v>4</v>
      </c>
      <c r="CL544" t="n">
        <v>31</v>
      </c>
      <c r="CM544" t="n">
        <v>30</v>
      </c>
      <c r="CN544" t="n">
        <v>39</v>
      </c>
      <c r="CO544" t="n">
        <v>36</v>
      </c>
      <c r="CP544" t="n">
        <v>0</v>
      </c>
      <c r="CQ544" t="n">
        <v>0</v>
      </c>
      <c r="CR544" t="n">
        <v>0</v>
      </c>
      <c r="CS544" t="n">
        <v>0</v>
      </c>
      <c r="CT544" t="n">
        <v>0</v>
      </c>
      <c r="CU544" t="n">
        <v>0</v>
      </c>
      <c r="CV544" t="n">
        <v>0</v>
      </c>
      <c r="CW544" t="n">
        <v>0</v>
      </c>
      <c r="CX544" t="n">
        <v>39.2</v>
      </c>
      <c r="CY544" t="n">
        <v>37.5</v>
      </c>
      <c r="CZ544" t="n">
        <v>52.5</v>
      </c>
      <c r="DA544" t="n">
        <v>58.6</v>
      </c>
      <c r="DB544" t="n">
        <v>39</v>
      </c>
      <c r="DC544" t="n">
        <v>36.9</v>
      </c>
      <c r="DD544" t="n">
        <v>50.9</v>
      </c>
      <c r="DE544" t="n">
        <v>57.9</v>
      </c>
      <c r="DF544" t="n">
        <v>39.2</v>
      </c>
      <c r="DG544" t="n">
        <v>37.5</v>
      </c>
      <c r="DH544" t="n">
        <v>52.5</v>
      </c>
      <c r="DI544" t="n">
        <v>58.6</v>
      </c>
      <c r="DJ544" t="n">
        <v>39</v>
      </c>
      <c r="DK544" t="n">
        <v>36.9</v>
      </c>
      <c r="DL544" t="n">
        <v>50.9</v>
      </c>
      <c r="DM544" t="n">
        <v>57.9</v>
      </c>
      <c r="DN544" t="n">
        <v>0</v>
      </c>
      <c r="DO544" t="n">
        <v>0</v>
      </c>
      <c r="DP544" t="n">
        <v>0</v>
      </c>
      <c r="DQ544" t="n">
        <v>0</v>
      </c>
      <c r="DR544" t="n">
        <v>0</v>
      </c>
      <c r="DS544" t="n">
        <v>0</v>
      </c>
      <c r="DT544" t="n">
        <v>0</v>
      </c>
      <c r="DU544" t="n">
        <v>0</v>
      </c>
      <c r="DV544" t="inlineStr">
        <is>
          <t>(S&amp;P 400 INDEX X $100)</t>
        </is>
      </c>
    </row>
    <row r="545">
      <c r="A545" t="inlineStr">
        <is>
          <t>E-MINI S&amp;P 400 STOCK INDEX - CHICAGO MERCANTILE EXCHANGE</t>
        </is>
      </c>
      <c r="B545" t="n">
        <v>230103</v>
      </c>
      <c r="C545" s="1" t="n">
        <v>44929</v>
      </c>
      <c r="D545" t="inlineStr">
        <is>
          <t>33874A</t>
        </is>
      </c>
      <c r="E545" t="inlineStr">
        <is>
          <t xml:space="preserve">CME </t>
        </is>
      </c>
      <c r="F545" t="inlineStr">
        <is>
          <t>00</t>
        </is>
      </c>
      <c r="G545" t="inlineStr">
        <is>
          <t xml:space="preserve">138 </t>
        </is>
      </c>
      <c r="H545" t="n">
        <v>43142</v>
      </c>
      <c r="I545" s="17" t="n">
        <v>9816</v>
      </c>
      <c r="J545" s="17" t="n">
        <v>2503</v>
      </c>
      <c r="K545" t="n">
        <v>252</v>
      </c>
      <c r="L545" t="n">
        <v>26257</v>
      </c>
      <c r="M545" t="n">
        <v>36398</v>
      </c>
      <c r="N545" t="n">
        <v>36325</v>
      </c>
      <c r="O545" t="n">
        <v>39153</v>
      </c>
      <c r="P545" t="n">
        <v>6817</v>
      </c>
      <c r="Q545" t="n">
        <v>3989</v>
      </c>
      <c r="R545" t="n">
        <v>43142</v>
      </c>
      <c r="S545" t="n">
        <v>9816</v>
      </c>
      <c r="T545" t="n">
        <v>2503</v>
      </c>
      <c r="U545" t="n">
        <v>252</v>
      </c>
      <c r="V545" t="n">
        <v>26257</v>
      </c>
      <c r="W545" t="n">
        <v>36398</v>
      </c>
      <c r="X545" t="n">
        <v>36325</v>
      </c>
      <c r="Y545" t="n">
        <v>39153</v>
      </c>
      <c r="Z545" t="n">
        <v>6817</v>
      </c>
      <c r="AA545" t="n">
        <v>3989</v>
      </c>
      <c r="AB545" t="n">
        <v>0</v>
      </c>
      <c r="AC545" t="n">
        <v>0</v>
      </c>
      <c r="AD545" t="n">
        <v>0</v>
      </c>
      <c r="AE545" t="n">
        <v>0</v>
      </c>
      <c r="AF545" t="n">
        <v>0</v>
      </c>
      <c r="AG545" t="n">
        <v>0</v>
      </c>
      <c r="AH545" t="n">
        <v>0</v>
      </c>
      <c r="AI545" t="n">
        <v>0</v>
      </c>
      <c r="AJ545" t="n">
        <v>0</v>
      </c>
      <c r="AK545" t="n">
        <v>0</v>
      </c>
      <c r="AL545" t="n">
        <v>606</v>
      </c>
      <c r="AM545" t="n">
        <v>335</v>
      </c>
      <c r="AN545" t="n">
        <v>1329</v>
      </c>
      <c r="AO545" t="n">
        <v>56</v>
      </c>
      <c r="AP545" t="n">
        <v>50</v>
      </c>
      <c r="AQ545" t="n">
        <v>307</v>
      </c>
      <c r="AR545" t="n">
        <v>441</v>
      </c>
      <c r="AS545" t="n">
        <v>1692</v>
      </c>
      <c r="AT545" t="n">
        <v>165</v>
      </c>
      <c r="AU545" t="n">
        <v>-1086</v>
      </c>
      <c r="AV545" t="n">
        <v>100</v>
      </c>
      <c r="AW545" t="n">
        <v>22.8</v>
      </c>
      <c r="AX545" t="n">
        <v>5.8</v>
      </c>
      <c r="AY545" t="n">
        <v>0.6</v>
      </c>
      <c r="AZ545" t="n">
        <v>60.9</v>
      </c>
      <c r="BA545" t="n">
        <v>84.40000000000001</v>
      </c>
      <c r="BB545" t="n">
        <v>84.2</v>
      </c>
      <c r="BC545" t="n">
        <v>90.8</v>
      </c>
      <c r="BD545" t="n">
        <v>15.8</v>
      </c>
      <c r="BE545" t="n">
        <v>9.199999999999999</v>
      </c>
      <c r="BF545" t="n">
        <v>100</v>
      </c>
      <c r="BG545" t="n">
        <v>22.8</v>
      </c>
      <c r="BH545" t="n">
        <v>5.8</v>
      </c>
      <c r="BI545" t="n">
        <v>0.6</v>
      </c>
      <c r="BJ545" t="n">
        <v>60.9</v>
      </c>
      <c r="BK545" t="n">
        <v>84.40000000000001</v>
      </c>
      <c r="BL545" t="n">
        <v>84.2</v>
      </c>
      <c r="BM545" t="n">
        <v>90.8</v>
      </c>
      <c r="BN545" t="n">
        <v>15.8</v>
      </c>
      <c r="BO545" t="n">
        <v>9.199999999999999</v>
      </c>
      <c r="BP545" t="n">
        <v>0</v>
      </c>
      <c r="BQ545" t="n">
        <v>0</v>
      </c>
      <c r="BR545" t="n">
        <v>0</v>
      </c>
      <c r="BS545" t="n">
        <v>0</v>
      </c>
      <c r="BT545" t="n">
        <v>0</v>
      </c>
      <c r="BU545" t="n">
        <v>0</v>
      </c>
      <c r="BV545" t="n">
        <v>0</v>
      </c>
      <c r="BW545" t="n">
        <v>0</v>
      </c>
      <c r="BX545" t="n">
        <v>0</v>
      </c>
      <c r="BY545" t="n">
        <v>0</v>
      </c>
      <c r="BZ545" t="n">
        <v>64</v>
      </c>
      <c r="CA545" t="n">
        <v>9</v>
      </c>
      <c r="CB545" t="n">
        <v>6</v>
      </c>
      <c r="CC545" t="n">
        <v>4</v>
      </c>
      <c r="CD545" t="n">
        <v>30</v>
      </c>
      <c r="CE545" t="n">
        <v>29</v>
      </c>
      <c r="CF545" t="n">
        <v>41</v>
      </c>
      <c r="CG545" t="n">
        <v>37</v>
      </c>
      <c r="CH545" t="n">
        <v>64</v>
      </c>
      <c r="CI545" t="n">
        <v>9</v>
      </c>
      <c r="CJ545" t="n">
        <v>6</v>
      </c>
      <c r="CK545" t="n">
        <v>4</v>
      </c>
      <c r="CL545" t="n">
        <v>30</v>
      </c>
      <c r="CM545" t="n">
        <v>29</v>
      </c>
      <c r="CN545" t="n">
        <v>41</v>
      </c>
      <c r="CO545" t="n">
        <v>37</v>
      </c>
      <c r="CP545" t="n">
        <v>0</v>
      </c>
      <c r="CQ545" t="n">
        <v>0</v>
      </c>
      <c r="CR545" t="n">
        <v>0</v>
      </c>
      <c r="CS545" t="n">
        <v>0</v>
      </c>
      <c r="CT545" t="n">
        <v>0</v>
      </c>
      <c r="CU545" t="n">
        <v>0</v>
      </c>
      <c r="CV545" t="n">
        <v>0</v>
      </c>
      <c r="CW545" t="n">
        <v>0</v>
      </c>
      <c r="CX545" t="n">
        <v>39.8</v>
      </c>
      <c r="CY545" t="n">
        <v>35.8</v>
      </c>
      <c r="CZ545" t="n">
        <v>53</v>
      </c>
      <c r="DA545" t="n">
        <v>57.1</v>
      </c>
      <c r="DB545" t="n">
        <v>39.6</v>
      </c>
      <c r="DC545" t="n">
        <v>35.1</v>
      </c>
      <c r="DD545" t="n">
        <v>51.9</v>
      </c>
      <c r="DE545" t="n">
        <v>56.4</v>
      </c>
      <c r="DF545" t="n">
        <v>39.8</v>
      </c>
      <c r="DG545" t="n">
        <v>35.8</v>
      </c>
      <c r="DH545" t="n">
        <v>53</v>
      </c>
      <c r="DI545" t="n">
        <v>57.1</v>
      </c>
      <c r="DJ545" t="n">
        <v>39.6</v>
      </c>
      <c r="DK545" t="n">
        <v>35.1</v>
      </c>
      <c r="DL545" t="n">
        <v>51.9</v>
      </c>
      <c r="DM545" t="n">
        <v>56.4</v>
      </c>
      <c r="DN545" t="n">
        <v>0</v>
      </c>
      <c r="DO545" t="n">
        <v>0</v>
      </c>
      <c r="DP545" t="n">
        <v>0</v>
      </c>
      <c r="DQ545" t="n">
        <v>0</v>
      </c>
      <c r="DR545" t="n">
        <v>0</v>
      </c>
      <c r="DS545" t="n">
        <v>0</v>
      </c>
      <c r="DT545" t="n">
        <v>0</v>
      </c>
      <c r="DU545" t="n">
        <v>0</v>
      </c>
      <c r="DV545" t="inlineStr">
        <is>
          <t>(S&amp;P 400 INDEX X $100)</t>
        </is>
      </c>
    </row>
    <row r="546">
      <c r="A546" t="inlineStr">
        <is>
          <t>S&amp;P 500 ANNUAL DIVIDEND INDEX - CHICAGO MERCANTILE EXCHANGE</t>
        </is>
      </c>
      <c r="B546" t="n">
        <v>230110</v>
      </c>
      <c r="C546" s="1" t="n">
        <v>44936</v>
      </c>
      <c r="D546" t="inlineStr">
        <is>
          <t>43874A</t>
        </is>
      </c>
      <c r="E546" t="inlineStr">
        <is>
          <t xml:space="preserve">CME </t>
        </is>
      </c>
      <c r="F546" t="inlineStr">
        <is>
          <t>00</t>
        </is>
      </c>
      <c r="G546" t="inlineStr">
        <is>
          <t xml:space="preserve">438 </t>
        </is>
      </c>
      <c r="H546" t="n">
        <v>182284</v>
      </c>
      <c r="I546" s="17" t="n">
        <v>74373</v>
      </c>
      <c r="J546" s="17" t="n">
        <v>10672</v>
      </c>
      <c r="K546" t="n">
        <v>10277</v>
      </c>
      <c r="L546" t="n">
        <v>97261</v>
      </c>
      <c r="M546" t="n">
        <v>161288</v>
      </c>
      <c r="N546" t="n">
        <v>181911</v>
      </c>
      <c r="O546" t="n">
        <v>182237</v>
      </c>
      <c r="P546" t="n">
        <v>373</v>
      </c>
      <c r="Q546" t="n">
        <v>47</v>
      </c>
      <c r="R546" t="n">
        <v>182284</v>
      </c>
      <c r="S546" t="n">
        <v>74373</v>
      </c>
      <c r="T546" t="n">
        <v>10672</v>
      </c>
      <c r="U546" t="n">
        <v>10277</v>
      </c>
      <c r="V546" t="n">
        <v>97261</v>
      </c>
      <c r="W546" t="n">
        <v>161288</v>
      </c>
      <c r="X546" t="n">
        <v>181911</v>
      </c>
      <c r="Y546" t="n">
        <v>182237</v>
      </c>
      <c r="Z546" t="n">
        <v>373</v>
      </c>
      <c r="AA546" t="n">
        <v>47</v>
      </c>
      <c r="AB546" t="n">
        <v>0</v>
      </c>
      <c r="AC546" t="n">
        <v>0</v>
      </c>
      <c r="AD546" t="n">
        <v>0</v>
      </c>
      <c r="AE546" t="n">
        <v>0</v>
      </c>
      <c r="AF546" t="n">
        <v>0</v>
      </c>
      <c r="AG546" t="n">
        <v>0</v>
      </c>
      <c r="AH546" t="n">
        <v>0</v>
      </c>
      <c r="AI546" t="n">
        <v>0</v>
      </c>
      <c r="AJ546" t="n">
        <v>0</v>
      </c>
      <c r="AK546" t="n">
        <v>0</v>
      </c>
      <c r="AL546" t="n">
        <v>-2660</v>
      </c>
      <c r="AM546" t="n">
        <v>-2598</v>
      </c>
      <c r="AN546" t="n">
        <v>-25</v>
      </c>
      <c r="AO546" t="n">
        <v>-724</v>
      </c>
      <c r="AP546" t="n">
        <v>688</v>
      </c>
      <c r="AQ546" t="n">
        <v>-1911</v>
      </c>
      <c r="AR546" t="n">
        <v>-2634</v>
      </c>
      <c r="AS546" t="n">
        <v>-2660</v>
      </c>
      <c r="AT546" t="n">
        <v>-26</v>
      </c>
      <c r="AU546" t="n">
        <v>0</v>
      </c>
      <c r="AV546" t="n">
        <v>100</v>
      </c>
      <c r="AW546" t="n">
        <v>40.8</v>
      </c>
      <c r="AX546" t="n">
        <v>5.9</v>
      </c>
      <c r="AY546" t="n">
        <v>5.6</v>
      </c>
      <c r="AZ546" t="n">
        <v>53.4</v>
      </c>
      <c r="BA546" t="n">
        <v>88.5</v>
      </c>
      <c r="BB546" t="n">
        <v>99.8</v>
      </c>
      <c r="BC546" t="n">
        <v>100</v>
      </c>
      <c r="BD546" t="n">
        <v>0.2</v>
      </c>
      <c r="BE546" t="n">
        <v>0</v>
      </c>
      <c r="BF546" t="n">
        <v>100</v>
      </c>
      <c r="BG546" t="n">
        <v>40.8</v>
      </c>
      <c r="BH546" t="n">
        <v>5.9</v>
      </c>
      <c r="BI546" t="n">
        <v>5.6</v>
      </c>
      <c r="BJ546" t="n">
        <v>53.4</v>
      </c>
      <c r="BK546" t="n">
        <v>88.5</v>
      </c>
      <c r="BL546" t="n">
        <v>99.8</v>
      </c>
      <c r="BM546" t="n">
        <v>100</v>
      </c>
      <c r="BN546" t="n">
        <v>0.2</v>
      </c>
      <c r="BO546" t="n">
        <v>0</v>
      </c>
      <c r="BP546" t="n">
        <v>0</v>
      </c>
      <c r="BQ546" t="n">
        <v>0</v>
      </c>
      <c r="BR546" t="n">
        <v>0</v>
      </c>
      <c r="BS546" t="n">
        <v>0</v>
      </c>
      <c r="BT546" t="n">
        <v>0</v>
      </c>
      <c r="BU546" t="n">
        <v>0</v>
      </c>
      <c r="BV546" t="n">
        <v>0</v>
      </c>
      <c r="BW546" t="n">
        <v>0</v>
      </c>
      <c r="BX546" t="n">
        <v>0</v>
      </c>
      <c r="BY546" t="n">
        <v>0</v>
      </c>
      <c r="BZ546" t="n">
        <v>99</v>
      </c>
      <c r="CA546" t="n">
        <v>33</v>
      </c>
      <c r="CB546" t="n">
        <v>11</v>
      </c>
      <c r="CC546" t="n">
        <v>7</v>
      </c>
      <c r="CD546" t="n">
        <v>40</v>
      </c>
      <c r="CE546" t="n">
        <v>32</v>
      </c>
      <c r="CF546" t="n">
        <v>75</v>
      </c>
      <c r="CG546" t="n">
        <v>48</v>
      </c>
      <c r="CH546" t="n">
        <v>99</v>
      </c>
      <c r="CI546" t="n">
        <v>33</v>
      </c>
      <c r="CJ546" t="n">
        <v>11</v>
      </c>
      <c r="CK546" t="n">
        <v>7</v>
      </c>
      <c r="CL546" t="n">
        <v>40</v>
      </c>
      <c r="CM546" t="n">
        <v>32</v>
      </c>
      <c r="CN546" t="n">
        <v>75</v>
      </c>
      <c r="CO546" t="n">
        <v>48</v>
      </c>
      <c r="CP546" t="n">
        <v>0</v>
      </c>
      <c r="CQ546" t="n">
        <v>0</v>
      </c>
      <c r="CR546" t="n">
        <v>0</v>
      </c>
      <c r="CS546" t="n">
        <v>0</v>
      </c>
      <c r="CT546" t="n">
        <v>0</v>
      </c>
      <c r="CU546" t="n">
        <v>0</v>
      </c>
      <c r="CV546" t="n">
        <v>0</v>
      </c>
      <c r="CW546" t="n">
        <v>0</v>
      </c>
      <c r="CX546" t="n">
        <v>29.4</v>
      </c>
      <c r="CY546" t="n">
        <v>55.1</v>
      </c>
      <c r="CZ546" t="n">
        <v>47.3</v>
      </c>
      <c r="DA546" t="n">
        <v>77.7</v>
      </c>
      <c r="DB546" t="n">
        <v>21.5</v>
      </c>
      <c r="DC546" t="n">
        <v>51.9</v>
      </c>
      <c r="DD546" t="n">
        <v>36.8</v>
      </c>
      <c r="DE546" t="n">
        <v>69.8</v>
      </c>
      <c r="DF546" t="n">
        <v>29.4</v>
      </c>
      <c r="DG546" t="n">
        <v>55.1</v>
      </c>
      <c r="DH546" t="n">
        <v>47.3</v>
      </c>
      <c r="DI546" t="n">
        <v>77.7</v>
      </c>
      <c r="DJ546" t="n">
        <v>21.5</v>
      </c>
      <c r="DK546" t="n">
        <v>51.9</v>
      </c>
      <c r="DL546" t="n">
        <v>36.8</v>
      </c>
      <c r="DM546" t="n">
        <v>69.8</v>
      </c>
      <c r="DN546" t="n">
        <v>0</v>
      </c>
      <c r="DO546" t="n">
        <v>0</v>
      </c>
      <c r="DP546" t="n">
        <v>0</v>
      </c>
      <c r="DQ546" t="n">
        <v>0</v>
      </c>
      <c r="DR546" t="n">
        <v>0</v>
      </c>
      <c r="DS546" t="n">
        <v>0</v>
      </c>
      <c r="DT546" t="n">
        <v>0</v>
      </c>
      <c r="DU546" t="n">
        <v>0</v>
      </c>
      <c r="DV546" t="inlineStr">
        <is>
          <t>(S&amp;P 500 ANNUAL DIVIDEND INDEX X $250)</t>
        </is>
      </c>
    </row>
    <row r="547">
      <c r="A547" t="inlineStr">
        <is>
          <t>S&amp;P 500 ANNUAL DIVIDEND INDEX - CHICAGO MERCANTILE EXCHANGE</t>
        </is>
      </c>
      <c r="B547" t="n">
        <v>230103</v>
      </c>
      <c r="C547" s="1" t="n">
        <v>44929</v>
      </c>
      <c r="D547" t="inlineStr">
        <is>
          <t>43874A</t>
        </is>
      </c>
      <c r="E547" t="inlineStr">
        <is>
          <t xml:space="preserve">CME </t>
        </is>
      </c>
      <c r="F547" t="inlineStr">
        <is>
          <t>00</t>
        </is>
      </c>
      <c r="G547" t="inlineStr">
        <is>
          <t xml:space="preserve">438 </t>
        </is>
      </c>
      <c r="H547" t="n">
        <v>184944</v>
      </c>
      <c r="I547" s="17" t="n">
        <v>76971</v>
      </c>
      <c r="J547" s="17" t="n">
        <v>10697</v>
      </c>
      <c r="K547" t="n">
        <v>11001</v>
      </c>
      <c r="L547" t="n">
        <v>96573</v>
      </c>
      <c r="M547" t="n">
        <v>163199</v>
      </c>
      <c r="N547" t="n">
        <v>184545</v>
      </c>
      <c r="O547" t="n">
        <v>184897</v>
      </c>
      <c r="P547" t="n">
        <v>399</v>
      </c>
      <c r="Q547" t="n">
        <v>47</v>
      </c>
      <c r="R547" t="n">
        <v>184944</v>
      </c>
      <c r="S547" t="n">
        <v>76971</v>
      </c>
      <c r="T547" t="n">
        <v>10697</v>
      </c>
      <c r="U547" t="n">
        <v>11001</v>
      </c>
      <c r="V547" t="n">
        <v>96573</v>
      </c>
      <c r="W547" t="n">
        <v>163199</v>
      </c>
      <c r="X547" t="n">
        <v>184545</v>
      </c>
      <c r="Y547" t="n">
        <v>184897</v>
      </c>
      <c r="Z547" t="n">
        <v>399</v>
      </c>
      <c r="AA547" t="n">
        <v>47</v>
      </c>
      <c r="AB547" t="n">
        <v>0</v>
      </c>
      <c r="AC547" t="n">
        <v>0</v>
      </c>
      <c r="AD547" t="n">
        <v>0</v>
      </c>
      <c r="AE547" t="n">
        <v>0</v>
      </c>
      <c r="AF547" t="n">
        <v>0</v>
      </c>
      <c r="AG547" t="n">
        <v>0</v>
      </c>
      <c r="AH547" t="n">
        <v>0</v>
      </c>
      <c r="AI547" t="n">
        <v>0</v>
      </c>
      <c r="AJ547" t="n">
        <v>0</v>
      </c>
      <c r="AK547" t="n">
        <v>0</v>
      </c>
      <c r="AL547" t="n">
        <v>1636</v>
      </c>
      <c r="AM547" t="n">
        <v>-4414</v>
      </c>
      <c r="AN547" t="n">
        <v>-170</v>
      </c>
      <c r="AO547" t="n">
        <v>866</v>
      </c>
      <c r="AP547" t="n">
        <v>5168</v>
      </c>
      <c r="AQ547" t="n">
        <v>960</v>
      </c>
      <c r="AR547" t="n">
        <v>1620</v>
      </c>
      <c r="AS547" t="n">
        <v>1656</v>
      </c>
      <c r="AT547" t="n">
        <v>16</v>
      </c>
      <c r="AU547" t="n">
        <v>-20</v>
      </c>
      <c r="AV547" t="n">
        <v>100</v>
      </c>
      <c r="AW547" t="n">
        <v>41.6</v>
      </c>
      <c r="AX547" t="n">
        <v>5.8</v>
      </c>
      <c r="AY547" t="n">
        <v>5.9</v>
      </c>
      <c r="AZ547" t="n">
        <v>52.2</v>
      </c>
      <c r="BA547" t="n">
        <v>88.2</v>
      </c>
      <c r="BB547" t="n">
        <v>99.8</v>
      </c>
      <c r="BC547" t="n">
        <v>100</v>
      </c>
      <c r="BD547" t="n">
        <v>0.2</v>
      </c>
      <c r="BE547" t="n">
        <v>0</v>
      </c>
      <c r="BF547" t="n">
        <v>100</v>
      </c>
      <c r="BG547" t="n">
        <v>41.6</v>
      </c>
      <c r="BH547" t="n">
        <v>5.8</v>
      </c>
      <c r="BI547" t="n">
        <v>5.9</v>
      </c>
      <c r="BJ547" t="n">
        <v>52.2</v>
      </c>
      <c r="BK547" t="n">
        <v>88.2</v>
      </c>
      <c r="BL547" t="n">
        <v>99.8</v>
      </c>
      <c r="BM547" t="n">
        <v>100</v>
      </c>
      <c r="BN547" t="n">
        <v>0.2</v>
      </c>
      <c r="BO547" t="n">
        <v>0</v>
      </c>
      <c r="BP547" t="n">
        <v>0</v>
      </c>
      <c r="BQ547" t="n">
        <v>0</v>
      </c>
      <c r="BR547" t="n">
        <v>0</v>
      </c>
      <c r="BS547" t="n">
        <v>0</v>
      </c>
      <c r="BT547" t="n">
        <v>0</v>
      </c>
      <c r="BU547" t="n">
        <v>0</v>
      </c>
      <c r="BV547" t="n">
        <v>0</v>
      </c>
      <c r="BW547" t="n">
        <v>0</v>
      </c>
      <c r="BX547" t="n">
        <v>0</v>
      </c>
      <c r="BY547" t="n">
        <v>0</v>
      </c>
      <c r="BZ547" t="n">
        <v>97</v>
      </c>
      <c r="CA547" t="n">
        <v>32</v>
      </c>
      <c r="CB547" t="n">
        <v>10</v>
      </c>
      <c r="CC547" t="n">
        <v>7</v>
      </c>
      <c r="CD547" t="n">
        <v>40</v>
      </c>
      <c r="CE547" t="n">
        <v>33</v>
      </c>
      <c r="CF547" t="n">
        <v>74</v>
      </c>
      <c r="CG547" t="n">
        <v>48</v>
      </c>
      <c r="CH547" t="n">
        <v>97</v>
      </c>
      <c r="CI547" t="n">
        <v>32</v>
      </c>
      <c r="CJ547" t="n">
        <v>10</v>
      </c>
      <c r="CK547" t="n">
        <v>7</v>
      </c>
      <c r="CL547" t="n">
        <v>40</v>
      </c>
      <c r="CM547" t="n">
        <v>33</v>
      </c>
      <c r="CN547" t="n">
        <v>74</v>
      </c>
      <c r="CO547" t="n">
        <v>48</v>
      </c>
      <c r="CP547" t="n">
        <v>0</v>
      </c>
      <c r="CQ547" t="n">
        <v>0</v>
      </c>
      <c r="CR547" t="n">
        <v>0</v>
      </c>
      <c r="CS547" t="n">
        <v>0</v>
      </c>
      <c r="CT547" t="n">
        <v>0</v>
      </c>
      <c r="CU547" t="n">
        <v>0</v>
      </c>
      <c r="CV547" t="n">
        <v>0</v>
      </c>
      <c r="CW547" t="n">
        <v>0</v>
      </c>
      <c r="CX547" t="n">
        <v>30.3</v>
      </c>
      <c r="CY547" t="n">
        <v>54.8</v>
      </c>
      <c r="CZ547" t="n">
        <v>47.1</v>
      </c>
      <c r="DA547" t="n">
        <v>78.8</v>
      </c>
      <c r="DB547" t="n">
        <v>22.1</v>
      </c>
      <c r="DC547" t="n">
        <v>51.5</v>
      </c>
      <c r="DD547" t="n">
        <v>36.8</v>
      </c>
      <c r="DE547" t="n">
        <v>71.3</v>
      </c>
      <c r="DF547" t="n">
        <v>30.3</v>
      </c>
      <c r="DG547" t="n">
        <v>54.8</v>
      </c>
      <c r="DH547" t="n">
        <v>47.1</v>
      </c>
      <c r="DI547" t="n">
        <v>78.8</v>
      </c>
      <c r="DJ547" t="n">
        <v>22.1</v>
      </c>
      <c r="DK547" t="n">
        <v>51.5</v>
      </c>
      <c r="DL547" t="n">
        <v>36.8</v>
      </c>
      <c r="DM547" t="n">
        <v>71.3</v>
      </c>
      <c r="DN547" t="n">
        <v>0</v>
      </c>
      <c r="DO547" t="n">
        <v>0</v>
      </c>
      <c r="DP547" t="n">
        <v>0</v>
      </c>
      <c r="DQ547" t="n">
        <v>0</v>
      </c>
      <c r="DR547" t="n">
        <v>0</v>
      </c>
      <c r="DS547" t="n">
        <v>0</v>
      </c>
      <c r="DT547" t="n">
        <v>0</v>
      </c>
      <c r="DU547" t="n">
        <v>0</v>
      </c>
      <c r="DV547" t="inlineStr">
        <is>
          <t>(S&amp;P 500 ANNUAL DIVIDEND INDEX X $250)</t>
        </is>
      </c>
    </row>
    <row r="548">
      <c r="A548" t="inlineStr">
        <is>
          <t>GULF JET NY HEAT OIL SPR - NEW YORK MERCANTILE EXCHANGE</t>
        </is>
      </c>
      <c r="B548" t="n">
        <v>230110</v>
      </c>
      <c r="C548" s="1" t="n">
        <v>44936</v>
      </c>
      <c r="D548" t="inlineStr">
        <is>
          <t>86465A</t>
        </is>
      </c>
      <c r="E548" t="inlineStr">
        <is>
          <t>NYME</t>
        </is>
      </c>
      <c r="F548" t="inlineStr">
        <is>
          <t>01</t>
        </is>
      </c>
      <c r="G548" t="inlineStr">
        <is>
          <t xml:space="preserve">864 </t>
        </is>
      </c>
      <c r="H548" t="n">
        <v>8019</v>
      </c>
      <c r="I548" s="17" t="n">
        <v>100</v>
      </c>
      <c r="J548" s="17" t="n">
        <v>0</v>
      </c>
      <c r="K548" t="n">
        <v>200</v>
      </c>
      <c r="L548" t="n">
        <v>7623</v>
      </c>
      <c r="M548" t="n">
        <v>7819</v>
      </c>
      <c r="N548" t="n">
        <v>7923</v>
      </c>
      <c r="O548" t="n">
        <v>8019</v>
      </c>
      <c r="P548" t="n">
        <v>96</v>
      </c>
      <c r="Q548" t="n">
        <v>0</v>
      </c>
      <c r="R548" t="n">
        <v>8019</v>
      </c>
      <c r="S548" t="n">
        <v>100</v>
      </c>
      <c r="T548" t="n">
        <v>0</v>
      </c>
      <c r="U548" t="n">
        <v>200</v>
      </c>
      <c r="V548" t="n">
        <v>7623</v>
      </c>
      <c r="W548" t="n">
        <v>7819</v>
      </c>
      <c r="X548" t="n">
        <v>7923</v>
      </c>
      <c r="Y548" t="n">
        <v>8019</v>
      </c>
      <c r="Z548" t="n">
        <v>96</v>
      </c>
      <c r="AA548" t="n">
        <v>0</v>
      </c>
      <c r="AB548" t="n">
        <v>0</v>
      </c>
      <c r="AC548" t="n">
        <v>0</v>
      </c>
      <c r="AD548" t="n">
        <v>0</v>
      </c>
      <c r="AE548" t="n">
        <v>0</v>
      </c>
      <c r="AF548" t="n">
        <v>0</v>
      </c>
      <c r="AG548" t="n">
        <v>0</v>
      </c>
      <c r="AH548" t="n">
        <v>0</v>
      </c>
      <c r="AI548" t="n">
        <v>0</v>
      </c>
      <c r="AJ548" t="n">
        <v>0</v>
      </c>
      <c r="AK548" t="n">
        <v>0</v>
      </c>
      <c r="AL548" t="n">
        <v>-725</v>
      </c>
      <c r="AM548" t="n">
        <v>-972</v>
      </c>
      <c r="AN548" t="n">
        <v>0</v>
      </c>
      <c r="AO548" t="n">
        <v>200</v>
      </c>
      <c r="AP548" t="n">
        <v>70</v>
      </c>
      <c r="AQ548" t="n">
        <v>-925</v>
      </c>
      <c r="AR548" t="n">
        <v>-702</v>
      </c>
      <c r="AS548" t="n">
        <v>-725</v>
      </c>
      <c r="AT548" t="n">
        <v>-23</v>
      </c>
      <c r="AU548" t="n">
        <v>0</v>
      </c>
      <c r="AV548" t="n">
        <v>100</v>
      </c>
      <c r="AW548" t="n">
        <v>1.2</v>
      </c>
      <c r="AX548" t="n">
        <v>0</v>
      </c>
      <c r="AY548" t="n">
        <v>2.5</v>
      </c>
      <c r="AZ548" t="n">
        <v>95.09999999999999</v>
      </c>
      <c r="BA548" t="n">
        <v>97.5</v>
      </c>
      <c r="BB548" t="n">
        <v>98.8</v>
      </c>
      <c r="BC548" t="n">
        <v>100</v>
      </c>
      <c r="BD548" t="n">
        <v>1.2</v>
      </c>
      <c r="BE548" t="n">
        <v>0</v>
      </c>
      <c r="BF548" t="n">
        <v>100</v>
      </c>
      <c r="BG548" t="n">
        <v>1.2</v>
      </c>
      <c r="BH548" t="n">
        <v>0</v>
      </c>
      <c r="BI548" t="n">
        <v>2.5</v>
      </c>
      <c r="BJ548" t="n">
        <v>95.09999999999999</v>
      </c>
      <c r="BK548" t="n">
        <v>97.5</v>
      </c>
      <c r="BL548" t="n">
        <v>98.8</v>
      </c>
      <c r="BM548" t="n">
        <v>100</v>
      </c>
      <c r="BN548" t="n">
        <v>1.2</v>
      </c>
      <c r="BO548" t="n">
        <v>0</v>
      </c>
      <c r="BP548" t="n">
        <v>0</v>
      </c>
      <c r="BQ548" t="n">
        <v>0</v>
      </c>
      <c r="BR548" t="n">
        <v>0</v>
      </c>
      <c r="BS548" t="n">
        <v>0</v>
      </c>
      <c r="BT548" t="n">
        <v>0</v>
      </c>
      <c r="BU548" t="n">
        <v>0</v>
      </c>
      <c r="BV548" t="n">
        <v>0</v>
      </c>
      <c r="BW548" t="n">
        <v>0</v>
      </c>
      <c r="BX548" t="n">
        <v>0</v>
      </c>
      <c r="BY548" t="n">
        <v>0</v>
      </c>
      <c r="BZ548" t="n">
        <v>26</v>
      </c>
      <c r="CA548" t="n">
        <v>1</v>
      </c>
      <c r="CB548" t="n">
        <v>0</v>
      </c>
      <c r="CC548" t="n">
        <v>1</v>
      </c>
      <c r="CD548" t="n">
        <v>22</v>
      </c>
      <c r="CE548" t="n">
        <v>9</v>
      </c>
      <c r="CF548" t="n">
        <v>23</v>
      </c>
      <c r="CG548" t="n">
        <v>10</v>
      </c>
      <c r="CH548" t="n">
        <v>26</v>
      </c>
      <c r="CI548" t="n">
        <v>1</v>
      </c>
      <c r="CJ548" t="n">
        <v>0</v>
      </c>
      <c r="CK548" t="n">
        <v>1</v>
      </c>
      <c r="CL548" t="n">
        <v>22</v>
      </c>
      <c r="CM548" t="n">
        <v>9</v>
      </c>
      <c r="CN548" t="n">
        <v>23</v>
      </c>
      <c r="CO548" t="n">
        <v>10</v>
      </c>
      <c r="CP548" t="n">
        <v>0</v>
      </c>
      <c r="CQ548" t="n">
        <v>0</v>
      </c>
      <c r="CR548" t="n">
        <v>0</v>
      </c>
      <c r="CS548" t="n">
        <v>0</v>
      </c>
      <c r="CT548" t="n">
        <v>0</v>
      </c>
      <c r="CU548" t="n">
        <v>0</v>
      </c>
      <c r="CV548" t="n">
        <v>0</v>
      </c>
      <c r="CW548" t="n">
        <v>0</v>
      </c>
      <c r="CX548" t="n">
        <v>53.8</v>
      </c>
      <c r="CY548" t="n">
        <v>84.2</v>
      </c>
      <c r="CZ548" t="n">
        <v>74.90000000000001</v>
      </c>
      <c r="DA548" t="n">
        <v>97.59999999999999</v>
      </c>
      <c r="DB548" t="n">
        <v>53.8</v>
      </c>
      <c r="DC548" t="n">
        <v>80.8</v>
      </c>
      <c r="DD548" t="n">
        <v>73.40000000000001</v>
      </c>
      <c r="DE548" t="n">
        <v>88.8</v>
      </c>
      <c r="DF548" t="n">
        <v>53.8</v>
      </c>
      <c r="DG548" t="n">
        <v>84.2</v>
      </c>
      <c r="DH548" t="n">
        <v>74.90000000000001</v>
      </c>
      <c r="DI548" t="n">
        <v>97.59999999999999</v>
      </c>
      <c r="DJ548" t="n">
        <v>53.8</v>
      </c>
      <c r="DK548" t="n">
        <v>80.8</v>
      </c>
      <c r="DL548" t="n">
        <v>73.40000000000001</v>
      </c>
      <c r="DM548" t="n">
        <v>88.8</v>
      </c>
      <c r="DN548" t="n">
        <v>0</v>
      </c>
      <c r="DO548" t="n">
        <v>0</v>
      </c>
      <c r="DP548" t="n">
        <v>0</v>
      </c>
      <c r="DQ548" t="n">
        <v>0</v>
      </c>
      <c r="DR548" t="n">
        <v>0</v>
      </c>
      <c r="DS548" t="n">
        <v>0</v>
      </c>
      <c r="DT548" t="n">
        <v>0</v>
      </c>
      <c r="DU548" t="n">
        <v>0</v>
      </c>
      <c r="DV548" t="inlineStr">
        <is>
          <t>(CONTRACTS OF 42,000 GALLONS)</t>
        </is>
      </c>
    </row>
    <row r="549">
      <c r="A549" t="inlineStr">
        <is>
          <t>GULF JET NY HEAT OIL SPR - NEW YORK MERCANTILE EXCHANGE</t>
        </is>
      </c>
      <c r="B549" t="n">
        <v>230103</v>
      </c>
      <c r="C549" s="1" t="n">
        <v>44929</v>
      </c>
      <c r="D549" t="inlineStr">
        <is>
          <t>86465A</t>
        </is>
      </c>
      <c r="E549" t="inlineStr">
        <is>
          <t>NYME</t>
        </is>
      </c>
      <c r="F549" t="inlineStr">
        <is>
          <t>01</t>
        </is>
      </c>
      <c r="G549" t="inlineStr">
        <is>
          <t xml:space="preserve">864 </t>
        </is>
      </c>
      <c r="H549" t="n">
        <v>8744</v>
      </c>
      <c r="I549" s="17" t="n">
        <v>1072</v>
      </c>
      <c r="J549" s="17" t="n">
        <v>0</v>
      </c>
      <c r="K549" t="n">
        <v>0</v>
      </c>
      <c r="L549" t="n">
        <v>7553</v>
      </c>
      <c r="M549" t="n">
        <v>8744</v>
      </c>
      <c r="N549" t="n">
        <v>8625</v>
      </c>
      <c r="O549" t="n">
        <v>8744</v>
      </c>
      <c r="P549" t="n">
        <v>119</v>
      </c>
      <c r="Q549" t="n">
        <v>0</v>
      </c>
      <c r="R549" t="n">
        <v>8744</v>
      </c>
      <c r="S549" t="n">
        <v>1072</v>
      </c>
      <c r="T549" t="n">
        <v>0</v>
      </c>
      <c r="U549" t="n">
        <v>0</v>
      </c>
      <c r="V549" t="n">
        <v>7553</v>
      </c>
      <c r="W549" t="n">
        <v>8744</v>
      </c>
      <c r="X549" t="n">
        <v>8625</v>
      </c>
      <c r="Y549" t="n">
        <v>8744</v>
      </c>
      <c r="Z549" t="n">
        <v>119</v>
      </c>
      <c r="AA549" t="n">
        <v>0</v>
      </c>
      <c r="AB549" t="n">
        <v>0</v>
      </c>
      <c r="AC549" t="n">
        <v>0</v>
      </c>
      <c r="AD549" t="n">
        <v>0</v>
      </c>
      <c r="AE549" t="n">
        <v>0</v>
      </c>
      <c r="AF549" t="n">
        <v>0</v>
      </c>
      <c r="AG549" t="n">
        <v>0</v>
      </c>
      <c r="AH549" t="n">
        <v>0</v>
      </c>
      <c r="AI549" t="n">
        <v>0</v>
      </c>
      <c r="AJ549" t="n">
        <v>0</v>
      </c>
      <c r="AK549" t="n">
        <v>0</v>
      </c>
      <c r="AL549" t="n">
        <v>645</v>
      </c>
      <c r="AM549" t="n">
        <v>0</v>
      </c>
      <c r="AN549" t="n">
        <v>0</v>
      </c>
      <c r="AO549" t="n">
        <v>0</v>
      </c>
      <c r="AP549" t="n">
        <v>645</v>
      </c>
      <c r="AQ549" t="n">
        <v>645</v>
      </c>
      <c r="AR549" t="n">
        <v>645</v>
      </c>
      <c r="AS549" t="n">
        <v>645</v>
      </c>
      <c r="AT549" t="n">
        <v>0</v>
      </c>
      <c r="AU549" t="n">
        <v>0</v>
      </c>
      <c r="AV549" t="n">
        <v>100</v>
      </c>
      <c r="AW549" t="n">
        <v>12.3</v>
      </c>
      <c r="AX549" t="n">
        <v>0</v>
      </c>
      <c r="AY549" t="n">
        <v>0</v>
      </c>
      <c r="AZ549" t="n">
        <v>86.40000000000001</v>
      </c>
      <c r="BA549" t="n">
        <v>100</v>
      </c>
      <c r="BB549" t="n">
        <v>98.59999999999999</v>
      </c>
      <c r="BC549" t="n">
        <v>100</v>
      </c>
      <c r="BD549" t="n">
        <v>1.4</v>
      </c>
      <c r="BE549" t="n">
        <v>0</v>
      </c>
      <c r="BF549" t="n">
        <v>100</v>
      </c>
      <c r="BG549" t="n">
        <v>12.3</v>
      </c>
      <c r="BH549" t="n">
        <v>0</v>
      </c>
      <c r="BI549" t="n">
        <v>0</v>
      </c>
      <c r="BJ549" t="n">
        <v>86.40000000000001</v>
      </c>
      <c r="BK549" t="n">
        <v>100</v>
      </c>
      <c r="BL549" t="n">
        <v>98.59999999999999</v>
      </c>
      <c r="BM549" t="n">
        <v>100</v>
      </c>
      <c r="BN549" t="n">
        <v>1.4</v>
      </c>
      <c r="BO549" t="n">
        <v>0</v>
      </c>
      <c r="BP549" t="n">
        <v>0</v>
      </c>
      <c r="BQ549" t="n">
        <v>0</v>
      </c>
      <c r="BR549" t="n">
        <v>0</v>
      </c>
      <c r="BS549" t="n">
        <v>0</v>
      </c>
      <c r="BT549" t="n">
        <v>0</v>
      </c>
      <c r="BU549" t="n">
        <v>0</v>
      </c>
      <c r="BV549" t="n">
        <v>0</v>
      </c>
      <c r="BW549" t="n">
        <v>0</v>
      </c>
      <c r="BX549" t="n">
        <v>0</v>
      </c>
      <c r="BY549" t="n">
        <v>0</v>
      </c>
      <c r="BZ549" t="n">
        <v>27</v>
      </c>
      <c r="CA549" t="n">
        <v>2</v>
      </c>
      <c r="CB549" t="n">
        <v>0</v>
      </c>
      <c r="CC549" t="n">
        <v>0</v>
      </c>
      <c r="CD549" t="n">
        <v>19</v>
      </c>
      <c r="CE549" t="n">
        <v>14</v>
      </c>
      <c r="CF549" t="n">
        <v>21</v>
      </c>
      <c r="CG549" t="n">
        <v>14</v>
      </c>
      <c r="CH549" t="n">
        <v>27</v>
      </c>
      <c r="CI549" t="n">
        <v>2</v>
      </c>
      <c r="CJ549" t="n">
        <v>0</v>
      </c>
      <c r="CK549" t="n">
        <v>0</v>
      </c>
      <c r="CL549" t="n">
        <v>19</v>
      </c>
      <c r="CM549" t="n">
        <v>14</v>
      </c>
      <c r="CN549" t="n">
        <v>21</v>
      </c>
      <c r="CO549" t="n">
        <v>14</v>
      </c>
      <c r="CP549" t="n">
        <v>0</v>
      </c>
      <c r="CQ549" t="n">
        <v>0</v>
      </c>
      <c r="CR549" t="n">
        <v>0</v>
      </c>
      <c r="CS549" t="n">
        <v>0</v>
      </c>
      <c r="CT549" t="n">
        <v>0</v>
      </c>
      <c r="CU549" t="n">
        <v>0</v>
      </c>
      <c r="CV549" t="n">
        <v>0</v>
      </c>
      <c r="CW549" t="n">
        <v>0</v>
      </c>
      <c r="CX549" t="n">
        <v>54.5</v>
      </c>
      <c r="CY549" t="n">
        <v>81.3</v>
      </c>
      <c r="CZ549" t="n">
        <v>76.40000000000001</v>
      </c>
      <c r="DA549" t="n">
        <v>96.40000000000001</v>
      </c>
      <c r="DB549" t="n">
        <v>54.5</v>
      </c>
      <c r="DC549" t="n">
        <v>78.8</v>
      </c>
      <c r="DD549" t="n">
        <v>72.90000000000001</v>
      </c>
      <c r="DE549" t="n">
        <v>88.7</v>
      </c>
      <c r="DF549" t="n">
        <v>54.5</v>
      </c>
      <c r="DG549" t="n">
        <v>81.3</v>
      </c>
      <c r="DH549" t="n">
        <v>76.40000000000001</v>
      </c>
      <c r="DI549" t="n">
        <v>96.40000000000001</v>
      </c>
      <c r="DJ549" t="n">
        <v>54.5</v>
      </c>
      <c r="DK549" t="n">
        <v>78.8</v>
      </c>
      <c r="DL549" t="n">
        <v>72.90000000000001</v>
      </c>
      <c r="DM549" t="n">
        <v>88.7</v>
      </c>
      <c r="DN549" t="n">
        <v>0</v>
      </c>
      <c r="DO549" t="n">
        <v>0</v>
      </c>
      <c r="DP549" t="n">
        <v>0</v>
      </c>
      <c r="DQ549" t="n">
        <v>0</v>
      </c>
      <c r="DR549" t="n">
        <v>0</v>
      </c>
      <c r="DS549" t="n">
        <v>0</v>
      </c>
      <c r="DT549" t="n">
        <v>0</v>
      </c>
      <c r="DU549" t="n">
        <v>0</v>
      </c>
      <c r="DV549" t="inlineStr">
        <is>
          <t>(CONTRACTS OF 42,000 GALLONS)</t>
        </is>
      </c>
    </row>
    <row r="550">
      <c r="A550" t="inlineStr">
        <is>
          <t>MARINE .5% FOB USGC/BRENT 1st - ICE FUTURES ENERGY DIV</t>
        </is>
      </c>
      <c r="B550" t="n">
        <v>230110</v>
      </c>
      <c r="C550" s="1" t="n">
        <v>44936</v>
      </c>
      <c r="D550" t="inlineStr">
        <is>
          <t>865392</t>
        </is>
      </c>
      <c r="E550" t="inlineStr">
        <is>
          <t>IFED</t>
        </is>
      </c>
      <c r="F550" t="inlineStr">
        <is>
          <t>01</t>
        </is>
      </c>
      <c r="G550" t="inlineStr">
        <is>
          <t xml:space="preserve">865 </t>
        </is>
      </c>
      <c r="H550" t="n">
        <v>5529</v>
      </c>
      <c r="I550" s="17" t="n">
        <v>674</v>
      </c>
      <c r="J550" s="17" t="n">
        <v>718</v>
      </c>
      <c r="K550" t="n">
        <v>0</v>
      </c>
      <c r="L550" t="n">
        <v>4593</v>
      </c>
      <c r="M550" t="n">
        <v>4811</v>
      </c>
      <c r="N550" t="n">
        <v>5267</v>
      </c>
      <c r="O550" t="n">
        <v>5529</v>
      </c>
      <c r="P550" t="n">
        <v>262</v>
      </c>
      <c r="Q550" t="n">
        <v>0</v>
      </c>
      <c r="R550" t="n">
        <v>5529</v>
      </c>
      <c r="S550" t="n">
        <v>674</v>
      </c>
      <c r="T550" t="n">
        <v>718</v>
      </c>
      <c r="U550" t="n">
        <v>0</v>
      </c>
      <c r="V550" t="n">
        <v>4593</v>
      </c>
      <c r="W550" t="n">
        <v>4811</v>
      </c>
      <c r="X550" t="n">
        <v>5267</v>
      </c>
      <c r="Y550" t="n">
        <v>5529</v>
      </c>
      <c r="Z550" t="n">
        <v>262</v>
      </c>
      <c r="AA550" t="n">
        <v>0</v>
      </c>
      <c r="AB550" t="n">
        <v>0</v>
      </c>
      <c r="AC550" t="n">
        <v>0</v>
      </c>
      <c r="AD550" t="n">
        <v>0</v>
      </c>
      <c r="AE550" t="n">
        <v>0</v>
      </c>
      <c r="AF550" t="n">
        <v>0</v>
      </c>
      <c r="AG550" t="n">
        <v>0</v>
      </c>
      <c r="AH550" t="n">
        <v>0</v>
      </c>
      <c r="AI550" t="n">
        <v>0</v>
      </c>
      <c r="AJ550" t="n">
        <v>0</v>
      </c>
      <c r="AK550" t="n">
        <v>0</v>
      </c>
      <c r="AL550" t="n">
        <v>-1264</v>
      </c>
      <c r="AM550" t="n">
        <v>125</v>
      </c>
      <c r="AN550" t="n">
        <v>-394</v>
      </c>
      <c r="AO550" t="n">
        <v>-141</v>
      </c>
      <c r="AP550" t="n">
        <v>-1238</v>
      </c>
      <c r="AQ550" t="n">
        <v>-690</v>
      </c>
      <c r="AR550" t="n">
        <v>-1254</v>
      </c>
      <c r="AS550" t="n">
        <v>-1225</v>
      </c>
      <c r="AT550" t="n">
        <v>-10</v>
      </c>
      <c r="AU550" t="n">
        <v>-39</v>
      </c>
      <c r="AV550" t="n">
        <v>100</v>
      </c>
      <c r="AW550" t="n">
        <v>12.2</v>
      </c>
      <c r="AX550" t="n">
        <v>13</v>
      </c>
      <c r="AY550" t="n">
        <v>0</v>
      </c>
      <c r="AZ550" t="n">
        <v>83.09999999999999</v>
      </c>
      <c r="BA550" t="n">
        <v>87</v>
      </c>
      <c r="BB550" t="n">
        <v>95.3</v>
      </c>
      <c r="BC550" t="n">
        <v>100</v>
      </c>
      <c r="BD550" t="n">
        <v>4.7</v>
      </c>
      <c r="BE550" t="n">
        <v>0</v>
      </c>
      <c r="BF550" t="n">
        <v>100</v>
      </c>
      <c r="BG550" t="n">
        <v>12.2</v>
      </c>
      <c r="BH550" t="n">
        <v>13</v>
      </c>
      <c r="BI550" t="n">
        <v>0</v>
      </c>
      <c r="BJ550" t="n">
        <v>83.09999999999999</v>
      </c>
      <c r="BK550" t="n">
        <v>87</v>
      </c>
      <c r="BL550" t="n">
        <v>95.3</v>
      </c>
      <c r="BM550" t="n">
        <v>100</v>
      </c>
      <c r="BN550" t="n">
        <v>4.7</v>
      </c>
      <c r="BO550" t="n">
        <v>0</v>
      </c>
      <c r="BP550" t="n">
        <v>0</v>
      </c>
      <c r="BQ550" t="n">
        <v>0</v>
      </c>
      <c r="BR550" t="n">
        <v>0</v>
      </c>
      <c r="BS550" t="n">
        <v>0</v>
      </c>
      <c r="BT550" t="n">
        <v>0</v>
      </c>
      <c r="BU550" t="n">
        <v>0</v>
      </c>
      <c r="BV550" t="n">
        <v>0</v>
      </c>
      <c r="BW550" t="n">
        <v>0</v>
      </c>
      <c r="BX550" t="n">
        <v>0</v>
      </c>
      <c r="BY550" t="n">
        <v>0</v>
      </c>
      <c r="BZ550" t="n">
        <v>24</v>
      </c>
      <c r="CA550" t="n">
        <v>3</v>
      </c>
      <c r="CB550" t="n">
        <v>2</v>
      </c>
      <c r="CC550" t="n">
        <v>0</v>
      </c>
      <c r="CD550" t="n">
        <v>14</v>
      </c>
      <c r="CE550" t="n">
        <v>15</v>
      </c>
      <c r="CF550" t="n">
        <v>17</v>
      </c>
      <c r="CG550" t="n">
        <v>17</v>
      </c>
      <c r="CH550" t="n">
        <v>24</v>
      </c>
      <c r="CI550" t="n">
        <v>3</v>
      </c>
      <c r="CJ550" t="n">
        <v>2</v>
      </c>
      <c r="CK550" t="n">
        <v>0</v>
      </c>
      <c r="CL550" t="n">
        <v>14</v>
      </c>
      <c r="CM550" t="n">
        <v>15</v>
      </c>
      <c r="CN550" t="n">
        <v>17</v>
      </c>
      <c r="CO550" t="n">
        <v>17</v>
      </c>
      <c r="CP550" t="n">
        <v>0</v>
      </c>
      <c r="CQ550" t="n">
        <v>0</v>
      </c>
      <c r="CR550" t="n">
        <v>0</v>
      </c>
      <c r="CS550" t="n">
        <v>0</v>
      </c>
      <c r="CT550" t="n">
        <v>0</v>
      </c>
      <c r="CU550" t="n">
        <v>0</v>
      </c>
      <c r="CV550" t="n">
        <v>0</v>
      </c>
      <c r="CW550" t="n">
        <v>0</v>
      </c>
      <c r="CX550" t="n">
        <v>49.4</v>
      </c>
      <c r="CY550" t="n">
        <v>69.7</v>
      </c>
      <c r="CZ550" t="n">
        <v>73.90000000000001</v>
      </c>
      <c r="DA550" t="n">
        <v>93.40000000000001</v>
      </c>
      <c r="DB550" t="n">
        <v>39.9</v>
      </c>
      <c r="DC550" t="n">
        <v>59.1</v>
      </c>
      <c r="DD550" t="n">
        <v>57</v>
      </c>
      <c r="DE550" t="n">
        <v>69.40000000000001</v>
      </c>
      <c r="DF550" t="n">
        <v>49.4</v>
      </c>
      <c r="DG550" t="n">
        <v>69.7</v>
      </c>
      <c r="DH550" t="n">
        <v>73.90000000000001</v>
      </c>
      <c r="DI550" t="n">
        <v>93.40000000000001</v>
      </c>
      <c r="DJ550" t="n">
        <v>39.9</v>
      </c>
      <c r="DK550" t="n">
        <v>59.1</v>
      </c>
      <c r="DL550" t="n">
        <v>57</v>
      </c>
      <c r="DM550" t="n">
        <v>69.40000000000001</v>
      </c>
      <c r="DN550" t="n">
        <v>0</v>
      </c>
      <c r="DO550" t="n">
        <v>0</v>
      </c>
      <c r="DP550" t="n">
        <v>0</v>
      </c>
      <c r="DQ550" t="n">
        <v>0</v>
      </c>
      <c r="DR550" t="n">
        <v>0</v>
      </c>
      <c r="DS550" t="n">
        <v>0</v>
      </c>
      <c r="DT550" t="n">
        <v>0</v>
      </c>
      <c r="DU550" t="n">
        <v>0</v>
      </c>
      <c r="DV550" t="inlineStr">
        <is>
          <t>1,000 Barrels</t>
        </is>
      </c>
    </row>
    <row r="551">
      <c r="A551" t="inlineStr">
        <is>
          <t>MARINE .5% FOB USGC/BRENT 1st - ICE FUTURES ENERGY DIV</t>
        </is>
      </c>
      <c r="B551" t="n">
        <v>230103</v>
      </c>
      <c r="C551" s="1" t="n">
        <v>44929</v>
      </c>
      <c r="D551" t="inlineStr">
        <is>
          <t>865392</t>
        </is>
      </c>
      <c r="E551" t="inlineStr">
        <is>
          <t>IFED</t>
        </is>
      </c>
      <c r="F551" t="inlineStr">
        <is>
          <t>01</t>
        </is>
      </c>
      <c r="G551" t="inlineStr">
        <is>
          <t xml:space="preserve">865 </t>
        </is>
      </c>
      <c r="H551" t="n">
        <v>6793</v>
      </c>
      <c r="I551" s="17" t="n">
        <v>549</v>
      </c>
      <c r="J551" s="17" t="n">
        <v>1112</v>
      </c>
      <c r="K551" t="n">
        <v>141</v>
      </c>
      <c r="L551" t="n">
        <v>5831</v>
      </c>
      <c r="M551" t="n">
        <v>5501</v>
      </c>
      <c r="N551" t="n">
        <v>6521</v>
      </c>
      <c r="O551" t="n">
        <v>6754</v>
      </c>
      <c r="P551" t="n">
        <v>272</v>
      </c>
      <c r="Q551" t="n">
        <v>39</v>
      </c>
      <c r="R551" t="n">
        <v>6793</v>
      </c>
      <c r="S551" t="n">
        <v>549</v>
      </c>
      <c r="T551" t="n">
        <v>1112</v>
      </c>
      <c r="U551" t="n">
        <v>141</v>
      </c>
      <c r="V551" t="n">
        <v>5831</v>
      </c>
      <c r="W551" t="n">
        <v>5501</v>
      </c>
      <c r="X551" t="n">
        <v>6521</v>
      </c>
      <c r="Y551" t="n">
        <v>6754</v>
      </c>
      <c r="Z551" t="n">
        <v>272</v>
      </c>
      <c r="AA551" t="n">
        <v>39</v>
      </c>
      <c r="AB551" t="n">
        <v>0</v>
      </c>
      <c r="AC551" t="n">
        <v>0</v>
      </c>
      <c r="AD551" t="n">
        <v>0</v>
      </c>
      <c r="AE551" t="n">
        <v>0</v>
      </c>
      <c r="AF551" t="n">
        <v>0</v>
      </c>
      <c r="AG551" t="n">
        <v>0</v>
      </c>
      <c r="AH551" t="n">
        <v>0</v>
      </c>
      <c r="AI551" t="n">
        <v>0</v>
      </c>
      <c r="AJ551" t="n">
        <v>0</v>
      </c>
      <c r="AK551" t="n">
        <v>0</v>
      </c>
      <c r="AL551" t="n">
        <v>143</v>
      </c>
      <c r="AM551" t="n">
        <v>29</v>
      </c>
      <c r="AN551" t="n">
        <v>-51</v>
      </c>
      <c r="AO551" t="n">
        <v>41</v>
      </c>
      <c r="AP551" t="n">
        <v>73</v>
      </c>
      <c r="AQ551" t="n">
        <v>153</v>
      </c>
      <c r="AR551" t="n">
        <v>143</v>
      </c>
      <c r="AS551" t="n">
        <v>143</v>
      </c>
      <c r="AT551" t="n">
        <v>0</v>
      </c>
      <c r="AU551" t="n">
        <v>0</v>
      </c>
      <c r="AV551" t="n">
        <v>100</v>
      </c>
      <c r="AW551" t="n">
        <v>8.1</v>
      </c>
      <c r="AX551" t="n">
        <v>16.4</v>
      </c>
      <c r="AY551" t="n">
        <v>2.1</v>
      </c>
      <c r="AZ551" t="n">
        <v>85.8</v>
      </c>
      <c r="BA551" t="n">
        <v>81</v>
      </c>
      <c r="BB551" t="n">
        <v>96</v>
      </c>
      <c r="BC551" t="n">
        <v>99.40000000000001</v>
      </c>
      <c r="BD551" t="n">
        <v>4</v>
      </c>
      <c r="BE551" t="n">
        <v>0.6</v>
      </c>
      <c r="BF551" t="n">
        <v>100</v>
      </c>
      <c r="BG551" t="n">
        <v>8.1</v>
      </c>
      <c r="BH551" t="n">
        <v>16.4</v>
      </c>
      <c r="BI551" t="n">
        <v>2.1</v>
      </c>
      <c r="BJ551" t="n">
        <v>85.8</v>
      </c>
      <c r="BK551" t="n">
        <v>81</v>
      </c>
      <c r="BL551" t="n">
        <v>96</v>
      </c>
      <c r="BM551" t="n">
        <v>99.40000000000001</v>
      </c>
      <c r="BN551" t="n">
        <v>4</v>
      </c>
      <c r="BO551" t="n">
        <v>0.6</v>
      </c>
      <c r="BP551" t="n">
        <v>0</v>
      </c>
      <c r="BQ551" t="n">
        <v>0</v>
      </c>
      <c r="BR551" t="n">
        <v>0</v>
      </c>
      <c r="BS551" t="n">
        <v>0</v>
      </c>
      <c r="BT551" t="n">
        <v>0</v>
      </c>
      <c r="BU551" t="n">
        <v>0</v>
      </c>
      <c r="BV551" t="n">
        <v>0</v>
      </c>
      <c r="BW551" t="n">
        <v>0</v>
      </c>
      <c r="BX551" t="n">
        <v>0</v>
      </c>
      <c r="BY551" t="n">
        <v>0</v>
      </c>
      <c r="BZ551" t="n">
        <v>24</v>
      </c>
      <c r="CA551" t="n">
        <v>3</v>
      </c>
      <c r="CB551" t="n">
        <v>2</v>
      </c>
      <c r="CC551" t="n">
        <v>2</v>
      </c>
      <c r="CD551" t="n">
        <v>17</v>
      </c>
      <c r="CE551" t="n">
        <v>16</v>
      </c>
      <c r="CF551" t="n">
        <v>20</v>
      </c>
      <c r="CG551" t="n">
        <v>20</v>
      </c>
      <c r="CH551" t="n">
        <v>24</v>
      </c>
      <c r="CI551" t="n">
        <v>3</v>
      </c>
      <c r="CJ551" t="n">
        <v>2</v>
      </c>
      <c r="CK551" t="n">
        <v>2</v>
      </c>
      <c r="CL551" t="n">
        <v>17</v>
      </c>
      <c r="CM551" t="n">
        <v>16</v>
      </c>
      <c r="CN551" t="n">
        <v>20</v>
      </c>
      <c r="CO551" t="n">
        <v>20</v>
      </c>
      <c r="CP551" t="n">
        <v>0</v>
      </c>
      <c r="CQ551" t="n">
        <v>0</v>
      </c>
      <c r="CR551" t="n">
        <v>0</v>
      </c>
      <c r="CS551" t="n">
        <v>0</v>
      </c>
      <c r="CT551" t="n">
        <v>0</v>
      </c>
      <c r="CU551" t="n">
        <v>0</v>
      </c>
      <c r="CV551" t="n">
        <v>0</v>
      </c>
      <c r="CW551" t="n">
        <v>0</v>
      </c>
      <c r="CX551" t="n">
        <v>55.2</v>
      </c>
      <c r="CY551" t="n">
        <v>66.8</v>
      </c>
      <c r="CZ551" t="n">
        <v>75.59999999999999</v>
      </c>
      <c r="DA551" t="n">
        <v>86.90000000000001</v>
      </c>
      <c r="DB551" t="n">
        <v>34</v>
      </c>
      <c r="DC551" t="n">
        <v>49.1</v>
      </c>
      <c r="DD551" t="n">
        <v>47.8</v>
      </c>
      <c r="DE551" t="n">
        <v>56.2</v>
      </c>
      <c r="DF551" t="n">
        <v>55.2</v>
      </c>
      <c r="DG551" t="n">
        <v>66.8</v>
      </c>
      <c r="DH551" t="n">
        <v>75.59999999999999</v>
      </c>
      <c r="DI551" t="n">
        <v>86.90000000000001</v>
      </c>
      <c r="DJ551" t="n">
        <v>34</v>
      </c>
      <c r="DK551" t="n">
        <v>49.1</v>
      </c>
      <c r="DL551" t="n">
        <v>47.8</v>
      </c>
      <c r="DM551" t="n">
        <v>56.2</v>
      </c>
      <c r="DN551" t="n">
        <v>0</v>
      </c>
      <c r="DO551" t="n">
        <v>0</v>
      </c>
      <c r="DP551" t="n">
        <v>0</v>
      </c>
      <c r="DQ551" t="n">
        <v>0</v>
      </c>
      <c r="DR551" t="n">
        <v>0</v>
      </c>
      <c r="DS551" t="n">
        <v>0</v>
      </c>
      <c r="DT551" t="n">
        <v>0</v>
      </c>
      <c r="DU551" t="n">
        <v>0</v>
      </c>
      <c r="DV551" t="inlineStr">
        <is>
          <t>1,000 Barrels</t>
        </is>
      </c>
    </row>
    <row r="552">
      <c r="A552" t="inlineStr">
        <is>
          <t>GULF # 6 FUEL OIL CRACK - NEW YORK MERCANTILE EXCHANGE</t>
        </is>
      </c>
      <c r="B552" t="n">
        <v>230110</v>
      </c>
      <c r="C552" s="1" t="n">
        <v>44936</v>
      </c>
      <c r="D552" t="inlineStr">
        <is>
          <t>86565A</t>
        </is>
      </c>
      <c r="E552" t="inlineStr">
        <is>
          <t>NYME</t>
        </is>
      </c>
      <c r="F552" t="inlineStr">
        <is>
          <t>01</t>
        </is>
      </c>
      <c r="G552" t="inlineStr">
        <is>
          <t xml:space="preserve">865 </t>
        </is>
      </c>
      <c r="H552" t="n">
        <v>9591</v>
      </c>
      <c r="I552" s="17" t="n">
        <v>1685</v>
      </c>
      <c r="J552" s="17" t="n">
        <v>1448</v>
      </c>
      <c r="K552" t="n">
        <v>1726</v>
      </c>
      <c r="L552" t="n">
        <v>6180</v>
      </c>
      <c r="M552" t="n">
        <v>6357</v>
      </c>
      <c r="N552" t="n">
        <v>9591</v>
      </c>
      <c r="O552" t="n">
        <v>9531</v>
      </c>
      <c r="P552" t="n">
        <v>0</v>
      </c>
      <c r="Q552" t="n">
        <v>60</v>
      </c>
      <c r="R552" t="n">
        <v>9591</v>
      </c>
      <c r="S552" t="n">
        <v>1685</v>
      </c>
      <c r="T552" t="n">
        <v>1448</v>
      </c>
      <c r="U552" t="n">
        <v>1726</v>
      </c>
      <c r="V552" t="n">
        <v>6180</v>
      </c>
      <c r="W552" t="n">
        <v>6357</v>
      </c>
      <c r="X552" t="n">
        <v>9591</v>
      </c>
      <c r="Y552" t="n">
        <v>9531</v>
      </c>
      <c r="Z552" t="n">
        <v>0</v>
      </c>
      <c r="AA552" t="n">
        <v>60</v>
      </c>
      <c r="AB552" t="n">
        <v>0</v>
      </c>
      <c r="AC552" t="n">
        <v>0</v>
      </c>
      <c r="AD552" t="n">
        <v>0</v>
      </c>
      <c r="AE552" t="n">
        <v>0</v>
      </c>
      <c r="AF552" t="n">
        <v>0</v>
      </c>
      <c r="AG552" t="n">
        <v>0</v>
      </c>
      <c r="AH552" t="n">
        <v>0</v>
      </c>
      <c r="AI552" t="n">
        <v>0</v>
      </c>
      <c r="AJ552" t="n">
        <v>0</v>
      </c>
      <c r="AK552" t="n">
        <v>0</v>
      </c>
      <c r="AL552" t="n">
        <v>-462</v>
      </c>
      <c r="AM552" t="n">
        <v>197</v>
      </c>
      <c r="AN552" t="n">
        <v>-205</v>
      </c>
      <c r="AO552" t="n">
        <v>-292</v>
      </c>
      <c r="AP552" t="n">
        <v>-367</v>
      </c>
      <c r="AQ552" t="n">
        <v>35</v>
      </c>
      <c r="AR552" t="n">
        <v>-462</v>
      </c>
      <c r="AS552" t="n">
        <v>-462</v>
      </c>
      <c r="AT552" t="n">
        <v>0</v>
      </c>
      <c r="AU552" t="n">
        <v>0</v>
      </c>
      <c r="AV552" t="n">
        <v>100</v>
      </c>
      <c r="AW552" t="n">
        <v>17.6</v>
      </c>
      <c r="AX552" t="n">
        <v>15.1</v>
      </c>
      <c r="AY552" t="n">
        <v>18</v>
      </c>
      <c r="AZ552" t="n">
        <v>64.40000000000001</v>
      </c>
      <c r="BA552" t="n">
        <v>66.3</v>
      </c>
      <c r="BB552" t="n">
        <v>100</v>
      </c>
      <c r="BC552" t="n">
        <v>99.40000000000001</v>
      </c>
      <c r="BD552" t="n">
        <v>0</v>
      </c>
      <c r="BE552" t="n">
        <v>0.6</v>
      </c>
      <c r="BF552" t="n">
        <v>100</v>
      </c>
      <c r="BG552" t="n">
        <v>17.6</v>
      </c>
      <c r="BH552" t="n">
        <v>15.1</v>
      </c>
      <c r="BI552" t="n">
        <v>18</v>
      </c>
      <c r="BJ552" t="n">
        <v>64.40000000000001</v>
      </c>
      <c r="BK552" t="n">
        <v>66.3</v>
      </c>
      <c r="BL552" t="n">
        <v>100</v>
      </c>
      <c r="BM552" t="n">
        <v>99.40000000000001</v>
      </c>
      <c r="BN552" t="n">
        <v>0</v>
      </c>
      <c r="BO552" t="n">
        <v>0.6</v>
      </c>
      <c r="BP552" t="n">
        <v>0</v>
      </c>
      <c r="BQ552" t="n">
        <v>0</v>
      </c>
      <c r="BR552" t="n">
        <v>0</v>
      </c>
      <c r="BS552" t="n">
        <v>0</v>
      </c>
      <c r="BT552" t="n">
        <v>0</v>
      </c>
      <c r="BU552" t="n">
        <v>0</v>
      </c>
      <c r="BV552" t="n">
        <v>0</v>
      </c>
      <c r="BW552" t="n">
        <v>0</v>
      </c>
      <c r="BX552" t="n">
        <v>0</v>
      </c>
      <c r="BY552" t="n">
        <v>0</v>
      </c>
      <c r="BZ552" t="n">
        <v>20</v>
      </c>
      <c r="CA552" t="n">
        <v>3</v>
      </c>
      <c r="CB552" t="n">
        <v>2</v>
      </c>
      <c r="CC552" t="n">
        <v>4</v>
      </c>
      <c r="CD552" t="n">
        <v>11</v>
      </c>
      <c r="CE552" t="n">
        <v>12</v>
      </c>
      <c r="CF552" t="n">
        <v>16</v>
      </c>
      <c r="CG552" t="n">
        <v>16</v>
      </c>
      <c r="CH552" t="n">
        <v>20</v>
      </c>
      <c r="CI552" t="n">
        <v>3</v>
      </c>
      <c r="CJ552" t="n">
        <v>2</v>
      </c>
      <c r="CK552" t="n">
        <v>4</v>
      </c>
      <c r="CL552" t="n">
        <v>11</v>
      </c>
      <c r="CM552" t="n">
        <v>12</v>
      </c>
      <c r="CN552" t="n">
        <v>16</v>
      </c>
      <c r="CO552" t="n">
        <v>16</v>
      </c>
      <c r="CP552" t="n">
        <v>0</v>
      </c>
      <c r="CQ552" t="n">
        <v>0</v>
      </c>
      <c r="CR552" t="n">
        <v>0</v>
      </c>
      <c r="CS552" t="n">
        <v>0</v>
      </c>
      <c r="CT552" t="n">
        <v>0</v>
      </c>
      <c r="CU552" t="n">
        <v>0</v>
      </c>
      <c r="CV552" t="n">
        <v>0</v>
      </c>
      <c r="CW552" t="n">
        <v>0</v>
      </c>
      <c r="CX552" t="n">
        <v>63.4</v>
      </c>
      <c r="CY552" t="n">
        <v>62.7</v>
      </c>
      <c r="CZ552" t="n">
        <v>85.7</v>
      </c>
      <c r="DA552" t="n">
        <v>84.7</v>
      </c>
      <c r="DB552" t="n">
        <v>49.9</v>
      </c>
      <c r="DC552" t="n">
        <v>46.4</v>
      </c>
      <c r="DD552" t="n">
        <v>57.7</v>
      </c>
      <c r="DE552" t="n">
        <v>55.2</v>
      </c>
      <c r="DF552" t="n">
        <v>63.4</v>
      </c>
      <c r="DG552" t="n">
        <v>62.7</v>
      </c>
      <c r="DH552" t="n">
        <v>85.7</v>
      </c>
      <c r="DI552" t="n">
        <v>84.7</v>
      </c>
      <c r="DJ552" t="n">
        <v>49.9</v>
      </c>
      <c r="DK552" t="n">
        <v>46.4</v>
      </c>
      <c r="DL552" t="n">
        <v>57.7</v>
      </c>
      <c r="DM552" t="n">
        <v>55.2</v>
      </c>
      <c r="DN552" t="n">
        <v>0</v>
      </c>
      <c r="DO552" t="n">
        <v>0</v>
      </c>
      <c r="DP552" t="n">
        <v>0</v>
      </c>
      <c r="DQ552" t="n">
        <v>0</v>
      </c>
      <c r="DR552" t="n">
        <v>0</v>
      </c>
      <c r="DS552" t="n">
        <v>0</v>
      </c>
      <c r="DT552" t="n">
        <v>0</v>
      </c>
      <c r="DU552" t="n">
        <v>0</v>
      </c>
      <c r="DV552" t="inlineStr">
        <is>
          <t>(CONTRACTS OF 1,000 BARRELS)</t>
        </is>
      </c>
    </row>
    <row r="553">
      <c r="A553" t="inlineStr">
        <is>
          <t>GULF # 6 FUEL OIL CRACK - NEW YORK MERCANTILE EXCHANGE</t>
        </is>
      </c>
      <c r="B553" t="n">
        <v>230103</v>
      </c>
      <c r="C553" s="1" t="n">
        <v>44929</v>
      </c>
      <c r="D553" t="inlineStr">
        <is>
          <t>86565A</t>
        </is>
      </c>
      <c r="E553" t="inlineStr">
        <is>
          <t>NYME</t>
        </is>
      </c>
      <c r="F553" t="inlineStr">
        <is>
          <t>01</t>
        </is>
      </c>
      <c r="G553" t="inlineStr">
        <is>
          <t xml:space="preserve">865 </t>
        </is>
      </c>
      <c r="H553" t="n">
        <v>10053</v>
      </c>
      <c r="I553" s="17" t="n">
        <v>1488</v>
      </c>
      <c r="J553" s="17" t="n">
        <v>1653</v>
      </c>
      <c r="K553" t="n">
        <v>2018</v>
      </c>
      <c r="L553" t="n">
        <v>6547</v>
      </c>
      <c r="M553" t="n">
        <v>6322</v>
      </c>
      <c r="N553" t="n">
        <v>10053</v>
      </c>
      <c r="O553" t="n">
        <v>9993</v>
      </c>
      <c r="P553" t="n">
        <v>0</v>
      </c>
      <c r="Q553" t="n">
        <v>60</v>
      </c>
      <c r="R553" t="n">
        <v>10053</v>
      </c>
      <c r="S553" t="n">
        <v>1488</v>
      </c>
      <c r="T553" t="n">
        <v>1653</v>
      </c>
      <c r="U553" t="n">
        <v>2018</v>
      </c>
      <c r="V553" t="n">
        <v>6547</v>
      </c>
      <c r="W553" t="n">
        <v>6322</v>
      </c>
      <c r="X553" t="n">
        <v>10053</v>
      </c>
      <c r="Y553" t="n">
        <v>9993</v>
      </c>
      <c r="Z553" t="n">
        <v>0</v>
      </c>
      <c r="AA553" t="n">
        <v>60</v>
      </c>
      <c r="AB553" t="n">
        <v>0</v>
      </c>
      <c r="AC553" t="n">
        <v>0</v>
      </c>
      <c r="AD553" t="n">
        <v>0</v>
      </c>
      <c r="AE553" t="n">
        <v>0</v>
      </c>
      <c r="AF553" t="n">
        <v>0</v>
      </c>
      <c r="AG553" t="n">
        <v>0</v>
      </c>
      <c r="AH553" t="n">
        <v>0</v>
      </c>
      <c r="AI553" t="n">
        <v>0</v>
      </c>
      <c r="AJ553" t="n">
        <v>0</v>
      </c>
      <c r="AK553" t="n">
        <v>0</v>
      </c>
      <c r="AL553" t="n">
        <v>520</v>
      </c>
      <c r="AM553" t="n">
        <v>0</v>
      </c>
      <c r="AN553" t="n">
        <v>160</v>
      </c>
      <c r="AO553" t="n">
        <v>255</v>
      </c>
      <c r="AP553" t="n">
        <v>265</v>
      </c>
      <c r="AQ553" t="n">
        <v>105</v>
      </c>
      <c r="AR553" t="n">
        <v>520</v>
      </c>
      <c r="AS553" t="n">
        <v>520</v>
      </c>
      <c r="AT553" t="n">
        <v>0</v>
      </c>
      <c r="AU553" t="n">
        <v>0</v>
      </c>
      <c r="AV553" t="n">
        <v>100</v>
      </c>
      <c r="AW553" t="n">
        <v>14.8</v>
      </c>
      <c r="AX553" t="n">
        <v>16.4</v>
      </c>
      <c r="AY553" t="n">
        <v>20.1</v>
      </c>
      <c r="AZ553" t="n">
        <v>65.09999999999999</v>
      </c>
      <c r="BA553" t="n">
        <v>62.9</v>
      </c>
      <c r="BB553" t="n">
        <v>100</v>
      </c>
      <c r="BC553" t="n">
        <v>99.40000000000001</v>
      </c>
      <c r="BD553" t="n">
        <v>0</v>
      </c>
      <c r="BE553" t="n">
        <v>0.6</v>
      </c>
      <c r="BF553" t="n">
        <v>100</v>
      </c>
      <c r="BG553" t="n">
        <v>14.8</v>
      </c>
      <c r="BH553" t="n">
        <v>16.4</v>
      </c>
      <c r="BI553" t="n">
        <v>20.1</v>
      </c>
      <c r="BJ553" t="n">
        <v>65.09999999999999</v>
      </c>
      <c r="BK553" t="n">
        <v>62.9</v>
      </c>
      <c r="BL553" t="n">
        <v>100</v>
      </c>
      <c r="BM553" t="n">
        <v>99.40000000000001</v>
      </c>
      <c r="BN553" t="n">
        <v>0</v>
      </c>
      <c r="BO553" t="n">
        <v>0.6</v>
      </c>
      <c r="BP553" t="n">
        <v>0</v>
      </c>
      <c r="BQ553" t="n">
        <v>0</v>
      </c>
      <c r="BR553" t="n">
        <v>0</v>
      </c>
      <c r="BS553" t="n">
        <v>0</v>
      </c>
      <c r="BT553" t="n">
        <v>0</v>
      </c>
      <c r="BU553" t="n">
        <v>0</v>
      </c>
      <c r="BV553" t="n">
        <v>0</v>
      </c>
      <c r="BW553" t="n">
        <v>0</v>
      </c>
      <c r="BX553" t="n">
        <v>0</v>
      </c>
      <c r="BY553" t="n">
        <v>0</v>
      </c>
      <c r="BZ553" t="n">
        <v>20</v>
      </c>
      <c r="CA553" t="n">
        <v>3</v>
      </c>
      <c r="CB553" t="n">
        <v>2</v>
      </c>
      <c r="CC553" t="n">
        <v>5</v>
      </c>
      <c r="CD553" t="n">
        <v>11</v>
      </c>
      <c r="CE553" t="n">
        <v>13</v>
      </c>
      <c r="CF553" t="n">
        <v>16</v>
      </c>
      <c r="CG553" t="n">
        <v>18</v>
      </c>
      <c r="CH553" t="n">
        <v>20</v>
      </c>
      <c r="CI553" t="n">
        <v>3</v>
      </c>
      <c r="CJ553" t="n">
        <v>2</v>
      </c>
      <c r="CK553" t="n">
        <v>5</v>
      </c>
      <c r="CL553" t="n">
        <v>11</v>
      </c>
      <c r="CM553" t="n">
        <v>13</v>
      </c>
      <c r="CN553" t="n">
        <v>16</v>
      </c>
      <c r="CO553" t="n">
        <v>18</v>
      </c>
      <c r="CP553" t="n">
        <v>0</v>
      </c>
      <c r="CQ553" t="n">
        <v>0</v>
      </c>
      <c r="CR553" t="n">
        <v>0</v>
      </c>
      <c r="CS553" t="n">
        <v>0</v>
      </c>
      <c r="CT553" t="n">
        <v>0</v>
      </c>
      <c r="CU553" t="n">
        <v>0</v>
      </c>
      <c r="CV553" t="n">
        <v>0</v>
      </c>
      <c r="CW553" t="n">
        <v>0</v>
      </c>
      <c r="CX553" t="n">
        <v>62.4</v>
      </c>
      <c r="CY553" t="n">
        <v>58</v>
      </c>
      <c r="CZ553" t="n">
        <v>84.09999999999999</v>
      </c>
      <c r="DA553" t="n">
        <v>81.3</v>
      </c>
      <c r="DB553" t="n">
        <v>45.6</v>
      </c>
      <c r="DC553" t="n">
        <v>38.6</v>
      </c>
      <c r="DD553" t="n">
        <v>52.5</v>
      </c>
      <c r="DE553" t="n">
        <v>48.7</v>
      </c>
      <c r="DF553" t="n">
        <v>62.4</v>
      </c>
      <c r="DG553" t="n">
        <v>58</v>
      </c>
      <c r="DH553" t="n">
        <v>84.09999999999999</v>
      </c>
      <c r="DI553" t="n">
        <v>81.3</v>
      </c>
      <c r="DJ553" t="n">
        <v>45.6</v>
      </c>
      <c r="DK553" t="n">
        <v>38.6</v>
      </c>
      <c r="DL553" t="n">
        <v>52.5</v>
      </c>
      <c r="DM553" t="n">
        <v>48.7</v>
      </c>
      <c r="DN553" t="n">
        <v>0</v>
      </c>
      <c r="DO553" t="n">
        <v>0</v>
      </c>
      <c r="DP553" t="n">
        <v>0</v>
      </c>
      <c r="DQ553" t="n">
        <v>0</v>
      </c>
      <c r="DR553" t="n">
        <v>0</v>
      </c>
      <c r="DS553" t="n">
        <v>0</v>
      </c>
      <c r="DT553" t="n">
        <v>0</v>
      </c>
      <c r="DU553" t="n">
        <v>0</v>
      </c>
      <c r="DV553" t="inlineStr">
        <is>
          <t>(CONTRACTS OF 1,000 BARRELS)</t>
        </is>
      </c>
    </row>
    <row r="554">
      <c r="C554" s="1" t="n"/>
    </row>
    <row r="555">
      <c r="C555" s="1" t="n"/>
    </row>
    <row r="556">
      <c r="C556" s="1" t="n"/>
    </row>
    <row r="557">
      <c r="C557" s="1" t="n"/>
    </row>
    <row r="558">
      <c r="C558" s="1" t="n"/>
    </row>
    <row r="559">
      <c r="C559" s="1" t="n"/>
    </row>
    <row r="560">
      <c r="C560" s="1" t="n"/>
    </row>
    <row r="561">
      <c r="C561" s="1" t="n"/>
    </row>
    <row r="562">
      <c r="C562" s="1" t="n"/>
    </row>
    <row r="563">
      <c r="C563" s="1" t="n"/>
    </row>
    <row r="564">
      <c r="C564" s="1" t="n"/>
    </row>
    <row r="565">
      <c r="C565" s="1" t="n"/>
    </row>
    <row r="566">
      <c r="C566" s="1" t="n"/>
    </row>
    <row r="567">
      <c r="C567" s="1" t="n"/>
    </row>
    <row r="568">
      <c r="C568" s="1" t="n"/>
    </row>
    <row r="569">
      <c r="C569" s="1" t="n"/>
    </row>
    <row r="570">
      <c r="C570" s="1" t="n"/>
    </row>
    <row r="571">
      <c r="C571" s="1" t="n"/>
    </row>
    <row r="572">
      <c r="C572" s="1" t="n"/>
    </row>
    <row r="573">
      <c r="C573" s="1" t="n"/>
    </row>
    <row r="574">
      <c r="C574" s="1" t="n"/>
    </row>
    <row r="575">
      <c r="C575" s="1" t="n"/>
    </row>
    <row r="576">
      <c r="C576" s="1" t="n"/>
    </row>
    <row r="577">
      <c r="C577" s="1" t="n"/>
    </row>
    <row r="578">
      <c r="C578" s="1" t="n"/>
    </row>
    <row r="579">
      <c r="C579" s="1" t="n"/>
    </row>
    <row r="580">
      <c r="C580" s="1" t="n"/>
    </row>
    <row r="581">
      <c r="C581" s="1" t="n"/>
    </row>
    <row r="582">
      <c r="C582" s="1" t="n"/>
    </row>
    <row r="583">
      <c r="C583" s="1" t="n"/>
    </row>
    <row r="584">
      <c r="C584" s="1" t="n"/>
    </row>
    <row r="585">
      <c r="C585" s="1" t="n"/>
    </row>
    <row r="586">
      <c r="C586" s="1" t="n"/>
    </row>
    <row r="587">
      <c r="C587" s="1" t="n"/>
    </row>
    <row r="588">
      <c r="C588" s="1" t="n"/>
    </row>
    <row r="589">
      <c r="C589" s="1" t="n"/>
    </row>
    <row r="590">
      <c r="C590" s="1" t="n"/>
    </row>
    <row r="591">
      <c r="C591" s="1" t="n"/>
    </row>
    <row r="592">
      <c r="C592" s="1" t="n"/>
    </row>
    <row r="593">
      <c r="C593" s="1" t="n"/>
    </row>
    <row r="594">
      <c r="C594" s="1" t="n"/>
    </row>
    <row r="595">
      <c r="C595" s="1" t="n"/>
    </row>
    <row r="596">
      <c r="C596" s="1" t="n"/>
    </row>
    <row r="597">
      <c r="C597" s="1" t="n"/>
    </row>
    <row r="598">
      <c r="C598" s="1" t="n"/>
    </row>
    <row r="599">
      <c r="C599" s="1" t="n"/>
    </row>
    <row r="600">
      <c r="C600" s="1" t="n"/>
    </row>
    <row r="601">
      <c r="C601" s="1" t="n"/>
    </row>
    <row r="602">
      <c r="C602" s="1" t="n"/>
    </row>
    <row r="603">
      <c r="C603" s="1" t="n"/>
    </row>
    <row r="604">
      <c r="C604" s="1" t="n"/>
    </row>
    <row r="605">
      <c r="C605" s="1" t="n"/>
    </row>
    <row r="606">
      <c r="C606" s="1" t="n"/>
    </row>
    <row r="607">
      <c r="C607" s="1" t="n"/>
    </row>
    <row r="608">
      <c r="C608" s="1" t="n"/>
    </row>
    <row r="609">
      <c r="C609" s="1" t="n"/>
    </row>
    <row r="610">
      <c r="C610" s="1" t="n"/>
    </row>
    <row r="611">
      <c r="C611" s="1" t="n"/>
    </row>
    <row r="612">
      <c r="C612" s="1" t="n"/>
    </row>
    <row r="613">
      <c r="C613" s="1" t="n"/>
    </row>
    <row r="614">
      <c r="C614" s="1" t="n"/>
    </row>
    <row r="615">
      <c r="C615" s="1" t="n"/>
    </row>
    <row r="616">
      <c r="C616" s="1" t="n"/>
    </row>
    <row r="617">
      <c r="C617" s="1" t="n"/>
    </row>
    <row r="618">
      <c r="C618" s="1" t="n"/>
    </row>
    <row r="619">
      <c r="C619" s="1" t="n"/>
    </row>
    <row r="620">
      <c r="C620" s="1" t="n"/>
    </row>
    <row r="621">
      <c r="C621" s="1" t="n"/>
    </row>
    <row r="622">
      <c r="C622" s="1" t="n"/>
    </row>
    <row r="623">
      <c r="C623" s="1" t="n"/>
    </row>
    <row r="624">
      <c r="C624" s="1" t="n"/>
    </row>
    <row r="625">
      <c r="C625" s="1" t="n"/>
    </row>
    <row r="626">
      <c r="C626" s="1" t="n"/>
    </row>
    <row r="627">
      <c r="C627" s="1" t="n"/>
    </row>
    <row r="628">
      <c r="C628" s="1" t="n"/>
    </row>
    <row r="629">
      <c r="C629" s="1" t="n"/>
    </row>
    <row r="630">
      <c r="C630" s="1" t="n"/>
    </row>
    <row r="631">
      <c r="C631" s="1" t="n"/>
    </row>
    <row r="632">
      <c r="C632" s="1" t="n"/>
    </row>
    <row r="633">
      <c r="C633" s="1" t="n"/>
    </row>
    <row r="634">
      <c r="C634" s="1" t="n"/>
    </row>
    <row r="635">
      <c r="C635" s="1" t="n"/>
    </row>
    <row r="636">
      <c r="C636" s="1" t="n"/>
    </row>
    <row r="637">
      <c r="C637" s="1" t="n"/>
    </row>
    <row r="638">
      <c r="C638" s="1" t="n"/>
    </row>
    <row r="639">
      <c r="C639" s="1" t="n"/>
    </row>
    <row r="640">
      <c r="C640" s="1" t="n"/>
    </row>
    <row r="641">
      <c r="C641" s="1" t="n"/>
    </row>
    <row r="642">
      <c r="C642" s="1" t="n"/>
    </row>
    <row r="643">
      <c r="C643" s="1" t="n"/>
    </row>
    <row r="644">
      <c r="C644" s="1" t="n"/>
    </row>
    <row r="645">
      <c r="C645" s="1" t="n"/>
    </row>
    <row r="646">
      <c r="C646" s="1" t="n"/>
    </row>
    <row r="647">
      <c r="C647" s="1" t="n"/>
    </row>
    <row r="648">
      <c r="C648" s="1" t="n"/>
    </row>
    <row r="649">
      <c r="C649" s="1" t="n"/>
    </row>
    <row r="650">
      <c r="C650" s="1" t="n"/>
    </row>
    <row r="651">
      <c r="C651" s="1" t="n"/>
    </row>
    <row r="652">
      <c r="C652" s="1" t="n"/>
    </row>
    <row r="653">
      <c r="C653" s="1" t="n"/>
    </row>
    <row r="654">
      <c r="C654" s="1" t="n"/>
    </row>
    <row r="655">
      <c r="C655" s="1" t="n"/>
    </row>
    <row r="656">
      <c r="C656" s="1" t="n"/>
    </row>
    <row r="657">
      <c r="C657" s="1" t="n"/>
    </row>
    <row r="658">
      <c r="C658" s="1" t="n"/>
    </row>
    <row r="659">
      <c r="C659" s="1" t="n"/>
    </row>
    <row r="660">
      <c r="C660" s="1" t="n"/>
    </row>
    <row r="661">
      <c r="C661" s="1" t="n"/>
    </row>
    <row r="662">
      <c r="C662" s="1" t="n"/>
    </row>
    <row r="663">
      <c r="C663" s="1" t="n"/>
    </row>
    <row r="664">
      <c r="C664" s="1" t="n"/>
    </row>
    <row r="665">
      <c r="C665" s="1" t="n"/>
    </row>
    <row r="666">
      <c r="C666" s="1" t="n"/>
    </row>
    <row r="667">
      <c r="C667" s="1" t="n"/>
    </row>
    <row r="668">
      <c r="C668" s="1" t="n"/>
    </row>
    <row r="669">
      <c r="C669" s="1" t="n"/>
    </row>
    <row r="670">
      <c r="C670" s="1" t="n"/>
    </row>
    <row r="671">
      <c r="C671" s="1" t="n"/>
    </row>
    <row r="672">
      <c r="C672" s="1" t="n"/>
    </row>
    <row r="673">
      <c r="C673" s="1" t="n"/>
    </row>
    <row r="674">
      <c r="C674" s="1" t="n"/>
    </row>
    <row r="675">
      <c r="C675" s="1" t="n"/>
    </row>
    <row r="676">
      <c r="C676" s="1" t="n"/>
    </row>
    <row r="677">
      <c r="C677" s="1" t="n"/>
    </row>
    <row r="678">
      <c r="C678" s="1" t="n"/>
    </row>
    <row r="679">
      <c r="C679" s="1" t="n"/>
    </row>
    <row r="680">
      <c r="C680" s="1" t="n"/>
    </row>
    <row r="681">
      <c r="C681" s="1" t="n"/>
    </row>
    <row r="682">
      <c r="C682" s="1" t="n"/>
    </row>
    <row r="683">
      <c r="C683" s="1" t="n"/>
    </row>
    <row r="684">
      <c r="C684" s="1" t="n"/>
    </row>
    <row r="685">
      <c r="C685" s="1" t="n"/>
    </row>
    <row r="686">
      <c r="C686" s="1" t="n"/>
    </row>
    <row r="687">
      <c r="C687" s="1" t="n"/>
    </row>
    <row r="688">
      <c r="C688" s="1" t="n"/>
    </row>
    <row r="689">
      <c r="C689" s="1" t="n"/>
    </row>
    <row r="690">
      <c r="C690" s="1" t="n"/>
    </row>
    <row r="691">
      <c r="C691" s="1" t="n"/>
    </row>
    <row r="692">
      <c r="C692" s="1" t="n"/>
    </row>
    <row r="693">
      <c r="C693" s="1" t="n"/>
    </row>
    <row r="694">
      <c r="C694" s="1" t="n"/>
    </row>
    <row r="695">
      <c r="C695" s="1" t="n"/>
    </row>
    <row r="696">
      <c r="C696" s="1" t="n"/>
    </row>
    <row r="697">
      <c r="C697" s="1" t="n"/>
    </row>
    <row r="698">
      <c r="C698" s="1" t="n"/>
    </row>
    <row r="699">
      <c r="C699" s="1" t="n"/>
    </row>
    <row r="700">
      <c r="C700" s="1" t="n"/>
    </row>
    <row r="701">
      <c r="C701" s="1" t="n"/>
    </row>
    <row r="702">
      <c r="C702" s="1" t="n"/>
    </row>
    <row r="703">
      <c r="C703" s="1" t="n"/>
    </row>
    <row r="704">
      <c r="C704" s="1" t="n"/>
    </row>
    <row r="705">
      <c r="C705" s="1" t="n"/>
    </row>
    <row r="706">
      <c r="C706" s="1" t="n"/>
    </row>
    <row r="707">
      <c r="C707" s="1" t="n"/>
    </row>
    <row r="708">
      <c r="C708" s="1" t="n"/>
    </row>
    <row r="709">
      <c r="C709" s="1" t="n"/>
    </row>
    <row r="710">
      <c r="C710" s="1" t="n"/>
    </row>
    <row r="711">
      <c r="C711" s="1" t="n"/>
    </row>
    <row r="712">
      <c r="C712" s="1" t="n"/>
    </row>
    <row r="713">
      <c r="C713" s="1" t="n"/>
    </row>
    <row r="714">
      <c r="C714" s="1" t="n"/>
    </row>
    <row r="715">
      <c r="C715" s="1" t="n"/>
    </row>
    <row r="716">
      <c r="C716" s="1" t="n"/>
    </row>
    <row r="717">
      <c r="C717" s="1" t="n"/>
    </row>
    <row r="718">
      <c r="C718" s="1" t="n"/>
    </row>
    <row r="719">
      <c r="C719" s="1" t="n"/>
    </row>
    <row r="720">
      <c r="C720" s="1" t="n"/>
    </row>
    <row r="721">
      <c r="C721" s="1" t="n"/>
    </row>
    <row r="722">
      <c r="C722" s="1" t="n"/>
    </row>
    <row r="723">
      <c r="C723" s="1" t="n"/>
    </row>
    <row r="724">
      <c r="C724" s="1" t="n"/>
    </row>
    <row r="725">
      <c r="C725" s="1" t="n"/>
    </row>
    <row r="726">
      <c r="C726" s="1" t="n"/>
    </row>
    <row r="727">
      <c r="C727" s="1" t="n"/>
    </row>
    <row r="728">
      <c r="C728" s="1" t="n"/>
    </row>
    <row r="729">
      <c r="C729" s="1" t="n"/>
    </row>
    <row r="730">
      <c r="C730" s="1" t="n"/>
    </row>
    <row r="731">
      <c r="C731" s="1" t="n"/>
    </row>
    <row r="732">
      <c r="C732" s="1" t="n"/>
    </row>
    <row r="733">
      <c r="C733" s="1" t="n"/>
    </row>
    <row r="734">
      <c r="C734" s="1" t="n"/>
    </row>
    <row r="735">
      <c r="C735" s="1" t="n"/>
    </row>
    <row r="736">
      <c r="C736" s="1" t="n"/>
    </row>
    <row r="737">
      <c r="C737" s="1" t="n"/>
    </row>
    <row r="738">
      <c r="C738" s="1" t="n"/>
    </row>
    <row r="739">
      <c r="C739" s="1" t="n"/>
    </row>
    <row r="740">
      <c r="C740" s="1" t="n"/>
    </row>
    <row r="741">
      <c r="C741" s="1" t="n"/>
    </row>
    <row r="742">
      <c r="C742" s="1" t="n"/>
    </row>
    <row r="743">
      <c r="C743" s="1" t="n"/>
    </row>
    <row r="744">
      <c r="C744" s="1" t="n"/>
    </row>
    <row r="745">
      <c r="C745" s="1" t="n"/>
    </row>
    <row r="746">
      <c r="C746" s="1" t="n"/>
    </row>
    <row r="747">
      <c r="C747" s="1" t="n"/>
    </row>
    <row r="748">
      <c r="C748" s="1" t="n"/>
    </row>
    <row r="749">
      <c r="C749" s="1" t="n"/>
    </row>
    <row r="750">
      <c r="C750" s="1" t="n"/>
    </row>
    <row r="751">
      <c r="C751" s="1" t="n"/>
    </row>
    <row r="752">
      <c r="C752" s="1" t="n"/>
    </row>
    <row r="753">
      <c r="C753" s="1" t="n"/>
    </row>
    <row r="754">
      <c r="C754" s="1" t="n"/>
    </row>
    <row r="755">
      <c r="C755" s="1" t="n"/>
    </row>
    <row r="756">
      <c r="C756" s="1" t="n"/>
    </row>
    <row r="757">
      <c r="C757" s="1" t="n"/>
    </row>
    <row r="758">
      <c r="C758" s="1" t="n"/>
    </row>
    <row r="759">
      <c r="C759" s="1" t="n"/>
    </row>
    <row r="760">
      <c r="C760" s="1" t="n"/>
    </row>
    <row r="761">
      <c r="C761" s="1" t="n"/>
    </row>
    <row r="762">
      <c r="C762" s="1" t="n"/>
    </row>
    <row r="763">
      <c r="C763" s="1" t="n"/>
    </row>
    <row r="764">
      <c r="C764" s="1" t="n"/>
    </row>
    <row r="765">
      <c r="C765" s="1" t="n"/>
    </row>
    <row r="766">
      <c r="C766" s="1" t="n"/>
    </row>
    <row r="767">
      <c r="C767" s="1" t="n"/>
    </row>
    <row r="768">
      <c r="C768" s="1" t="n"/>
    </row>
    <row r="769">
      <c r="C769" s="1" t="n"/>
    </row>
    <row r="770">
      <c r="C770" s="1" t="n"/>
    </row>
    <row r="771">
      <c r="C771" s="1" t="n"/>
    </row>
    <row r="772">
      <c r="C772" s="1" t="n"/>
    </row>
    <row r="773">
      <c r="C773" s="1" t="n"/>
    </row>
    <row r="774">
      <c r="C774" s="1" t="n"/>
    </row>
    <row r="775">
      <c r="C775" s="1" t="n"/>
    </row>
    <row r="776">
      <c r="C776" s="1" t="n"/>
    </row>
    <row r="777">
      <c r="C777" s="1" t="n"/>
    </row>
    <row r="778">
      <c r="C778" s="1" t="n"/>
    </row>
    <row r="779">
      <c r="C779" s="1" t="n"/>
    </row>
    <row r="780">
      <c r="C780" s="1" t="n"/>
    </row>
    <row r="781">
      <c r="C781" s="1" t="n"/>
    </row>
    <row r="782">
      <c r="C782" s="1" t="n"/>
    </row>
    <row r="783">
      <c r="C783" s="1" t="n"/>
    </row>
    <row r="784">
      <c r="C784" s="1" t="n"/>
    </row>
    <row r="785">
      <c r="C785" s="1" t="n"/>
    </row>
    <row r="786">
      <c r="C786" s="1" t="n"/>
    </row>
    <row r="787">
      <c r="C787" s="1" t="n"/>
    </row>
    <row r="788">
      <c r="C788" s="1" t="n"/>
    </row>
    <row r="789">
      <c r="C789" s="1" t="n"/>
    </row>
    <row r="790">
      <c r="C790" s="1" t="n"/>
    </row>
    <row r="791">
      <c r="C791" s="1" t="n"/>
    </row>
    <row r="792">
      <c r="C792" s="1" t="n"/>
    </row>
    <row r="793">
      <c r="C793" s="1" t="n"/>
    </row>
    <row r="794">
      <c r="C794" s="1" t="n"/>
    </row>
    <row r="795">
      <c r="C795" s="1" t="n"/>
    </row>
    <row r="796">
      <c r="C796" s="1" t="n"/>
    </row>
    <row r="797">
      <c r="C797" s="1" t="n"/>
    </row>
    <row r="798">
      <c r="C798" s="1" t="n"/>
    </row>
    <row r="799">
      <c r="C799" s="1" t="n"/>
    </row>
    <row r="800">
      <c r="C800" s="1" t="n"/>
    </row>
    <row r="801">
      <c r="C801" s="1" t="n"/>
    </row>
    <row r="802">
      <c r="C802" s="1" t="n"/>
    </row>
    <row r="803">
      <c r="C803" s="1" t="n"/>
    </row>
    <row r="804">
      <c r="C804" s="1" t="n"/>
    </row>
    <row r="805">
      <c r="C805" s="1" t="n"/>
    </row>
    <row r="806">
      <c r="C806" s="1" t="n"/>
    </row>
    <row r="807">
      <c r="C807" s="1" t="n"/>
    </row>
    <row r="808">
      <c r="C808" s="1" t="n"/>
    </row>
    <row r="809">
      <c r="C809" s="1" t="n"/>
    </row>
    <row r="810">
      <c r="C810" s="1" t="n"/>
    </row>
    <row r="811">
      <c r="C811" s="1" t="n"/>
    </row>
    <row r="812">
      <c r="C812" s="1" t="n"/>
    </row>
    <row r="813">
      <c r="C813" s="1" t="n"/>
    </row>
    <row r="814">
      <c r="C814" s="1" t="n"/>
    </row>
    <row r="815">
      <c r="C815" s="1" t="n"/>
    </row>
    <row r="816">
      <c r="C816" s="1" t="n"/>
    </row>
    <row r="817">
      <c r="C817" s="1" t="n"/>
    </row>
    <row r="818">
      <c r="C818" s="1" t="n"/>
    </row>
    <row r="819">
      <c r="C819" s="1" t="n"/>
    </row>
    <row r="820">
      <c r="C820" s="1" t="n"/>
    </row>
    <row r="821">
      <c r="C821" s="1" t="n"/>
    </row>
    <row r="822">
      <c r="C822" s="1" t="n"/>
    </row>
    <row r="823">
      <c r="C823" s="1" t="n"/>
    </row>
    <row r="824">
      <c r="C824" s="1" t="n"/>
    </row>
    <row r="825">
      <c r="C825" s="1" t="n"/>
    </row>
    <row r="826">
      <c r="C826" s="1" t="n"/>
    </row>
    <row r="827">
      <c r="C827" s="1" t="n"/>
    </row>
    <row r="828">
      <c r="C828" s="1" t="n"/>
    </row>
    <row r="829">
      <c r="C829" s="1" t="n"/>
    </row>
    <row r="830">
      <c r="C830" s="1" t="n"/>
    </row>
    <row r="831">
      <c r="C831" s="1" t="n"/>
    </row>
    <row r="832">
      <c r="C832" s="1" t="n"/>
    </row>
    <row r="833">
      <c r="C833" s="1" t="n"/>
    </row>
    <row r="834">
      <c r="C834" s="1" t="n"/>
    </row>
    <row r="835">
      <c r="C835" s="1" t="n"/>
    </row>
    <row r="836">
      <c r="C836" s="1" t="n"/>
    </row>
    <row r="837">
      <c r="C837" s="1" t="n"/>
    </row>
    <row r="838">
      <c r="C838" s="1" t="n"/>
    </row>
    <row r="839">
      <c r="C839" s="1" t="n"/>
    </row>
    <row r="840">
      <c r="C840" s="1" t="n"/>
    </row>
    <row r="841">
      <c r="C841" s="1" t="n"/>
    </row>
    <row r="842">
      <c r="C842" s="1" t="n"/>
    </row>
    <row r="843">
      <c r="C843" s="1" t="n"/>
    </row>
    <row r="844">
      <c r="C844" s="1" t="n"/>
    </row>
    <row r="845">
      <c r="C845" s="1" t="n"/>
    </row>
    <row r="846">
      <c r="C846" s="1" t="n"/>
    </row>
    <row r="847">
      <c r="C847" s="1" t="n"/>
    </row>
    <row r="848">
      <c r="C848" s="1" t="n"/>
    </row>
    <row r="849">
      <c r="C849" s="1" t="n"/>
    </row>
    <row r="850">
      <c r="C850" s="1" t="n"/>
    </row>
    <row r="851">
      <c r="C851" s="1" t="n"/>
    </row>
    <row r="852">
      <c r="C852" s="1" t="n"/>
    </row>
    <row r="853">
      <c r="C853" s="1" t="n"/>
    </row>
    <row r="854">
      <c r="C854" s="1" t="n"/>
    </row>
    <row r="855">
      <c r="C855" s="1" t="n"/>
    </row>
    <row r="856">
      <c r="C856" s="1" t="n"/>
    </row>
    <row r="857">
      <c r="C857" s="1" t="n"/>
    </row>
    <row r="858">
      <c r="C858" s="1" t="n"/>
    </row>
    <row r="859">
      <c r="C859" s="1" t="n"/>
    </row>
    <row r="860">
      <c r="C860" s="1" t="n"/>
    </row>
    <row r="861">
      <c r="C861" s="1" t="n"/>
    </row>
    <row r="862">
      <c r="C862" s="1" t="n"/>
    </row>
    <row r="863">
      <c r="C863" s="1" t="n"/>
    </row>
    <row r="864">
      <c r="C864" s="1" t="n"/>
    </row>
    <row r="865">
      <c r="C865" s="1" t="n"/>
    </row>
    <row r="866">
      <c r="C866" s="1" t="n"/>
    </row>
    <row r="867">
      <c r="C867" s="1" t="n"/>
    </row>
    <row r="868">
      <c r="C868" s="1" t="n"/>
    </row>
    <row r="869">
      <c r="C869" s="1" t="n"/>
    </row>
    <row r="870">
      <c r="C870" s="1" t="n"/>
    </row>
    <row r="871">
      <c r="C871" s="1" t="n"/>
    </row>
    <row r="872">
      <c r="C872" s="1" t="n"/>
    </row>
    <row r="873">
      <c r="C873" s="1" t="n"/>
    </row>
    <row r="874">
      <c r="C874" s="1" t="n"/>
    </row>
    <row r="875">
      <c r="C875" s="1" t="n"/>
    </row>
    <row r="876">
      <c r="C876" s="1" t="n"/>
    </row>
    <row r="877">
      <c r="C877" s="1" t="n"/>
    </row>
    <row r="878">
      <c r="C878" s="1" t="n"/>
    </row>
    <row r="879">
      <c r="C879" s="1" t="n"/>
    </row>
    <row r="880">
      <c r="C880" s="1" t="n"/>
    </row>
    <row r="881">
      <c r="C881" s="1" t="n"/>
    </row>
    <row r="882">
      <c r="C882" s="1" t="n"/>
    </row>
    <row r="883">
      <c r="C883" s="1" t="n"/>
    </row>
    <row r="884">
      <c r="C884" s="1" t="n"/>
    </row>
    <row r="885">
      <c r="C885" s="1" t="n"/>
    </row>
    <row r="886">
      <c r="C886" s="1" t="n"/>
    </row>
    <row r="887">
      <c r="C887" s="1" t="n"/>
    </row>
    <row r="888">
      <c r="C888" s="1" t="n"/>
    </row>
    <row r="889">
      <c r="C889" s="1" t="n"/>
    </row>
    <row r="890">
      <c r="C890" s="1" t="n"/>
    </row>
    <row r="891">
      <c r="C891" s="1" t="n"/>
    </row>
    <row r="892">
      <c r="C892" s="1" t="n"/>
    </row>
    <row r="893">
      <c r="C893" s="1" t="n"/>
    </row>
    <row r="894">
      <c r="C894" s="1" t="n"/>
    </row>
    <row r="895">
      <c r="C895" s="1" t="n"/>
    </row>
    <row r="896">
      <c r="C896" s="1" t="n"/>
    </row>
    <row r="897">
      <c r="C897" s="1" t="n"/>
    </row>
    <row r="898">
      <c r="C898" s="1" t="n"/>
    </row>
    <row r="899">
      <c r="C899" s="1" t="n"/>
    </row>
    <row r="900">
      <c r="C900" s="1" t="n"/>
    </row>
    <row r="901">
      <c r="C901" s="1" t="n"/>
    </row>
    <row r="902">
      <c r="C902" s="1" t="n"/>
    </row>
    <row r="903">
      <c r="C903" s="1" t="n"/>
    </row>
    <row r="904">
      <c r="C904" s="1" t="n"/>
    </row>
    <row r="905">
      <c r="C905" s="1" t="n"/>
    </row>
    <row r="906">
      <c r="C906" s="1" t="n"/>
    </row>
    <row r="907">
      <c r="C907" s="1" t="n"/>
    </row>
    <row r="908">
      <c r="C908" s="1" t="n"/>
    </row>
    <row r="909">
      <c r="C909" s="1" t="n"/>
    </row>
    <row r="910">
      <c r="C910" s="1" t="n"/>
    </row>
    <row r="911">
      <c r="C911" s="1" t="n"/>
    </row>
    <row r="912">
      <c r="C912" s="1" t="n"/>
    </row>
    <row r="913">
      <c r="C913" s="1" t="n"/>
    </row>
    <row r="914">
      <c r="C914" s="1" t="n"/>
    </row>
    <row r="915">
      <c r="C915" s="1" t="n"/>
    </row>
    <row r="916">
      <c r="C916" s="1" t="n"/>
    </row>
    <row r="917">
      <c r="C917" s="1" t="n"/>
    </row>
    <row r="918">
      <c r="C918" s="1" t="n"/>
    </row>
    <row r="919">
      <c r="C919" s="1" t="n"/>
    </row>
    <row r="920">
      <c r="C920" s="1" t="n"/>
    </row>
    <row r="921">
      <c r="C921" s="1" t="n"/>
    </row>
    <row r="922">
      <c r="C922" s="1" t="n"/>
    </row>
    <row r="923">
      <c r="C923" s="1" t="n"/>
    </row>
    <row r="924">
      <c r="C924" s="1" t="n"/>
    </row>
    <row r="925">
      <c r="C925" s="1" t="n"/>
    </row>
    <row r="926">
      <c r="C926" s="1" t="n"/>
    </row>
    <row r="927">
      <c r="C927" s="1" t="n"/>
    </row>
    <row r="928">
      <c r="C928" s="1" t="n"/>
    </row>
    <row r="929">
      <c r="C929" s="1" t="n"/>
    </row>
    <row r="930">
      <c r="C930" s="1" t="n"/>
    </row>
    <row r="931">
      <c r="C931" s="1" t="n"/>
    </row>
    <row r="932">
      <c r="C932" s="1" t="n"/>
    </row>
    <row r="933">
      <c r="C933" s="1" t="n"/>
    </row>
    <row r="934">
      <c r="C934" s="1" t="n"/>
    </row>
    <row r="935">
      <c r="C935" s="1" t="n"/>
    </row>
    <row r="936">
      <c r="C936" s="1" t="n"/>
    </row>
    <row r="937">
      <c r="C937" s="1" t="n"/>
    </row>
    <row r="938">
      <c r="C938" s="1" t="n"/>
    </row>
    <row r="939">
      <c r="C939" s="1" t="n"/>
    </row>
    <row r="940">
      <c r="C940" s="1" t="n"/>
    </row>
    <row r="941">
      <c r="C941" s="1" t="n"/>
    </row>
    <row r="942">
      <c r="C942" s="1" t="n"/>
    </row>
    <row r="943">
      <c r="C943" s="1" t="n"/>
    </row>
    <row r="944">
      <c r="C944" s="1" t="n"/>
    </row>
    <row r="945">
      <c r="C945" s="1" t="n"/>
    </row>
    <row r="946">
      <c r="C946" s="1" t="n"/>
    </row>
    <row r="947">
      <c r="C947" s="1" t="n"/>
    </row>
    <row r="948">
      <c r="C948" s="1" t="n"/>
    </row>
    <row r="949">
      <c r="C949" s="1" t="n"/>
    </row>
    <row r="950">
      <c r="C950" s="1" t="n"/>
    </row>
    <row r="951">
      <c r="C951" s="1" t="n"/>
    </row>
    <row r="952">
      <c r="C952" s="1" t="n"/>
    </row>
    <row r="953">
      <c r="C953" s="1" t="n"/>
    </row>
    <row r="954">
      <c r="C954" s="1" t="n"/>
    </row>
    <row r="955">
      <c r="C955" s="1" t="n"/>
    </row>
    <row r="956">
      <c r="C956" s="1" t="n"/>
    </row>
    <row r="957">
      <c r="C957" s="1" t="n"/>
    </row>
    <row r="958">
      <c r="C958" s="1" t="n"/>
    </row>
    <row r="959">
      <c r="C959" s="1" t="n"/>
    </row>
    <row r="960">
      <c r="C960" s="1" t="n"/>
    </row>
    <row r="961">
      <c r="C961" s="1" t="n"/>
    </row>
    <row r="962">
      <c r="C962" s="1" t="n"/>
    </row>
    <row r="963">
      <c r="C963" s="1" t="n"/>
    </row>
    <row r="964">
      <c r="C964" s="1" t="n"/>
    </row>
    <row r="965">
      <c r="C965" s="1" t="n"/>
    </row>
    <row r="966">
      <c r="C966" s="1" t="n"/>
    </row>
    <row r="967">
      <c r="C967" s="1" t="n"/>
    </row>
    <row r="968">
      <c r="C968" s="1" t="n"/>
    </row>
    <row r="969">
      <c r="C969" s="1" t="n"/>
    </row>
    <row r="970">
      <c r="C970" s="1" t="n"/>
    </row>
    <row r="971">
      <c r="C971" s="1" t="n"/>
    </row>
    <row r="972">
      <c r="C972" s="1" t="n"/>
    </row>
    <row r="973">
      <c r="C973" s="1" t="n"/>
    </row>
    <row r="974">
      <c r="C974" s="1" t="n"/>
    </row>
    <row r="975">
      <c r="C975" s="1" t="n"/>
    </row>
    <row r="976">
      <c r="C976" s="1" t="n"/>
    </row>
    <row r="977">
      <c r="C977" s="1" t="n"/>
    </row>
    <row r="978">
      <c r="C978" s="1" t="n"/>
    </row>
    <row r="979">
      <c r="C979" s="1" t="n"/>
    </row>
    <row r="980">
      <c r="C980" s="1" t="n"/>
    </row>
    <row r="981">
      <c r="C981" s="1" t="n"/>
    </row>
    <row r="982">
      <c r="C982" s="1" t="n"/>
    </row>
    <row r="983">
      <c r="C983" s="1" t="n"/>
    </row>
    <row r="984">
      <c r="C984" s="1" t="n"/>
    </row>
    <row r="985">
      <c r="C985" s="1" t="n"/>
    </row>
    <row r="986">
      <c r="C986" s="1" t="n"/>
    </row>
    <row r="987">
      <c r="C987" s="1" t="n"/>
    </row>
    <row r="988">
      <c r="C988" s="1" t="n"/>
    </row>
    <row r="989">
      <c r="C989" s="1" t="n"/>
    </row>
    <row r="990">
      <c r="C990" s="1" t="n"/>
    </row>
    <row r="991">
      <c r="C991" s="1" t="n"/>
    </row>
    <row r="992">
      <c r="C992" s="1" t="n"/>
    </row>
    <row r="993">
      <c r="C993" s="1" t="n"/>
    </row>
    <row r="994">
      <c r="C994" s="1" t="n"/>
    </row>
    <row r="995">
      <c r="C995" s="1" t="n"/>
    </row>
    <row r="996">
      <c r="C996" s="1" t="n"/>
    </row>
    <row r="997">
      <c r="C997" s="1" t="n"/>
    </row>
    <row r="998">
      <c r="C998" s="1" t="n"/>
    </row>
    <row r="999">
      <c r="C999" s="1" t="n"/>
    </row>
    <row r="1000">
      <c r="C1000" s="1" t="n"/>
    </row>
    <row r="1001">
      <c r="C1001" s="1" t="n"/>
    </row>
    <row r="1002">
      <c r="C1002" s="1" t="n"/>
    </row>
    <row r="1003">
      <c r="C1003" s="1" t="n"/>
    </row>
    <row r="1004">
      <c r="C1004" s="1" t="n"/>
    </row>
    <row r="1005">
      <c r="C1005" s="1" t="n"/>
    </row>
    <row r="1006">
      <c r="C1006" s="1" t="n"/>
    </row>
    <row r="1007">
      <c r="C1007" s="1" t="n"/>
    </row>
    <row r="1008">
      <c r="C1008" s="1" t="n"/>
    </row>
    <row r="1009">
      <c r="C1009" s="1" t="n"/>
    </row>
    <row r="1010">
      <c r="C1010" s="1" t="n"/>
    </row>
    <row r="1011">
      <c r="C1011" s="1" t="n"/>
    </row>
    <row r="1012">
      <c r="C1012" s="1" t="n"/>
    </row>
    <row r="1013">
      <c r="C1013" s="1" t="n"/>
    </row>
    <row r="1014">
      <c r="C1014" s="1" t="n"/>
    </row>
    <row r="1015">
      <c r="C1015" s="1" t="n"/>
    </row>
    <row r="1016">
      <c r="C1016" s="1" t="n"/>
    </row>
    <row r="1017">
      <c r="C1017" s="1" t="n"/>
    </row>
    <row r="1018">
      <c r="C1018" s="1" t="n"/>
    </row>
    <row r="1019">
      <c r="C1019" s="1" t="n"/>
    </row>
    <row r="1020">
      <c r="C1020" s="1" t="n"/>
    </row>
    <row r="1021">
      <c r="C1021" s="1" t="n"/>
    </row>
    <row r="1022">
      <c r="C1022" s="1" t="n"/>
    </row>
    <row r="1023">
      <c r="C1023" s="1" t="n"/>
    </row>
    <row r="1024">
      <c r="C1024" s="1" t="n"/>
    </row>
    <row r="1025">
      <c r="C1025" s="1" t="n"/>
    </row>
    <row r="1026">
      <c r="C1026" s="1" t="n"/>
    </row>
    <row r="1027">
      <c r="C1027" s="1" t="n"/>
    </row>
    <row r="1028">
      <c r="C1028" s="1" t="n"/>
    </row>
    <row r="1029">
      <c r="C1029" s="1" t="n"/>
    </row>
    <row r="1030">
      <c r="C1030" s="1" t="n"/>
    </row>
    <row r="1031">
      <c r="C1031" s="1" t="n"/>
    </row>
    <row r="1032">
      <c r="C1032" s="1" t="n"/>
    </row>
    <row r="1033">
      <c r="C1033" s="1" t="n"/>
    </row>
    <row r="1034">
      <c r="C1034" s="1" t="n"/>
    </row>
    <row r="1035">
      <c r="C1035" s="1" t="n"/>
    </row>
    <row r="1036">
      <c r="C1036" s="1" t="n"/>
    </row>
    <row r="1037">
      <c r="C1037" s="1" t="n"/>
    </row>
    <row r="1038">
      <c r="C1038" s="1" t="n"/>
    </row>
    <row r="1039">
      <c r="C1039" s="1" t="n"/>
    </row>
    <row r="1040">
      <c r="C1040" s="1" t="n"/>
    </row>
    <row r="1041">
      <c r="C1041" s="1" t="n"/>
    </row>
    <row r="1042">
      <c r="C1042" s="1" t="n"/>
    </row>
    <row r="1043">
      <c r="C1043" s="1" t="n"/>
    </row>
    <row r="1044">
      <c r="C1044" s="1" t="n"/>
    </row>
    <row r="1045">
      <c r="C1045" s="1" t="n"/>
    </row>
    <row r="1046">
      <c r="C1046" s="1" t="n"/>
    </row>
    <row r="1047">
      <c r="C1047" s="1" t="n"/>
    </row>
    <row r="1048">
      <c r="C1048" s="1" t="n"/>
    </row>
    <row r="1049">
      <c r="C1049" s="1" t="n"/>
    </row>
    <row r="1050">
      <c r="C1050" s="1" t="n"/>
    </row>
    <row r="1051">
      <c r="C1051" s="1" t="n"/>
    </row>
    <row r="1052">
      <c r="C1052" s="1" t="n"/>
    </row>
    <row r="1053">
      <c r="C1053" s="1" t="n"/>
    </row>
    <row r="1054">
      <c r="C1054" s="1" t="n"/>
    </row>
    <row r="1055">
      <c r="C1055" s="1" t="n"/>
    </row>
    <row r="1056">
      <c r="C1056" s="1" t="n"/>
    </row>
    <row r="1057">
      <c r="C1057" s="1" t="n"/>
    </row>
    <row r="1058">
      <c r="C1058" s="1" t="n"/>
    </row>
    <row r="1059">
      <c r="C1059" s="1" t="n"/>
    </row>
    <row r="1060">
      <c r="C1060" s="1" t="n"/>
    </row>
    <row r="1061">
      <c r="C1061" s="1" t="n"/>
    </row>
    <row r="1062">
      <c r="C1062" s="1" t="n"/>
    </row>
    <row r="1063">
      <c r="C1063" s="1" t="n"/>
    </row>
    <row r="1064">
      <c r="C1064" s="1" t="n"/>
    </row>
    <row r="1065">
      <c r="C1065" s="1" t="n"/>
    </row>
    <row r="1066">
      <c r="C1066" s="1" t="n"/>
    </row>
    <row r="1067">
      <c r="C1067" s="1" t="n"/>
    </row>
    <row r="1068">
      <c r="C1068" s="1" t="n"/>
    </row>
    <row r="1069">
      <c r="C1069" s="1" t="n"/>
    </row>
    <row r="1070">
      <c r="C1070" s="1" t="n"/>
    </row>
    <row r="1071">
      <c r="C1071" s="1" t="n"/>
    </row>
    <row r="1072">
      <c r="C1072" s="1" t="n"/>
    </row>
    <row r="1073">
      <c r="C1073" s="1" t="n"/>
    </row>
    <row r="1074">
      <c r="C1074" s="1" t="n"/>
    </row>
    <row r="1075">
      <c r="C1075" s="1" t="n"/>
    </row>
    <row r="1076">
      <c r="C1076" s="1" t="n"/>
    </row>
    <row r="1077">
      <c r="C1077" s="1" t="n"/>
    </row>
    <row r="1078">
      <c r="C1078" s="1" t="n"/>
    </row>
    <row r="1079">
      <c r="C1079" s="1" t="n"/>
    </row>
    <row r="1080">
      <c r="C1080" s="1" t="n"/>
    </row>
    <row r="1081">
      <c r="C1081" s="1" t="n"/>
    </row>
    <row r="1082">
      <c r="C1082" s="1" t="n"/>
    </row>
    <row r="1083">
      <c r="C1083" s="1" t="n"/>
    </row>
    <row r="1084">
      <c r="C1084" s="1" t="n"/>
    </row>
    <row r="1085">
      <c r="C1085" s="1" t="n"/>
    </row>
    <row r="1086">
      <c r="C1086" s="1" t="n"/>
    </row>
    <row r="1087">
      <c r="C1087" s="1" t="n"/>
    </row>
    <row r="1088">
      <c r="C1088" s="1" t="n"/>
    </row>
    <row r="1089">
      <c r="C1089" s="1" t="n"/>
    </row>
    <row r="1090">
      <c r="C1090" s="1" t="n"/>
    </row>
    <row r="1091">
      <c r="C1091" s="1" t="n"/>
    </row>
    <row r="1092">
      <c r="C1092" s="1" t="n"/>
    </row>
    <row r="1093">
      <c r="C1093" s="1" t="n"/>
    </row>
    <row r="1094">
      <c r="C1094" s="1" t="n"/>
    </row>
    <row r="1095">
      <c r="C1095" s="1" t="n"/>
    </row>
    <row r="1096">
      <c r="C1096" s="1" t="n"/>
    </row>
    <row r="1097">
      <c r="C1097" s="1" t="n"/>
    </row>
    <row r="1098">
      <c r="C1098" s="1" t="n"/>
    </row>
    <row r="1099">
      <c r="C1099" s="1" t="n"/>
    </row>
    <row r="1100">
      <c r="C1100" s="1" t="n"/>
    </row>
    <row r="1101">
      <c r="C1101" s="1" t="n"/>
    </row>
    <row r="1102">
      <c r="C1102" s="1" t="n"/>
    </row>
    <row r="1103">
      <c r="C1103" s="1" t="n"/>
    </row>
    <row r="1104">
      <c r="C1104" s="1" t="n"/>
    </row>
    <row r="1105">
      <c r="C1105" s="1" t="n"/>
    </row>
    <row r="1106">
      <c r="C1106" s="1" t="n"/>
    </row>
    <row r="1107">
      <c r="C1107" s="1" t="n"/>
    </row>
    <row r="1108">
      <c r="C1108" s="1" t="n"/>
    </row>
    <row r="1109">
      <c r="C1109" s="1" t="n"/>
    </row>
    <row r="1110">
      <c r="C1110" s="1" t="n"/>
    </row>
    <row r="1111">
      <c r="C1111" s="1" t="n"/>
    </row>
    <row r="1112">
      <c r="C1112" s="1" t="n"/>
    </row>
    <row r="1113">
      <c r="C1113" s="1" t="n"/>
    </row>
    <row r="1114">
      <c r="C1114" s="1" t="n"/>
    </row>
    <row r="1115">
      <c r="C1115" s="1" t="n"/>
    </row>
    <row r="1116">
      <c r="C1116" s="1" t="n"/>
    </row>
    <row r="1117">
      <c r="C1117" s="1" t="n"/>
    </row>
    <row r="1118">
      <c r="C1118" s="1" t="n"/>
    </row>
    <row r="1119">
      <c r="C1119" s="1" t="n"/>
    </row>
    <row r="1120">
      <c r="C1120" s="1" t="n"/>
    </row>
    <row r="1121">
      <c r="C1121" s="1" t="n"/>
    </row>
    <row r="1122">
      <c r="C1122" s="1" t="n"/>
    </row>
    <row r="1123">
      <c r="C1123" s="1" t="n"/>
    </row>
    <row r="1124">
      <c r="C1124" s="1" t="n"/>
    </row>
    <row r="1125">
      <c r="C1125" s="1" t="n"/>
    </row>
    <row r="1126">
      <c r="C1126" s="1" t="n"/>
    </row>
    <row r="1127">
      <c r="C1127" s="1" t="n"/>
    </row>
    <row r="1128">
      <c r="C1128" s="1" t="n"/>
    </row>
    <row r="1129">
      <c r="C1129" s="1" t="n"/>
    </row>
    <row r="1130">
      <c r="C1130" s="1" t="n"/>
    </row>
    <row r="1131">
      <c r="C1131" s="1" t="n"/>
    </row>
    <row r="1132">
      <c r="C1132" s="1" t="n"/>
    </row>
    <row r="1133">
      <c r="C1133" s="1" t="n"/>
    </row>
    <row r="1134">
      <c r="C1134" s="1" t="n"/>
    </row>
    <row r="1135">
      <c r="C1135" s="1" t="n"/>
    </row>
    <row r="1136">
      <c r="C1136" s="1" t="n"/>
    </row>
    <row r="1137">
      <c r="C1137" s="1" t="n"/>
    </row>
    <row r="1138">
      <c r="C1138" s="1" t="n"/>
    </row>
    <row r="1139">
      <c r="C1139" s="1" t="n"/>
    </row>
    <row r="1140">
      <c r="C1140" s="1" t="n"/>
    </row>
    <row r="1141">
      <c r="C1141" s="1" t="n"/>
    </row>
    <row r="1142">
      <c r="C1142" s="1" t="n"/>
    </row>
    <row r="1143">
      <c r="C1143" s="1" t="n"/>
    </row>
    <row r="1144">
      <c r="C1144" s="1" t="n"/>
    </row>
    <row r="1145">
      <c r="C1145" s="1" t="n"/>
    </row>
    <row r="1146">
      <c r="C1146" s="1" t="n"/>
    </row>
    <row r="1147">
      <c r="C1147" s="1" t="n"/>
    </row>
    <row r="1148">
      <c r="C1148" s="1" t="n"/>
    </row>
    <row r="1149">
      <c r="C1149" s="1" t="n"/>
    </row>
    <row r="1150">
      <c r="C1150" s="1" t="n"/>
    </row>
    <row r="1151">
      <c r="C1151" s="1" t="n"/>
    </row>
    <row r="1152">
      <c r="C1152" s="1" t="n"/>
    </row>
    <row r="1153">
      <c r="C1153" s="1" t="n"/>
    </row>
    <row r="1154">
      <c r="C1154" s="1" t="n"/>
    </row>
    <row r="1155">
      <c r="C1155" s="1" t="n"/>
    </row>
    <row r="1156">
      <c r="C1156" s="1" t="n"/>
    </row>
    <row r="1157">
      <c r="C1157" s="1" t="n"/>
    </row>
    <row r="1158">
      <c r="C1158" s="1" t="n"/>
    </row>
    <row r="1159">
      <c r="C1159" s="1" t="n"/>
    </row>
    <row r="1160">
      <c r="C1160" s="1" t="n"/>
    </row>
    <row r="1161">
      <c r="C1161" s="1" t="n"/>
    </row>
    <row r="1162">
      <c r="C1162" s="1" t="n"/>
    </row>
    <row r="1163">
      <c r="C1163" s="1" t="n"/>
    </row>
    <row r="1164">
      <c r="C1164" s="1" t="n"/>
    </row>
    <row r="1165">
      <c r="C1165" s="1" t="n"/>
    </row>
    <row r="1166">
      <c r="C1166" s="1" t="n"/>
    </row>
    <row r="1167">
      <c r="C1167" s="1" t="n"/>
    </row>
    <row r="1168">
      <c r="C1168" s="1" t="n"/>
    </row>
    <row r="1169">
      <c r="C1169" s="1" t="n"/>
    </row>
    <row r="1170">
      <c r="C1170" s="1" t="n"/>
    </row>
    <row r="1171">
      <c r="C1171" s="1" t="n"/>
    </row>
    <row r="1172">
      <c r="C1172" s="1" t="n"/>
    </row>
    <row r="1173">
      <c r="C1173" s="1" t="n"/>
    </row>
    <row r="1174">
      <c r="C1174" s="1" t="n"/>
    </row>
    <row r="1175">
      <c r="C1175" s="1" t="n"/>
    </row>
    <row r="1176">
      <c r="C1176" s="1" t="n"/>
    </row>
    <row r="1177">
      <c r="C1177" s="1" t="n"/>
    </row>
    <row r="1178">
      <c r="C1178" s="1" t="n"/>
    </row>
    <row r="1179">
      <c r="C1179" s="1" t="n"/>
    </row>
    <row r="1180">
      <c r="C1180" s="1" t="n"/>
    </row>
    <row r="1181">
      <c r="C1181" s="1" t="n"/>
    </row>
    <row r="1182">
      <c r="C1182" s="1" t="n"/>
    </row>
    <row r="1183">
      <c r="C1183" s="1" t="n"/>
    </row>
    <row r="1184">
      <c r="C1184" s="1" t="n"/>
    </row>
    <row r="1185">
      <c r="C1185" s="1" t="n"/>
    </row>
    <row r="1186">
      <c r="C1186" s="1" t="n"/>
    </row>
    <row r="1187">
      <c r="C1187" s="1" t="n"/>
    </row>
    <row r="1188">
      <c r="C1188" s="1" t="n"/>
    </row>
    <row r="1189">
      <c r="C1189" s="1" t="n"/>
    </row>
    <row r="1190">
      <c r="C1190" s="1" t="n"/>
    </row>
    <row r="1191">
      <c r="C1191" s="1" t="n"/>
    </row>
    <row r="1192">
      <c r="C1192" s="1" t="n"/>
    </row>
    <row r="1193">
      <c r="C1193" s="1" t="n"/>
    </row>
    <row r="1194">
      <c r="C1194" s="1" t="n"/>
    </row>
    <row r="1195">
      <c r="C1195" s="1" t="n"/>
    </row>
    <row r="1196">
      <c r="C1196" s="1" t="n"/>
    </row>
    <row r="1197">
      <c r="C1197" s="1" t="n"/>
    </row>
    <row r="1198">
      <c r="C1198" s="1" t="n"/>
    </row>
    <row r="1199">
      <c r="C1199" s="1" t="n"/>
    </row>
    <row r="1200">
      <c r="C1200" s="1" t="n"/>
    </row>
    <row r="1201">
      <c r="C1201" s="1" t="n"/>
    </row>
    <row r="1202">
      <c r="C1202" s="1" t="n"/>
    </row>
    <row r="1203">
      <c r="C1203" s="1" t="n"/>
    </row>
    <row r="1204">
      <c r="C1204" s="1" t="n"/>
    </row>
    <row r="1205">
      <c r="C1205" s="1" t="n"/>
    </row>
    <row r="1206">
      <c r="C1206" s="1" t="n"/>
    </row>
    <row r="1207">
      <c r="C1207" s="1" t="n"/>
    </row>
    <row r="1208">
      <c r="C1208" s="1" t="n"/>
    </row>
    <row r="1209">
      <c r="C1209" s="1" t="n"/>
    </row>
    <row r="1210">
      <c r="C1210" s="1" t="n"/>
    </row>
    <row r="1211">
      <c r="C1211" s="1" t="n"/>
    </row>
    <row r="1212">
      <c r="C1212" s="1" t="n"/>
    </row>
    <row r="1213">
      <c r="C1213" s="1" t="n"/>
    </row>
    <row r="1214">
      <c r="C1214" s="1" t="n"/>
    </row>
    <row r="1215">
      <c r="C1215" s="1" t="n"/>
    </row>
    <row r="1216">
      <c r="C1216" s="1" t="n"/>
    </row>
    <row r="1217">
      <c r="C1217" s="1" t="n"/>
    </row>
    <row r="1218">
      <c r="C1218" s="1" t="n"/>
    </row>
    <row r="1219">
      <c r="C1219" s="1" t="n"/>
    </row>
    <row r="1220">
      <c r="C1220" s="1" t="n"/>
    </row>
    <row r="1221">
      <c r="C1221" s="1" t="n"/>
    </row>
    <row r="1222">
      <c r="C1222" s="1" t="n"/>
    </row>
    <row r="1223">
      <c r="C1223" s="1" t="n"/>
    </row>
    <row r="1224">
      <c r="C1224" s="1" t="n"/>
    </row>
    <row r="1225">
      <c r="C1225" s="1" t="n"/>
    </row>
    <row r="1226">
      <c r="C1226" s="1" t="n"/>
    </row>
    <row r="1227">
      <c r="C1227" s="1" t="n"/>
    </row>
    <row r="1228">
      <c r="C1228" s="1" t="n"/>
    </row>
    <row r="1229">
      <c r="C1229" s="1" t="n"/>
    </row>
    <row r="1230">
      <c r="C1230" s="1" t="n"/>
    </row>
    <row r="1231">
      <c r="C1231" s="1" t="n"/>
    </row>
    <row r="1232">
      <c r="C1232" s="1" t="n"/>
    </row>
    <row r="1233">
      <c r="C1233" s="1" t="n"/>
    </row>
    <row r="1234">
      <c r="C1234" s="1" t="n"/>
    </row>
    <row r="1235">
      <c r="C1235" s="1" t="n"/>
    </row>
    <row r="1236">
      <c r="C1236" s="1" t="n"/>
    </row>
    <row r="1237">
      <c r="C1237" s="1" t="n"/>
    </row>
    <row r="1238">
      <c r="C1238" s="1" t="n"/>
    </row>
    <row r="1239">
      <c r="C1239" s="1" t="n"/>
    </row>
    <row r="1240">
      <c r="C1240" s="1" t="n"/>
    </row>
    <row r="1241">
      <c r="C1241" s="1" t="n"/>
    </row>
    <row r="1242">
      <c r="C1242" s="1" t="n"/>
    </row>
    <row r="1243">
      <c r="C1243" s="1" t="n"/>
    </row>
    <row r="1244">
      <c r="C1244" s="1" t="n"/>
    </row>
    <row r="1245">
      <c r="C1245" s="1" t="n"/>
    </row>
    <row r="1246">
      <c r="C1246" s="1" t="n"/>
    </row>
    <row r="1247">
      <c r="C1247" s="1" t="n"/>
    </row>
    <row r="1248">
      <c r="C1248" s="1" t="n"/>
    </row>
    <row r="1249">
      <c r="C1249" s="1" t="n"/>
    </row>
    <row r="1250">
      <c r="C1250" s="1" t="n"/>
    </row>
    <row r="1251">
      <c r="C1251" s="1" t="n"/>
    </row>
    <row r="1252">
      <c r="C1252" s="1" t="n"/>
    </row>
    <row r="1253">
      <c r="C1253" s="1" t="n"/>
    </row>
    <row r="1254">
      <c r="C1254" s="1" t="n"/>
    </row>
    <row r="1255">
      <c r="C1255" s="1" t="n"/>
    </row>
    <row r="1256">
      <c r="C1256" s="1" t="n"/>
    </row>
    <row r="1257">
      <c r="C1257" s="1" t="n"/>
    </row>
    <row r="1258">
      <c r="C1258" s="1" t="n"/>
    </row>
    <row r="1259">
      <c r="C1259" s="1" t="n"/>
    </row>
    <row r="1260">
      <c r="C1260" s="1" t="n"/>
    </row>
    <row r="1261">
      <c r="C1261" s="1" t="n"/>
    </row>
    <row r="1262">
      <c r="C1262" s="1" t="n"/>
    </row>
    <row r="1263">
      <c r="C1263" s="1" t="n"/>
    </row>
    <row r="1264">
      <c r="C1264" s="1" t="n"/>
    </row>
    <row r="1265">
      <c r="C1265" s="1" t="n"/>
    </row>
    <row r="1266">
      <c r="C1266" s="1" t="n"/>
    </row>
    <row r="1267">
      <c r="C1267" s="1" t="n"/>
    </row>
    <row r="1268">
      <c r="C1268" s="1" t="n"/>
    </row>
    <row r="1269">
      <c r="C1269" s="1" t="n"/>
    </row>
    <row r="1270">
      <c r="C1270" s="1" t="n"/>
    </row>
    <row r="1271">
      <c r="C1271" s="1" t="n"/>
    </row>
    <row r="1272">
      <c r="C1272" s="1" t="n"/>
    </row>
    <row r="1273">
      <c r="C1273" s="1" t="n"/>
    </row>
    <row r="1274">
      <c r="C1274" s="1" t="n"/>
    </row>
    <row r="1275">
      <c r="C1275" s="1" t="n"/>
    </row>
    <row r="1276">
      <c r="C1276" s="1" t="n"/>
    </row>
    <row r="1277">
      <c r="C1277" s="1" t="n"/>
    </row>
    <row r="1278">
      <c r="C1278" s="1" t="n"/>
    </row>
    <row r="1279">
      <c r="C1279" s="1" t="n"/>
    </row>
    <row r="1280">
      <c r="C1280" s="1" t="n"/>
    </row>
    <row r="1281">
      <c r="C1281" s="1" t="n"/>
    </row>
    <row r="1282">
      <c r="C1282" s="1" t="n"/>
    </row>
    <row r="1283">
      <c r="C1283" s="1" t="n"/>
    </row>
    <row r="1284">
      <c r="C1284" s="1" t="n"/>
    </row>
    <row r="1285">
      <c r="C1285" s="1" t="n"/>
    </row>
    <row r="1286">
      <c r="C1286" s="1" t="n"/>
    </row>
    <row r="1287">
      <c r="C1287" s="1" t="n"/>
    </row>
    <row r="1288">
      <c r="C1288" s="1" t="n"/>
    </row>
    <row r="1289">
      <c r="C1289" s="1" t="n"/>
    </row>
    <row r="1290">
      <c r="C1290" s="1" t="n"/>
    </row>
    <row r="1291">
      <c r="C1291" s="1" t="n"/>
    </row>
    <row r="1292">
      <c r="C1292" s="1" t="n"/>
    </row>
    <row r="1293">
      <c r="C1293" s="1" t="n"/>
    </row>
    <row r="1294">
      <c r="C1294" s="1" t="n"/>
    </row>
    <row r="1295">
      <c r="C1295" s="1" t="n"/>
    </row>
    <row r="1296">
      <c r="C1296" s="1" t="n"/>
    </row>
    <row r="1297">
      <c r="C1297" s="1" t="n"/>
    </row>
    <row r="1298">
      <c r="C1298" s="1" t="n"/>
    </row>
    <row r="1299">
      <c r="C1299" s="1" t="n"/>
    </row>
    <row r="1300">
      <c r="C1300" s="1" t="n"/>
    </row>
    <row r="1301">
      <c r="C1301" s="1" t="n"/>
    </row>
    <row r="1302">
      <c r="C1302" s="1" t="n"/>
    </row>
    <row r="1303">
      <c r="C1303" s="1" t="n"/>
    </row>
    <row r="1304">
      <c r="C1304" s="1" t="n"/>
    </row>
    <row r="1305">
      <c r="C1305" s="1" t="n"/>
    </row>
    <row r="1306">
      <c r="C1306" s="1" t="n"/>
    </row>
    <row r="1307">
      <c r="C1307" s="1" t="n"/>
    </row>
    <row r="1308">
      <c r="C1308" s="1" t="n"/>
    </row>
    <row r="1309">
      <c r="C1309" s="1" t="n"/>
    </row>
    <row r="1310">
      <c r="C1310" s="1" t="n"/>
    </row>
    <row r="1311">
      <c r="C1311" s="1" t="n"/>
    </row>
    <row r="1312">
      <c r="C1312" s="1" t="n"/>
    </row>
    <row r="1313">
      <c r="C1313" s="1" t="n"/>
    </row>
    <row r="1314">
      <c r="C1314" s="1" t="n"/>
    </row>
    <row r="1315">
      <c r="C1315" s="1" t="n"/>
    </row>
    <row r="1316">
      <c r="C1316" s="1" t="n"/>
    </row>
    <row r="1317">
      <c r="C1317" s="1" t="n"/>
    </row>
    <row r="1318">
      <c r="C1318" s="1" t="n"/>
    </row>
    <row r="1319">
      <c r="C1319" s="1" t="n"/>
    </row>
    <row r="1320">
      <c r="C1320" s="1" t="n"/>
    </row>
    <row r="1321">
      <c r="C1321" s="1" t="n"/>
    </row>
    <row r="1322">
      <c r="C1322" s="1" t="n"/>
    </row>
    <row r="1323">
      <c r="C1323" s="1" t="n"/>
    </row>
    <row r="1324">
      <c r="C1324" s="1" t="n"/>
    </row>
    <row r="1325">
      <c r="C1325" s="1" t="n"/>
    </row>
    <row r="1326">
      <c r="C1326" s="1" t="n"/>
    </row>
    <row r="1327">
      <c r="C1327" s="1" t="n"/>
    </row>
    <row r="1328">
      <c r="C1328" s="1" t="n"/>
    </row>
    <row r="1329">
      <c r="C1329" s="1" t="n"/>
    </row>
    <row r="1330">
      <c r="C1330" s="1" t="n"/>
    </row>
    <row r="1331">
      <c r="C1331" s="1" t="n"/>
    </row>
    <row r="1332">
      <c r="C1332" s="1" t="n"/>
    </row>
    <row r="1333">
      <c r="C1333" s="1" t="n"/>
    </row>
    <row r="1334">
      <c r="C1334" s="1" t="n"/>
    </row>
    <row r="1335">
      <c r="C1335" s="1" t="n"/>
    </row>
    <row r="1336">
      <c r="C1336" s="1" t="n"/>
    </row>
    <row r="1337">
      <c r="C1337" s="1" t="n"/>
    </row>
    <row r="1338">
      <c r="C1338" s="1" t="n"/>
    </row>
    <row r="1339">
      <c r="C1339" s="1" t="n"/>
    </row>
    <row r="1340">
      <c r="C1340" s="1" t="n"/>
    </row>
    <row r="1341">
      <c r="C1341" s="1" t="n"/>
    </row>
    <row r="1342">
      <c r="C1342" s="1" t="n"/>
    </row>
    <row r="1343">
      <c r="C1343" s="1" t="n"/>
    </row>
    <row r="1344">
      <c r="C1344" s="1" t="n"/>
    </row>
    <row r="1345">
      <c r="C1345" s="1" t="n"/>
    </row>
    <row r="1346">
      <c r="C1346" s="1" t="n"/>
    </row>
    <row r="1347">
      <c r="C1347" s="1" t="n"/>
    </row>
    <row r="1348">
      <c r="C1348" s="1" t="n"/>
    </row>
    <row r="1349">
      <c r="C1349" s="1" t="n"/>
    </row>
    <row r="1350">
      <c r="C1350" s="1" t="n"/>
    </row>
    <row r="1351">
      <c r="C1351" s="1" t="n"/>
    </row>
    <row r="1352">
      <c r="C1352" s="1" t="n"/>
    </row>
    <row r="1353">
      <c r="C1353" s="1" t="n"/>
    </row>
    <row r="1354">
      <c r="C1354" s="1" t="n"/>
    </row>
    <row r="1355">
      <c r="C1355" s="1" t="n"/>
    </row>
    <row r="1356">
      <c r="C1356" s="1" t="n"/>
    </row>
    <row r="1357">
      <c r="C1357" s="1" t="n"/>
    </row>
    <row r="1358">
      <c r="C1358" s="1" t="n"/>
    </row>
    <row r="1359">
      <c r="C1359" s="1" t="n"/>
    </row>
    <row r="1360">
      <c r="C1360" s="1" t="n"/>
    </row>
    <row r="1361">
      <c r="C1361" s="1" t="n"/>
    </row>
    <row r="1362">
      <c r="C1362" s="1" t="n"/>
    </row>
    <row r="1363">
      <c r="C1363" s="1" t="n"/>
    </row>
    <row r="1364">
      <c r="C1364" s="1" t="n"/>
    </row>
    <row r="1365">
      <c r="C1365" s="1" t="n"/>
    </row>
    <row r="1366">
      <c r="C1366" s="1" t="n"/>
    </row>
    <row r="1367">
      <c r="C1367" s="1" t="n"/>
    </row>
    <row r="1368">
      <c r="C1368" s="1" t="n"/>
    </row>
    <row r="1369">
      <c r="C1369" s="1" t="n"/>
    </row>
    <row r="1370">
      <c r="C1370" s="1" t="n"/>
    </row>
    <row r="1371">
      <c r="C1371" s="1" t="n"/>
    </row>
    <row r="1372">
      <c r="C1372" s="1" t="n"/>
    </row>
    <row r="1373">
      <c r="C1373" s="1" t="n"/>
    </row>
    <row r="1374">
      <c r="C1374" s="1" t="n"/>
    </row>
    <row r="1375">
      <c r="C1375" s="1" t="n"/>
    </row>
    <row r="1376">
      <c r="C1376" s="1" t="n"/>
    </row>
    <row r="1377">
      <c r="C1377" s="1" t="n"/>
    </row>
    <row r="1378">
      <c r="C1378" s="1" t="n"/>
    </row>
    <row r="1379">
      <c r="C1379" s="1" t="n"/>
    </row>
    <row r="1380">
      <c r="C1380" s="1" t="n"/>
    </row>
    <row r="1381">
      <c r="C1381" s="1" t="n"/>
    </row>
    <row r="1382">
      <c r="C1382" s="1" t="n"/>
    </row>
    <row r="1383">
      <c r="C1383" s="1" t="n"/>
    </row>
    <row r="1384">
      <c r="C1384" s="1" t="n"/>
    </row>
    <row r="1385">
      <c r="C1385" s="1" t="n"/>
    </row>
    <row r="1386">
      <c r="C1386" s="1" t="n"/>
    </row>
    <row r="1387">
      <c r="C1387" s="1" t="n"/>
    </row>
    <row r="1388">
      <c r="C1388" s="1" t="n"/>
    </row>
    <row r="1389">
      <c r="C1389" s="1" t="n"/>
    </row>
    <row r="1390">
      <c r="C1390" s="1" t="n"/>
    </row>
    <row r="1391">
      <c r="C1391" s="1" t="n"/>
    </row>
    <row r="1392">
      <c r="C1392" s="1" t="n"/>
    </row>
    <row r="1393">
      <c r="C1393" s="1" t="n"/>
    </row>
    <row r="1394">
      <c r="C1394" s="1" t="n"/>
    </row>
    <row r="1395">
      <c r="C1395" s="1" t="n"/>
    </row>
    <row r="1396">
      <c r="C1396" s="1" t="n"/>
    </row>
    <row r="1397">
      <c r="C1397" s="1" t="n"/>
    </row>
    <row r="1398">
      <c r="C1398" s="1" t="n"/>
    </row>
    <row r="1399">
      <c r="C1399" s="1" t="n"/>
    </row>
    <row r="1400">
      <c r="C1400" s="1" t="n"/>
    </row>
    <row r="1401">
      <c r="C1401" s="1" t="n"/>
    </row>
    <row r="1402">
      <c r="C1402" s="1" t="n"/>
    </row>
    <row r="1403">
      <c r="C1403" s="1" t="n"/>
    </row>
    <row r="1404">
      <c r="C1404" s="1" t="n"/>
    </row>
    <row r="1405">
      <c r="C1405" s="1" t="n"/>
    </row>
    <row r="1406">
      <c r="C1406" s="1" t="n"/>
    </row>
    <row r="1407">
      <c r="C1407" s="1" t="n"/>
    </row>
    <row r="1408">
      <c r="C1408" s="1" t="n"/>
    </row>
    <row r="1409">
      <c r="C1409" s="1" t="n"/>
    </row>
    <row r="1410">
      <c r="C1410" s="1" t="n"/>
    </row>
    <row r="1411">
      <c r="C1411" s="1" t="n"/>
    </row>
    <row r="1412">
      <c r="C1412" s="1" t="n"/>
    </row>
    <row r="1413">
      <c r="C1413" s="1" t="n"/>
    </row>
    <row r="1414">
      <c r="C1414" s="1" t="n"/>
    </row>
    <row r="1415">
      <c r="C1415" s="1" t="n"/>
    </row>
    <row r="1416">
      <c r="C1416" s="1" t="n"/>
    </row>
    <row r="1417">
      <c r="C1417" s="1" t="n"/>
    </row>
    <row r="1418">
      <c r="C1418" s="1" t="n"/>
    </row>
    <row r="1419">
      <c r="C1419" s="1" t="n"/>
    </row>
    <row r="1420">
      <c r="C1420" s="1" t="n"/>
    </row>
    <row r="1421">
      <c r="C1421" s="1" t="n"/>
    </row>
    <row r="1422">
      <c r="C1422" s="1" t="n"/>
    </row>
    <row r="1423">
      <c r="C1423" s="1" t="n"/>
    </row>
    <row r="1424">
      <c r="C1424" s="1" t="n"/>
    </row>
    <row r="1425">
      <c r="C1425" s="1" t="n"/>
    </row>
    <row r="1426">
      <c r="C1426" s="1" t="n"/>
    </row>
    <row r="1427">
      <c r="C1427" s="1" t="n"/>
    </row>
    <row r="1428">
      <c r="C1428" s="1" t="n"/>
    </row>
    <row r="1429">
      <c r="C1429" s="1" t="n"/>
    </row>
    <row r="1430">
      <c r="C1430" s="1" t="n"/>
    </row>
    <row r="1431">
      <c r="C1431" s="1" t="n"/>
    </row>
    <row r="1432">
      <c r="C1432" s="1" t="n"/>
    </row>
    <row r="1433">
      <c r="C1433" s="1" t="n"/>
    </row>
    <row r="1434">
      <c r="C1434" s="1" t="n"/>
    </row>
    <row r="1435">
      <c r="C1435" s="1" t="n"/>
    </row>
    <row r="1436">
      <c r="C1436" s="1" t="n"/>
    </row>
    <row r="1437">
      <c r="C1437" s="1" t="n"/>
    </row>
    <row r="1438">
      <c r="C1438" s="1" t="n"/>
    </row>
    <row r="1439">
      <c r="C1439" s="1" t="n"/>
    </row>
    <row r="1440">
      <c r="C1440" s="1" t="n"/>
    </row>
    <row r="1441">
      <c r="C1441" s="1" t="n"/>
    </row>
    <row r="1442">
      <c r="C1442" s="1" t="n"/>
    </row>
    <row r="1443">
      <c r="C1443" s="1" t="n"/>
    </row>
    <row r="1444">
      <c r="C1444" s="1" t="n"/>
    </row>
    <row r="1445">
      <c r="C1445" s="1" t="n"/>
    </row>
    <row r="1446">
      <c r="C1446" s="1" t="n"/>
    </row>
    <row r="1447">
      <c r="C1447" s="1" t="n"/>
    </row>
    <row r="1448">
      <c r="C1448" s="1" t="n"/>
    </row>
    <row r="1449">
      <c r="C1449" s="1" t="n"/>
    </row>
    <row r="1450">
      <c r="C1450" s="1" t="n"/>
    </row>
    <row r="1451">
      <c r="C1451" s="1" t="n"/>
    </row>
    <row r="1452">
      <c r="C1452" s="1" t="n"/>
    </row>
    <row r="1453">
      <c r="C1453" s="1" t="n"/>
    </row>
    <row r="1454">
      <c r="C1454" s="1" t="n"/>
    </row>
    <row r="1455">
      <c r="C1455" s="1" t="n"/>
    </row>
    <row r="1456">
      <c r="C1456" s="1" t="n"/>
    </row>
    <row r="1457">
      <c r="C1457" s="1" t="n"/>
    </row>
    <row r="1458">
      <c r="C1458" s="1" t="n"/>
    </row>
    <row r="1459">
      <c r="C1459" s="1" t="n"/>
    </row>
    <row r="1460">
      <c r="C1460" s="1" t="n"/>
    </row>
    <row r="1461">
      <c r="C1461" s="1" t="n"/>
    </row>
    <row r="1462">
      <c r="C1462" s="1" t="n"/>
    </row>
    <row r="1463">
      <c r="C1463" s="1" t="n"/>
    </row>
    <row r="1464">
      <c r="C1464" s="1" t="n"/>
    </row>
    <row r="1465">
      <c r="C1465" s="1" t="n"/>
    </row>
    <row r="1466">
      <c r="C1466" s="1" t="n"/>
    </row>
    <row r="1467">
      <c r="C1467" s="1" t="n"/>
    </row>
    <row r="1468">
      <c r="C1468" s="1" t="n"/>
    </row>
    <row r="1469">
      <c r="C1469" s="1" t="n"/>
    </row>
    <row r="1470">
      <c r="C1470" s="1" t="n"/>
    </row>
    <row r="1471">
      <c r="C1471" s="1" t="n"/>
    </row>
    <row r="1472">
      <c r="C1472" s="1" t="n"/>
    </row>
    <row r="1473">
      <c r="C1473" s="1" t="n"/>
    </row>
    <row r="1474">
      <c r="C1474" s="1" t="n"/>
    </row>
    <row r="1475">
      <c r="C1475" s="1" t="n"/>
    </row>
    <row r="1476">
      <c r="C1476" s="1" t="n"/>
    </row>
    <row r="1477">
      <c r="C1477" s="1" t="n"/>
    </row>
    <row r="1478">
      <c r="C1478" s="1" t="n"/>
    </row>
    <row r="1479">
      <c r="C1479" s="1" t="n"/>
    </row>
    <row r="1480">
      <c r="C1480" s="1" t="n"/>
    </row>
    <row r="1481">
      <c r="C1481" s="1" t="n"/>
    </row>
    <row r="1482">
      <c r="C1482" s="1" t="n"/>
    </row>
    <row r="1483">
      <c r="C1483" s="1" t="n"/>
    </row>
    <row r="1484">
      <c r="C1484" s="1" t="n"/>
    </row>
    <row r="1485">
      <c r="C1485" s="1" t="n"/>
    </row>
    <row r="1486">
      <c r="C1486" s="1" t="n"/>
    </row>
    <row r="1487">
      <c r="C1487" s="1" t="n"/>
    </row>
    <row r="1488">
      <c r="C1488" s="1" t="n"/>
    </row>
    <row r="1489">
      <c r="C1489" s="1" t="n"/>
    </row>
    <row r="1490">
      <c r="C1490" s="1" t="n"/>
    </row>
    <row r="1491">
      <c r="C1491" s="1" t="n"/>
    </row>
    <row r="1492">
      <c r="C1492" s="1" t="n"/>
    </row>
    <row r="1493">
      <c r="C1493" s="1" t="n"/>
    </row>
    <row r="1494">
      <c r="C1494" s="1" t="n"/>
    </row>
    <row r="1495">
      <c r="C1495" s="1" t="n"/>
    </row>
    <row r="1496">
      <c r="C1496" s="1" t="n"/>
    </row>
    <row r="1497">
      <c r="C1497" s="1" t="n"/>
    </row>
    <row r="1498">
      <c r="C1498" s="1" t="n"/>
    </row>
    <row r="1499">
      <c r="C1499" s="1" t="n"/>
    </row>
    <row r="1500">
      <c r="C1500" s="1" t="n"/>
    </row>
    <row r="1501">
      <c r="C1501" s="1" t="n"/>
    </row>
    <row r="1502">
      <c r="C1502" s="1" t="n"/>
    </row>
    <row r="1503">
      <c r="C1503" s="1" t="n"/>
    </row>
    <row r="1504">
      <c r="C1504" s="1" t="n"/>
    </row>
    <row r="1505">
      <c r="C1505" s="1" t="n"/>
    </row>
    <row r="1506">
      <c r="C1506" s="1" t="n"/>
    </row>
    <row r="1507">
      <c r="C1507" s="1" t="n"/>
    </row>
    <row r="1508">
      <c r="C1508" s="1" t="n"/>
    </row>
    <row r="1509">
      <c r="C1509" s="1" t="n"/>
    </row>
    <row r="1510">
      <c r="C1510" s="1" t="n"/>
    </row>
    <row r="1511">
      <c r="C1511" s="1" t="n"/>
    </row>
    <row r="1512">
      <c r="C1512" s="1" t="n"/>
    </row>
    <row r="1513">
      <c r="C1513" s="1" t="n"/>
    </row>
    <row r="1514">
      <c r="C1514" s="1" t="n"/>
    </row>
    <row r="1515">
      <c r="C1515" s="1" t="n"/>
    </row>
    <row r="1516">
      <c r="C1516" s="1" t="n"/>
    </row>
    <row r="1517">
      <c r="C1517" s="1" t="n"/>
    </row>
    <row r="1518">
      <c r="C1518" s="1" t="n"/>
    </row>
    <row r="1519">
      <c r="C1519" s="1" t="n"/>
    </row>
    <row r="1520">
      <c r="C1520" s="1" t="n"/>
    </row>
    <row r="1521">
      <c r="C1521" s="1" t="n"/>
    </row>
    <row r="1522">
      <c r="C1522" s="1" t="n"/>
    </row>
    <row r="1523">
      <c r="C1523" s="1" t="n"/>
    </row>
    <row r="1524">
      <c r="C1524" s="1" t="n"/>
    </row>
    <row r="1525">
      <c r="C1525" s="1" t="n"/>
    </row>
    <row r="1526">
      <c r="C1526" s="1" t="n"/>
    </row>
    <row r="1527">
      <c r="C1527" s="1" t="n"/>
    </row>
    <row r="1528">
      <c r="C1528" s="1" t="n"/>
    </row>
    <row r="1529">
      <c r="C1529" s="1" t="n"/>
    </row>
    <row r="1530">
      <c r="C1530" s="1" t="n"/>
    </row>
    <row r="1531">
      <c r="C1531" s="1" t="n"/>
    </row>
    <row r="1532">
      <c r="C1532" s="1" t="n"/>
    </row>
    <row r="1533">
      <c r="C1533" s="1" t="n"/>
    </row>
    <row r="1534">
      <c r="C1534" s="1" t="n"/>
    </row>
    <row r="1535">
      <c r="C1535" s="1" t="n"/>
    </row>
    <row r="1536">
      <c r="C1536" s="1" t="n"/>
    </row>
    <row r="1537">
      <c r="C1537" s="1" t="n"/>
    </row>
    <row r="1538">
      <c r="C1538" s="1" t="n"/>
    </row>
    <row r="1539">
      <c r="C1539" s="1" t="n"/>
    </row>
    <row r="1540">
      <c r="C1540" s="1" t="n"/>
    </row>
    <row r="1541">
      <c r="C1541" s="1" t="n"/>
    </row>
    <row r="1542">
      <c r="C1542" s="1" t="n"/>
    </row>
    <row r="1543">
      <c r="C1543" s="1" t="n"/>
    </row>
    <row r="1544">
      <c r="C1544" s="1" t="n"/>
    </row>
    <row r="1545">
      <c r="C1545" s="1" t="n"/>
    </row>
    <row r="1546">
      <c r="C1546" s="1" t="n"/>
    </row>
    <row r="1547">
      <c r="C1547" s="1" t="n"/>
    </row>
    <row r="1548">
      <c r="C1548" s="1" t="n"/>
    </row>
    <row r="1549">
      <c r="C1549" s="1" t="n"/>
    </row>
    <row r="1550">
      <c r="C1550" s="1" t="n"/>
    </row>
    <row r="1551">
      <c r="C1551" s="1" t="n"/>
    </row>
    <row r="1552">
      <c r="C1552" s="1" t="n"/>
    </row>
    <row r="1553">
      <c r="C1553" s="1" t="n"/>
    </row>
    <row r="1554">
      <c r="C1554" s="1" t="n"/>
    </row>
    <row r="1555">
      <c r="C1555" s="1" t="n"/>
    </row>
    <row r="1556">
      <c r="C1556" s="1" t="n"/>
    </row>
    <row r="1557">
      <c r="C1557" s="1" t="n"/>
    </row>
    <row r="1558">
      <c r="C1558" s="1" t="n"/>
    </row>
    <row r="1559">
      <c r="C1559" s="1" t="n"/>
    </row>
    <row r="1560">
      <c r="C1560" s="1" t="n"/>
    </row>
    <row r="1561">
      <c r="C1561" s="1" t="n"/>
    </row>
    <row r="1562">
      <c r="C1562" s="1" t="n"/>
    </row>
    <row r="1563">
      <c r="C1563" s="1" t="n"/>
    </row>
    <row r="1564">
      <c r="C1564" s="1" t="n"/>
    </row>
    <row r="1565">
      <c r="C1565" s="1" t="n"/>
    </row>
    <row r="1566">
      <c r="C1566" s="1" t="n"/>
    </row>
    <row r="1567">
      <c r="C1567" s="1" t="n"/>
    </row>
    <row r="1568">
      <c r="C1568" s="1" t="n"/>
    </row>
    <row r="1569">
      <c r="C1569" s="1" t="n"/>
    </row>
    <row r="1570">
      <c r="C1570" s="1" t="n"/>
    </row>
    <row r="1571">
      <c r="C1571" s="1" t="n"/>
    </row>
    <row r="1572">
      <c r="C1572" s="1" t="n"/>
    </row>
    <row r="1573">
      <c r="C1573" s="1" t="n"/>
    </row>
    <row r="1574">
      <c r="C1574" s="1" t="n"/>
    </row>
    <row r="1575">
      <c r="C1575" s="1" t="n"/>
    </row>
    <row r="1576">
      <c r="C1576" s="1" t="n"/>
    </row>
    <row r="1577">
      <c r="C1577" s="1" t="n"/>
    </row>
    <row r="1578">
      <c r="C1578" s="1" t="n"/>
    </row>
    <row r="1579">
      <c r="C1579" s="1" t="n"/>
    </row>
    <row r="1580">
      <c r="C1580" s="1" t="n"/>
    </row>
    <row r="1581">
      <c r="C1581" s="1" t="n"/>
    </row>
    <row r="1582">
      <c r="C1582" s="1" t="n"/>
    </row>
    <row r="1583">
      <c r="C1583" s="1" t="n"/>
    </row>
    <row r="1584">
      <c r="C1584" s="1" t="n"/>
    </row>
    <row r="1585">
      <c r="C1585" s="1" t="n"/>
    </row>
    <row r="1586">
      <c r="C1586" s="1" t="n"/>
    </row>
    <row r="1587">
      <c r="C1587" s="1" t="n"/>
    </row>
    <row r="1588">
      <c r="C1588" s="1" t="n"/>
    </row>
    <row r="1589">
      <c r="C1589" s="1" t="n"/>
    </row>
    <row r="1590">
      <c r="C1590" s="1" t="n"/>
    </row>
    <row r="1591">
      <c r="C1591" s="1" t="n"/>
    </row>
    <row r="1592">
      <c r="C1592" s="1" t="n"/>
    </row>
    <row r="1593">
      <c r="C1593" s="1" t="n"/>
    </row>
    <row r="1594">
      <c r="C1594" s="1" t="n"/>
    </row>
    <row r="1595">
      <c r="C1595" s="1" t="n"/>
    </row>
    <row r="1596">
      <c r="C1596" s="1" t="n"/>
    </row>
    <row r="1597">
      <c r="C1597" s="1" t="n"/>
    </row>
    <row r="1598">
      <c r="C1598" s="1" t="n"/>
    </row>
    <row r="1599">
      <c r="C1599" s="1" t="n"/>
    </row>
    <row r="1600">
      <c r="C1600" s="1" t="n"/>
    </row>
    <row r="1601">
      <c r="C1601" s="1" t="n"/>
    </row>
    <row r="1602">
      <c r="C1602" s="1" t="n"/>
    </row>
    <row r="1603">
      <c r="C1603" s="1" t="n"/>
    </row>
    <row r="1604">
      <c r="C1604" s="1" t="n"/>
    </row>
    <row r="1605">
      <c r="C1605" s="1" t="n"/>
    </row>
    <row r="1606">
      <c r="C1606" s="1" t="n"/>
    </row>
    <row r="1607">
      <c r="C1607" s="1" t="n"/>
    </row>
    <row r="1608">
      <c r="C1608" s="1" t="n"/>
    </row>
    <row r="1609">
      <c r="C1609" s="1" t="n"/>
    </row>
    <row r="1610">
      <c r="C1610" s="1" t="n"/>
    </row>
    <row r="1611">
      <c r="C1611" s="1" t="n"/>
    </row>
    <row r="1612">
      <c r="C1612" s="1" t="n"/>
    </row>
    <row r="1613">
      <c r="C1613" s="1" t="n"/>
    </row>
    <row r="1614">
      <c r="C1614" s="1" t="n"/>
    </row>
    <row r="1615">
      <c r="C1615" s="1" t="n"/>
    </row>
    <row r="1616">
      <c r="C1616" s="1" t="n"/>
    </row>
    <row r="1617">
      <c r="C1617" s="1" t="n"/>
    </row>
    <row r="1618">
      <c r="C1618" s="1" t="n"/>
    </row>
    <row r="1619">
      <c r="C1619" s="1" t="n"/>
    </row>
    <row r="1620">
      <c r="C1620" s="1" t="n"/>
    </row>
    <row r="1621">
      <c r="C1621" s="1" t="n"/>
    </row>
    <row r="1622">
      <c r="C1622" s="1" t="n"/>
    </row>
    <row r="1623">
      <c r="C1623" s="1" t="n"/>
    </row>
    <row r="1624">
      <c r="C1624" s="1" t="n"/>
    </row>
    <row r="1625">
      <c r="C1625" s="1" t="n"/>
    </row>
    <row r="1626">
      <c r="C1626" s="1" t="n"/>
    </row>
    <row r="1627">
      <c r="C1627" s="1" t="n"/>
    </row>
    <row r="1628">
      <c r="C1628" s="1" t="n"/>
    </row>
    <row r="1629">
      <c r="C1629" s="1" t="n"/>
    </row>
    <row r="1630">
      <c r="C1630" s="1" t="n"/>
    </row>
    <row r="1631">
      <c r="C1631" s="1" t="n"/>
    </row>
    <row r="1632">
      <c r="C1632" s="1" t="n"/>
    </row>
    <row r="1633">
      <c r="C1633" s="1" t="n"/>
    </row>
    <row r="1634">
      <c r="C1634" s="1" t="n"/>
    </row>
    <row r="1635">
      <c r="C1635" s="1" t="n"/>
    </row>
    <row r="1636">
      <c r="C1636" s="1" t="n"/>
    </row>
    <row r="1637">
      <c r="C1637" s="1" t="n"/>
    </row>
    <row r="1638">
      <c r="C1638" s="1" t="n"/>
    </row>
    <row r="1639">
      <c r="C1639" s="1" t="n"/>
    </row>
    <row r="1640">
      <c r="C1640" s="1" t="n"/>
    </row>
    <row r="1641">
      <c r="C1641" s="1" t="n"/>
    </row>
    <row r="1642">
      <c r="C1642" s="1" t="n"/>
    </row>
    <row r="1643">
      <c r="C1643" s="1" t="n"/>
    </row>
    <row r="1644">
      <c r="C1644" s="1" t="n"/>
    </row>
    <row r="1645">
      <c r="C1645" s="1" t="n"/>
    </row>
    <row r="1646">
      <c r="C1646" s="1" t="n"/>
    </row>
    <row r="1647">
      <c r="C1647" s="1" t="n"/>
    </row>
    <row r="1648">
      <c r="C1648" s="1" t="n"/>
    </row>
    <row r="1649">
      <c r="C1649" s="1" t="n"/>
    </row>
    <row r="1650">
      <c r="C1650" s="1" t="n"/>
    </row>
    <row r="1651">
      <c r="C1651" s="1" t="n"/>
    </row>
    <row r="1652">
      <c r="C1652" s="1" t="n"/>
    </row>
    <row r="1653">
      <c r="C1653" s="1" t="n"/>
    </row>
    <row r="1654">
      <c r="C1654" s="1" t="n"/>
    </row>
    <row r="1655">
      <c r="C1655" s="1" t="n"/>
    </row>
    <row r="1656">
      <c r="C1656" s="1" t="n"/>
    </row>
    <row r="1657">
      <c r="C1657" s="1" t="n"/>
    </row>
    <row r="1658">
      <c r="C1658" s="1" t="n"/>
    </row>
    <row r="1659">
      <c r="C1659" s="1" t="n"/>
    </row>
    <row r="1660">
      <c r="C1660" s="1" t="n"/>
    </row>
    <row r="1661">
      <c r="C1661" s="1" t="n"/>
    </row>
    <row r="1662">
      <c r="C1662" s="1" t="n"/>
    </row>
    <row r="1663">
      <c r="C1663" s="1" t="n"/>
    </row>
    <row r="1664">
      <c r="C1664" s="1" t="n"/>
    </row>
    <row r="1665">
      <c r="C1665" s="1" t="n"/>
    </row>
    <row r="1666">
      <c r="C1666" s="1" t="n"/>
    </row>
    <row r="1667">
      <c r="C1667" s="1" t="n"/>
    </row>
    <row r="1668">
      <c r="C1668" s="1" t="n"/>
    </row>
    <row r="1669">
      <c r="C1669" s="1" t="n"/>
    </row>
    <row r="1670">
      <c r="C1670" s="1" t="n"/>
    </row>
    <row r="1671">
      <c r="C1671" s="1" t="n"/>
    </row>
    <row r="1672">
      <c r="C1672" s="1" t="n"/>
    </row>
    <row r="1673">
      <c r="C1673" s="1" t="n"/>
    </row>
    <row r="1674">
      <c r="C1674" s="1" t="n"/>
    </row>
    <row r="1675">
      <c r="C1675" s="1" t="n"/>
    </row>
    <row r="1676">
      <c r="C1676" s="1" t="n"/>
    </row>
    <row r="1677">
      <c r="C1677" s="1" t="n"/>
    </row>
    <row r="1678">
      <c r="C1678" s="1" t="n"/>
    </row>
    <row r="1679">
      <c r="C1679" s="1" t="n"/>
    </row>
    <row r="1680">
      <c r="C1680" s="1" t="n"/>
    </row>
    <row r="1681">
      <c r="C1681" s="1" t="n"/>
    </row>
    <row r="1682">
      <c r="C1682" s="1" t="n"/>
    </row>
    <row r="1683">
      <c r="C1683" s="1" t="n"/>
    </row>
    <row r="1684">
      <c r="C1684" s="1" t="n"/>
    </row>
    <row r="1685">
      <c r="C1685" s="1" t="n"/>
    </row>
    <row r="1686">
      <c r="C1686" s="1" t="n"/>
    </row>
    <row r="1687">
      <c r="C1687" s="1" t="n"/>
    </row>
    <row r="1688">
      <c r="C1688" s="1" t="n"/>
    </row>
    <row r="1689">
      <c r="C1689" s="1" t="n"/>
    </row>
    <row r="1690">
      <c r="C1690" s="1" t="n"/>
    </row>
    <row r="1691">
      <c r="C1691" s="1" t="n"/>
    </row>
    <row r="1692">
      <c r="C1692" s="1" t="n"/>
    </row>
    <row r="1693">
      <c r="C1693" s="1" t="n"/>
    </row>
    <row r="1694">
      <c r="C1694" s="1" t="n"/>
    </row>
    <row r="1695">
      <c r="C1695" s="1" t="n"/>
    </row>
    <row r="1696">
      <c r="C1696" s="1" t="n"/>
    </row>
    <row r="1697">
      <c r="C1697" s="1" t="n"/>
    </row>
    <row r="1698">
      <c r="C1698" s="1" t="n"/>
    </row>
    <row r="1699">
      <c r="C1699" s="1" t="n"/>
    </row>
    <row r="1700">
      <c r="C1700" s="1" t="n"/>
    </row>
    <row r="1701">
      <c r="C1701" s="1" t="n"/>
    </row>
    <row r="1702">
      <c r="C1702" s="1" t="n"/>
    </row>
    <row r="1703">
      <c r="C1703" s="1" t="n"/>
    </row>
    <row r="1704">
      <c r="C1704" s="1" t="n"/>
    </row>
    <row r="1705">
      <c r="C1705" s="1" t="n"/>
    </row>
    <row r="1706">
      <c r="C1706" s="1" t="n"/>
    </row>
    <row r="1707">
      <c r="C1707" s="1" t="n"/>
    </row>
    <row r="1708">
      <c r="C1708" s="1" t="n"/>
    </row>
    <row r="1709">
      <c r="C1709" s="1" t="n"/>
    </row>
    <row r="1710">
      <c r="C1710" s="1" t="n"/>
    </row>
    <row r="1711">
      <c r="C1711" s="1" t="n"/>
    </row>
    <row r="1712">
      <c r="C1712" s="1" t="n"/>
    </row>
    <row r="1713">
      <c r="C1713" s="1" t="n"/>
    </row>
    <row r="1714">
      <c r="C1714" s="1" t="n"/>
    </row>
    <row r="1715">
      <c r="C1715" s="1" t="n"/>
    </row>
    <row r="1716">
      <c r="C1716" s="1" t="n"/>
    </row>
    <row r="1717">
      <c r="C1717" s="1" t="n"/>
    </row>
    <row r="1718">
      <c r="C1718" s="1" t="n"/>
    </row>
    <row r="1719">
      <c r="C1719" s="1" t="n"/>
    </row>
    <row r="1720">
      <c r="C1720" s="1" t="n"/>
    </row>
    <row r="1721">
      <c r="C1721" s="1" t="n"/>
    </row>
    <row r="1722">
      <c r="C1722" s="1" t="n"/>
    </row>
    <row r="1723">
      <c r="C1723" s="1" t="n"/>
    </row>
    <row r="1724">
      <c r="C1724" s="1" t="n"/>
    </row>
    <row r="1725">
      <c r="C1725" s="1" t="n"/>
    </row>
    <row r="1726">
      <c r="C1726" s="1" t="n"/>
    </row>
    <row r="1727">
      <c r="C1727" s="1" t="n"/>
    </row>
    <row r="1728">
      <c r="C1728" s="1" t="n"/>
    </row>
    <row r="1729">
      <c r="C1729" s="1" t="n"/>
    </row>
    <row r="1730">
      <c r="C1730" s="1" t="n"/>
    </row>
    <row r="1731">
      <c r="C1731" s="1" t="n"/>
    </row>
    <row r="1732">
      <c r="C1732" s="1" t="n"/>
    </row>
    <row r="1733">
      <c r="C1733" s="1" t="n"/>
    </row>
    <row r="1734">
      <c r="C1734" s="1" t="n"/>
    </row>
    <row r="1735">
      <c r="C1735" s="1" t="n"/>
    </row>
    <row r="1736">
      <c r="C1736" s="1" t="n"/>
    </row>
    <row r="1737">
      <c r="C1737" s="1" t="n"/>
    </row>
    <row r="1738">
      <c r="C1738" s="1" t="n"/>
    </row>
    <row r="1739">
      <c r="C1739" s="1" t="n"/>
    </row>
    <row r="1740">
      <c r="C1740" s="1" t="n"/>
    </row>
    <row r="1741">
      <c r="C1741" s="1" t="n"/>
    </row>
    <row r="1742">
      <c r="C1742" s="1" t="n"/>
    </row>
    <row r="1743">
      <c r="C1743" s="1" t="n"/>
    </row>
    <row r="1744">
      <c r="C1744" s="1" t="n"/>
    </row>
    <row r="1745">
      <c r="C1745" s="1" t="n"/>
    </row>
    <row r="1746">
      <c r="C1746" s="1" t="n"/>
    </row>
    <row r="1747">
      <c r="C1747" s="1" t="n"/>
    </row>
    <row r="1748">
      <c r="C1748" s="1" t="n"/>
    </row>
    <row r="1749">
      <c r="C1749" s="1" t="n"/>
    </row>
    <row r="1750">
      <c r="C1750" s="1" t="n"/>
    </row>
    <row r="1751">
      <c r="C1751" s="1" t="n"/>
    </row>
    <row r="1752">
      <c r="C1752" s="1" t="n"/>
    </row>
    <row r="1753">
      <c r="C1753" s="1" t="n"/>
    </row>
    <row r="1754">
      <c r="C1754" s="1" t="n"/>
    </row>
    <row r="1755">
      <c r="C1755" s="1" t="n"/>
    </row>
    <row r="1756">
      <c r="C1756" s="1" t="n"/>
    </row>
    <row r="1757">
      <c r="C1757" s="1" t="n"/>
    </row>
    <row r="1758">
      <c r="C1758" s="1" t="n"/>
    </row>
    <row r="1759">
      <c r="C1759" s="1" t="n"/>
    </row>
    <row r="1760">
      <c r="C1760" s="1" t="n"/>
    </row>
    <row r="1761">
      <c r="C1761" s="1" t="n"/>
    </row>
    <row r="1762">
      <c r="C1762" s="1" t="n"/>
    </row>
    <row r="1763">
      <c r="C1763" s="1" t="n"/>
    </row>
    <row r="1764">
      <c r="C1764" s="1" t="n"/>
    </row>
    <row r="1765">
      <c r="C1765" s="1" t="n"/>
    </row>
    <row r="1766">
      <c r="C1766" s="1" t="n"/>
    </row>
    <row r="1767">
      <c r="C1767" s="1" t="n"/>
    </row>
    <row r="1768">
      <c r="C1768" s="1" t="n"/>
    </row>
    <row r="1769">
      <c r="C1769" s="1" t="n"/>
    </row>
    <row r="1770">
      <c r="C1770" s="1" t="n"/>
    </row>
    <row r="1771">
      <c r="C1771" s="1" t="n"/>
    </row>
    <row r="1772">
      <c r="C1772" s="1" t="n"/>
    </row>
    <row r="1773">
      <c r="C1773" s="1" t="n"/>
    </row>
    <row r="1774">
      <c r="C1774" s="1" t="n"/>
    </row>
    <row r="1775">
      <c r="C1775" s="1" t="n"/>
    </row>
    <row r="1776">
      <c r="C1776" s="1" t="n"/>
    </row>
    <row r="1777">
      <c r="C1777" s="1" t="n"/>
    </row>
    <row r="1778">
      <c r="C1778" s="1" t="n"/>
    </row>
    <row r="1779">
      <c r="C1779" s="1" t="n"/>
    </row>
    <row r="1780">
      <c r="C1780" s="1" t="n"/>
    </row>
    <row r="1781">
      <c r="C1781" s="1" t="n"/>
    </row>
    <row r="1782">
      <c r="C1782" s="1" t="n"/>
    </row>
    <row r="1783">
      <c r="C1783" s="1" t="n"/>
    </row>
    <row r="1784">
      <c r="C1784" s="1" t="n"/>
    </row>
    <row r="1785">
      <c r="C1785" s="1" t="n"/>
    </row>
    <row r="1786">
      <c r="C1786" s="1" t="n"/>
    </row>
    <row r="1787">
      <c r="C1787" s="1" t="n"/>
    </row>
    <row r="1788">
      <c r="C1788" s="1" t="n"/>
    </row>
    <row r="1789">
      <c r="C1789" s="1" t="n"/>
    </row>
    <row r="1790">
      <c r="C1790" s="1" t="n"/>
    </row>
    <row r="1791">
      <c r="C1791" s="1" t="n"/>
    </row>
    <row r="1792">
      <c r="C1792" s="1" t="n"/>
    </row>
    <row r="1793">
      <c r="C1793" s="1" t="n"/>
    </row>
    <row r="1794">
      <c r="C1794" s="1" t="n"/>
    </row>
    <row r="1795">
      <c r="C1795" s="1" t="n"/>
    </row>
    <row r="1796">
      <c r="C1796" s="1" t="n"/>
    </row>
    <row r="1797">
      <c r="C1797" s="1" t="n"/>
    </row>
    <row r="1798">
      <c r="C1798" s="1" t="n"/>
    </row>
    <row r="1799">
      <c r="C1799" s="1" t="n"/>
    </row>
    <row r="1800">
      <c r="C1800" s="1" t="n"/>
    </row>
    <row r="1801">
      <c r="C1801" s="1" t="n"/>
    </row>
    <row r="1802">
      <c r="C1802" s="1" t="n"/>
    </row>
    <row r="1803">
      <c r="C1803" s="1" t="n"/>
    </row>
    <row r="1804">
      <c r="C1804" s="1" t="n"/>
    </row>
    <row r="1805">
      <c r="C1805" s="1" t="n"/>
    </row>
    <row r="1806">
      <c r="C1806" s="1" t="n"/>
    </row>
    <row r="1807">
      <c r="C1807" s="1" t="n"/>
    </row>
    <row r="1808">
      <c r="C1808" s="1" t="n"/>
    </row>
    <row r="1809">
      <c r="C1809" s="1" t="n"/>
    </row>
    <row r="1810">
      <c r="C1810" s="1" t="n"/>
    </row>
    <row r="1811">
      <c r="C1811" s="1" t="n"/>
    </row>
    <row r="1812">
      <c r="C1812" s="1" t="n"/>
    </row>
    <row r="1813">
      <c r="C1813" s="1" t="n"/>
    </row>
    <row r="1814">
      <c r="C1814" s="1" t="n"/>
    </row>
    <row r="1815">
      <c r="C1815" s="1" t="n"/>
    </row>
    <row r="1816">
      <c r="C1816" s="1" t="n"/>
    </row>
    <row r="1817">
      <c r="C1817" s="1" t="n"/>
    </row>
    <row r="1818">
      <c r="C1818" s="1" t="n"/>
    </row>
    <row r="1819">
      <c r="C1819" s="1" t="n"/>
    </row>
    <row r="1820">
      <c r="C1820" s="1" t="n"/>
    </row>
    <row r="1821">
      <c r="C1821" s="1" t="n"/>
    </row>
    <row r="1822">
      <c r="C1822" s="1" t="n"/>
    </row>
    <row r="1823">
      <c r="C1823" s="1" t="n"/>
    </row>
    <row r="1824">
      <c r="C1824" s="1" t="n"/>
    </row>
    <row r="1825">
      <c r="C1825" s="1" t="n"/>
    </row>
    <row r="1826">
      <c r="C1826" s="1" t="n"/>
    </row>
    <row r="1827">
      <c r="C1827" s="1" t="n"/>
    </row>
    <row r="1828">
      <c r="C1828" s="1" t="n"/>
    </row>
    <row r="1829">
      <c r="C1829" s="1" t="n"/>
    </row>
    <row r="1830">
      <c r="C1830" s="1" t="n"/>
    </row>
    <row r="1831">
      <c r="C1831" s="1" t="n"/>
    </row>
    <row r="1832">
      <c r="C1832" s="1" t="n"/>
    </row>
    <row r="1833">
      <c r="C1833" s="1" t="n"/>
    </row>
    <row r="1834">
      <c r="C1834" s="1" t="n"/>
    </row>
    <row r="1835">
      <c r="C1835" s="1" t="n"/>
    </row>
    <row r="1836">
      <c r="C1836" s="1" t="n"/>
    </row>
    <row r="1837">
      <c r="C1837" s="1" t="n"/>
    </row>
    <row r="1838">
      <c r="C1838" s="1" t="n"/>
    </row>
    <row r="1839">
      <c r="C1839" s="1" t="n"/>
    </row>
    <row r="1840">
      <c r="C1840" s="1" t="n"/>
    </row>
    <row r="1841">
      <c r="C1841" s="1" t="n"/>
    </row>
    <row r="1842">
      <c r="C1842" s="1" t="n"/>
    </row>
    <row r="1843">
      <c r="C1843" s="1" t="n"/>
    </row>
    <row r="1844">
      <c r="C1844" s="1" t="n"/>
    </row>
    <row r="1845">
      <c r="C1845" s="1" t="n"/>
    </row>
    <row r="1846">
      <c r="C1846" s="1" t="n"/>
    </row>
    <row r="1847">
      <c r="C1847" s="1" t="n"/>
    </row>
    <row r="1848">
      <c r="C1848" s="1" t="n"/>
    </row>
    <row r="1849">
      <c r="C1849" s="1" t="n"/>
    </row>
    <row r="1850">
      <c r="C1850" s="1" t="n"/>
    </row>
    <row r="1851">
      <c r="C1851" s="1" t="n"/>
    </row>
    <row r="1852">
      <c r="C1852" s="1" t="n"/>
    </row>
    <row r="1853">
      <c r="C1853" s="1" t="n"/>
    </row>
    <row r="1854">
      <c r="C1854" s="1" t="n"/>
    </row>
    <row r="1855">
      <c r="C1855" s="1" t="n"/>
    </row>
    <row r="1856">
      <c r="C1856" s="1" t="n"/>
    </row>
    <row r="1857">
      <c r="C1857" s="1" t="n"/>
    </row>
    <row r="1858">
      <c r="C1858" s="1" t="n"/>
    </row>
    <row r="1859">
      <c r="C1859" s="1" t="n"/>
    </row>
    <row r="1860">
      <c r="C1860" s="1" t="n"/>
    </row>
    <row r="1861">
      <c r="C1861" s="1" t="n"/>
    </row>
    <row r="1862">
      <c r="C1862" s="1" t="n"/>
    </row>
    <row r="1863">
      <c r="C1863" s="1" t="n"/>
    </row>
    <row r="1864">
      <c r="C1864" s="1" t="n"/>
    </row>
    <row r="1865">
      <c r="C1865" s="1" t="n"/>
    </row>
    <row r="1866">
      <c r="C1866" s="1" t="n"/>
    </row>
    <row r="1867">
      <c r="C1867" s="1" t="n"/>
    </row>
    <row r="1868">
      <c r="C1868" s="1" t="n"/>
    </row>
    <row r="1869">
      <c r="C1869" s="1" t="n"/>
    </row>
    <row r="1870">
      <c r="C1870" s="1" t="n"/>
    </row>
    <row r="1871">
      <c r="C1871" s="1" t="n"/>
    </row>
    <row r="1872">
      <c r="C1872" s="1" t="n"/>
    </row>
    <row r="1873">
      <c r="C1873" s="1" t="n"/>
    </row>
    <row r="1874">
      <c r="C1874" s="1" t="n"/>
    </row>
    <row r="1875">
      <c r="C1875" s="1" t="n"/>
    </row>
    <row r="1876">
      <c r="C1876" s="1" t="n"/>
    </row>
    <row r="1877">
      <c r="C1877" s="1" t="n"/>
    </row>
    <row r="1878">
      <c r="C1878" s="1" t="n"/>
    </row>
    <row r="1879">
      <c r="C1879" s="1" t="n"/>
    </row>
    <row r="1880">
      <c r="C1880" s="1" t="n"/>
    </row>
    <row r="1881">
      <c r="C1881" s="1" t="n"/>
    </row>
    <row r="1882">
      <c r="C1882" s="1" t="n"/>
    </row>
    <row r="1883">
      <c r="C1883" s="1" t="n"/>
    </row>
    <row r="1884">
      <c r="C1884" s="1" t="n"/>
    </row>
    <row r="1885">
      <c r="C1885" s="1" t="n"/>
    </row>
    <row r="1886">
      <c r="C1886" s="1" t="n"/>
    </row>
    <row r="1887">
      <c r="C1887" s="1" t="n"/>
    </row>
    <row r="1888">
      <c r="C1888" s="1" t="n"/>
    </row>
    <row r="1889">
      <c r="C1889" s="1" t="n"/>
    </row>
    <row r="1890">
      <c r="C1890" s="1" t="n"/>
    </row>
    <row r="1891">
      <c r="C1891" s="1" t="n"/>
    </row>
    <row r="1892">
      <c r="C1892" s="1" t="n"/>
    </row>
    <row r="1893">
      <c r="C1893" s="1" t="n"/>
    </row>
    <row r="1894">
      <c r="C1894" s="1" t="n"/>
    </row>
    <row r="1895">
      <c r="C1895" s="1" t="n"/>
    </row>
    <row r="1896">
      <c r="C1896" s="1" t="n"/>
    </row>
    <row r="1897">
      <c r="C1897" s="1" t="n"/>
    </row>
    <row r="1898">
      <c r="C1898" s="1" t="n"/>
    </row>
    <row r="1899">
      <c r="C1899" s="1" t="n"/>
    </row>
    <row r="1900">
      <c r="C1900" s="1" t="n"/>
    </row>
    <row r="1901">
      <c r="C1901" s="1" t="n"/>
    </row>
    <row r="1902">
      <c r="C1902" s="1" t="n"/>
    </row>
    <row r="1903">
      <c r="C1903" s="1" t="n"/>
    </row>
    <row r="1904">
      <c r="C1904" s="1" t="n"/>
    </row>
    <row r="1905">
      <c r="C1905" s="1" t="n"/>
    </row>
    <row r="1906">
      <c r="C1906" s="1" t="n"/>
    </row>
    <row r="1907">
      <c r="C1907" s="1" t="n"/>
    </row>
    <row r="1908">
      <c r="C1908" s="1" t="n"/>
    </row>
    <row r="1909">
      <c r="C1909" s="1" t="n"/>
    </row>
    <row r="1910">
      <c r="C1910" s="1" t="n"/>
    </row>
    <row r="1911">
      <c r="C1911" s="1" t="n"/>
    </row>
    <row r="1912">
      <c r="C1912" s="1" t="n"/>
    </row>
    <row r="1913">
      <c r="C1913" s="1" t="n"/>
    </row>
    <row r="1914">
      <c r="C1914" s="1" t="n"/>
    </row>
    <row r="1915">
      <c r="C1915" s="1" t="n"/>
    </row>
    <row r="1916">
      <c r="C1916" s="1" t="n"/>
    </row>
    <row r="1917">
      <c r="C1917" s="1" t="n"/>
    </row>
    <row r="1918">
      <c r="C1918" s="1" t="n"/>
    </row>
    <row r="1919">
      <c r="C1919" s="1" t="n"/>
    </row>
    <row r="1920">
      <c r="C1920" s="1" t="n"/>
    </row>
    <row r="1921">
      <c r="C1921" s="1" t="n"/>
    </row>
    <row r="1922">
      <c r="C1922" s="1" t="n"/>
    </row>
    <row r="1923">
      <c r="C1923" s="1" t="n"/>
    </row>
    <row r="1924">
      <c r="C1924" s="1" t="n"/>
    </row>
    <row r="1925">
      <c r="C1925" s="1" t="n"/>
    </row>
    <row r="1926">
      <c r="C1926" s="1" t="n"/>
    </row>
    <row r="1927">
      <c r="C1927" s="1" t="n"/>
    </row>
    <row r="1928">
      <c r="C1928" s="1" t="n"/>
    </row>
    <row r="1929">
      <c r="C1929" s="1" t="n"/>
    </row>
    <row r="1930">
      <c r="C1930" s="1" t="n"/>
    </row>
    <row r="1931">
      <c r="C1931" s="1" t="n"/>
    </row>
    <row r="1932">
      <c r="C1932" s="1" t="n"/>
    </row>
    <row r="1933">
      <c r="C1933" s="1" t="n"/>
    </row>
    <row r="1934">
      <c r="C1934" s="1" t="n"/>
    </row>
    <row r="1935">
      <c r="C1935" s="1" t="n"/>
    </row>
    <row r="1936">
      <c r="C1936" s="1" t="n"/>
    </row>
    <row r="1937">
      <c r="C1937" s="1" t="n"/>
    </row>
    <row r="1938">
      <c r="C1938" s="1" t="n"/>
    </row>
    <row r="1939">
      <c r="C1939" s="1" t="n"/>
    </row>
    <row r="1940">
      <c r="C1940" s="1" t="n"/>
    </row>
    <row r="1941">
      <c r="C1941" s="1" t="n"/>
    </row>
    <row r="1942">
      <c r="C1942" s="1" t="n"/>
    </row>
    <row r="1943">
      <c r="C1943" s="1" t="n"/>
    </row>
    <row r="1944">
      <c r="C1944" s="1" t="n"/>
    </row>
    <row r="1945">
      <c r="C1945" s="1" t="n"/>
    </row>
    <row r="1946">
      <c r="C1946" s="1" t="n"/>
    </row>
    <row r="1947">
      <c r="C1947" s="1" t="n"/>
    </row>
    <row r="1948">
      <c r="C1948" s="1" t="n"/>
    </row>
    <row r="1949">
      <c r="C1949" s="1" t="n"/>
    </row>
    <row r="1950">
      <c r="C1950" s="1" t="n"/>
    </row>
    <row r="1951">
      <c r="C1951" s="1" t="n"/>
    </row>
    <row r="1952">
      <c r="C1952" s="1" t="n"/>
    </row>
    <row r="1953">
      <c r="C1953" s="1" t="n"/>
    </row>
    <row r="1954">
      <c r="C1954" s="1" t="n"/>
    </row>
    <row r="1955">
      <c r="C1955" s="1" t="n"/>
    </row>
    <row r="1956">
      <c r="C1956" s="1" t="n"/>
    </row>
    <row r="1957">
      <c r="C1957" s="1" t="n"/>
    </row>
    <row r="1958">
      <c r="C1958" s="1" t="n"/>
    </row>
    <row r="1959">
      <c r="C1959" s="1" t="n"/>
    </row>
    <row r="1960">
      <c r="C1960" s="1" t="n"/>
    </row>
    <row r="1961">
      <c r="C1961" s="1" t="n"/>
    </row>
    <row r="1962">
      <c r="C1962" s="1" t="n"/>
    </row>
    <row r="1963">
      <c r="C1963" s="1" t="n"/>
    </row>
    <row r="1964">
      <c r="C1964" s="1" t="n"/>
    </row>
    <row r="1965">
      <c r="C1965" s="1" t="n"/>
    </row>
    <row r="1966">
      <c r="C1966" s="1" t="n"/>
    </row>
    <row r="1967">
      <c r="C1967" s="1" t="n"/>
    </row>
    <row r="1968">
      <c r="C1968" s="1" t="n"/>
    </row>
    <row r="1969">
      <c r="C1969" s="1" t="n"/>
    </row>
    <row r="1970">
      <c r="C1970" s="1" t="n"/>
    </row>
    <row r="1971">
      <c r="C1971" s="1" t="n"/>
    </row>
    <row r="1972">
      <c r="C1972" s="1" t="n"/>
    </row>
    <row r="1973">
      <c r="C1973" s="1" t="n"/>
    </row>
    <row r="1974">
      <c r="C1974" s="1" t="n"/>
    </row>
    <row r="1975">
      <c r="C1975" s="1" t="n"/>
    </row>
    <row r="1976">
      <c r="C1976" s="1" t="n"/>
    </row>
    <row r="1977">
      <c r="C1977" s="1" t="n"/>
    </row>
    <row r="1978">
      <c r="C1978" s="1" t="n"/>
    </row>
    <row r="1979">
      <c r="C1979" s="1" t="n"/>
    </row>
    <row r="1980">
      <c r="C1980" s="1" t="n"/>
    </row>
    <row r="1981">
      <c r="C1981" s="1" t="n"/>
    </row>
    <row r="1982">
      <c r="C1982" s="1" t="n"/>
    </row>
    <row r="1983">
      <c r="C1983" s="1" t="n"/>
    </row>
    <row r="1984">
      <c r="C1984" s="1" t="n"/>
    </row>
    <row r="1985">
      <c r="C1985" s="1" t="n"/>
    </row>
    <row r="1986">
      <c r="C1986" s="1" t="n"/>
    </row>
    <row r="1987">
      <c r="C1987" s="1" t="n"/>
    </row>
    <row r="1988">
      <c r="C1988" s="1" t="n"/>
    </row>
    <row r="1989">
      <c r="C1989" s="1" t="n"/>
    </row>
    <row r="1990">
      <c r="C1990" s="1" t="n"/>
    </row>
    <row r="1991">
      <c r="C1991" s="1" t="n"/>
    </row>
    <row r="1992">
      <c r="C1992" s="1" t="n"/>
    </row>
    <row r="1993">
      <c r="C1993" s="1" t="n"/>
    </row>
    <row r="1994">
      <c r="C1994" s="1" t="n"/>
    </row>
    <row r="1995">
      <c r="C1995" s="1" t="n"/>
    </row>
    <row r="1996">
      <c r="C1996" s="1" t="n"/>
    </row>
    <row r="1997">
      <c r="C1997" s="1" t="n"/>
    </row>
    <row r="1998">
      <c r="C1998" s="1" t="n"/>
    </row>
    <row r="1999">
      <c r="C1999" s="1" t="n"/>
    </row>
    <row r="2000">
      <c r="C2000" s="1" t="n"/>
    </row>
    <row r="2001">
      <c r="C2001" s="1" t="n"/>
    </row>
    <row r="2002">
      <c r="C2002" s="1" t="n"/>
    </row>
    <row r="2003">
      <c r="C2003" s="1" t="n"/>
    </row>
    <row r="2004">
      <c r="C2004" s="1" t="n"/>
    </row>
    <row r="2005">
      <c r="C2005" s="1" t="n"/>
    </row>
    <row r="2006">
      <c r="C2006" s="1" t="n"/>
    </row>
    <row r="2007">
      <c r="C2007" s="1" t="n"/>
    </row>
    <row r="2008">
      <c r="C2008" s="1" t="n"/>
    </row>
    <row r="2009">
      <c r="C2009" s="1" t="n"/>
    </row>
    <row r="2010">
      <c r="C2010" s="1" t="n"/>
    </row>
    <row r="2011">
      <c r="C2011" s="1" t="n"/>
    </row>
    <row r="2012">
      <c r="C2012" s="1" t="n"/>
    </row>
    <row r="2013">
      <c r="C2013" s="1" t="n"/>
    </row>
    <row r="2014">
      <c r="C2014" s="1" t="n"/>
    </row>
    <row r="2015">
      <c r="C2015" s="1" t="n"/>
    </row>
    <row r="2016">
      <c r="C2016" s="1" t="n"/>
    </row>
    <row r="2017">
      <c r="C2017" s="1" t="n"/>
    </row>
    <row r="2018">
      <c r="C2018" s="1" t="n"/>
    </row>
    <row r="2019">
      <c r="C2019" s="1" t="n"/>
    </row>
    <row r="2020">
      <c r="C2020" s="1" t="n"/>
    </row>
    <row r="2021">
      <c r="C2021" s="1" t="n"/>
    </row>
    <row r="2022">
      <c r="C2022" s="1" t="n"/>
    </row>
    <row r="2023">
      <c r="C2023" s="1" t="n"/>
    </row>
    <row r="2024">
      <c r="C2024" s="1" t="n"/>
    </row>
    <row r="2025">
      <c r="C2025" s="1" t="n"/>
    </row>
    <row r="2026">
      <c r="C2026" s="1" t="n"/>
    </row>
    <row r="2027">
      <c r="C2027" s="1" t="n"/>
    </row>
    <row r="2028">
      <c r="C2028" s="1" t="n"/>
    </row>
    <row r="2029">
      <c r="C2029" s="1" t="n"/>
    </row>
    <row r="2030">
      <c r="C2030" s="1" t="n"/>
    </row>
    <row r="2031">
      <c r="C2031" s="1" t="n"/>
    </row>
    <row r="2032">
      <c r="C2032" s="1" t="n"/>
    </row>
    <row r="2033">
      <c r="C2033" s="1" t="n"/>
    </row>
    <row r="2034">
      <c r="C2034" s="1" t="n"/>
    </row>
    <row r="2035">
      <c r="C2035" s="1" t="n"/>
    </row>
    <row r="2036">
      <c r="C2036" s="1" t="n"/>
    </row>
    <row r="2037">
      <c r="C2037" s="1" t="n"/>
    </row>
    <row r="2038">
      <c r="C2038" s="1" t="n"/>
    </row>
    <row r="2039">
      <c r="C2039" s="1" t="n"/>
    </row>
    <row r="2040">
      <c r="C2040" s="1" t="n"/>
    </row>
    <row r="2041">
      <c r="C2041" s="1" t="n"/>
    </row>
    <row r="2042">
      <c r="C2042" s="1" t="n"/>
    </row>
    <row r="2043">
      <c r="C2043" s="1" t="n"/>
    </row>
    <row r="2044">
      <c r="C2044" s="1" t="n"/>
    </row>
    <row r="2045">
      <c r="C2045" s="1" t="n"/>
    </row>
    <row r="2046">
      <c r="C2046" s="1" t="n"/>
    </row>
    <row r="2047">
      <c r="C2047" s="1" t="n"/>
    </row>
    <row r="2048">
      <c r="C2048" s="1" t="n"/>
    </row>
    <row r="2049">
      <c r="C2049" s="1" t="n"/>
    </row>
    <row r="2050">
      <c r="C2050" s="1" t="n"/>
    </row>
    <row r="2051">
      <c r="C2051" s="1" t="n"/>
    </row>
    <row r="2052">
      <c r="C2052" s="1" t="n"/>
    </row>
    <row r="2053">
      <c r="C2053" s="1" t="n"/>
    </row>
    <row r="2054">
      <c r="C2054" s="1" t="n"/>
    </row>
    <row r="2055">
      <c r="C2055" s="1" t="n"/>
    </row>
    <row r="2056">
      <c r="C2056" s="1" t="n"/>
    </row>
    <row r="2057">
      <c r="C2057" s="1" t="n"/>
    </row>
    <row r="2058">
      <c r="C2058" s="1" t="n"/>
    </row>
    <row r="2059">
      <c r="C2059" s="1" t="n"/>
    </row>
    <row r="2060">
      <c r="C2060" s="1" t="n"/>
    </row>
    <row r="2061">
      <c r="C2061" s="1" t="n"/>
    </row>
    <row r="2062">
      <c r="C2062" s="1" t="n"/>
    </row>
    <row r="2063">
      <c r="C2063" s="1" t="n"/>
    </row>
    <row r="2064">
      <c r="C2064" s="1" t="n"/>
    </row>
    <row r="2065">
      <c r="C2065" s="1" t="n"/>
    </row>
    <row r="2066">
      <c r="C2066" s="1" t="n"/>
    </row>
    <row r="2067">
      <c r="C2067" s="1" t="n"/>
    </row>
    <row r="2068">
      <c r="C2068" s="1" t="n"/>
    </row>
    <row r="2069">
      <c r="C2069" s="1" t="n"/>
    </row>
    <row r="2070">
      <c r="C2070" s="1" t="n"/>
    </row>
    <row r="2071">
      <c r="C2071" s="1" t="n"/>
    </row>
    <row r="2072">
      <c r="C2072" s="1" t="n"/>
    </row>
    <row r="2073">
      <c r="C2073" s="1" t="n"/>
    </row>
    <row r="2074">
      <c r="C2074" s="1" t="n"/>
    </row>
    <row r="2075">
      <c r="C2075" s="1" t="n"/>
    </row>
    <row r="2076">
      <c r="C2076" s="1" t="n"/>
    </row>
    <row r="2077">
      <c r="C2077" s="1" t="n"/>
    </row>
    <row r="2078">
      <c r="C2078" s="1" t="n"/>
    </row>
    <row r="2079">
      <c r="C2079" s="1" t="n"/>
    </row>
    <row r="2080">
      <c r="C2080" s="1" t="n"/>
    </row>
    <row r="2081">
      <c r="C2081" s="1" t="n"/>
    </row>
    <row r="2082">
      <c r="C2082" s="1" t="n"/>
    </row>
    <row r="2083">
      <c r="C2083" s="1" t="n"/>
    </row>
    <row r="2084">
      <c r="C2084" s="1" t="n"/>
    </row>
    <row r="2085">
      <c r="C2085" s="1" t="n"/>
    </row>
    <row r="2086">
      <c r="C2086" s="1" t="n"/>
    </row>
    <row r="2087">
      <c r="C2087" s="1" t="n"/>
    </row>
    <row r="2088">
      <c r="C2088" s="1" t="n"/>
    </row>
    <row r="2089">
      <c r="C2089" s="1" t="n"/>
    </row>
    <row r="2090">
      <c r="C2090" s="1" t="n"/>
    </row>
    <row r="2091">
      <c r="C2091" s="1" t="n"/>
    </row>
    <row r="2092">
      <c r="C2092" s="1" t="n"/>
    </row>
    <row r="2093">
      <c r="C2093" s="1" t="n"/>
    </row>
    <row r="2094">
      <c r="C2094" s="1" t="n"/>
    </row>
    <row r="2095">
      <c r="C2095" s="1" t="n"/>
    </row>
    <row r="2096">
      <c r="C2096" s="1" t="n"/>
    </row>
    <row r="2097">
      <c r="C2097" s="1" t="n"/>
    </row>
    <row r="2098">
      <c r="C2098" s="1" t="n"/>
    </row>
    <row r="2099">
      <c r="C2099" s="1" t="n"/>
    </row>
    <row r="2100">
      <c r="C2100" s="1" t="n"/>
    </row>
    <row r="2101">
      <c r="C2101" s="1" t="n"/>
    </row>
    <row r="2102">
      <c r="C2102" s="1" t="n"/>
    </row>
    <row r="2103">
      <c r="C2103" s="1" t="n"/>
    </row>
    <row r="2104">
      <c r="C2104" s="1" t="n"/>
    </row>
    <row r="2105">
      <c r="C2105" s="1" t="n"/>
    </row>
    <row r="2106">
      <c r="C2106" s="1" t="n"/>
    </row>
    <row r="2107">
      <c r="C2107" s="1" t="n"/>
    </row>
    <row r="2108">
      <c r="C2108" s="1" t="n"/>
    </row>
    <row r="2109">
      <c r="C2109" s="1" t="n"/>
    </row>
    <row r="2110">
      <c r="C2110" s="1" t="n"/>
    </row>
    <row r="2111">
      <c r="C2111" s="1" t="n"/>
    </row>
    <row r="2112">
      <c r="C2112" s="1" t="n"/>
    </row>
    <row r="2113">
      <c r="C2113" s="1" t="n"/>
    </row>
    <row r="2114">
      <c r="C2114" s="1" t="n"/>
    </row>
    <row r="2115">
      <c r="C2115" s="1" t="n"/>
    </row>
    <row r="2116">
      <c r="C2116" s="1" t="n"/>
    </row>
    <row r="2117">
      <c r="C2117" s="1" t="n"/>
    </row>
    <row r="2118">
      <c r="C2118" s="1" t="n"/>
    </row>
    <row r="2119">
      <c r="C2119" s="1" t="n"/>
    </row>
    <row r="2120">
      <c r="C2120" s="1" t="n"/>
    </row>
    <row r="2121">
      <c r="C2121" s="1" t="n"/>
    </row>
    <row r="2122">
      <c r="C2122" s="1" t="n"/>
    </row>
    <row r="2123">
      <c r="C2123" s="1" t="n"/>
    </row>
    <row r="2124">
      <c r="C2124" s="1" t="n"/>
    </row>
    <row r="2125">
      <c r="C2125" s="1" t="n"/>
    </row>
    <row r="2126">
      <c r="C2126" s="1" t="n"/>
    </row>
    <row r="2127">
      <c r="C2127" s="1" t="n"/>
    </row>
    <row r="2128">
      <c r="C2128" s="1" t="n"/>
    </row>
    <row r="2129">
      <c r="C2129" s="1" t="n"/>
    </row>
    <row r="2130">
      <c r="C2130" s="1" t="n"/>
    </row>
    <row r="2131">
      <c r="C2131" s="1" t="n"/>
    </row>
    <row r="2132">
      <c r="C2132" s="1" t="n"/>
    </row>
    <row r="2133">
      <c r="C2133" s="1" t="n"/>
    </row>
    <row r="2134">
      <c r="C2134" s="1" t="n"/>
    </row>
    <row r="2135">
      <c r="C2135" s="1" t="n"/>
    </row>
    <row r="2136">
      <c r="C2136" s="1" t="n"/>
    </row>
    <row r="2137">
      <c r="C2137" s="1" t="n"/>
    </row>
    <row r="2138">
      <c r="C2138" s="1" t="n"/>
    </row>
    <row r="2139">
      <c r="C2139" s="1" t="n"/>
    </row>
    <row r="2140">
      <c r="C2140" s="1" t="n"/>
    </row>
    <row r="2141">
      <c r="C2141" s="1" t="n"/>
    </row>
    <row r="2142">
      <c r="C2142" s="1" t="n"/>
    </row>
    <row r="2143">
      <c r="C2143" s="1" t="n"/>
    </row>
    <row r="2144">
      <c r="C2144" s="1" t="n"/>
    </row>
    <row r="2145">
      <c r="C2145" s="1" t="n"/>
    </row>
    <row r="2146">
      <c r="C2146" s="1" t="n"/>
    </row>
    <row r="2147">
      <c r="C2147" s="1" t="n"/>
    </row>
    <row r="2148">
      <c r="C2148" s="1" t="n"/>
    </row>
    <row r="2149">
      <c r="C2149" s="1" t="n"/>
    </row>
    <row r="2150">
      <c r="C2150" s="1" t="n"/>
    </row>
    <row r="2151">
      <c r="C2151" s="1" t="n"/>
    </row>
    <row r="2152">
      <c r="C2152" s="1" t="n"/>
    </row>
    <row r="2153">
      <c r="C2153" s="1" t="n"/>
    </row>
    <row r="2154">
      <c r="C2154" s="1" t="n"/>
    </row>
    <row r="2155">
      <c r="C2155" s="1" t="n"/>
    </row>
    <row r="2156">
      <c r="C2156" s="1" t="n"/>
    </row>
    <row r="2157">
      <c r="C2157" s="1" t="n"/>
    </row>
    <row r="2158">
      <c r="C2158" s="1" t="n"/>
    </row>
    <row r="2159">
      <c r="C2159" s="1" t="n"/>
    </row>
    <row r="2160">
      <c r="C2160" s="1" t="n"/>
    </row>
    <row r="2161">
      <c r="C2161" s="1" t="n"/>
    </row>
    <row r="2162">
      <c r="C2162" s="1" t="n"/>
    </row>
    <row r="2163">
      <c r="C2163" s="1" t="n"/>
    </row>
    <row r="2164">
      <c r="C2164" s="1" t="n"/>
    </row>
    <row r="2165">
      <c r="C2165" s="1" t="n"/>
    </row>
    <row r="2166">
      <c r="C2166" s="1" t="n"/>
    </row>
    <row r="2167">
      <c r="C2167" s="1" t="n"/>
    </row>
    <row r="2168">
      <c r="C2168" s="1" t="n"/>
    </row>
    <row r="2169">
      <c r="C2169" s="1" t="n"/>
    </row>
    <row r="2170">
      <c r="C2170" s="1" t="n"/>
    </row>
    <row r="2171">
      <c r="C2171" s="1" t="n"/>
    </row>
    <row r="2172">
      <c r="C2172" s="1" t="n"/>
    </row>
    <row r="2173">
      <c r="C2173" s="1" t="n"/>
    </row>
    <row r="2174">
      <c r="C2174" s="1" t="n"/>
    </row>
    <row r="2175">
      <c r="C2175" s="1" t="n"/>
    </row>
    <row r="2176">
      <c r="C2176" s="1" t="n"/>
    </row>
    <row r="2177">
      <c r="C2177" s="1" t="n"/>
    </row>
    <row r="2178">
      <c r="C2178" s="1" t="n"/>
    </row>
    <row r="2179">
      <c r="C2179" s="1" t="n"/>
    </row>
    <row r="2180">
      <c r="C2180" s="1" t="n"/>
    </row>
    <row r="2181">
      <c r="C2181" s="1" t="n"/>
    </row>
    <row r="2182">
      <c r="C2182" s="1" t="n"/>
    </row>
    <row r="2183">
      <c r="C2183" s="1" t="n"/>
    </row>
    <row r="2184">
      <c r="C2184" s="1" t="n"/>
    </row>
    <row r="2185">
      <c r="C2185" s="1" t="n"/>
    </row>
    <row r="2186">
      <c r="C2186" s="1" t="n"/>
    </row>
    <row r="2187">
      <c r="C2187" s="1" t="n"/>
    </row>
    <row r="2188">
      <c r="C2188" s="1" t="n"/>
    </row>
    <row r="2189">
      <c r="C2189" s="1" t="n"/>
    </row>
    <row r="2190">
      <c r="C2190" s="1" t="n"/>
    </row>
    <row r="2191">
      <c r="C2191" s="1" t="n"/>
    </row>
    <row r="2192">
      <c r="C2192" s="1" t="n"/>
    </row>
    <row r="2193">
      <c r="C2193" s="1" t="n"/>
    </row>
    <row r="2194">
      <c r="C2194" s="1" t="n"/>
    </row>
    <row r="2195">
      <c r="C2195" s="1" t="n"/>
    </row>
    <row r="2196">
      <c r="C2196" s="1" t="n"/>
    </row>
    <row r="2197">
      <c r="C2197" s="1" t="n"/>
    </row>
    <row r="2198">
      <c r="C2198" s="1" t="n"/>
    </row>
    <row r="2199">
      <c r="C2199" s="1" t="n"/>
    </row>
    <row r="2200">
      <c r="C2200" s="1" t="n"/>
    </row>
    <row r="2201">
      <c r="C2201" s="1" t="n"/>
    </row>
    <row r="2202">
      <c r="C2202" s="1" t="n"/>
    </row>
    <row r="2203">
      <c r="C2203" s="1" t="n"/>
    </row>
    <row r="2204">
      <c r="C2204" s="1" t="n"/>
    </row>
    <row r="2205">
      <c r="C2205" s="1" t="n"/>
    </row>
    <row r="2206">
      <c r="C2206" s="1" t="n"/>
    </row>
    <row r="2207">
      <c r="C2207" s="1" t="n"/>
    </row>
    <row r="2208">
      <c r="C2208" s="1" t="n"/>
    </row>
    <row r="2209">
      <c r="C2209" s="1" t="n"/>
    </row>
    <row r="2210">
      <c r="C2210" s="1" t="n"/>
    </row>
    <row r="2211">
      <c r="C2211" s="1" t="n"/>
    </row>
    <row r="2212">
      <c r="C2212" s="1" t="n"/>
    </row>
    <row r="2213">
      <c r="C2213" s="1" t="n"/>
    </row>
    <row r="2214">
      <c r="C2214" s="1" t="n"/>
    </row>
    <row r="2215">
      <c r="C2215" s="1" t="n"/>
    </row>
    <row r="2216">
      <c r="C2216" s="1" t="n"/>
    </row>
    <row r="2217">
      <c r="C2217" s="1" t="n"/>
    </row>
    <row r="2218">
      <c r="C2218" s="1" t="n"/>
    </row>
    <row r="2219">
      <c r="C2219" s="1" t="n"/>
    </row>
    <row r="2220">
      <c r="C2220" s="1" t="n"/>
    </row>
    <row r="2221">
      <c r="C2221" s="1" t="n"/>
    </row>
    <row r="2222">
      <c r="C2222" s="1" t="n"/>
    </row>
    <row r="2223">
      <c r="C2223" s="1" t="n"/>
    </row>
    <row r="2224">
      <c r="C2224" s="1" t="n"/>
    </row>
    <row r="2225">
      <c r="C2225" s="1" t="n"/>
    </row>
    <row r="2226">
      <c r="C2226" s="1" t="n"/>
    </row>
    <row r="2227">
      <c r="C2227" s="1" t="n"/>
    </row>
    <row r="2228">
      <c r="C2228" s="1" t="n"/>
    </row>
    <row r="2229">
      <c r="C2229" s="1" t="n"/>
    </row>
    <row r="2230">
      <c r="C2230" s="1" t="n"/>
    </row>
    <row r="2231">
      <c r="C2231" s="1" t="n"/>
    </row>
    <row r="2232">
      <c r="C2232" s="1" t="n"/>
    </row>
    <row r="2233">
      <c r="C2233" s="1" t="n"/>
    </row>
    <row r="2234">
      <c r="C2234" s="1" t="n"/>
    </row>
    <row r="2235">
      <c r="C2235" s="1" t="n"/>
    </row>
    <row r="2236">
      <c r="C2236" s="1" t="n"/>
    </row>
    <row r="2237">
      <c r="C2237" s="1" t="n"/>
    </row>
    <row r="2238">
      <c r="C2238" s="1" t="n"/>
    </row>
    <row r="2239">
      <c r="C2239" s="1" t="n"/>
    </row>
    <row r="2240">
      <c r="C2240" s="1" t="n"/>
    </row>
    <row r="2241">
      <c r="C2241" s="1" t="n"/>
    </row>
    <row r="2242">
      <c r="C2242" s="1" t="n"/>
    </row>
    <row r="2243">
      <c r="C2243" s="1" t="n"/>
    </row>
    <row r="2244">
      <c r="C2244" s="1" t="n"/>
    </row>
    <row r="2245">
      <c r="C2245" s="1" t="n"/>
    </row>
    <row r="2246">
      <c r="C2246" s="1" t="n"/>
    </row>
    <row r="2247">
      <c r="C2247" s="1" t="n"/>
    </row>
    <row r="2248">
      <c r="C2248" s="1" t="n"/>
    </row>
    <row r="2249">
      <c r="C2249" s="1" t="n"/>
    </row>
    <row r="2250">
      <c r="C2250" s="1" t="n"/>
    </row>
    <row r="2251">
      <c r="C2251" s="1" t="n"/>
    </row>
    <row r="2252">
      <c r="C2252" s="1" t="n"/>
    </row>
    <row r="2253">
      <c r="C2253" s="1" t="n"/>
    </row>
    <row r="2254">
      <c r="C2254" s="1" t="n"/>
    </row>
    <row r="2255">
      <c r="C2255" s="1" t="n"/>
    </row>
    <row r="2256">
      <c r="C2256" s="1" t="n"/>
    </row>
    <row r="2257">
      <c r="C2257" s="1" t="n"/>
    </row>
    <row r="2258">
      <c r="C2258" s="1" t="n"/>
    </row>
    <row r="2259">
      <c r="C2259" s="1" t="n"/>
    </row>
    <row r="2260">
      <c r="C2260" s="1" t="n"/>
    </row>
    <row r="2261">
      <c r="C2261" s="1" t="n"/>
    </row>
    <row r="2262">
      <c r="C2262" s="1" t="n"/>
    </row>
    <row r="2263">
      <c r="C2263" s="1" t="n"/>
    </row>
    <row r="2264">
      <c r="C2264" s="1" t="n"/>
    </row>
    <row r="2265">
      <c r="C2265" s="1" t="n"/>
    </row>
    <row r="2266">
      <c r="C2266" s="1" t="n"/>
    </row>
    <row r="2267">
      <c r="C2267" s="1" t="n"/>
    </row>
    <row r="2268">
      <c r="C2268" s="1" t="n"/>
    </row>
    <row r="2269">
      <c r="C2269" s="1" t="n"/>
    </row>
    <row r="2270">
      <c r="C2270" s="1" t="n"/>
    </row>
    <row r="2271">
      <c r="C2271" s="1" t="n"/>
    </row>
    <row r="2272">
      <c r="C2272" s="1" t="n"/>
    </row>
    <row r="2273">
      <c r="C2273" s="1" t="n"/>
    </row>
    <row r="2274">
      <c r="C2274" s="1" t="n"/>
    </row>
    <row r="2275">
      <c r="C2275" s="1" t="n"/>
    </row>
    <row r="2276">
      <c r="C2276" s="1" t="n"/>
    </row>
    <row r="2277">
      <c r="C2277" s="1" t="n"/>
    </row>
    <row r="2278">
      <c r="C2278" s="1" t="n"/>
    </row>
    <row r="2279">
      <c r="C2279" s="1" t="n"/>
    </row>
    <row r="2280">
      <c r="C2280" s="1" t="n"/>
    </row>
    <row r="2281">
      <c r="C2281" s="1" t="n"/>
    </row>
    <row r="2282">
      <c r="C2282" s="1" t="n"/>
    </row>
    <row r="2283">
      <c r="C2283" s="1" t="n"/>
    </row>
    <row r="2284">
      <c r="C2284" s="1" t="n"/>
    </row>
    <row r="2285">
      <c r="C2285" s="1" t="n"/>
    </row>
    <row r="2286">
      <c r="C2286" s="1" t="n"/>
    </row>
    <row r="2287">
      <c r="C2287" s="1" t="n"/>
    </row>
    <row r="2288">
      <c r="C2288" s="1" t="n"/>
    </row>
    <row r="2289">
      <c r="C2289" s="1" t="n"/>
    </row>
    <row r="2290">
      <c r="C2290" s="1" t="n"/>
    </row>
    <row r="2291">
      <c r="C2291" s="1" t="n"/>
    </row>
    <row r="2292">
      <c r="C2292" s="1" t="n"/>
    </row>
    <row r="2293">
      <c r="C2293" s="1" t="n"/>
    </row>
    <row r="2294">
      <c r="C2294" s="1" t="n"/>
    </row>
    <row r="2295">
      <c r="C2295" s="1" t="n"/>
    </row>
    <row r="2296">
      <c r="C2296" s="1" t="n"/>
    </row>
    <row r="2297">
      <c r="C2297" s="1" t="n"/>
    </row>
    <row r="2298">
      <c r="C2298" s="1" t="n"/>
    </row>
    <row r="2299">
      <c r="C2299" s="1" t="n"/>
    </row>
    <row r="2300">
      <c r="C2300" s="1" t="n"/>
    </row>
    <row r="2301">
      <c r="C2301" s="1" t="n"/>
    </row>
    <row r="2302">
      <c r="C2302" s="1" t="n"/>
    </row>
    <row r="2303">
      <c r="C2303" s="1" t="n"/>
    </row>
    <row r="2304">
      <c r="C2304" s="1" t="n"/>
    </row>
    <row r="2305">
      <c r="C2305" s="1" t="n"/>
    </row>
    <row r="2306">
      <c r="C2306" s="1" t="n"/>
    </row>
    <row r="2307">
      <c r="C2307" s="1" t="n"/>
    </row>
    <row r="2308">
      <c r="C2308" s="1" t="n"/>
    </row>
    <row r="2309">
      <c r="C2309" s="1" t="n"/>
    </row>
    <row r="2310">
      <c r="C2310" s="1" t="n"/>
    </row>
    <row r="2311">
      <c r="C2311" s="1" t="n"/>
    </row>
    <row r="2312">
      <c r="C2312" s="1" t="n"/>
    </row>
    <row r="2313">
      <c r="C2313" s="1" t="n"/>
    </row>
    <row r="2314">
      <c r="C2314" s="1" t="n"/>
    </row>
    <row r="2315">
      <c r="C2315" s="1" t="n"/>
    </row>
    <row r="2316">
      <c r="C2316" s="1" t="n"/>
    </row>
    <row r="2317">
      <c r="C2317" s="1" t="n"/>
    </row>
    <row r="2318">
      <c r="C2318" s="1" t="n"/>
    </row>
    <row r="2319">
      <c r="C2319" s="1" t="n"/>
    </row>
    <row r="2320">
      <c r="C2320" s="1" t="n"/>
    </row>
    <row r="2321">
      <c r="C2321" s="1" t="n"/>
    </row>
    <row r="2322">
      <c r="C2322" s="1" t="n"/>
    </row>
    <row r="2323">
      <c r="C2323" s="1" t="n"/>
    </row>
    <row r="2324">
      <c r="C2324" s="1" t="n"/>
    </row>
    <row r="2325">
      <c r="C2325" s="1" t="n"/>
    </row>
    <row r="2326">
      <c r="C2326" s="1" t="n"/>
    </row>
    <row r="2327">
      <c r="C2327" s="1" t="n"/>
    </row>
    <row r="2328">
      <c r="C2328" s="1" t="n"/>
    </row>
    <row r="2329">
      <c r="C2329" s="1" t="n"/>
    </row>
    <row r="2330">
      <c r="C2330" s="1" t="n"/>
    </row>
    <row r="2331">
      <c r="C2331" s="1" t="n"/>
    </row>
    <row r="2332">
      <c r="C2332" s="1" t="n"/>
    </row>
    <row r="2333">
      <c r="C2333" s="1" t="n"/>
    </row>
    <row r="2334">
      <c r="C2334" s="1" t="n"/>
    </row>
    <row r="2335">
      <c r="C2335" s="1" t="n"/>
    </row>
    <row r="2336">
      <c r="C2336" s="1" t="n"/>
    </row>
    <row r="2337">
      <c r="C2337" s="1" t="n"/>
    </row>
    <row r="2338">
      <c r="C2338" s="1" t="n"/>
    </row>
    <row r="2339">
      <c r="C2339" s="1" t="n"/>
    </row>
    <row r="2340">
      <c r="C2340" s="1" t="n"/>
    </row>
    <row r="2341">
      <c r="C2341" s="1" t="n"/>
    </row>
    <row r="2342">
      <c r="C2342" s="1" t="n"/>
    </row>
    <row r="2343">
      <c r="C2343" s="1" t="n"/>
    </row>
    <row r="2344">
      <c r="C2344" s="1" t="n"/>
    </row>
    <row r="2345">
      <c r="C2345" s="1" t="n"/>
    </row>
    <row r="2346">
      <c r="C2346" s="1" t="n"/>
    </row>
    <row r="2347">
      <c r="C2347" s="1" t="n"/>
    </row>
    <row r="2348">
      <c r="C2348" s="1" t="n"/>
    </row>
    <row r="2349">
      <c r="C2349" s="1" t="n"/>
    </row>
    <row r="2350">
      <c r="C2350" s="1" t="n"/>
    </row>
    <row r="2351">
      <c r="C2351" s="1" t="n"/>
    </row>
    <row r="2352">
      <c r="C2352" s="1" t="n"/>
    </row>
    <row r="2353">
      <c r="C2353" s="1" t="n"/>
    </row>
    <row r="2354">
      <c r="C2354" s="1" t="n"/>
    </row>
    <row r="2355">
      <c r="C2355" s="1" t="n"/>
    </row>
    <row r="2356">
      <c r="C2356" s="1" t="n"/>
    </row>
    <row r="2357">
      <c r="C2357" s="1" t="n"/>
    </row>
    <row r="2358">
      <c r="C2358" s="1" t="n"/>
    </row>
    <row r="2359">
      <c r="C2359" s="1" t="n"/>
    </row>
    <row r="2360">
      <c r="C2360" s="1" t="n"/>
    </row>
    <row r="2361">
      <c r="C2361" s="1" t="n"/>
    </row>
    <row r="2362">
      <c r="C2362" s="1" t="n"/>
    </row>
    <row r="2363">
      <c r="C2363" s="1" t="n"/>
    </row>
    <row r="2364">
      <c r="C2364" s="1" t="n"/>
    </row>
    <row r="2365">
      <c r="C2365" s="1" t="n"/>
    </row>
    <row r="2366">
      <c r="C2366" s="1" t="n"/>
    </row>
    <row r="2367">
      <c r="C2367" s="1" t="n"/>
    </row>
    <row r="2368">
      <c r="C2368" s="1" t="n"/>
    </row>
    <row r="2369">
      <c r="C2369" s="1" t="n"/>
    </row>
    <row r="2370">
      <c r="C2370" s="1" t="n"/>
    </row>
    <row r="2371">
      <c r="C2371" s="1" t="n"/>
    </row>
    <row r="2372">
      <c r="C2372" s="1" t="n"/>
    </row>
    <row r="2373">
      <c r="C2373" s="1" t="n"/>
    </row>
    <row r="2374">
      <c r="C2374" s="1" t="n"/>
    </row>
    <row r="2375">
      <c r="C2375" s="1" t="n"/>
    </row>
    <row r="2376">
      <c r="C2376" s="1" t="n"/>
    </row>
    <row r="2377">
      <c r="C2377" s="1" t="n"/>
    </row>
    <row r="2378">
      <c r="C2378" s="1" t="n"/>
    </row>
    <row r="2379">
      <c r="C2379" s="1" t="n"/>
    </row>
    <row r="2380">
      <c r="C2380" s="1" t="n"/>
    </row>
    <row r="2381">
      <c r="C2381" s="1" t="n"/>
    </row>
    <row r="2382">
      <c r="C2382" s="1" t="n"/>
    </row>
    <row r="2383">
      <c r="C2383" s="1" t="n"/>
    </row>
    <row r="2384">
      <c r="C2384" s="1" t="n"/>
    </row>
    <row r="2385">
      <c r="C2385" s="1" t="n"/>
    </row>
    <row r="2386">
      <c r="C2386" s="1" t="n"/>
    </row>
    <row r="2387">
      <c r="C2387" s="1" t="n"/>
    </row>
    <row r="2388">
      <c r="C2388" s="1" t="n"/>
    </row>
    <row r="2389">
      <c r="C2389" s="1" t="n"/>
    </row>
    <row r="2390">
      <c r="C2390" s="1" t="n"/>
    </row>
    <row r="2391">
      <c r="C2391" s="1" t="n"/>
    </row>
    <row r="2392">
      <c r="C2392" s="1" t="n"/>
    </row>
    <row r="2393">
      <c r="C2393" s="1" t="n"/>
    </row>
    <row r="2394">
      <c r="C2394" s="1" t="n"/>
    </row>
    <row r="2395">
      <c r="C2395" s="1" t="n"/>
    </row>
    <row r="2396">
      <c r="C2396" s="1" t="n"/>
    </row>
    <row r="2397">
      <c r="C2397" s="1" t="n"/>
    </row>
    <row r="2398">
      <c r="C2398" s="1" t="n"/>
    </row>
    <row r="2399">
      <c r="C2399" s="1" t="n"/>
    </row>
    <row r="2400">
      <c r="C2400" s="1" t="n"/>
    </row>
    <row r="2401">
      <c r="C2401" s="1" t="n"/>
    </row>
    <row r="2402">
      <c r="C2402" s="1" t="n"/>
    </row>
    <row r="2403">
      <c r="C2403" s="1" t="n"/>
    </row>
    <row r="2404">
      <c r="C2404" s="1" t="n"/>
    </row>
    <row r="2405">
      <c r="C2405" s="1" t="n"/>
    </row>
    <row r="2406">
      <c r="C2406" s="1" t="n"/>
    </row>
    <row r="2407">
      <c r="C2407" s="1" t="n"/>
    </row>
    <row r="2408">
      <c r="C2408" s="1" t="n"/>
    </row>
    <row r="2409">
      <c r="C2409" s="1" t="n"/>
    </row>
    <row r="2410">
      <c r="C2410" s="1" t="n"/>
    </row>
    <row r="2411">
      <c r="C2411" s="1" t="n"/>
    </row>
    <row r="2412">
      <c r="C2412" s="1" t="n"/>
    </row>
    <row r="2413">
      <c r="C2413" s="1" t="n"/>
    </row>
    <row r="2414">
      <c r="C2414" s="1" t="n"/>
    </row>
    <row r="2415">
      <c r="C2415" s="1" t="n"/>
    </row>
    <row r="2416">
      <c r="C2416" s="1" t="n"/>
    </row>
    <row r="2417">
      <c r="C2417" s="1" t="n"/>
    </row>
    <row r="2418">
      <c r="C2418" s="1" t="n"/>
    </row>
    <row r="2419">
      <c r="C2419" s="1" t="n"/>
    </row>
    <row r="2420">
      <c r="C2420" s="1" t="n"/>
    </row>
    <row r="2421">
      <c r="C2421" s="1" t="n"/>
    </row>
    <row r="2422">
      <c r="C2422" s="1" t="n"/>
    </row>
    <row r="2423">
      <c r="C2423" s="1" t="n"/>
    </row>
    <row r="2424">
      <c r="C2424" s="1" t="n"/>
    </row>
    <row r="2425">
      <c r="C2425" s="1" t="n"/>
    </row>
    <row r="2426">
      <c r="C2426" s="1" t="n"/>
    </row>
    <row r="2427">
      <c r="C2427" s="1" t="n"/>
    </row>
    <row r="2428">
      <c r="C2428" s="1" t="n"/>
    </row>
    <row r="2429">
      <c r="C2429" s="1" t="n"/>
    </row>
    <row r="2430">
      <c r="C2430" s="1" t="n"/>
    </row>
    <row r="2431">
      <c r="C2431" s="1" t="n"/>
    </row>
    <row r="2432">
      <c r="C2432" s="1" t="n"/>
    </row>
    <row r="2433">
      <c r="C2433" s="1" t="n"/>
    </row>
    <row r="2434">
      <c r="C2434" s="1" t="n"/>
    </row>
    <row r="2435">
      <c r="C2435" s="1" t="n"/>
    </row>
    <row r="2436">
      <c r="C2436" s="1" t="n"/>
    </row>
    <row r="2437">
      <c r="C2437" s="1" t="n"/>
    </row>
    <row r="2438">
      <c r="C2438" s="1" t="n"/>
    </row>
    <row r="2439">
      <c r="C2439" s="1" t="n"/>
    </row>
    <row r="2440">
      <c r="C2440" s="1" t="n"/>
    </row>
    <row r="2441">
      <c r="C2441" s="1" t="n"/>
    </row>
    <row r="2442">
      <c r="C2442" s="1" t="n"/>
    </row>
    <row r="2443">
      <c r="C2443" s="1" t="n"/>
    </row>
    <row r="2444">
      <c r="C2444" s="1" t="n"/>
    </row>
    <row r="2445">
      <c r="C2445" s="1" t="n"/>
    </row>
    <row r="2446">
      <c r="C2446" s="1" t="n"/>
    </row>
    <row r="2447">
      <c r="C2447" s="1" t="n"/>
    </row>
    <row r="2448">
      <c r="C2448" s="1" t="n"/>
    </row>
    <row r="2449">
      <c r="C2449" s="1" t="n"/>
    </row>
    <row r="2450">
      <c r="C2450" s="1" t="n"/>
    </row>
    <row r="2451">
      <c r="C2451" s="1" t="n"/>
    </row>
    <row r="2452">
      <c r="C2452" s="1" t="n"/>
    </row>
    <row r="2453">
      <c r="C2453" s="1" t="n"/>
    </row>
    <row r="2454">
      <c r="C2454" s="1" t="n"/>
    </row>
    <row r="2455">
      <c r="C2455" s="1" t="n"/>
    </row>
    <row r="2456">
      <c r="C2456" s="1" t="n"/>
    </row>
    <row r="2457">
      <c r="C2457" s="1" t="n"/>
    </row>
    <row r="2458">
      <c r="C2458" s="1" t="n"/>
    </row>
    <row r="2459">
      <c r="C2459" s="1" t="n"/>
    </row>
    <row r="2460">
      <c r="C2460" s="1" t="n"/>
    </row>
    <row r="2461">
      <c r="C2461" s="1" t="n"/>
    </row>
    <row r="2462">
      <c r="C2462" s="1" t="n"/>
    </row>
    <row r="2463">
      <c r="C2463" s="1" t="n"/>
    </row>
    <row r="2464">
      <c r="C2464" s="1" t="n"/>
    </row>
    <row r="2465">
      <c r="C2465" s="1" t="n"/>
    </row>
    <row r="2466">
      <c r="C2466" s="1" t="n"/>
    </row>
    <row r="2467">
      <c r="C2467" s="1" t="n"/>
    </row>
    <row r="2468">
      <c r="C2468" s="1" t="n"/>
    </row>
    <row r="2469">
      <c r="C2469" s="1" t="n"/>
    </row>
    <row r="2470">
      <c r="C2470" s="1" t="n"/>
    </row>
    <row r="2471">
      <c r="C2471" s="1" t="n"/>
    </row>
    <row r="2472">
      <c r="C2472" s="1" t="n"/>
    </row>
    <row r="2473">
      <c r="C2473" s="1" t="n"/>
    </row>
    <row r="2474">
      <c r="C2474" s="1" t="n"/>
    </row>
    <row r="2475">
      <c r="C2475" s="1" t="n"/>
    </row>
    <row r="2476">
      <c r="C2476" s="1" t="n"/>
    </row>
    <row r="2477">
      <c r="C2477" s="1" t="n"/>
    </row>
    <row r="2478">
      <c r="C2478" s="1" t="n"/>
    </row>
    <row r="2479">
      <c r="C2479" s="1" t="n"/>
    </row>
    <row r="2480">
      <c r="C2480" s="1" t="n"/>
    </row>
    <row r="2481">
      <c r="C2481" s="1" t="n"/>
    </row>
    <row r="2482">
      <c r="C2482" s="1" t="n"/>
    </row>
    <row r="2483">
      <c r="C2483" s="1" t="n"/>
    </row>
    <row r="2484">
      <c r="C2484" s="1" t="n"/>
    </row>
    <row r="2485">
      <c r="C2485" s="1" t="n"/>
    </row>
    <row r="2486">
      <c r="C2486" s="1" t="n"/>
    </row>
    <row r="2487">
      <c r="C2487" s="1" t="n"/>
    </row>
    <row r="2488">
      <c r="C2488" s="1" t="n"/>
    </row>
    <row r="2489">
      <c r="C2489" s="1" t="n"/>
    </row>
    <row r="2490">
      <c r="C2490" s="1" t="n"/>
    </row>
    <row r="2491">
      <c r="C2491" s="1" t="n"/>
    </row>
    <row r="2492">
      <c r="C2492" s="1" t="n"/>
    </row>
    <row r="2493">
      <c r="C2493" s="1" t="n"/>
    </row>
    <row r="2494">
      <c r="C2494" s="1" t="n"/>
    </row>
    <row r="2495">
      <c r="C2495" s="1" t="n"/>
    </row>
    <row r="2496">
      <c r="C2496" s="1" t="n"/>
    </row>
    <row r="2497">
      <c r="C2497" s="1" t="n"/>
    </row>
    <row r="2498">
      <c r="C2498" s="1" t="n"/>
    </row>
    <row r="2499">
      <c r="C2499" s="1" t="n"/>
    </row>
    <row r="2500">
      <c r="C2500" s="1" t="n"/>
    </row>
    <row r="2501">
      <c r="C2501" s="1" t="n"/>
    </row>
    <row r="2502">
      <c r="C2502" s="1" t="n"/>
    </row>
    <row r="2503">
      <c r="C2503" s="1" t="n"/>
    </row>
    <row r="2504">
      <c r="C2504" s="1" t="n"/>
    </row>
    <row r="2505">
      <c r="C2505" s="1" t="n"/>
    </row>
    <row r="2506">
      <c r="C2506" s="1" t="n"/>
    </row>
    <row r="2507">
      <c r="C2507" s="1" t="n"/>
    </row>
    <row r="2508">
      <c r="C2508" s="1" t="n"/>
    </row>
    <row r="2509">
      <c r="C2509" s="1" t="n"/>
    </row>
    <row r="2510">
      <c r="C2510" s="1" t="n"/>
    </row>
    <row r="2511">
      <c r="C2511" s="1" t="n"/>
    </row>
    <row r="2512">
      <c r="C2512" s="1" t="n"/>
    </row>
    <row r="2513">
      <c r="C2513" s="1" t="n"/>
    </row>
    <row r="2514">
      <c r="C2514" s="1" t="n"/>
    </row>
    <row r="2515">
      <c r="C2515" s="1" t="n"/>
    </row>
    <row r="2516">
      <c r="C2516" s="1" t="n"/>
    </row>
    <row r="2517">
      <c r="C2517" s="1" t="n"/>
    </row>
    <row r="2518">
      <c r="C2518" s="1" t="n"/>
    </row>
    <row r="2519">
      <c r="C2519" s="1" t="n"/>
    </row>
    <row r="2520">
      <c r="C2520" s="1" t="n"/>
    </row>
    <row r="2521">
      <c r="C2521" s="1" t="n"/>
    </row>
    <row r="2522">
      <c r="C2522" s="1" t="n"/>
    </row>
    <row r="2523">
      <c r="C2523" s="1" t="n"/>
    </row>
    <row r="2524">
      <c r="C2524" s="1" t="n"/>
    </row>
    <row r="2525">
      <c r="C2525" s="1" t="n"/>
    </row>
    <row r="2526">
      <c r="C2526" s="1" t="n"/>
    </row>
    <row r="2527">
      <c r="C2527" s="1" t="n"/>
    </row>
    <row r="2528">
      <c r="C2528" s="1" t="n"/>
    </row>
    <row r="2529">
      <c r="C2529" s="1" t="n"/>
    </row>
    <row r="2530">
      <c r="C2530" s="1" t="n"/>
    </row>
    <row r="2531">
      <c r="C2531" s="1" t="n"/>
    </row>
    <row r="2532">
      <c r="C2532" s="1" t="n"/>
    </row>
    <row r="2533">
      <c r="C2533" s="1" t="n"/>
    </row>
    <row r="2534">
      <c r="C2534" s="1" t="n"/>
    </row>
    <row r="2535">
      <c r="C2535" s="1" t="n"/>
    </row>
    <row r="2536">
      <c r="C2536" s="1" t="n"/>
    </row>
    <row r="2537">
      <c r="C2537" s="1" t="n"/>
    </row>
    <row r="2538">
      <c r="C2538" s="1" t="n"/>
    </row>
    <row r="2539">
      <c r="C2539" s="1" t="n"/>
    </row>
    <row r="2540">
      <c r="C2540" s="1" t="n"/>
    </row>
    <row r="2541">
      <c r="C2541" s="1" t="n"/>
    </row>
    <row r="2542">
      <c r="C2542" s="1" t="n"/>
    </row>
    <row r="2543">
      <c r="C2543" s="1" t="n"/>
    </row>
    <row r="2544">
      <c r="C2544" s="1" t="n"/>
    </row>
    <row r="2545">
      <c r="C2545" s="1" t="n"/>
    </row>
    <row r="2546">
      <c r="C2546" s="1" t="n"/>
    </row>
    <row r="2547">
      <c r="C2547" s="1" t="n"/>
    </row>
    <row r="2548">
      <c r="C2548" s="1" t="n"/>
    </row>
    <row r="2549">
      <c r="C2549" s="1" t="n"/>
    </row>
    <row r="2550">
      <c r="C2550" s="1" t="n"/>
    </row>
    <row r="2551">
      <c r="C2551" s="1" t="n"/>
    </row>
    <row r="2552">
      <c r="C2552" s="1" t="n"/>
    </row>
    <row r="2553">
      <c r="C2553" s="1" t="n"/>
    </row>
    <row r="2554">
      <c r="C2554" s="1" t="n"/>
    </row>
    <row r="2555">
      <c r="C2555" s="1" t="n"/>
    </row>
    <row r="2556">
      <c r="C2556" s="1" t="n"/>
    </row>
    <row r="2557">
      <c r="C2557" s="1" t="n"/>
    </row>
    <row r="2558">
      <c r="C2558" s="1" t="n"/>
    </row>
    <row r="2559">
      <c r="C2559" s="1" t="n"/>
    </row>
    <row r="2560">
      <c r="C2560" s="1" t="n"/>
    </row>
    <row r="2561">
      <c r="C2561" s="1" t="n"/>
    </row>
    <row r="2562">
      <c r="C2562" s="1" t="n"/>
    </row>
    <row r="2563">
      <c r="C2563" s="1" t="n"/>
    </row>
    <row r="2564">
      <c r="C2564" s="1" t="n"/>
    </row>
    <row r="2565">
      <c r="C2565" s="1" t="n"/>
    </row>
    <row r="2566">
      <c r="C2566" s="1" t="n"/>
    </row>
    <row r="2567">
      <c r="C2567" s="1" t="n"/>
    </row>
    <row r="2568">
      <c r="C2568" s="1" t="n"/>
    </row>
    <row r="2569">
      <c r="C2569" s="1" t="n"/>
    </row>
    <row r="2570">
      <c r="C2570" s="1" t="n"/>
    </row>
    <row r="2571">
      <c r="C2571" s="1" t="n"/>
    </row>
    <row r="2572">
      <c r="C2572" s="1" t="n"/>
    </row>
    <row r="2573">
      <c r="C2573" s="1" t="n"/>
    </row>
    <row r="2574">
      <c r="C2574" s="1" t="n"/>
    </row>
    <row r="2575">
      <c r="C2575" s="1" t="n"/>
    </row>
    <row r="2576">
      <c r="C2576" s="1" t="n"/>
    </row>
    <row r="2577">
      <c r="C2577" s="1" t="n"/>
    </row>
    <row r="2578">
      <c r="C2578" s="1" t="n"/>
    </row>
    <row r="2579">
      <c r="C2579" s="1" t="n"/>
    </row>
    <row r="2580">
      <c r="C2580" s="1" t="n"/>
    </row>
    <row r="2581">
      <c r="C2581" s="1" t="n"/>
    </row>
    <row r="2582">
      <c r="C2582" s="1" t="n"/>
    </row>
    <row r="2583">
      <c r="C2583" s="1" t="n"/>
    </row>
    <row r="2584">
      <c r="C2584" s="1" t="n"/>
    </row>
    <row r="2585">
      <c r="C2585" s="1" t="n"/>
    </row>
    <row r="2586">
      <c r="C2586" s="1" t="n"/>
    </row>
    <row r="2587">
      <c r="C2587" s="1" t="n"/>
    </row>
    <row r="2588">
      <c r="C2588" s="1" t="n"/>
    </row>
    <row r="2589">
      <c r="C2589" s="1" t="n"/>
    </row>
    <row r="2590">
      <c r="C2590" s="1" t="n"/>
    </row>
    <row r="2591">
      <c r="C2591" s="1" t="n"/>
    </row>
    <row r="2592">
      <c r="C2592" s="1" t="n"/>
    </row>
    <row r="2593">
      <c r="C2593" s="1" t="n"/>
    </row>
    <row r="2594">
      <c r="C2594" s="1" t="n"/>
    </row>
    <row r="2595">
      <c r="C2595" s="1" t="n"/>
    </row>
    <row r="2596">
      <c r="C2596" s="1" t="n"/>
    </row>
    <row r="2597">
      <c r="C2597" s="1" t="n"/>
    </row>
    <row r="2598">
      <c r="C2598" s="1" t="n"/>
    </row>
    <row r="2599">
      <c r="C2599" s="1" t="n"/>
    </row>
    <row r="2600">
      <c r="C2600" s="1" t="n"/>
    </row>
    <row r="2601">
      <c r="C2601" s="1" t="n"/>
    </row>
    <row r="2602">
      <c r="C2602" s="1" t="n"/>
    </row>
    <row r="2603">
      <c r="C2603" s="1" t="n"/>
    </row>
    <row r="2604">
      <c r="C2604" s="1" t="n"/>
    </row>
    <row r="2605">
      <c r="C2605" s="1" t="n"/>
    </row>
    <row r="2606">
      <c r="C2606" s="1" t="n"/>
    </row>
    <row r="2607">
      <c r="C2607" s="1" t="n"/>
    </row>
    <row r="2608">
      <c r="C2608" s="1" t="n"/>
    </row>
    <row r="2609">
      <c r="C2609" s="1" t="n"/>
    </row>
    <row r="2610">
      <c r="C2610" s="1" t="n"/>
    </row>
    <row r="2611">
      <c r="C2611" s="1" t="n"/>
    </row>
    <row r="2612">
      <c r="C2612" s="1" t="n"/>
    </row>
    <row r="2613">
      <c r="C2613" s="1" t="n"/>
    </row>
    <row r="2614">
      <c r="C2614" s="1" t="n"/>
    </row>
    <row r="2615">
      <c r="C2615" s="1" t="n"/>
    </row>
    <row r="2616">
      <c r="C2616" s="1" t="n"/>
    </row>
    <row r="2617">
      <c r="C2617" s="1" t="n"/>
    </row>
    <row r="2618">
      <c r="C2618" s="1" t="n"/>
    </row>
    <row r="2619">
      <c r="C2619" s="1" t="n"/>
    </row>
    <row r="2620">
      <c r="C2620" s="1" t="n"/>
    </row>
    <row r="2621">
      <c r="C2621" s="1" t="n"/>
    </row>
    <row r="2622">
      <c r="C2622" s="1" t="n"/>
    </row>
    <row r="2623">
      <c r="C2623" s="1" t="n"/>
    </row>
    <row r="2624">
      <c r="C2624" s="1" t="n"/>
    </row>
    <row r="2625">
      <c r="C2625" s="1" t="n"/>
    </row>
    <row r="2626">
      <c r="C2626" s="1" t="n"/>
    </row>
    <row r="2627">
      <c r="C2627" s="1" t="n"/>
    </row>
    <row r="2628">
      <c r="C2628" s="1" t="n"/>
    </row>
    <row r="2629">
      <c r="C2629" s="1" t="n"/>
    </row>
    <row r="2630">
      <c r="C2630" s="1" t="n"/>
    </row>
    <row r="2631">
      <c r="C2631" s="1" t="n"/>
    </row>
    <row r="2632">
      <c r="C2632" s="1" t="n"/>
    </row>
    <row r="2633">
      <c r="C2633" s="1" t="n"/>
    </row>
    <row r="2634">
      <c r="C2634" s="1" t="n"/>
    </row>
    <row r="2635">
      <c r="C2635" s="1" t="n"/>
    </row>
    <row r="2636">
      <c r="C2636" s="1" t="n"/>
    </row>
    <row r="2637">
      <c r="C2637" s="1" t="n"/>
    </row>
    <row r="2638">
      <c r="C2638" s="1" t="n"/>
    </row>
    <row r="2639">
      <c r="C2639" s="1" t="n"/>
    </row>
    <row r="2640">
      <c r="C2640" s="1" t="n"/>
    </row>
    <row r="2641">
      <c r="C2641" s="1" t="n"/>
    </row>
    <row r="2642">
      <c r="C2642" s="1" t="n"/>
    </row>
    <row r="2643">
      <c r="C2643" s="1" t="n"/>
    </row>
    <row r="2644">
      <c r="C2644" s="1" t="n"/>
    </row>
    <row r="2645">
      <c r="C2645" s="1" t="n"/>
    </row>
    <row r="2646">
      <c r="C2646" s="1" t="n"/>
    </row>
    <row r="2647">
      <c r="C2647" s="1" t="n"/>
    </row>
    <row r="2648">
      <c r="C2648" s="1" t="n"/>
    </row>
    <row r="2649">
      <c r="C2649" s="1" t="n"/>
    </row>
    <row r="2650">
      <c r="C2650" s="1" t="n"/>
    </row>
    <row r="2651">
      <c r="C2651" s="1" t="n"/>
    </row>
    <row r="2652">
      <c r="C2652" s="1" t="n"/>
    </row>
    <row r="2653">
      <c r="C2653" s="1" t="n"/>
    </row>
    <row r="2654">
      <c r="C2654" s="1" t="n"/>
    </row>
    <row r="2655">
      <c r="C2655" s="1" t="n"/>
    </row>
    <row r="2656">
      <c r="C2656" s="1" t="n"/>
    </row>
    <row r="2657">
      <c r="C2657" s="1" t="n"/>
    </row>
    <row r="2658">
      <c r="C2658" s="1" t="n"/>
    </row>
    <row r="2659">
      <c r="C2659" s="1" t="n"/>
    </row>
    <row r="2660">
      <c r="C2660" s="1" t="n"/>
    </row>
    <row r="2661">
      <c r="C2661" s="1" t="n"/>
    </row>
    <row r="2662">
      <c r="C2662" s="1" t="n"/>
    </row>
    <row r="2663">
      <c r="C2663" s="1" t="n"/>
    </row>
    <row r="2664">
      <c r="C2664" s="1" t="n"/>
    </row>
    <row r="2665">
      <c r="C2665" s="1" t="n"/>
    </row>
    <row r="2666">
      <c r="C2666" s="1" t="n"/>
    </row>
    <row r="2667">
      <c r="C2667" s="1" t="n"/>
    </row>
    <row r="2668">
      <c r="C2668" s="1" t="n"/>
    </row>
    <row r="2669">
      <c r="C2669" s="1" t="n"/>
    </row>
    <row r="2670">
      <c r="C2670" s="1" t="n"/>
    </row>
    <row r="2671">
      <c r="C2671" s="1" t="n"/>
    </row>
    <row r="2672">
      <c r="C2672" s="1" t="n"/>
    </row>
    <row r="2673">
      <c r="C2673" s="1" t="n"/>
    </row>
    <row r="2674">
      <c r="C2674" s="1" t="n"/>
    </row>
    <row r="2675">
      <c r="C2675" s="1" t="n"/>
    </row>
    <row r="2676">
      <c r="C2676" s="1" t="n"/>
    </row>
    <row r="2677">
      <c r="C2677" s="1" t="n"/>
    </row>
    <row r="2678">
      <c r="C2678" s="1" t="n"/>
    </row>
    <row r="2679">
      <c r="C2679" s="1" t="n"/>
    </row>
    <row r="2680">
      <c r="C2680" s="1" t="n"/>
    </row>
    <row r="2681">
      <c r="C2681" s="1" t="n"/>
    </row>
    <row r="2682">
      <c r="C2682" s="1" t="n"/>
    </row>
    <row r="2683">
      <c r="C2683" s="1" t="n"/>
    </row>
    <row r="2684">
      <c r="C2684" s="1" t="n"/>
    </row>
    <row r="2685">
      <c r="C2685" s="1" t="n"/>
    </row>
    <row r="2686">
      <c r="C2686" s="1" t="n"/>
    </row>
    <row r="2687">
      <c r="C2687" s="1" t="n"/>
    </row>
    <row r="2688">
      <c r="C2688" s="1" t="n"/>
    </row>
    <row r="2689">
      <c r="C2689" s="1" t="n"/>
    </row>
    <row r="2690">
      <c r="C2690" s="1" t="n"/>
    </row>
    <row r="2691">
      <c r="C2691" s="1" t="n"/>
    </row>
    <row r="2692">
      <c r="C2692" s="1" t="n"/>
    </row>
    <row r="2693">
      <c r="C2693" s="1" t="n"/>
    </row>
    <row r="2694">
      <c r="C2694" s="1" t="n"/>
    </row>
    <row r="2695">
      <c r="C2695" s="1" t="n"/>
    </row>
    <row r="2696">
      <c r="C2696" s="1" t="n"/>
    </row>
    <row r="2697">
      <c r="C2697" s="1" t="n"/>
    </row>
    <row r="2698">
      <c r="C2698" s="1" t="n"/>
    </row>
    <row r="2699">
      <c r="C2699" s="1" t="n"/>
    </row>
    <row r="2700">
      <c r="C2700" s="1" t="n"/>
    </row>
    <row r="2701">
      <c r="C2701" s="1" t="n"/>
    </row>
    <row r="2702">
      <c r="C2702" s="1" t="n"/>
    </row>
    <row r="2703">
      <c r="C2703" s="1" t="n"/>
    </row>
    <row r="2704">
      <c r="C2704" s="1" t="n"/>
    </row>
    <row r="2705">
      <c r="C2705" s="1" t="n"/>
    </row>
    <row r="2706">
      <c r="C2706" s="1" t="n"/>
    </row>
    <row r="2707">
      <c r="C2707" s="1" t="n"/>
    </row>
    <row r="2708">
      <c r="C2708" s="1" t="n"/>
    </row>
    <row r="2709">
      <c r="C2709" s="1" t="n"/>
    </row>
    <row r="2710">
      <c r="C2710" s="1" t="n"/>
    </row>
    <row r="2711">
      <c r="C2711" s="1" t="n"/>
    </row>
    <row r="2712">
      <c r="C2712" s="1" t="n"/>
    </row>
    <row r="2713">
      <c r="C2713" s="1" t="n"/>
    </row>
    <row r="2714">
      <c r="C2714" s="1" t="n"/>
    </row>
    <row r="2715">
      <c r="C2715" s="1" t="n"/>
    </row>
    <row r="2716">
      <c r="C2716" s="1" t="n"/>
    </row>
    <row r="2717">
      <c r="C2717" s="1" t="n"/>
    </row>
    <row r="2718">
      <c r="C2718" s="1" t="n"/>
    </row>
    <row r="2719">
      <c r="C2719" s="1" t="n"/>
    </row>
    <row r="2720">
      <c r="C2720" s="1" t="n"/>
    </row>
    <row r="2721">
      <c r="C2721" s="1" t="n"/>
    </row>
    <row r="2722">
      <c r="C2722" s="1" t="n"/>
    </row>
    <row r="2723">
      <c r="C2723" s="1" t="n"/>
    </row>
    <row r="2724">
      <c r="C2724" s="1" t="n"/>
    </row>
    <row r="2725">
      <c r="C2725" s="1" t="n"/>
    </row>
    <row r="2726">
      <c r="C2726" s="1" t="n"/>
    </row>
    <row r="2727">
      <c r="C2727" s="1" t="n"/>
    </row>
    <row r="2728">
      <c r="C2728" s="1" t="n"/>
    </row>
    <row r="2729">
      <c r="C2729" s="1" t="n"/>
    </row>
    <row r="2730">
      <c r="C2730" s="1" t="n"/>
    </row>
    <row r="2731">
      <c r="C2731" s="1" t="n"/>
    </row>
    <row r="2732">
      <c r="C2732" s="1" t="n"/>
    </row>
    <row r="2733">
      <c r="C2733" s="1" t="n"/>
    </row>
    <row r="2734">
      <c r="C2734" s="1" t="n"/>
    </row>
    <row r="2735">
      <c r="C2735" s="1" t="n"/>
    </row>
    <row r="2736">
      <c r="C2736" s="1" t="n"/>
    </row>
    <row r="2737">
      <c r="C2737" s="1" t="n"/>
    </row>
    <row r="2738">
      <c r="C2738" s="1" t="n"/>
    </row>
    <row r="2739">
      <c r="C2739" s="1" t="n"/>
    </row>
    <row r="2740">
      <c r="C2740" s="1" t="n"/>
    </row>
    <row r="2741">
      <c r="C2741" s="1" t="n"/>
    </row>
    <row r="2742">
      <c r="C2742" s="1" t="n"/>
    </row>
    <row r="2743">
      <c r="C2743" s="1" t="n"/>
    </row>
    <row r="2744">
      <c r="C2744" s="1" t="n"/>
    </row>
    <row r="2745">
      <c r="C2745" s="1" t="n"/>
    </row>
    <row r="2746">
      <c r="C2746" s="1" t="n"/>
    </row>
    <row r="2747">
      <c r="C2747" s="1" t="n"/>
    </row>
    <row r="2748">
      <c r="C2748" s="1" t="n"/>
    </row>
    <row r="2749">
      <c r="C2749" s="1" t="n"/>
    </row>
    <row r="2750">
      <c r="C2750" s="1" t="n"/>
    </row>
    <row r="2751">
      <c r="C2751" s="1" t="n"/>
    </row>
    <row r="2752">
      <c r="C2752" s="1" t="n"/>
    </row>
    <row r="2753">
      <c r="C2753" s="1" t="n"/>
    </row>
    <row r="2754">
      <c r="C2754" s="1" t="n"/>
    </row>
    <row r="2755">
      <c r="C2755" s="1" t="n"/>
    </row>
    <row r="2756">
      <c r="C2756" s="1" t="n"/>
    </row>
    <row r="2757">
      <c r="C2757" s="1" t="n"/>
    </row>
    <row r="2758">
      <c r="C2758" s="1" t="n"/>
    </row>
    <row r="2759">
      <c r="C2759" s="1" t="n"/>
    </row>
    <row r="2760">
      <c r="C2760" s="1" t="n"/>
    </row>
    <row r="2761">
      <c r="C2761" s="1" t="n"/>
    </row>
    <row r="2762">
      <c r="C2762" s="1" t="n"/>
    </row>
    <row r="2763">
      <c r="C2763" s="1" t="n"/>
    </row>
    <row r="2764">
      <c r="C2764" s="1" t="n"/>
    </row>
    <row r="2765">
      <c r="C2765" s="1" t="n"/>
    </row>
    <row r="2766">
      <c r="C2766" s="1" t="n"/>
    </row>
    <row r="2767">
      <c r="C2767" s="1" t="n"/>
    </row>
    <row r="2768">
      <c r="C2768" s="1" t="n"/>
    </row>
    <row r="2769">
      <c r="C2769" s="1" t="n"/>
    </row>
    <row r="2770">
      <c r="C2770" s="1" t="n"/>
    </row>
    <row r="2771">
      <c r="C2771" s="1" t="n"/>
    </row>
    <row r="2772">
      <c r="C2772" s="1" t="n"/>
    </row>
    <row r="2773">
      <c r="C2773" s="1" t="n"/>
    </row>
    <row r="2774">
      <c r="C2774" s="1" t="n"/>
    </row>
    <row r="2775">
      <c r="C2775" s="1" t="n"/>
    </row>
    <row r="2776">
      <c r="C2776" s="1" t="n"/>
    </row>
    <row r="2777">
      <c r="C2777" s="1" t="n"/>
    </row>
    <row r="2778">
      <c r="C2778" s="1" t="n"/>
    </row>
    <row r="2779">
      <c r="C2779" s="1" t="n"/>
    </row>
    <row r="2780">
      <c r="C2780" s="1" t="n"/>
    </row>
    <row r="2781">
      <c r="C2781" s="1" t="n"/>
    </row>
    <row r="2782">
      <c r="C2782" s="1" t="n"/>
    </row>
    <row r="2783">
      <c r="C2783" s="1" t="n"/>
    </row>
    <row r="2784">
      <c r="C2784" s="1" t="n"/>
    </row>
    <row r="2785">
      <c r="C2785" s="1" t="n"/>
    </row>
    <row r="2786">
      <c r="C2786" s="1" t="n"/>
    </row>
    <row r="2787">
      <c r="C2787" s="1" t="n"/>
    </row>
    <row r="2788">
      <c r="C2788" s="1" t="n"/>
    </row>
    <row r="2789">
      <c r="C2789" s="1" t="n"/>
    </row>
    <row r="2790">
      <c r="C2790" s="1" t="n"/>
    </row>
    <row r="2791">
      <c r="C2791" s="1" t="n"/>
    </row>
    <row r="2792">
      <c r="C2792" s="1" t="n"/>
    </row>
    <row r="2793">
      <c r="C2793" s="1" t="n"/>
    </row>
    <row r="2794">
      <c r="C2794" s="1" t="n"/>
    </row>
    <row r="2795">
      <c r="C2795" s="1" t="n"/>
    </row>
    <row r="2796">
      <c r="C2796" s="1" t="n"/>
    </row>
    <row r="2797">
      <c r="C2797" s="1" t="n"/>
    </row>
    <row r="2798">
      <c r="C2798" s="1" t="n"/>
    </row>
    <row r="2799">
      <c r="C2799" s="1" t="n"/>
    </row>
    <row r="2800">
      <c r="C2800" s="1" t="n"/>
    </row>
    <row r="2801">
      <c r="C2801" s="1" t="n"/>
    </row>
    <row r="2802">
      <c r="C2802" s="1" t="n"/>
    </row>
    <row r="2803">
      <c r="C2803" s="1" t="n"/>
    </row>
    <row r="2804">
      <c r="C2804" s="1" t="n"/>
    </row>
    <row r="2805">
      <c r="C2805" s="1" t="n"/>
    </row>
    <row r="2806">
      <c r="C2806" s="1" t="n"/>
    </row>
    <row r="2807">
      <c r="C2807" s="1" t="n"/>
    </row>
    <row r="2808">
      <c r="C2808" s="1" t="n"/>
    </row>
    <row r="2809">
      <c r="C2809" s="1" t="n"/>
    </row>
    <row r="2810">
      <c r="C2810" s="1" t="n"/>
    </row>
    <row r="2811">
      <c r="C2811" s="1" t="n"/>
    </row>
    <row r="2812">
      <c r="C2812" s="1" t="n"/>
    </row>
    <row r="2813">
      <c r="C2813" s="1" t="n"/>
    </row>
    <row r="2814">
      <c r="C2814" s="1" t="n"/>
    </row>
    <row r="2815">
      <c r="C2815" s="1" t="n"/>
    </row>
    <row r="2816">
      <c r="C2816" s="1" t="n"/>
    </row>
    <row r="2817">
      <c r="C2817" s="1" t="n"/>
    </row>
    <row r="2818">
      <c r="C2818" s="1" t="n"/>
    </row>
    <row r="2819">
      <c r="C2819" s="1" t="n"/>
    </row>
    <row r="2820">
      <c r="C2820" s="1" t="n"/>
    </row>
    <row r="2821">
      <c r="C2821" s="1" t="n"/>
    </row>
    <row r="2822">
      <c r="C2822" s="1" t="n"/>
    </row>
    <row r="2823">
      <c r="C2823" s="1" t="n"/>
    </row>
    <row r="2824">
      <c r="C2824" s="1" t="n"/>
    </row>
    <row r="2825">
      <c r="C2825" s="1" t="n"/>
    </row>
    <row r="2826">
      <c r="C2826" s="1" t="n"/>
    </row>
    <row r="2827">
      <c r="C2827" s="1" t="n"/>
    </row>
    <row r="2828">
      <c r="C2828" s="1" t="n"/>
    </row>
    <row r="2829">
      <c r="C2829" s="1" t="n"/>
    </row>
    <row r="2830">
      <c r="C2830" s="1" t="n"/>
    </row>
    <row r="2831">
      <c r="C2831" s="1" t="n"/>
    </row>
    <row r="2832">
      <c r="C2832" s="1" t="n"/>
    </row>
    <row r="2833">
      <c r="C2833" s="1" t="n"/>
    </row>
    <row r="2834">
      <c r="C2834" s="1" t="n"/>
    </row>
    <row r="2835">
      <c r="C2835" s="1" t="n"/>
    </row>
    <row r="2836">
      <c r="C2836" s="1" t="n"/>
    </row>
    <row r="2837">
      <c r="C2837" s="1" t="n"/>
    </row>
    <row r="2838">
      <c r="C2838" s="1" t="n"/>
    </row>
    <row r="2839">
      <c r="C2839" s="1" t="n"/>
    </row>
    <row r="2840">
      <c r="C2840" s="1" t="n"/>
    </row>
    <row r="2841">
      <c r="C2841" s="1" t="n"/>
    </row>
    <row r="2842">
      <c r="C2842" s="1" t="n"/>
    </row>
    <row r="2843">
      <c r="C2843" s="1" t="n"/>
    </row>
    <row r="2844">
      <c r="C2844" s="1" t="n"/>
    </row>
    <row r="2845">
      <c r="C2845" s="1" t="n"/>
    </row>
    <row r="2846">
      <c r="C2846" s="1" t="n"/>
    </row>
    <row r="2847">
      <c r="C2847" s="1" t="n"/>
    </row>
    <row r="2848">
      <c r="C2848" s="1" t="n"/>
    </row>
    <row r="2849">
      <c r="C2849" s="1" t="n"/>
    </row>
    <row r="2850">
      <c r="C2850" s="1" t="n"/>
    </row>
    <row r="2851">
      <c r="C2851" s="1" t="n"/>
    </row>
    <row r="2852">
      <c r="C2852" s="1" t="n"/>
    </row>
    <row r="2853">
      <c r="C2853" s="1" t="n"/>
    </row>
    <row r="2854">
      <c r="C2854" s="1" t="n"/>
    </row>
    <row r="2855">
      <c r="C2855" s="1" t="n"/>
    </row>
    <row r="2856">
      <c r="C2856" s="1" t="n"/>
    </row>
    <row r="2857">
      <c r="C2857" s="1" t="n"/>
    </row>
    <row r="2858">
      <c r="C2858" s="1" t="n"/>
    </row>
    <row r="2859">
      <c r="C2859" s="1" t="n"/>
    </row>
    <row r="2860">
      <c r="C2860" s="1" t="n"/>
    </row>
    <row r="2861">
      <c r="C2861" s="1" t="n"/>
    </row>
    <row r="2862">
      <c r="C2862" s="1" t="n"/>
    </row>
    <row r="2863">
      <c r="C2863" s="1" t="n"/>
    </row>
    <row r="2864">
      <c r="C2864" s="1" t="n"/>
    </row>
    <row r="2865">
      <c r="C2865" s="1" t="n"/>
    </row>
    <row r="2866">
      <c r="C2866" s="1" t="n"/>
    </row>
    <row r="2867">
      <c r="C2867" s="1" t="n"/>
    </row>
    <row r="2868">
      <c r="C2868" s="1" t="n"/>
    </row>
    <row r="2869">
      <c r="C2869" s="1" t="n"/>
    </row>
    <row r="2870">
      <c r="C2870" s="1" t="n"/>
    </row>
    <row r="2871">
      <c r="C2871" s="1" t="n"/>
    </row>
    <row r="2872">
      <c r="C2872" s="1" t="n"/>
    </row>
    <row r="2873">
      <c r="C2873" s="1" t="n"/>
    </row>
    <row r="2874">
      <c r="C2874" s="1" t="n"/>
    </row>
    <row r="2875">
      <c r="C2875" s="1" t="n"/>
    </row>
    <row r="2876">
      <c r="C2876" s="1" t="n"/>
    </row>
    <row r="2877">
      <c r="C2877" s="1" t="n"/>
    </row>
    <row r="2878">
      <c r="C2878" s="1" t="n"/>
    </row>
    <row r="2879">
      <c r="C2879" s="1" t="n"/>
    </row>
    <row r="2880">
      <c r="C2880" s="1" t="n"/>
    </row>
    <row r="2881">
      <c r="C2881" s="1" t="n"/>
    </row>
    <row r="2882">
      <c r="C2882" s="1" t="n"/>
    </row>
    <row r="2883">
      <c r="C2883" s="1" t="n"/>
    </row>
    <row r="2884">
      <c r="C2884" s="1" t="n"/>
    </row>
    <row r="2885">
      <c r="C2885" s="1" t="n"/>
    </row>
    <row r="2886">
      <c r="C2886" s="1" t="n"/>
    </row>
    <row r="2887">
      <c r="C2887" s="1" t="n"/>
    </row>
    <row r="2888">
      <c r="C2888" s="1" t="n"/>
    </row>
    <row r="2889">
      <c r="C2889" s="1" t="n"/>
    </row>
    <row r="2890">
      <c r="C2890" s="1" t="n"/>
    </row>
    <row r="2891">
      <c r="C2891" s="1" t="n"/>
    </row>
    <row r="2892">
      <c r="C2892" s="1" t="n"/>
    </row>
    <row r="2893">
      <c r="C2893" s="1" t="n"/>
    </row>
    <row r="2894">
      <c r="C2894" s="1" t="n"/>
    </row>
    <row r="2895">
      <c r="C2895" s="1" t="n"/>
    </row>
    <row r="2896">
      <c r="C2896" s="1" t="n"/>
    </row>
    <row r="2897">
      <c r="C2897" s="1" t="n"/>
    </row>
    <row r="2898">
      <c r="C2898" s="1" t="n"/>
    </row>
    <row r="2899">
      <c r="C2899" s="1" t="n"/>
    </row>
    <row r="2900">
      <c r="C2900" s="1" t="n"/>
    </row>
    <row r="2901">
      <c r="C2901" s="1" t="n"/>
    </row>
    <row r="2902">
      <c r="C2902" s="1" t="n"/>
    </row>
    <row r="2903">
      <c r="C2903" s="1" t="n"/>
    </row>
    <row r="2904">
      <c r="C2904" s="1" t="n"/>
    </row>
    <row r="2905">
      <c r="C2905" s="1" t="n"/>
    </row>
    <row r="2906">
      <c r="C2906" s="1" t="n"/>
    </row>
    <row r="2907">
      <c r="C2907" s="1" t="n"/>
    </row>
    <row r="2908">
      <c r="C2908" s="1" t="n"/>
    </row>
    <row r="2909">
      <c r="C2909" s="1" t="n"/>
    </row>
    <row r="2910">
      <c r="C2910" s="1" t="n"/>
    </row>
    <row r="2911">
      <c r="C2911" s="1" t="n"/>
    </row>
    <row r="2912">
      <c r="C2912" s="1" t="n"/>
    </row>
    <row r="2913">
      <c r="C2913" s="1" t="n"/>
    </row>
    <row r="2914">
      <c r="C2914" s="1" t="n"/>
    </row>
    <row r="2915">
      <c r="C2915" s="1" t="n"/>
    </row>
    <row r="2916">
      <c r="C2916" s="1" t="n"/>
    </row>
    <row r="2917">
      <c r="C2917" s="1" t="n"/>
    </row>
    <row r="2918">
      <c r="C2918" s="1" t="n"/>
    </row>
    <row r="2919">
      <c r="C2919" s="1" t="n"/>
    </row>
    <row r="2920">
      <c r="C2920" s="1" t="n"/>
    </row>
    <row r="2921">
      <c r="C2921" s="1" t="n"/>
    </row>
    <row r="2922">
      <c r="C2922" s="1" t="n"/>
    </row>
    <row r="2923">
      <c r="C2923" s="1" t="n"/>
    </row>
    <row r="2924">
      <c r="C2924" s="1" t="n"/>
    </row>
    <row r="2925">
      <c r="C2925" s="1" t="n"/>
    </row>
    <row r="2926">
      <c r="C2926" s="1" t="n"/>
    </row>
    <row r="2927">
      <c r="C2927" s="1" t="n"/>
    </row>
    <row r="2928">
      <c r="C2928" s="1" t="n"/>
    </row>
    <row r="2929">
      <c r="C2929" s="1" t="n"/>
    </row>
    <row r="2930">
      <c r="C2930" s="1" t="n"/>
    </row>
    <row r="2931">
      <c r="C2931" s="1" t="n"/>
    </row>
    <row r="2932">
      <c r="C2932" s="1" t="n"/>
    </row>
    <row r="2933">
      <c r="C2933" s="1" t="n"/>
    </row>
    <row r="2934">
      <c r="C2934" s="1" t="n"/>
    </row>
    <row r="2935">
      <c r="C2935" s="1" t="n"/>
    </row>
    <row r="2936">
      <c r="C2936" s="1" t="n"/>
    </row>
    <row r="2937">
      <c r="C2937" s="1" t="n"/>
    </row>
    <row r="2938">
      <c r="C2938" s="1" t="n"/>
    </row>
    <row r="2939">
      <c r="C2939" s="1" t="n"/>
    </row>
    <row r="2940">
      <c r="C2940" s="1" t="n"/>
    </row>
    <row r="2941">
      <c r="C2941" s="1" t="n"/>
    </row>
    <row r="2942">
      <c r="C2942" s="1" t="n"/>
    </row>
    <row r="2943">
      <c r="C2943" s="1" t="n"/>
    </row>
    <row r="2944">
      <c r="C2944" s="1" t="n"/>
    </row>
    <row r="2945">
      <c r="C2945" s="1" t="n"/>
    </row>
    <row r="2946">
      <c r="C2946" s="1" t="n"/>
    </row>
    <row r="2947">
      <c r="C2947" s="1" t="n"/>
    </row>
    <row r="2948">
      <c r="C2948" s="1" t="n"/>
    </row>
    <row r="2949">
      <c r="C2949" s="1" t="n"/>
    </row>
    <row r="2950">
      <c r="C2950" s="1" t="n"/>
    </row>
    <row r="2951">
      <c r="C2951" s="1" t="n"/>
    </row>
    <row r="2952">
      <c r="C2952" s="1" t="n"/>
    </row>
    <row r="2953">
      <c r="C2953" s="1" t="n"/>
    </row>
    <row r="2954">
      <c r="C2954" s="1" t="n"/>
    </row>
    <row r="2955">
      <c r="C2955" s="1" t="n"/>
    </row>
    <row r="2956">
      <c r="C2956" s="1" t="n"/>
    </row>
    <row r="2957">
      <c r="C2957" s="1" t="n"/>
    </row>
    <row r="2958">
      <c r="C2958" s="1" t="n"/>
    </row>
    <row r="2959">
      <c r="C2959" s="1" t="n"/>
    </row>
    <row r="2960">
      <c r="C2960" s="1" t="n"/>
    </row>
    <row r="2961">
      <c r="C2961" s="1" t="n"/>
    </row>
    <row r="2962">
      <c r="C2962" s="1" t="n"/>
    </row>
    <row r="2963">
      <c r="C2963" s="1" t="n"/>
    </row>
    <row r="2964">
      <c r="C2964" s="1" t="n"/>
    </row>
    <row r="2965">
      <c r="C2965" s="1" t="n"/>
    </row>
    <row r="2966">
      <c r="C2966" s="1" t="n"/>
    </row>
    <row r="2967">
      <c r="C2967" s="1" t="n"/>
    </row>
    <row r="2968">
      <c r="C2968" s="1" t="n"/>
    </row>
    <row r="2969">
      <c r="C2969" s="1" t="n"/>
    </row>
    <row r="2970">
      <c r="C2970" s="1" t="n"/>
    </row>
    <row r="2971">
      <c r="C2971" s="1" t="n"/>
    </row>
    <row r="2972">
      <c r="C2972" s="1" t="n"/>
    </row>
    <row r="2973">
      <c r="C2973" s="1" t="n"/>
    </row>
    <row r="2974">
      <c r="C2974" s="1" t="n"/>
    </row>
    <row r="2975">
      <c r="C2975" s="1" t="n"/>
    </row>
    <row r="2976">
      <c r="C2976" s="1" t="n"/>
    </row>
    <row r="2977">
      <c r="C2977" s="1" t="n"/>
    </row>
    <row r="2978">
      <c r="C2978" s="1" t="n"/>
    </row>
    <row r="2979">
      <c r="C2979" s="1" t="n"/>
    </row>
    <row r="2980">
      <c r="C2980" s="1" t="n"/>
    </row>
    <row r="2981">
      <c r="C2981" s="1" t="n"/>
    </row>
    <row r="2982">
      <c r="C2982" s="1" t="n"/>
    </row>
    <row r="2983">
      <c r="C2983" s="1" t="n"/>
    </row>
    <row r="2984">
      <c r="C2984" s="1" t="n"/>
    </row>
    <row r="2985">
      <c r="C2985" s="1" t="n"/>
    </row>
    <row r="2986">
      <c r="C2986" s="1" t="n"/>
    </row>
    <row r="2987">
      <c r="C2987" s="1" t="n"/>
    </row>
    <row r="2988">
      <c r="C2988" s="1" t="n"/>
    </row>
    <row r="2989">
      <c r="C2989" s="1" t="n"/>
    </row>
    <row r="2990">
      <c r="C2990" s="1" t="n"/>
    </row>
    <row r="2991">
      <c r="C2991" s="1" t="n"/>
    </row>
    <row r="2992">
      <c r="C2992" s="1" t="n"/>
    </row>
    <row r="2993">
      <c r="C2993" s="1" t="n"/>
    </row>
    <row r="2994">
      <c r="C2994" s="1" t="n"/>
    </row>
    <row r="2995">
      <c r="C2995" s="1" t="n"/>
    </row>
    <row r="2996">
      <c r="C2996" s="1" t="n"/>
    </row>
    <row r="2997">
      <c r="C2997" s="1" t="n"/>
    </row>
    <row r="2998">
      <c r="C2998" s="1" t="n"/>
    </row>
    <row r="2999">
      <c r="C2999" s="1" t="n"/>
    </row>
    <row r="3000">
      <c r="C3000" s="1" t="n"/>
    </row>
    <row r="3001">
      <c r="C3001" s="1" t="n"/>
    </row>
    <row r="3002">
      <c r="C3002" s="1" t="n"/>
    </row>
    <row r="3003">
      <c r="C3003" s="1" t="n"/>
    </row>
    <row r="3004">
      <c r="C3004" s="1" t="n"/>
    </row>
    <row r="3005">
      <c r="C3005" s="1" t="n"/>
    </row>
    <row r="3006">
      <c r="C3006" s="1" t="n"/>
    </row>
    <row r="3007">
      <c r="C3007" s="1" t="n"/>
    </row>
    <row r="3008">
      <c r="C3008" s="1" t="n"/>
    </row>
    <row r="3009">
      <c r="C3009" s="1" t="n"/>
    </row>
    <row r="3010">
      <c r="C3010" s="1" t="n"/>
    </row>
    <row r="3011">
      <c r="C3011" s="1" t="n"/>
    </row>
    <row r="3012">
      <c r="C3012" s="1" t="n"/>
    </row>
    <row r="3013">
      <c r="C3013" s="1" t="n"/>
    </row>
    <row r="3014">
      <c r="C3014" s="1" t="n"/>
    </row>
    <row r="3015">
      <c r="C3015" s="1" t="n"/>
    </row>
    <row r="3016">
      <c r="C3016" s="1" t="n"/>
    </row>
    <row r="3017">
      <c r="C3017" s="1" t="n"/>
    </row>
    <row r="3018">
      <c r="C3018" s="1" t="n"/>
    </row>
    <row r="3019">
      <c r="C3019" s="1" t="n"/>
    </row>
    <row r="3020">
      <c r="C3020" s="1" t="n"/>
    </row>
    <row r="3021">
      <c r="C3021" s="1" t="n"/>
    </row>
    <row r="3022">
      <c r="C3022" s="1" t="n"/>
    </row>
    <row r="3023">
      <c r="C3023" s="1" t="n"/>
    </row>
    <row r="3024">
      <c r="C3024" s="1" t="n"/>
    </row>
    <row r="3025">
      <c r="C3025" s="1" t="n"/>
    </row>
    <row r="3026">
      <c r="C3026" s="1" t="n"/>
    </row>
    <row r="3027">
      <c r="C3027" s="1" t="n"/>
    </row>
    <row r="3028">
      <c r="C3028" s="1" t="n"/>
    </row>
    <row r="3029">
      <c r="C3029" s="1" t="n"/>
    </row>
    <row r="3030">
      <c r="C3030" s="1" t="n"/>
    </row>
    <row r="3031">
      <c r="C3031" s="1" t="n"/>
    </row>
    <row r="3032">
      <c r="C3032" s="1" t="n"/>
    </row>
    <row r="3033">
      <c r="C3033" s="1" t="n"/>
    </row>
    <row r="3034">
      <c r="C3034" s="1" t="n"/>
    </row>
    <row r="3035">
      <c r="C3035" s="1" t="n"/>
    </row>
    <row r="3036">
      <c r="C3036" s="1" t="n"/>
    </row>
    <row r="3037">
      <c r="C3037" s="1" t="n"/>
    </row>
    <row r="3038">
      <c r="C3038" s="1" t="n"/>
    </row>
    <row r="3039">
      <c r="C3039" s="1" t="n"/>
    </row>
    <row r="3040">
      <c r="C3040" s="1" t="n"/>
    </row>
    <row r="3041">
      <c r="C3041" s="1" t="n"/>
    </row>
    <row r="3042">
      <c r="C3042" s="1" t="n"/>
    </row>
    <row r="3043">
      <c r="C3043" s="1" t="n"/>
    </row>
    <row r="3044">
      <c r="C3044" s="1" t="n"/>
    </row>
    <row r="3045">
      <c r="C3045" s="1" t="n"/>
    </row>
    <row r="3046">
      <c r="C3046" s="1" t="n"/>
    </row>
    <row r="3047">
      <c r="C3047" s="1" t="n"/>
    </row>
    <row r="3048">
      <c r="C3048" s="1" t="n"/>
    </row>
    <row r="3049">
      <c r="C3049" s="1" t="n"/>
    </row>
    <row r="3050">
      <c r="C3050" s="1" t="n"/>
    </row>
    <row r="3051">
      <c r="C3051" s="1" t="n"/>
    </row>
    <row r="3052">
      <c r="C3052" s="1" t="n"/>
    </row>
    <row r="3053">
      <c r="C3053" s="1" t="n"/>
    </row>
    <row r="3054">
      <c r="C3054" s="1" t="n"/>
    </row>
    <row r="3055">
      <c r="C3055" s="1" t="n"/>
    </row>
    <row r="3056">
      <c r="C3056" s="1" t="n"/>
    </row>
    <row r="3057">
      <c r="C3057" s="1" t="n"/>
    </row>
    <row r="3058">
      <c r="C3058" s="1" t="n"/>
    </row>
    <row r="3059">
      <c r="C3059" s="1" t="n"/>
    </row>
    <row r="3060">
      <c r="C3060" s="1" t="n"/>
    </row>
    <row r="3061">
      <c r="C3061" s="1" t="n"/>
    </row>
    <row r="3062">
      <c r="C3062" s="1" t="n"/>
    </row>
    <row r="3063">
      <c r="C3063" s="1" t="n"/>
    </row>
    <row r="3064">
      <c r="C3064" s="1" t="n"/>
    </row>
    <row r="3065">
      <c r="C3065" s="1" t="n"/>
    </row>
    <row r="3066">
      <c r="C3066" s="1" t="n"/>
    </row>
    <row r="3067">
      <c r="C3067" s="1" t="n"/>
    </row>
    <row r="3068">
      <c r="C3068" s="1" t="n"/>
    </row>
    <row r="3069">
      <c r="C3069" s="1" t="n"/>
    </row>
    <row r="3070">
      <c r="C3070" s="1" t="n"/>
    </row>
    <row r="3071">
      <c r="C3071" s="1" t="n"/>
    </row>
    <row r="3072">
      <c r="C3072" s="1" t="n"/>
    </row>
    <row r="3073">
      <c r="C3073" s="1" t="n"/>
    </row>
    <row r="3074">
      <c r="C3074" s="1" t="n"/>
    </row>
    <row r="3075">
      <c r="C3075" s="1" t="n"/>
    </row>
    <row r="3076">
      <c r="C3076" s="1" t="n"/>
    </row>
    <row r="3077">
      <c r="C3077" s="1" t="n"/>
    </row>
    <row r="3078">
      <c r="C3078" s="1" t="n"/>
    </row>
    <row r="3079">
      <c r="C3079" s="1" t="n"/>
    </row>
    <row r="3080">
      <c r="C3080" s="1" t="n"/>
    </row>
    <row r="3081">
      <c r="C3081" s="1" t="n"/>
    </row>
    <row r="3082">
      <c r="C3082" s="1" t="n"/>
    </row>
    <row r="3083">
      <c r="C3083" s="1" t="n"/>
    </row>
    <row r="3084">
      <c r="C3084" s="1" t="n"/>
    </row>
    <row r="3085">
      <c r="C3085" s="1" t="n"/>
    </row>
    <row r="3086">
      <c r="C3086" s="1" t="n"/>
    </row>
    <row r="3087">
      <c r="C3087" s="1" t="n"/>
    </row>
    <row r="3088">
      <c r="C3088" s="1" t="n"/>
    </row>
    <row r="3089">
      <c r="C3089" s="1" t="n"/>
    </row>
    <row r="3090">
      <c r="C3090" s="1" t="n"/>
    </row>
    <row r="3091">
      <c r="C3091" s="1" t="n"/>
    </row>
    <row r="3092">
      <c r="C3092" s="1" t="n"/>
    </row>
    <row r="3093">
      <c r="C3093" s="1" t="n"/>
    </row>
    <row r="3094">
      <c r="C3094" s="1" t="n"/>
    </row>
    <row r="3095">
      <c r="C3095" s="1" t="n"/>
    </row>
    <row r="3096">
      <c r="C3096" s="1" t="n"/>
    </row>
    <row r="3097">
      <c r="C3097" s="1" t="n"/>
    </row>
    <row r="3098">
      <c r="C3098" s="1" t="n"/>
    </row>
    <row r="3099">
      <c r="C3099" s="1" t="n"/>
    </row>
    <row r="3100">
      <c r="C3100" s="1" t="n"/>
    </row>
    <row r="3101">
      <c r="C3101" s="1" t="n"/>
    </row>
    <row r="3102">
      <c r="C3102" s="1" t="n"/>
    </row>
    <row r="3103">
      <c r="C3103" s="1" t="n"/>
    </row>
    <row r="3104">
      <c r="C3104" s="1" t="n"/>
    </row>
    <row r="3105">
      <c r="C3105" s="1" t="n"/>
    </row>
    <row r="3106">
      <c r="C3106" s="1" t="n"/>
    </row>
    <row r="3107">
      <c r="C3107" s="1" t="n"/>
    </row>
    <row r="3108">
      <c r="C3108" s="1" t="n"/>
    </row>
    <row r="3109">
      <c r="C3109" s="1" t="n"/>
    </row>
    <row r="3110">
      <c r="C3110" s="1" t="n"/>
    </row>
    <row r="3111">
      <c r="C3111" s="1" t="n"/>
    </row>
    <row r="3112">
      <c r="C3112" s="1" t="n"/>
    </row>
    <row r="3113">
      <c r="C3113" s="1" t="n"/>
    </row>
    <row r="3114">
      <c r="C3114" s="1" t="n"/>
    </row>
    <row r="3115">
      <c r="C3115" s="1" t="n"/>
    </row>
    <row r="3116">
      <c r="C3116" s="1" t="n"/>
    </row>
    <row r="3117">
      <c r="C3117" s="1" t="n"/>
    </row>
    <row r="3118">
      <c r="C3118" s="1" t="n"/>
    </row>
    <row r="3119">
      <c r="C3119" s="1" t="n"/>
    </row>
    <row r="3120">
      <c r="C3120" s="1" t="n"/>
    </row>
    <row r="3121">
      <c r="C3121" s="1" t="n"/>
    </row>
    <row r="3122">
      <c r="C3122" s="1" t="n"/>
    </row>
    <row r="3123">
      <c r="C3123" s="1" t="n"/>
    </row>
    <row r="3124">
      <c r="C3124" s="1" t="n"/>
    </row>
    <row r="3125">
      <c r="C3125" s="1" t="n"/>
    </row>
    <row r="3126">
      <c r="C3126" s="1" t="n"/>
    </row>
    <row r="3127">
      <c r="C3127" s="1" t="n"/>
    </row>
    <row r="3128">
      <c r="C3128" s="1" t="n"/>
    </row>
    <row r="3129">
      <c r="C3129" s="1" t="n"/>
    </row>
    <row r="3130">
      <c r="C3130" s="1" t="n"/>
    </row>
    <row r="3131">
      <c r="C3131" s="1" t="n"/>
    </row>
    <row r="3132">
      <c r="C3132" s="1" t="n"/>
    </row>
    <row r="3133">
      <c r="C3133" s="1" t="n"/>
    </row>
    <row r="3134">
      <c r="C3134" s="1" t="n"/>
    </row>
    <row r="3135">
      <c r="C3135" s="1" t="n"/>
    </row>
    <row r="3136">
      <c r="C3136" s="1" t="n"/>
    </row>
    <row r="3137">
      <c r="C3137" s="1" t="n"/>
    </row>
    <row r="3138">
      <c r="C3138" s="1" t="n"/>
    </row>
    <row r="3139">
      <c r="C3139" s="1" t="n"/>
    </row>
    <row r="3140">
      <c r="C3140" s="1" t="n"/>
    </row>
    <row r="3141">
      <c r="C3141" s="1" t="n"/>
    </row>
    <row r="3142">
      <c r="C3142" s="1" t="n"/>
    </row>
    <row r="3143">
      <c r="C3143" s="1" t="n"/>
    </row>
    <row r="3144">
      <c r="C3144" s="1" t="n"/>
    </row>
    <row r="3145">
      <c r="C3145" s="1" t="n"/>
    </row>
    <row r="3146">
      <c r="C3146" s="1" t="n"/>
    </row>
    <row r="3147">
      <c r="C3147" s="1" t="n"/>
    </row>
    <row r="3148">
      <c r="C3148" s="1" t="n"/>
    </row>
    <row r="3149">
      <c r="C3149" s="1" t="n"/>
    </row>
    <row r="3150">
      <c r="C3150" s="1" t="n"/>
    </row>
    <row r="3151">
      <c r="C3151" s="1" t="n"/>
    </row>
    <row r="3152">
      <c r="C3152" s="1" t="n"/>
    </row>
    <row r="3153">
      <c r="C3153" s="1" t="n"/>
    </row>
    <row r="3154">
      <c r="C3154" s="1" t="n"/>
    </row>
    <row r="3155">
      <c r="C3155" s="1" t="n"/>
    </row>
    <row r="3156">
      <c r="C3156" s="1" t="n"/>
    </row>
    <row r="3157">
      <c r="C3157" s="1" t="n"/>
    </row>
    <row r="3158">
      <c r="C3158" s="1" t="n"/>
    </row>
    <row r="3159">
      <c r="C3159" s="1" t="n"/>
    </row>
    <row r="3160">
      <c r="C3160" s="1" t="n"/>
    </row>
    <row r="3161">
      <c r="C3161" s="1" t="n"/>
    </row>
    <row r="3162">
      <c r="C3162" s="1" t="n"/>
    </row>
    <row r="3163">
      <c r="C3163" s="1" t="n"/>
    </row>
    <row r="3164">
      <c r="C3164" s="1" t="n"/>
    </row>
    <row r="3165">
      <c r="C3165" s="1" t="n"/>
    </row>
    <row r="3166">
      <c r="C3166" s="1" t="n"/>
    </row>
    <row r="3167">
      <c r="C3167" s="1" t="n"/>
    </row>
    <row r="3168">
      <c r="C3168" s="1" t="n"/>
    </row>
    <row r="3169">
      <c r="C3169" s="1" t="n"/>
    </row>
    <row r="3170">
      <c r="C3170" s="1" t="n"/>
    </row>
    <row r="3171">
      <c r="C3171" s="1" t="n"/>
    </row>
    <row r="3172">
      <c r="C3172" s="1" t="n"/>
    </row>
    <row r="3173">
      <c r="C3173" s="1" t="n"/>
    </row>
    <row r="3174">
      <c r="C3174" s="1" t="n"/>
    </row>
    <row r="3175">
      <c r="C3175" s="1" t="n"/>
    </row>
    <row r="3176">
      <c r="C3176" s="1" t="n"/>
    </row>
    <row r="3177">
      <c r="C3177" s="1" t="n"/>
    </row>
    <row r="3178">
      <c r="C3178" s="1" t="n"/>
    </row>
    <row r="3179">
      <c r="C3179" s="1" t="n"/>
    </row>
    <row r="3180">
      <c r="C3180" s="1" t="n"/>
    </row>
    <row r="3181">
      <c r="C3181" s="1" t="n"/>
    </row>
    <row r="3182">
      <c r="C3182" s="1" t="n"/>
    </row>
    <row r="3183">
      <c r="C3183" s="1" t="n"/>
    </row>
    <row r="3184">
      <c r="C3184" s="1" t="n"/>
    </row>
    <row r="3185">
      <c r="C3185" s="1" t="n"/>
    </row>
    <row r="3186">
      <c r="C3186" s="1" t="n"/>
    </row>
    <row r="3187">
      <c r="C3187" s="1" t="n"/>
    </row>
    <row r="3188">
      <c r="C3188" s="1" t="n"/>
    </row>
    <row r="3189">
      <c r="C3189" s="1" t="n"/>
    </row>
    <row r="3190">
      <c r="C3190" s="1" t="n"/>
    </row>
    <row r="3191">
      <c r="C3191" s="1" t="n"/>
    </row>
    <row r="3192">
      <c r="C3192" s="1" t="n"/>
    </row>
    <row r="3193">
      <c r="C3193" s="1" t="n"/>
    </row>
    <row r="3194">
      <c r="C3194" s="1" t="n"/>
    </row>
    <row r="3195">
      <c r="C3195" s="1" t="n"/>
    </row>
    <row r="3196">
      <c r="C3196" s="1" t="n"/>
    </row>
    <row r="3197">
      <c r="C3197" s="1" t="n"/>
    </row>
    <row r="3198">
      <c r="C3198" s="1" t="n"/>
    </row>
    <row r="3199">
      <c r="C3199" s="1" t="n"/>
    </row>
    <row r="3200">
      <c r="C3200" s="1" t="n"/>
    </row>
    <row r="3201">
      <c r="C3201" s="1" t="n"/>
    </row>
    <row r="3202">
      <c r="C3202" s="1" t="n"/>
    </row>
    <row r="3203">
      <c r="C3203" s="1" t="n"/>
    </row>
    <row r="3204">
      <c r="C3204" s="1" t="n"/>
    </row>
    <row r="3205">
      <c r="C3205" s="1" t="n"/>
    </row>
    <row r="3206">
      <c r="C3206" s="1" t="n"/>
    </row>
    <row r="3207">
      <c r="C3207" s="1" t="n"/>
    </row>
    <row r="3208">
      <c r="C3208" s="1" t="n"/>
    </row>
    <row r="3209">
      <c r="C3209" s="1" t="n"/>
    </row>
    <row r="3210">
      <c r="C3210" s="1" t="n"/>
    </row>
    <row r="3211">
      <c r="C3211" s="1" t="n"/>
    </row>
    <row r="3212">
      <c r="C3212" s="1" t="n"/>
    </row>
    <row r="3213">
      <c r="C3213" s="1" t="n"/>
    </row>
    <row r="3214">
      <c r="C3214" s="1" t="n"/>
    </row>
    <row r="3215">
      <c r="C3215" s="1" t="n"/>
    </row>
    <row r="3216">
      <c r="C3216" s="1" t="n"/>
    </row>
    <row r="3217">
      <c r="C3217" s="1" t="n"/>
    </row>
    <row r="3218">
      <c r="C3218" s="1" t="n"/>
    </row>
    <row r="3219">
      <c r="C3219" s="1" t="n"/>
    </row>
    <row r="3220">
      <c r="C3220" s="1" t="n"/>
    </row>
    <row r="3221">
      <c r="C3221" s="1" t="n"/>
    </row>
    <row r="3222">
      <c r="C3222" s="1" t="n"/>
    </row>
    <row r="3223">
      <c r="C3223" s="1" t="n"/>
    </row>
    <row r="3224">
      <c r="C3224" s="1" t="n"/>
    </row>
    <row r="3225">
      <c r="C3225" s="1" t="n"/>
    </row>
    <row r="3226">
      <c r="C3226" s="1" t="n"/>
    </row>
    <row r="3227">
      <c r="C3227" s="1" t="n"/>
    </row>
    <row r="3228">
      <c r="C3228" s="1" t="n"/>
    </row>
    <row r="3229">
      <c r="C3229" s="1" t="n"/>
    </row>
    <row r="3230">
      <c r="C3230" s="1" t="n"/>
    </row>
    <row r="3231">
      <c r="C3231" s="1" t="n"/>
    </row>
    <row r="3232">
      <c r="C3232" s="1" t="n"/>
    </row>
    <row r="3233">
      <c r="C3233" s="1" t="n"/>
    </row>
    <row r="3234">
      <c r="C3234" s="1" t="n"/>
    </row>
    <row r="3235">
      <c r="C3235" s="1" t="n"/>
    </row>
    <row r="3236">
      <c r="C3236" s="1" t="n"/>
    </row>
    <row r="3237">
      <c r="C3237" s="1" t="n"/>
    </row>
    <row r="3238">
      <c r="C3238" s="1" t="n"/>
    </row>
    <row r="3239">
      <c r="C3239" s="1" t="n"/>
    </row>
    <row r="3240">
      <c r="C3240" s="1" t="n"/>
    </row>
    <row r="3241">
      <c r="C3241" s="1" t="n"/>
    </row>
    <row r="3242">
      <c r="C3242" s="1" t="n"/>
    </row>
    <row r="3243">
      <c r="C3243" s="1" t="n"/>
    </row>
    <row r="3244">
      <c r="C3244" s="1" t="n"/>
    </row>
    <row r="3245">
      <c r="C3245" s="1" t="n"/>
    </row>
    <row r="3246">
      <c r="C3246" s="1" t="n"/>
    </row>
    <row r="3247">
      <c r="C3247" s="1" t="n"/>
    </row>
    <row r="3248">
      <c r="C3248" s="1" t="n"/>
    </row>
    <row r="3249">
      <c r="C3249" s="1" t="n"/>
    </row>
    <row r="3250">
      <c r="C3250" s="1" t="n"/>
    </row>
    <row r="3251">
      <c r="C3251" s="1" t="n"/>
    </row>
    <row r="3252">
      <c r="C3252" s="1" t="n"/>
    </row>
    <row r="3253">
      <c r="C3253" s="1" t="n"/>
    </row>
    <row r="3254">
      <c r="C3254" s="1" t="n"/>
    </row>
    <row r="3255">
      <c r="C3255" s="1" t="n"/>
    </row>
    <row r="3256">
      <c r="C3256" s="1" t="n"/>
    </row>
    <row r="3257">
      <c r="C3257" s="1" t="n"/>
    </row>
    <row r="3258">
      <c r="C3258" s="1" t="n"/>
    </row>
    <row r="3259">
      <c r="C3259" s="1" t="n"/>
    </row>
    <row r="3260">
      <c r="C3260" s="1" t="n"/>
    </row>
    <row r="3261">
      <c r="C3261" s="1" t="n"/>
    </row>
    <row r="3262">
      <c r="C3262" s="1" t="n"/>
    </row>
    <row r="3263">
      <c r="C3263" s="1" t="n"/>
    </row>
    <row r="3264">
      <c r="C3264" s="1" t="n"/>
    </row>
    <row r="3265">
      <c r="C3265" s="1" t="n"/>
    </row>
    <row r="3266">
      <c r="C3266" s="1" t="n"/>
    </row>
    <row r="3267">
      <c r="C3267" s="1" t="n"/>
    </row>
    <row r="3268">
      <c r="C3268" s="1" t="n"/>
    </row>
    <row r="3269">
      <c r="C3269" s="1" t="n"/>
    </row>
    <row r="3270">
      <c r="C3270" s="1" t="n"/>
    </row>
    <row r="3271">
      <c r="C3271" s="1" t="n"/>
    </row>
    <row r="3272">
      <c r="C3272" s="1" t="n"/>
    </row>
    <row r="3273">
      <c r="C3273" s="1" t="n"/>
    </row>
    <row r="3274">
      <c r="C3274" s="1" t="n"/>
    </row>
    <row r="3275">
      <c r="C3275" s="1" t="n"/>
    </row>
    <row r="3276">
      <c r="C3276" s="1" t="n"/>
    </row>
    <row r="3277">
      <c r="C3277" s="1" t="n"/>
    </row>
    <row r="3278">
      <c r="C3278" s="1" t="n"/>
    </row>
    <row r="3279">
      <c r="C3279" s="1" t="n"/>
    </row>
    <row r="3280">
      <c r="C3280" s="1" t="n"/>
    </row>
    <row r="3281">
      <c r="C3281" s="1" t="n"/>
    </row>
    <row r="3282">
      <c r="C3282" s="1" t="n"/>
    </row>
    <row r="3283">
      <c r="C3283" s="1" t="n"/>
    </row>
    <row r="3284">
      <c r="C3284" s="1" t="n"/>
    </row>
    <row r="3285">
      <c r="C3285" s="1" t="n"/>
    </row>
    <row r="3286">
      <c r="C3286" s="1" t="n"/>
    </row>
    <row r="3287">
      <c r="C3287" s="1" t="n"/>
    </row>
    <row r="3288">
      <c r="C3288" s="1" t="n"/>
    </row>
    <row r="3289">
      <c r="C3289" s="1" t="n"/>
    </row>
    <row r="3290">
      <c r="C3290" s="1" t="n"/>
    </row>
    <row r="3291">
      <c r="C3291" s="1" t="n"/>
    </row>
    <row r="3292">
      <c r="C3292" s="1" t="n"/>
    </row>
    <row r="3293">
      <c r="C3293" s="1" t="n"/>
    </row>
    <row r="3294">
      <c r="C3294" s="1" t="n"/>
    </row>
    <row r="3295">
      <c r="C3295" s="1" t="n"/>
    </row>
    <row r="3296">
      <c r="C3296" s="1" t="n"/>
    </row>
    <row r="3297">
      <c r="C3297" s="1" t="n"/>
    </row>
    <row r="3298">
      <c r="C3298" s="1" t="n"/>
    </row>
    <row r="3299">
      <c r="C3299" s="1" t="n"/>
    </row>
    <row r="3300">
      <c r="C3300" s="1" t="n"/>
    </row>
    <row r="3301">
      <c r="C3301" s="1" t="n"/>
    </row>
    <row r="3302">
      <c r="C3302" s="1" t="n"/>
    </row>
    <row r="3303">
      <c r="C3303" s="1" t="n"/>
    </row>
    <row r="3304">
      <c r="C3304" s="1" t="n"/>
    </row>
    <row r="3305">
      <c r="C3305" s="1" t="n"/>
    </row>
    <row r="3306">
      <c r="C3306" s="1" t="n"/>
    </row>
    <row r="3307">
      <c r="C3307" s="1" t="n"/>
    </row>
    <row r="3308">
      <c r="C3308" s="1" t="n"/>
    </row>
    <row r="3309">
      <c r="C3309" s="1" t="n"/>
    </row>
    <row r="3310">
      <c r="C3310" s="1" t="n"/>
    </row>
    <row r="3311">
      <c r="C3311" s="1" t="n"/>
    </row>
    <row r="3312">
      <c r="C3312" s="1" t="n"/>
    </row>
    <row r="3313">
      <c r="C3313" s="1" t="n"/>
    </row>
    <row r="3314">
      <c r="C3314" s="1" t="n"/>
    </row>
    <row r="3315">
      <c r="C3315" s="1" t="n"/>
    </row>
    <row r="3316">
      <c r="C3316" s="1" t="n"/>
    </row>
    <row r="3317">
      <c r="C3317" s="1" t="n"/>
    </row>
    <row r="3318">
      <c r="C3318" s="1" t="n"/>
    </row>
    <row r="3319">
      <c r="C3319" s="1" t="n"/>
    </row>
    <row r="3320">
      <c r="C3320" s="1" t="n"/>
    </row>
    <row r="3321">
      <c r="C3321" s="1" t="n"/>
    </row>
    <row r="3322">
      <c r="C3322" s="1" t="n"/>
    </row>
    <row r="3323">
      <c r="C3323" s="1" t="n"/>
    </row>
    <row r="3324">
      <c r="C3324" s="1" t="n"/>
    </row>
    <row r="3325">
      <c r="C3325" s="1" t="n"/>
    </row>
    <row r="3326">
      <c r="C3326" s="1" t="n"/>
    </row>
    <row r="3327">
      <c r="C3327" s="1" t="n"/>
    </row>
    <row r="3328">
      <c r="C3328" s="1" t="n"/>
    </row>
    <row r="3329">
      <c r="C3329" s="1" t="n"/>
    </row>
    <row r="3330">
      <c r="C3330" s="1" t="n"/>
    </row>
    <row r="3331">
      <c r="C3331" s="1" t="n"/>
    </row>
    <row r="3332">
      <c r="C3332" s="1" t="n"/>
    </row>
    <row r="3333">
      <c r="C3333" s="1" t="n"/>
    </row>
    <row r="3334">
      <c r="C3334" s="1" t="n"/>
    </row>
    <row r="3335">
      <c r="C3335" s="1" t="n"/>
    </row>
    <row r="3336">
      <c r="C3336" s="1" t="n"/>
    </row>
    <row r="3337">
      <c r="C3337" s="1" t="n"/>
    </row>
    <row r="3338">
      <c r="C3338" s="1" t="n"/>
    </row>
    <row r="3339">
      <c r="C3339" s="1" t="n"/>
    </row>
    <row r="3340">
      <c r="C3340" s="1" t="n"/>
    </row>
    <row r="3341">
      <c r="C3341" s="1" t="n"/>
    </row>
    <row r="3342">
      <c r="C3342" s="1" t="n"/>
    </row>
    <row r="3343">
      <c r="C3343" s="1" t="n"/>
    </row>
    <row r="3344">
      <c r="C3344" s="1" t="n"/>
    </row>
    <row r="3345">
      <c r="C3345" s="1" t="n"/>
    </row>
    <row r="3346">
      <c r="C3346" s="1" t="n"/>
    </row>
    <row r="3347">
      <c r="C3347" s="1" t="n"/>
    </row>
    <row r="3348">
      <c r="C3348" s="1" t="n"/>
    </row>
    <row r="3349">
      <c r="C3349" s="1" t="n"/>
    </row>
    <row r="3350">
      <c r="C3350" s="1" t="n"/>
    </row>
    <row r="3351">
      <c r="C3351" s="1" t="n"/>
    </row>
    <row r="3352">
      <c r="C3352" s="1" t="n"/>
    </row>
    <row r="3353">
      <c r="C3353" s="1" t="n"/>
    </row>
    <row r="3354">
      <c r="C3354" s="1" t="n"/>
    </row>
    <row r="3355">
      <c r="C3355" s="1" t="n"/>
    </row>
    <row r="3356">
      <c r="C3356" s="1" t="n"/>
    </row>
    <row r="3357">
      <c r="C3357" s="1" t="n"/>
    </row>
    <row r="3358">
      <c r="C3358" s="1" t="n"/>
    </row>
    <row r="3359">
      <c r="C3359" s="1" t="n"/>
    </row>
    <row r="3360">
      <c r="C3360" s="1" t="n"/>
    </row>
    <row r="3361">
      <c r="C3361" s="1" t="n"/>
    </row>
    <row r="3362">
      <c r="C3362" s="1" t="n"/>
    </row>
    <row r="3363">
      <c r="C3363" s="1" t="n"/>
    </row>
    <row r="3364">
      <c r="C3364" s="1" t="n"/>
    </row>
    <row r="3365">
      <c r="C3365" s="1" t="n"/>
    </row>
    <row r="3366">
      <c r="C3366" s="1" t="n"/>
    </row>
    <row r="3367">
      <c r="C3367" s="1" t="n"/>
    </row>
    <row r="3368">
      <c r="C3368" s="1" t="n"/>
    </row>
    <row r="3369">
      <c r="C3369" s="1" t="n"/>
    </row>
    <row r="3370">
      <c r="C3370" s="1" t="n"/>
    </row>
    <row r="3371">
      <c r="C3371" s="1" t="n"/>
    </row>
    <row r="3372">
      <c r="C3372" s="1" t="n"/>
    </row>
    <row r="3373">
      <c r="C3373" s="1" t="n"/>
    </row>
    <row r="3374">
      <c r="C3374" s="1" t="n"/>
    </row>
    <row r="3375">
      <c r="C3375" s="1" t="n"/>
    </row>
    <row r="3376">
      <c r="C3376" s="1" t="n"/>
    </row>
    <row r="3377">
      <c r="C3377" s="1" t="n"/>
    </row>
    <row r="3378">
      <c r="C3378" s="1" t="n"/>
    </row>
    <row r="3379">
      <c r="C3379" s="1" t="n"/>
    </row>
    <row r="3380">
      <c r="C3380" s="1" t="n"/>
    </row>
    <row r="3381">
      <c r="C3381" s="1" t="n"/>
    </row>
    <row r="3382">
      <c r="C3382" s="1" t="n"/>
    </row>
    <row r="3383">
      <c r="C3383" s="1" t="n"/>
    </row>
    <row r="3384">
      <c r="C3384" s="1" t="n"/>
    </row>
    <row r="3385">
      <c r="C3385" s="1" t="n"/>
    </row>
    <row r="3386">
      <c r="C3386" s="1" t="n"/>
    </row>
    <row r="3387">
      <c r="C3387" s="1" t="n"/>
    </row>
    <row r="3388">
      <c r="C3388" s="1" t="n"/>
    </row>
    <row r="3389">
      <c r="C3389" s="1" t="n"/>
    </row>
    <row r="3390">
      <c r="C3390" s="1" t="n"/>
    </row>
    <row r="3391">
      <c r="C3391" s="1" t="n"/>
    </row>
    <row r="3392">
      <c r="C3392" s="1" t="n"/>
    </row>
    <row r="3393">
      <c r="C3393" s="1" t="n"/>
    </row>
    <row r="3394">
      <c r="C3394" s="1" t="n"/>
    </row>
    <row r="3395">
      <c r="C3395" s="1" t="n"/>
    </row>
    <row r="3396">
      <c r="C3396" s="1" t="n"/>
    </row>
    <row r="3397">
      <c r="C3397" s="1" t="n"/>
    </row>
    <row r="3398">
      <c r="C3398" s="1" t="n"/>
    </row>
    <row r="3399">
      <c r="C3399" s="1" t="n"/>
    </row>
    <row r="3400">
      <c r="C3400" s="1" t="n"/>
    </row>
    <row r="3401">
      <c r="C3401" s="1" t="n"/>
    </row>
    <row r="3402">
      <c r="C3402" s="1" t="n"/>
    </row>
    <row r="3403">
      <c r="C3403" s="1" t="n"/>
    </row>
    <row r="3404">
      <c r="C3404" s="1" t="n"/>
    </row>
    <row r="3405">
      <c r="C3405" s="1" t="n"/>
    </row>
    <row r="3406">
      <c r="C3406" s="1" t="n"/>
    </row>
    <row r="3407">
      <c r="C3407" s="1" t="n"/>
    </row>
    <row r="3408">
      <c r="C3408" s="1" t="n"/>
    </row>
    <row r="3409">
      <c r="C3409" s="1" t="n"/>
    </row>
    <row r="3410">
      <c r="C3410" s="1" t="n"/>
    </row>
    <row r="3411">
      <c r="C3411" s="1" t="n"/>
    </row>
    <row r="3412">
      <c r="C3412" s="1" t="n"/>
    </row>
    <row r="3413">
      <c r="C3413" s="1" t="n"/>
    </row>
    <row r="3414">
      <c r="C3414" s="1" t="n"/>
    </row>
    <row r="3415">
      <c r="C3415" s="1" t="n"/>
    </row>
    <row r="3416">
      <c r="C3416" s="1" t="n"/>
    </row>
    <row r="3417">
      <c r="C3417" s="1" t="n"/>
    </row>
    <row r="3418">
      <c r="C3418" s="1" t="n"/>
    </row>
    <row r="3419">
      <c r="C3419" s="1" t="n"/>
    </row>
    <row r="3420">
      <c r="C3420" s="1" t="n"/>
    </row>
    <row r="3421">
      <c r="C3421" s="1" t="n"/>
    </row>
    <row r="3422">
      <c r="C3422" s="1" t="n"/>
    </row>
    <row r="3423">
      <c r="C3423" s="1" t="n"/>
    </row>
    <row r="3424">
      <c r="C3424" s="1" t="n"/>
    </row>
    <row r="3425">
      <c r="C3425" s="1" t="n"/>
    </row>
    <row r="3426">
      <c r="C3426" s="1" t="n"/>
    </row>
    <row r="3427">
      <c r="C3427" s="1" t="n"/>
    </row>
    <row r="3428">
      <c r="C3428" s="1" t="n"/>
    </row>
    <row r="3429">
      <c r="C3429" s="1" t="n"/>
    </row>
    <row r="3430">
      <c r="C3430" s="1" t="n"/>
    </row>
    <row r="3431">
      <c r="C3431" s="1" t="n"/>
    </row>
    <row r="3432">
      <c r="C3432" s="1" t="n"/>
    </row>
    <row r="3433">
      <c r="C3433" s="1" t="n"/>
    </row>
    <row r="3434">
      <c r="C3434" s="1" t="n"/>
    </row>
    <row r="3435">
      <c r="C3435" s="1" t="n"/>
    </row>
    <row r="3436">
      <c r="C3436" s="1" t="n"/>
    </row>
    <row r="3437">
      <c r="C3437" s="1" t="n"/>
    </row>
    <row r="3438">
      <c r="C3438" s="1" t="n"/>
    </row>
    <row r="3439">
      <c r="C3439" s="1" t="n"/>
    </row>
    <row r="3440">
      <c r="C3440" s="1" t="n"/>
    </row>
    <row r="3441">
      <c r="C3441" s="1" t="n"/>
    </row>
    <row r="3442">
      <c r="C3442" s="1" t="n"/>
    </row>
    <row r="3443">
      <c r="C3443" s="1" t="n"/>
    </row>
    <row r="3444">
      <c r="C3444" s="1" t="n"/>
    </row>
    <row r="3445">
      <c r="C3445" s="1" t="n"/>
    </row>
    <row r="3446">
      <c r="C3446" s="1" t="n"/>
    </row>
    <row r="3447">
      <c r="C3447" s="1" t="n"/>
    </row>
    <row r="3448">
      <c r="C3448" s="1" t="n"/>
    </row>
    <row r="3449">
      <c r="C3449" s="1" t="n"/>
    </row>
    <row r="3450">
      <c r="C3450" s="1" t="n"/>
    </row>
    <row r="3451">
      <c r="C3451" s="1" t="n"/>
    </row>
    <row r="3452">
      <c r="C3452" s="1" t="n"/>
    </row>
    <row r="3453">
      <c r="C3453" s="1" t="n"/>
    </row>
    <row r="3454">
      <c r="C3454" s="1" t="n"/>
    </row>
    <row r="3455">
      <c r="C3455" s="1" t="n"/>
    </row>
    <row r="3456">
      <c r="C3456" s="1" t="n"/>
    </row>
    <row r="3457">
      <c r="C3457" s="1" t="n"/>
    </row>
    <row r="3458">
      <c r="C3458" s="1" t="n"/>
    </row>
    <row r="3459">
      <c r="C3459" s="1" t="n"/>
    </row>
    <row r="3460">
      <c r="C3460" s="1" t="n"/>
    </row>
    <row r="3461">
      <c r="C3461" s="1" t="n"/>
    </row>
    <row r="3462">
      <c r="C3462" s="1" t="n"/>
    </row>
    <row r="3463">
      <c r="C3463" s="1" t="n"/>
    </row>
    <row r="3464">
      <c r="C3464" s="1" t="n"/>
    </row>
    <row r="3465">
      <c r="C3465" s="1" t="n"/>
    </row>
    <row r="3466">
      <c r="C3466" s="1" t="n"/>
    </row>
    <row r="3467">
      <c r="C3467" s="1" t="n"/>
    </row>
    <row r="3468">
      <c r="C3468" s="1" t="n"/>
    </row>
    <row r="3469">
      <c r="C3469" s="1" t="n"/>
    </row>
    <row r="3470">
      <c r="C3470" s="1" t="n"/>
    </row>
    <row r="3471">
      <c r="C3471" s="1" t="n"/>
    </row>
    <row r="3472">
      <c r="C3472" s="1" t="n"/>
    </row>
    <row r="3473">
      <c r="C3473" s="1" t="n"/>
    </row>
    <row r="3474">
      <c r="C3474" s="1" t="n"/>
    </row>
    <row r="3475">
      <c r="C3475" s="1" t="n"/>
    </row>
    <row r="3476">
      <c r="C3476" s="1" t="n"/>
    </row>
    <row r="3477">
      <c r="C3477" s="1" t="n"/>
    </row>
    <row r="3478">
      <c r="C3478" s="1" t="n"/>
    </row>
    <row r="3479">
      <c r="C3479" s="1" t="n"/>
    </row>
    <row r="3480">
      <c r="C3480" s="1" t="n"/>
    </row>
    <row r="3481">
      <c r="C3481" s="1" t="n"/>
    </row>
    <row r="3482">
      <c r="C3482" s="1" t="n"/>
    </row>
    <row r="3483">
      <c r="C3483" s="1" t="n"/>
    </row>
    <row r="3484">
      <c r="C3484" s="1" t="n"/>
    </row>
    <row r="3485">
      <c r="C3485" s="1" t="n"/>
    </row>
    <row r="3486">
      <c r="C3486" s="1" t="n"/>
    </row>
    <row r="3487">
      <c r="C3487" s="1" t="n"/>
    </row>
    <row r="3488">
      <c r="C3488" s="1" t="n"/>
    </row>
    <row r="3489">
      <c r="C3489" s="1" t="n"/>
    </row>
    <row r="3490">
      <c r="C3490" s="1" t="n"/>
    </row>
    <row r="3491">
      <c r="C3491" s="1" t="n"/>
    </row>
    <row r="3492">
      <c r="C3492" s="1" t="n"/>
    </row>
    <row r="3493">
      <c r="C3493" s="1" t="n"/>
    </row>
    <row r="3494">
      <c r="C3494" s="1" t="n"/>
    </row>
    <row r="3495">
      <c r="C3495" s="1" t="n"/>
    </row>
    <row r="3496">
      <c r="C3496" s="1" t="n"/>
    </row>
    <row r="3497">
      <c r="C3497" s="1" t="n"/>
    </row>
    <row r="3498">
      <c r="C3498" s="1" t="n"/>
    </row>
    <row r="3499">
      <c r="C3499" s="1" t="n"/>
    </row>
    <row r="3500">
      <c r="C3500" s="1" t="n"/>
    </row>
    <row r="3501">
      <c r="C3501" s="1" t="n"/>
    </row>
    <row r="3502">
      <c r="C3502" s="1" t="n"/>
    </row>
    <row r="3503">
      <c r="C3503" s="1" t="n"/>
    </row>
    <row r="3504">
      <c r="C3504" s="1" t="n"/>
    </row>
    <row r="3505">
      <c r="C3505" s="1" t="n"/>
    </row>
    <row r="3506">
      <c r="C3506" s="1" t="n"/>
    </row>
    <row r="3507">
      <c r="C3507" s="1" t="n"/>
    </row>
    <row r="3508">
      <c r="C3508" s="1" t="n"/>
    </row>
    <row r="3509">
      <c r="C3509" s="1" t="n"/>
    </row>
    <row r="3510">
      <c r="C3510" s="1" t="n"/>
    </row>
    <row r="3511">
      <c r="C3511" s="1" t="n"/>
    </row>
    <row r="3512">
      <c r="C3512" s="1" t="n"/>
    </row>
    <row r="3513">
      <c r="C3513" s="1" t="n"/>
    </row>
    <row r="3514">
      <c r="C3514" s="1" t="n"/>
    </row>
    <row r="3515">
      <c r="C3515" s="1" t="n"/>
    </row>
    <row r="3516">
      <c r="C3516" s="1" t="n"/>
    </row>
    <row r="3517">
      <c r="C3517" s="1" t="n"/>
    </row>
    <row r="3518">
      <c r="C3518" s="1" t="n"/>
    </row>
    <row r="3519">
      <c r="C3519" s="1" t="n"/>
    </row>
    <row r="3520">
      <c r="C3520" s="1" t="n"/>
    </row>
    <row r="3521">
      <c r="C3521" s="1" t="n"/>
    </row>
    <row r="3522">
      <c r="C3522" s="1" t="n"/>
    </row>
    <row r="3523">
      <c r="C3523" s="1" t="n"/>
    </row>
    <row r="3524">
      <c r="C3524" s="1" t="n"/>
    </row>
    <row r="3525">
      <c r="C3525" s="1" t="n"/>
    </row>
    <row r="3526">
      <c r="C3526" s="1" t="n"/>
    </row>
    <row r="3527">
      <c r="C3527" s="1" t="n"/>
    </row>
    <row r="3528">
      <c r="C3528" s="1" t="n"/>
    </row>
    <row r="3529">
      <c r="C3529" s="1" t="n"/>
    </row>
    <row r="3530">
      <c r="C3530" s="1" t="n"/>
    </row>
    <row r="3531">
      <c r="C3531" s="1" t="n"/>
    </row>
    <row r="3532">
      <c r="C3532" s="1" t="n"/>
    </row>
    <row r="3533">
      <c r="C3533" s="1" t="n"/>
    </row>
    <row r="3534">
      <c r="C3534" s="1" t="n"/>
    </row>
    <row r="3535">
      <c r="C3535" s="1" t="n"/>
    </row>
    <row r="3536">
      <c r="C3536" s="1" t="n"/>
    </row>
    <row r="3537">
      <c r="C3537" s="1" t="n"/>
    </row>
    <row r="3538">
      <c r="C3538" s="1" t="n"/>
    </row>
    <row r="3539">
      <c r="C3539" s="1" t="n"/>
    </row>
    <row r="3540">
      <c r="C3540" s="1" t="n"/>
    </row>
    <row r="3541">
      <c r="C3541" s="1" t="n"/>
    </row>
    <row r="3542">
      <c r="C3542" s="1" t="n"/>
    </row>
    <row r="3543">
      <c r="C3543" s="1" t="n"/>
    </row>
    <row r="3544">
      <c r="C3544" s="1" t="n"/>
    </row>
    <row r="3545">
      <c r="C3545" s="1" t="n"/>
    </row>
    <row r="3546">
      <c r="C3546" s="1" t="n"/>
    </row>
    <row r="3547">
      <c r="C3547" s="1" t="n"/>
    </row>
    <row r="3548">
      <c r="C3548" s="1" t="n"/>
    </row>
    <row r="3549">
      <c r="C3549" s="1" t="n"/>
    </row>
    <row r="3550">
      <c r="C3550" s="1" t="n"/>
    </row>
    <row r="3551">
      <c r="C3551" s="1" t="n"/>
    </row>
    <row r="3552">
      <c r="C3552" s="1" t="n"/>
    </row>
    <row r="3553">
      <c r="C3553" s="1" t="n"/>
    </row>
    <row r="3554">
      <c r="C3554" s="1" t="n"/>
    </row>
    <row r="3555">
      <c r="C3555" s="1" t="n"/>
    </row>
    <row r="3556">
      <c r="C3556" s="1" t="n"/>
    </row>
    <row r="3557">
      <c r="C3557" s="1" t="n"/>
    </row>
    <row r="3558">
      <c r="C3558" s="1" t="n"/>
    </row>
    <row r="3559">
      <c r="C3559" s="1" t="n"/>
    </row>
    <row r="3560">
      <c r="C3560" s="1" t="n"/>
    </row>
    <row r="3561">
      <c r="C3561" s="1" t="n"/>
    </row>
    <row r="3562">
      <c r="C3562" s="1" t="n"/>
    </row>
    <row r="3563">
      <c r="C3563" s="1" t="n"/>
    </row>
    <row r="3564">
      <c r="C3564" s="1" t="n"/>
    </row>
    <row r="3565">
      <c r="C3565" s="1" t="n"/>
    </row>
    <row r="3566">
      <c r="C3566" s="1" t="n"/>
    </row>
    <row r="3567">
      <c r="C3567" s="1" t="n"/>
    </row>
    <row r="3568">
      <c r="C3568" s="1" t="n"/>
    </row>
    <row r="3569">
      <c r="C3569" s="1" t="n"/>
    </row>
    <row r="3570">
      <c r="C3570" s="1" t="n"/>
    </row>
    <row r="3571">
      <c r="C3571" s="1" t="n"/>
    </row>
    <row r="3572">
      <c r="C3572" s="1" t="n"/>
    </row>
    <row r="3573">
      <c r="C3573" s="1" t="n"/>
    </row>
    <row r="3574">
      <c r="C3574" s="1" t="n"/>
    </row>
    <row r="3575">
      <c r="C3575" s="1" t="n"/>
    </row>
    <row r="3576">
      <c r="C3576" s="1" t="n"/>
    </row>
    <row r="3577">
      <c r="C3577" s="1" t="n"/>
    </row>
    <row r="3578">
      <c r="C3578" s="1" t="n"/>
    </row>
    <row r="3579">
      <c r="C3579" s="1" t="n"/>
    </row>
    <row r="3580">
      <c r="C3580" s="1" t="n"/>
    </row>
    <row r="3581">
      <c r="C3581" s="1" t="n"/>
    </row>
    <row r="3582">
      <c r="C3582" s="1" t="n"/>
    </row>
    <row r="3583">
      <c r="C3583" s="1" t="n"/>
    </row>
    <row r="3584">
      <c r="C3584" s="1" t="n"/>
    </row>
    <row r="3585">
      <c r="C3585" s="1" t="n"/>
    </row>
    <row r="3586">
      <c r="C3586" s="1" t="n"/>
    </row>
    <row r="3587">
      <c r="C3587" s="1" t="n"/>
    </row>
    <row r="3588">
      <c r="C3588" s="1" t="n"/>
    </row>
    <row r="3589">
      <c r="C3589" s="1" t="n"/>
    </row>
    <row r="3590">
      <c r="C3590" s="1" t="n"/>
    </row>
    <row r="3591">
      <c r="C3591" s="1" t="n"/>
    </row>
    <row r="3592">
      <c r="C3592" s="1" t="n"/>
    </row>
    <row r="3593">
      <c r="C3593" s="1" t="n"/>
    </row>
    <row r="3594">
      <c r="C3594" s="1" t="n"/>
    </row>
    <row r="3595">
      <c r="C3595" s="1" t="n"/>
    </row>
    <row r="3596">
      <c r="C3596" s="1" t="n"/>
    </row>
    <row r="3597">
      <c r="C3597" s="1" t="n"/>
    </row>
    <row r="3598">
      <c r="C3598" s="1" t="n"/>
    </row>
    <row r="3599">
      <c r="C3599" s="1" t="n"/>
    </row>
    <row r="3600">
      <c r="C3600" s="1" t="n"/>
    </row>
    <row r="3601">
      <c r="C3601" s="1" t="n"/>
    </row>
    <row r="3602">
      <c r="C3602" s="1" t="n"/>
    </row>
    <row r="3603">
      <c r="C3603" s="1" t="n"/>
    </row>
    <row r="3604">
      <c r="C3604" s="1" t="n"/>
    </row>
    <row r="3605">
      <c r="C3605" s="1" t="n"/>
    </row>
    <row r="3606">
      <c r="C3606" s="1" t="n"/>
    </row>
    <row r="3607">
      <c r="C3607" s="1" t="n"/>
    </row>
    <row r="3608">
      <c r="C3608" s="1" t="n"/>
    </row>
    <row r="3609">
      <c r="C3609" s="1" t="n"/>
    </row>
    <row r="3610">
      <c r="C3610" s="1" t="n"/>
    </row>
    <row r="3611">
      <c r="C3611" s="1" t="n"/>
    </row>
    <row r="3612">
      <c r="C3612" s="1" t="n"/>
    </row>
    <row r="3613">
      <c r="C3613" s="1" t="n"/>
    </row>
    <row r="3614">
      <c r="C3614" s="1" t="n"/>
    </row>
    <row r="3615">
      <c r="C3615" s="1" t="n"/>
    </row>
    <row r="3616">
      <c r="C3616" s="1" t="n"/>
    </row>
    <row r="3617">
      <c r="C3617" s="1" t="n"/>
    </row>
    <row r="3618">
      <c r="C3618" s="1" t="n"/>
    </row>
    <row r="3619">
      <c r="C3619" s="1" t="n"/>
    </row>
    <row r="3620">
      <c r="C3620" s="1" t="n"/>
    </row>
    <row r="3621">
      <c r="C3621" s="1" t="n"/>
    </row>
    <row r="3622">
      <c r="C3622" s="1" t="n"/>
    </row>
    <row r="3623">
      <c r="C3623" s="1" t="n"/>
    </row>
    <row r="3624">
      <c r="C3624" s="1" t="n"/>
    </row>
    <row r="3625">
      <c r="C3625" s="1" t="n"/>
    </row>
    <row r="3626">
      <c r="C3626" s="1" t="n"/>
    </row>
    <row r="3627">
      <c r="C3627" s="1" t="n"/>
    </row>
    <row r="3628">
      <c r="C3628" s="1" t="n"/>
    </row>
    <row r="3629">
      <c r="C3629" s="1" t="n"/>
    </row>
    <row r="3630">
      <c r="C3630" s="1" t="n"/>
    </row>
    <row r="3631">
      <c r="C3631" s="1" t="n"/>
    </row>
    <row r="3632">
      <c r="C3632" s="1" t="n"/>
    </row>
    <row r="3633">
      <c r="C3633" s="1" t="n"/>
    </row>
    <row r="3634">
      <c r="C3634" s="1" t="n"/>
    </row>
    <row r="3635">
      <c r="C3635" s="1" t="n"/>
    </row>
    <row r="3636">
      <c r="C3636" s="1" t="n"/>
    </row>
    <row r="3637">
      <c r="C3637" s="1" t="n"/>
    </row>
    <row r="3638">
      <c r="C3638" s="1" t="n"/>
    </row>
    <row r="3639">
      <c r="C3639" s="1" t="n"/>
    </row>
    <row r="3640">
      <c r="C3640" s="1" t="n"/>
    </row>
    <row r="3641">
      <c r="C3641" s="1" t="n"/>
    </row>
    <row r="3642">
      <c r="C3642" s="1" t="n"/>
    </row>
    <row r="3643">
      <c r="C3643" s="1" t="n"/>
    </row>
    <row r="3644">
      <c r="C3644" s="1" t="n"/>
    </row>
    <row r="3645">
      <c r="C3645" s="1" t="n"/>
    </row>
    <row r="3646">
      <c r="C3646" s="1" t="n"/>
    </row>
    <row r="3647">
      <c r="C3647" s="1" t="n"/>
    </row>
    <row r="3648">
      <c r="C3648" s="1" t="n"/>
    </row>
    <row r="3649">
      <c r="C3649" s="1" t="n"/>
    </row>
    <row r="3650">
      <c r="C3650" s="1" t="n"/>
    </row>
    <row r="3651">
      <c r="C3651" s="1" t="n"/>
    </row>
    <row r="3652">
      <c r="C3652" s="1" t="n"/>
    </row>
    <row r="3653">
      <c r="C3653" s="1" t="n"/>
    </row>
    <row r="3654">
      <c r="C3654" s="1" t="n"/>
    </row>
    <row r="3655">
      <c r="C3655" s="1" t="n"/>
    </row>
    <row r="3656">
      <c r="C3656" s="1" t="n"/>
    </row>
    <row r="3657">
      <c r="C3657" s="1" t="n"/>
    </row>
    <row r="3658">
      <c r="C3658" s="1" t="n"/>
    </row>
    <row r="3659">
      <c r="C3659" s="1" t="n"/>
    </row>
    <row r="3660">
      <c r="C3660" s="1" t="n"/>
    </row>
    <row r="3661">
      <c r="C3661" s="1" t="n"/>
    </row>
    <row r="3662">
      <c r="C3662" s="1" t="n"/>
    </row>
    <row r="3663">
      <c r="C3663" s="1" t="n"/>
    </row>
    <row r="3664">
      <c r="C3664" s="1" t="n"/>
    </row>
    <row r="3665">
      <c r="C3665" s="1" t="n"/>
    </row>
    <row r="3666">
      <c r="C3666" s="1" t="n"/>
    </row>
    <row r="3667">
      <c r="C3667" s="1" t="n"/>
    </row>
    <row r="3668">
      <c r="C3668" s="1" t="n"/>
    </row>
    <row r="3669">
      <c r="C3669" s="1" t="n"/>
    </row>
    <row r="3670">
      <c r="C3670" s="1" t="n"/>
    </row>
    <row r="3671">
      <c r="C3671" s="1" t="n"/>
    </row>
    <row r="3672">
      <c r="C3672" s="1" t="n"/>
    </row>
    <row r="3673">
      <c r="C3673" s="1" t="n"/>
    </row>
    <row r="3674">
      <c r="C3674" s="1" t="n"/>
    </row>
    <row r="3675">
      <c r="C3675" s="1" t="n"/>
    </row>
    <row r="3676">
      <c r="C3676" s="1" t="n"/>
    </row>
    <row r="3677">
      <c r="C3677" s="1" t="n"/>
    </row>
    <row r="3678">
      <c r="C3678" s="1" t="n"/>
    </row>
    <row r="3679">
      <c r="C3679" s="1" t="n"/>
    </row>
    <row r="3680">
      <c r="C3680" s="1" t="n"/>
    </row>
    <row r="3681">
      <c r="C3681" s="1" t="n"/>
    </row>
    <row r="3682">
      <c r="C3682" s="1" t="n"/>
    </row>
    <row r="3683">
      <c r="C3683" s="1" t="n"/>
    </row>
    <row r="3684">
      <c r="C3684" s="1" t="n"/>
    </row>
    <row r="3685">
      <c r="C3685" s="1" t="n"/>
    </row>
    <row r="3686">
      <c r="C3686" s="1" t="n"/>
    </row>
    <row r="3687">
      <c r="C3687" s="1" t="n"/>
    </row>
    <row r="3688">
      <c r="C3688" s="1" t="n"/>
    </row>
    <row r="3689">
      <c r="C3689" s="1" t="n"/>
    </row>
    <row r="3690">
      <c r="C3690" s="1" t="n"/>
    </row>
    <row r="3691">
      <c r="C3691" s="1" t="n"/>
    </row>
    <row r="3692">
      <c r="C3692" s="1" t="n"/>
    </row>
    <row r="3693">
      <c r="C3693" s="1" t="n"/>
    </row>
    <row r="3694">
      <c r="C3694" s="1" t="n"/>
    </row>
    <row r="3695">
      <c r="C3695" s="1" t="n"/>
    </row>
    <row r="3696">
      <c r="C3696" s="1" t="n"/>
    </row>
    <row r="3697">
      <c r="C3697" s="1" t="n"/>
    </row>
    <row r="3698">
      <c r="C3698" s="1" t="n"/>
    </row>
    <row r="3699">
      <c r="C3699" s="1" t="n"/>
    </row>
    <row r="3700">
      <c r="C3700" s="1" t="n"/>
    </row>
    <row r="3701">
      <c r="C3701" s="1" t="n"/>
    </row>
    <row r="3702">
      <c r="C3702" s="1" t="n"/>
    </row>
    <row r="3703">
      <c r="C3703" s="1" t="n"/>
    </row>
    <row r="3704">
      <c r="C3704" s="1" t="n"/>
    </row>
    <row r="3705">
      <c r="C3705" s="1" t="n"/>
    </row>
    <row r="3706">
      <c r="C3706" s="1" t="n"/>
    </row>
    <row r="3707">
      <c r="C3707" s="1" t="n"/>
    </row>
    <row r="3708">
      <c r="C3708" s="1" t="n"/>
    </row>
    <row r="3709">
      <c r="C3709" s="1" t="n"/>
    </row>
    <row r="3710">
      <c r="C3710" s="1" t="n"/>
    </row>
    <row r="3711">
      <c r="C3711" s="1" t="n"/>
    </row>
    <row r="3712">
      <c r="C3712" s="1" t="n"/>
    </row>
    <row r="3713">
      <c r="C3713" s="1" t="n"/>
    </row>
    <row r="3714">
      <c r="C3714" s="1" t="n"/>
    </row>
    <row r="3715">
      <c r="C3715" s="1" t="n"/>
    </row>
    <row r="3716">
      <c r="C3716" s="1" t="n"/>
    </row>
    <row r="3717">
      <c r="C3717" s="1" t="n"/>
    </row>
    <row r="3718">
      <c r="C3718" s="1" t="n"/>
    </row>
    <row r="3719">
      <c r="C3719" s="1" t="n"/>
    </row>
    <row r="3720">
      <c r="C3720" s="1" t="n"/>
    </row>
    <row r="3721">
      <c r="C3721" s="1" t="n"/>
    </row>
    <row r="3722">
      <c r="C3722" s="1" t="n"/>
    </row>
    <row r="3723">
      <c r="C3723" s="1" t="n"/>
    </row>
    <row r="3724">
      <c r="C3724" s="1" t="n"/>
    </row>
    <row r="3725">
      <c r="C3725" s="1" t="n"/>
    </row>
    <row r="3726">
      <c r="C3726" s="1" t="n"/>
    </row>
    <row r="3727">
      <c r="C3727" s="1" t="n"/>
    </row>
    <row r="3728">
      <c r="C3728" s="1" t="n"/>
    </row>
    <row r="3729">
      <c r="C3729" s="1" t="n"/>
    </row>
    <row r="3730">
      <c r="C3730" s="1" t="n"/>
    </row>
    <row r="3731">
      <c r="C3731" s="1" t="n"/>
    </row>
    <row r="3732">
      <c r="C3732" s="1" t="n"/>
    </row>
    <row r="3733">
      <c r="C3733" s="1" t="n"/>
    </row>
    <row r="3734">
      <c r="C3734" s="1" t="n"/>
    </row>
    <row r="3735">
      <c r="C3735" s="1" t="n"/>
    </row>
    <row r="3736">
      <c r="C3736" s="1" t="n"/>
    </row>
    <row r="3737">
      <c r="C3737" s="1" t="n"/>
    </row>
    <row r="3738">
      <c r="C3738" s="1" t="n"/>
    </row>
    <row r="3739">
      <c r="C3739" s="1" t="n"/>
    </row>
    <row r="3740">
      <c r="C3740" s="1" t="n"/>
    </row>
    <row r="3741">
      <c r="C3741" s="1" t="n"/>
    </row>
    <row r="3742">
      <c r="C3742" s="1" t="n"/>
    </row>
    <row r="3743">
      <c r="C3743" s="1" t="n"/>
    </row>
    <row r="3744">
      <c r="C3744" s="1" t="n"/>
    </row>
    <row r="3745">
      <c r="C3745" s="1" t="n"/>
    </row>
    <row r="3746">
      <c r="C3746" s="1" t="n"/>
    </row>
    <row r="3747">
      <c r="C3747" s="1" t="n"/>
    </row>
    <row r="3748">
      <c r="C3748" s="1" t="n"/>
    </row>
    <row r="3749">
      <c r="C3749" s="1" t="n"/>
    </row>
    <row r="3750">
      <c r="C3750" s="1" t="n"/>
    </row>
    <row r="3751">
      <c r="C3751" s="1" t="n"/>
    </row>
    <row r="3752">
      <c r="C3752" s="1" t="n"/>
    </row>
    <row r="3753">
      <c r="C3753" s="1" t="n"/>
    </row>
    <row r="3754">
      <c r="C3754" s="1" t="n"/>
    </row>
    <row r="3755">
      <c r="C3755" s="1" t="n"/>
    </row>
    <row r="3756">
      <c r="C3756" s="1" t="n"/>
    </row>
    <row r="3757">
      <c r="C3757" s="1" t="n"/>
    </row>
    <row r="3758">
      <c r="C3758" s="1" t="n"/>
    </row>
    <row r="3759">
      <c r="C3759" s="1" t="n"/>
    </row>
    <row r="3760">
      <c r="C3760" s="1" t="n"/>
    </row>
    <row r="3761">
      <c r="C3761" s="1" t="n"/>
    </row>
    <row r="3762">
      <c r="C3762" s="1" t="n"/>
    </row>
    <row r="3763">
      <c r="C3763" s="1" t="n"/>
    </row>
    <row r="3764">
      <c r="C3764" s="1" t="n"/>
    </row>
    <row r="3765">
      <c r="C3765" s="1" t="n"/>
    </row>
    <row r="3766">
      <c r="C3766" s="1" t="n"/>
    </row>
    <row r="3767">
      <c r="C3767" s="1" t="n"/>
    </row>
    <row r="3768">
      <c r="C3768" s="1" t="n"/>
    </row>
    <row r="3769">
      <c r="C3769" s="1" t="n"/>
    </row>
    <row r="3770">
      <c r="C3770" s="1" t="n"/>
    </row>
    <row r="3771">
      <c r="C3771" s="1" t="n"/>
    </row>
    <row r="3772">
      <c r="C3772" s="1" t="n"/>
    </row>
    <row r="3773">
      <c r="C3773" s="1" t="n"/>
    </row>
    <row r="3774">
      <c r="C3774" s="1" t="n"/>
    </row>
    <row r="3775">
      <c r="C3775" s="1" t="n"/>
    </row>
    <row r="3776">
      <c r="C3776" s="1" t="n"/>
    </row>
    <row r="3777">
      <c r="C3777" s="1" t="n"/>
    </row>
    <row r="3778">
      <c r="C3778" s="1" t="n"/>
    </row>
    <row r="3779">
      <c r="C3779" s="1" t="n"/>
    </row>
    <row r="3780">
      <c r="C3780" s="1" t="n"/>
    </row>
    <row r="3781">
      <c r="C3781" s="1" t="n"/>
    </row>
    <row r="3782">
      <c r="C3782" s="1" t="n"/>
    </row>
    <row r="3783">
      <c r="C3783" s="1" t="n"/>
    </row>
    <row r="3784">
      <c r="C3784" s="1" t="n"/>
    </row>
    <row r="3785">
      <c r="C3785" s="1" t="n"/>
    </row>
    <row r="3786">
      <c r="C3786" s="1" t="n"/>
    </row>
    <row r="3787">
      <c r="C3787" s="1" t="n"/>
    </row>
    <row r="3788">
      <c r="C3788" s="1" t="n"/>
    </row>
    <row r="3789">
      <c r="C3789" s="1" t="n"/>
    </row>
    <row r="3790">
      <c r="C3790" s="1" t="n"/>
    </row>
    <row r="3791">
      <c r="C3791" s="1" t="n"/>
    </row>
    <row r="3792">
      <c r="C3792" s="1" t="n"/>
    </row>
    <row r="3793">
      <c r="C3793" s="1" t="n"/>
    </row>
    <row r="3794">
      <c r="C3794" s="1" t="n"/>
    </row>
    <row r="3795">
      <c r="C3795" s="1" t="n"/>
    </row>
    <row r="3796">
      <c r="C3796" s="1" t="n"/>
    </row>
    <row r="3797">
      <c r="C3797" s="1" t="n"/>
    </row>
    <row r="3798">
      <c r="C3798" s="1" t="n"/>
    </row>
    <row r="3799">
      <c r="C3799" s="1" t="n"/>
    </row>
    <row r="3800">
      <c r="C3800" s="1" t="n"/>
    </row>
    <row r="3801">
      <c r="C3801" s="1" t="n"/>
    </row>
    <row r="3802">
      <c r="C3802" s="1" t="n"/>
    </row>
    <row r="3803">
      <c r="C3803" s="1" t="n"/>
    </row>
    <row r="3804">
      <c r="C3804" s="1" t="n"/>
    </row>
    <row r="3805">
      <c r="C3805" s="1" t="n"/>
    </row>
    <row r="3806">
      <c r="C3806" s="1" t="n"/>
    </row>
    <row r="3807">
      <c r="C3807" s="1" t="n"/>
    </row>
    <row r="3808">
      <c r="C3808" s="1" t="n"/>
    </row>
    <row r="3809">
      <c r="C3809" s="1" t="n"/>
    </row>
    <row r="3810">
      <c r="C3810" s="1" t="n"/>
    </row>
    <row r="3811">
      <c r="C3811" s="1" t="n"/>
    </row>
    <row r="3812">
      <c r="C3812" s="1" t="n"/>
    </row>
    <row r="3813">
      <c r="C3813" s="1" t="n"/>
    </row>
    <row r="3814">
      <c r="C3814" s="1" t="n"/>
    </row>
    <row r="3815">
      <c r="C3815" s="1" t="n"/>
    </row>
    <row r="3816">
      <c r="C3816" s="1" t="n"/>
    </row>
    <row r="3817">
      <c r="C3817" s="1" t="n"/>
    </row>
    <row r="3818">
      <c r="C3818" s="1" t="n"/>
    </row>
    <row r="3819">
      <c r="C3819" s="1" t="n"/>
    </row>
    <row r="3820">
      <c r="C3820" s="1" t="n"/>
    </row>
    <row r="3821">
      <c r="C3821" s="1" t="n"/>
    </row>
    <row r="3822">
      <c r="C3822" s="1" t="n"/>
    </row>
    <row r="3823">
      <c r="C3823" s="1" t="n"/>
    </row>
    <row r="3824">
      <c r="C3824" s="1" t="n"/>
    </row>
    <row r="3825">
      <c r="C3825" s="1" t="n"/>
    </row>
    <row r="3826">
      <c r="C3826" s="1" t="n"/>
    </row>
    <row r="3827">
      <c r="C3827" s="1" t="n"/>
    </row>
    <row r="3828">
      <c r="C3828" s="1" t="n"/>
    </row>
    <row r="3829">
      <c r="C3829" s="1" t="n"/>
    </row>
    <row r="3830">
      <c r="C3830" s="1" t="n"/>
    </row>
    <row r="3831">
      <c r="C3831" s="1" t="n"/>
    </row>
    <row r="3832">
      <c r="C3832" s="1" t="n"/>
    </row>
    <row r="3833">
      <c r="C3833" s="1" t="n"/>
    </row>
    <row r="3834">
      <c r="C3834" s="1" t="n"/>
    </row>
    <row r="3835">
      <c r="C3835" s="1" t="n"/>
    </row>
    <row r="3836">
      <c r="C3836" s="1" t="n"/>
    </row>
    <row r="3837">
      <c r="C3837" s="1" t="n"/>
    </row>
    <row r="3838">
      <c r="C3838" s="1" t="n"/>
    </row>
    <row r="3839">
      <c r="C3839" s="1" t="n"/>
    </row>
    <row r="3840">
      <c r="C3840" s="1" t="n"/>
    </row>
    <row r="3841">
      <c r="C3841" s="1" t="n"/>
    </row>
    <row r="3842">
      <c r="C3842" s="1" t="n"/>
    </row>
    <row r="3843">
      <c r="C3843" s="1" t="n"/>
    </row>
    <row r="3844">
      <c r="C3844" s="1" t="n"/>
    </row>
    <row r="3845">
      <c r="C3845" s="1" t="n"/>
    </row>
    <row r="3846">
      <c r="C3846" s="1" t="n"/>
    </row>
    <row r="3847">
      <c r="C3847" s="1" t="n"/>
    </row>
    <row r="3848">
      <c r="C3848" s="1" t="n"/>
    </row>
    <row r="3849">
      <c r="C3849" s="1" t="n"/>
    </row>
    <row r="3850">
      <c r="C3850" s="1" t="n"/>
    </row>
    <row r="3851">
      <c r="C3851" s="1" t="n"/>
    </row>
    <row r="3852">
      <c r="C3852" s="1" t="n"/>
    </row>
    <row r="3853">
      <c r="C3853" s="1" t="n"/>
    </row>
    <row r="3854">
      <c r="C3854" s="1" t="n"/>
    </row>
    <row r="3855">
      <c r="C3855" s="1" t="n"/>
    </row>
    <row r="3856">
      <c r="C3856" s="1" t="n"/>
    </row>
    <row r="3857">
      <c r="C3857" s="1" t="n"/>
    </row>
    <row r="3858">
      <c r="C3858" s="1" t="n"/>
    </row>
    <row r="3859">
      <c r="C3859" s="1" t="n"/>
    </row>
    <row r="3860">
      <c r="C3860" s="1" t="n"/>
    </row>
    <row r="3861">
      <c r="C3861" s="1" t="n"/>
    </row>
    <row r="3862">
      <c r="C3862" s="1" t="n"/>
    </row>
    <row r="3863">
      <c r="C3863" s="1" t="n"/>
    </row>
    <row r="3864">
      <c r="C3864" s="1" t="n"/>
    </row>
    <row r="3865">
      <c r="C3865" s="1" t="n"/>
    </row>
    <row r="3866">
      <c r="C3866" s="1" t="n"/>
    </row>
    <row r="3867">
      <c r="C3867" s="1" t="n"/>
    </row>
    <row r="3868">
      <c r="C3868" s="1" t="n"/>
    </row>
    <row r="3869">
      <c r="C3869" s="1" t="n"/>
    </row>
    <row r="3870">
      <c r="C3870" s="1" t="n"/>
    </row>
    <row r="3871">
      <c r="C3871" s="1" t="n"/>
    </row>
    <row r="3872">
      <c r="C3872" s="1" t="n"/>
    </row>
    <row r="3873">
      <c r="C3873" s="1" t="n"/>
    </row>
    <row r="3874">
      <c r="C3874" s="1" t="n"/>
    </row>
    <row r="3875">
      <c r="C3875" s="1" t="n"/>
    </row>
    <row r="3876">
      <c r="C3876" s="1" t="n"/>
    </row>
    <row r="3877">
      <c r="C3877" s="1" t="n"/>
    </row>
    <row r="3878">
      <c r="C3878" s="1" t="n"/>
    </row>
    <row r="3879">
      <c r="C3879" s="1" t="n"/>
    </row>
    <row r="3880">
      <c r="C3880" s="1" t="n"/>
    </row>
    <row r="3881">
      <c r="C3881" s="1" t="n"/>
    </row>
    <row r="3882">
      <c r="C3882" s="1" t="n"/>
    </row>
    <row r="3883">
      <c r="C3883" s="1" t="n"/>
    </row>
    <row r="3884">
      <c r="C3884" s="1" t="n"/>
    </row>
    <row r="3885">
      <c r="C3885" s="1" t="n"/>
    </row>
    <row r="3886">
      <c r="C3886" s="1" t="n"/>
    </row>
    <row r="3887">
      <c r="C3887" s="1" t="n"/>
    </row>
    <row r="3888">
      <c r="C3888" s="1" t="n"/>
    </row>
    <row r="3889">
      <c r="C3889" s="1" t="n"/>
    </row>
    <row r="3890">
      <c r="C3890" s="1" t="n"/>
    </row>
    <row r="3891">
      <c r="C3891" s="1" t="n"/>
    </row>
    <row r="3892">
      <c r="C3892" s="1" t="n"/>
    </row>
    <row r="3893">
      <c r="C3893" s="1" t="n"/>
    </row>
    <row r="3894">
      <c r="C3894" s="1" t="n"/>
    </row>
    <row r="3895">
      <c r="C3895" s="1" t="n"/>
    </row>
    <row r="3896">
      <c r="C3896" s="1" t="n"/>
    </row>
    <row r="3897">
      <c r="C3897" s="1" t="n"/>
    </row>
    <row r="3898">
      <c r="C3898" s="1" t="n"/>
    </row>
    <row r="3899">
      <c r="C3899" s="1" t="n"/>
    </row>
    <row r="3900">
      <c r="C3900" s="1" t="n"/>
    </row>
    <row r="3901">
      <c r="C3901" s="1" t="n"/>
    </row>
    <row r="3902">
      <c r="C3902" s="1" t="n"/>
    </row>
    <row r="3903">
      <c r="C3903" s="1" t="n"/>
    </row>
    <row r="3904">
      <c r="C3904" s="1" t="n"/>
    </row>
    <row r="3905">
      <c r="C3905" s="1" t="n"/>
    </row>
    <row r="3906">
      <c r="C3906" s="1" t="n"/>
    </row>
    <row r="3907">
      <c r="C3907" s="1" t="n"/>
    </row>
    <row r="3908">
      <c r="C3908" s="1" t="n"/>
    </row>
    <row r="3909">
      <c r="C3909" s="1" t="n"/>
    </row>
    <row r="3910">
      <c r="C3910" s="1" t="n"/>
    </row>
    <row r="3911">
      <c r="C3911" s="1" t="n"/>
    </row>
    <row r="3912">
      <c r="C3912" s="1" t="n"/>
    </row>
    <row r="3913">
      <c r="C3913" s="1" t="n"/>
    </row>
    <row r="3914">
      <c r="C3914" s="1" t="n"/>
    </row>
    <row r="3915">
      <c r="C3915" s="1" t="n"/>
    </row>
    <row r="3916">
      <c r="C3916" s="1" t="n"/>
    </row>
    <row r="3917">
      <c r="C3917" s="1" t="n"/>
    </row>
    <row r="3918">
      <c r="C3918" s="1" t="n"/>
    </row>
    <row r="3919">
      <c r="C3919" s="1" t="n"/>
    </row>
    <row r="3920">
      <c r="C3920" s="1" t="n"/>
    </row>
    <row r="3921">
      <c r="C3921" s="1" t="n"/>
    </row>
    <row r="3922">
      <c r="C3922" s="1" t="n"/>
    </row>
    <row r="3923">
      <c r="C3923" s="1" t="n"/>
    </row>
    <row r="3924">
      <c r="C3924" s="1" t="n"/>
    </row>
    <row r="3925">
      <c r="C3925" s="1" t="n"/>
    </row>
    <row r="3926">
      <c r="C3926" s="1" t="n"/>
    </row>
    <row r="3927">
      <c r="C3927" s="1" t="n"/>
    </row>
    <row r="3928">
      <c r="C3928" s="1" t="n"/>
    </row>
    <row r="3929">
      <c r="C3929" s="1" t="n"/>
    </row>
    <row r="3930">
      <c r="C3930" s="1" t="n"/>
    </row>
    <row r="3931">
      <c r="C3931" s="1" t="n"/>
    </row>
    <row r="3932">
      <c r="C3932" s="1" t="n"/>
    </row>
    <row r="3933">
      <c r="C3933" s="1" t="n"/>
    </row>
    <row r="3934">
      <c r="C3934" s="1" t="n"/>
    </row>
    <row r="3935">
      <c r="C3935" s="1" t="n"/>
    </row>
    <row r="3936">
      <c r="C3936" s="1" t="n"/>
    </row>
    <row r="3937">
      <c r="C3937" s="1" t="n"/>
    </row>
    <row r="3938">
      <c r="C3938" s="1" t="n"/>
    </row>
    <row r="3939">
      <c r="C3939" s="1" t="n"/>
    </row>
    <row r="3940">
      <c r="C3940" s="1" t="n"/>
    </row>
    <row r="3941">
      <c r="C3941" s="1" t="n"/>
    </row>
    <row r="3942">
      <c r="C3942" s="1" t="n"/>
    </row>
    <row r="3943">
      <c r="C3943" s="1" t="n"/>
    </row>
    <row r="3944">
      <c r="C3944" s="1" t="n"/>
    </row>
    <row r="3945">
      <c r="C3945" s="1" t="n"/>
    </row>
    <row r="3946">
      <c r="C3946" s="1" t="n"/>
    </row>
    <row r="3947">
      <c r="C3947" s="1" t="n"/>
    </row>
    <row r="3948">
      <c r="C3948" s="1" t="n"/>
    </row>
    <row r="3949">
      <c r="C3949" s="1" t="n"/>
    </row>
    <row r="3950">
      <c r="C3950" s="1" t="n"/>
    </row>
    <row r="3951">
      <c r="C3951" s="1" t="n"/>
    </row>
    <row r="3952">
      <c r="C3952" s="1" t="n"/>
    </row>
    <row r="3953">
      <c r="C3953" s="1" t="n"/>
    </row>
    <row r="3954">
      <c r="C3954" s="1" t="n"/>
    </row>
    <row r="3955">
      <c r="C3955" s="1" t="n"/>
    </row>
    <row r="3956">
      <c r="C3956" s="1" t="n"/>
    </row>
    <row r="3957">
      <c r="C3957" s="1" t="n"/>
    </row>
    <row r="3958">
      <c r="C3958" s="1" t="n"/>
    </row>
    <row r="3959">
      <c r="C3959" s="1" t="n"/>
    </row>
    <row r="3960">
      <c r="C3960" s="1" t="n"/>
    </row>
    <row r="3961">
      <c r="C3961" s="1" t="n"/>
    </row>
    <row r="3962">
      <c r="C3962" s="1" t="n"/>
    </row>
    <row r="3963">
      <c r="C3963" s="1" t="n"/>
    </row>
    <row r="3964">
      <c r="C3964" s="1" t="n"/>
    </row>
    <row r="3965">
      <c r="C3965" s="1" t="n"/>
    </row>
    <row r="3966">
      <c r="C3966" s="1" t="n"/>
    </row>
    <row r="3967">
      <c r="C3967" s="1" t="n"/>
    </row>
    <row r="3968">
      <c r="C3968" s="1" t="n"/>
    </row>
    <row r="3969">
      <c r="C3969" s="1" t="n"/>
    </row>
    <row r="3970">
      <c r="C3970" s="1" t="n"/>
    </row>
    <row r="3971">
      <c r="C3971" s="1" t="n"/>
    </row>
    <row r="3972">
      <c r="C3972" s="1" t="n"/>
    </row>
    <row r="3973">
      <c r="C3973" s="1" t="n"/>
    </row>
    <row r="3974">
      <c r="C3974" s="1" t="n"/>
    </row>
    <row r="3975">
      <c r="C3975" s="1" t="n"/>
    </row>
    <row r="3976">
      <c r="C3976" s="1" t="n"/>
    </row>
    <row r="3977">
      <c r="C3977" s="1" t="n"/>
    </row>
    <row r="3978">
      <c r="C3978" s="1" t="n"/>
    </row>
    <row r="3979">
      <c r="C3979" s="1" t="n"/>
    </row>
    <row r="3980">
      <c r="C3980" s="1" t="n"/>
    </row>
    <row r="3981">
      <c r="C3981" s="1" t="n"/>
    </row>
    <row r="3982">
      <c r="C3982" s="1" t="n"/>
    </row>
    <row r="3983">
      <c r="C3983" s="1" t="n"/>
    </row>
    <row r="3984">
      <c r="C3984" s="1" t="n"/>
    </row>
    <row r="3985">
      <c r="C3985" s="1" t="n"/>
    </row>
    <row r="3986">
      <c r="C3986" s="1" t="n"/>
    </row>
    <row r="3987">
      <c r="C3987" s="1" t="n"/>
    </row>
    <row r="3988">
      <c r="C3988" s="1" t="n"/>
    </row>
    <row r="3989">
      <c r="C3989" s="1" t="n"/>
    </row>
    <row r="3990">
      <c r="C3990" s="1" t="n"/>
    </row>
    <row r="3991">
      <c r="C3991" s="1" t="n"/>
    </row>
    <row r="3992">
      <c r="C3992" s="1" t="n"/>
    </row>
    <row r="3993">
      <c r="C3993" s="1" t="n"/>
    </row>
    <row r="3994">
      <c r="C3994" s="1" t="n"/>
    </row>
    <row r="3995">
      <c r="C3995" s="1" t="n"/>
    </row>
    <row r="3996">
      <c r="C3996" s="1" t="n"/>
    </row>
    <row r="3997">
      <c r="C3997" s="1" t="n"/>
    </row>
    <row r="3998">
      <c r="C3998" s="1" t="n"/>
    </row>
    <row r="3999">
      <c r="C3999" s="1" t="n"/>
    </row>
    <row r="4000">
      <c r="C4000" s="1" t="n"/>
    </row>
    <row r="4001">
      <c r="C4001" s="1" t="n"/>
    </row>
    <row r="4002">
      <c r="C4002" s="1" t="n"/>
    </row>
    <row r="4003">
      <c r="C4003" s="1" t="n"/>
    </row>
    <row r="4004">
      <c r="C4004" s="1" t="n"/>
    </row>
    <row r="4005">
      <c r="C4005" s="1" t="n"/>
    </row>
    <row r="4006">
      <c r="C4006" s="1" t="n"/>
    </row>
    <row r="4007">
      <c r="C4007" s="1" t="n"/>
    </row>
    <row r="4008">
      <c r="C4008" s="1" t="n"/>
    </row>
    <row r="4009">
      <c r="C4009" s="1" t="n"/>
    </row>
    <row r="4010">
      <c r="C4010" s="1" t="n"/>
    </row>
    <row r="4011">
      <c r="C4011" s="1" t="n"/>
    </row>
    <row r="4012">
      <c r="C4012" s="1" t="n"/>
    </row>
    <row r="4013">
      <c r="C4013" s="1" t="n"/>
    </row>
    <row r="4014">
      <c r="C4014" s="1" t="n"/>
    </row>
    <row r="4015">
      <c r="C4015" s="1" t="n"/>
    </row>
    <row r="4016">
      <c r="C4016" s="1" t="n"/>
    </row>
    <row r="4017">
      <c r="C4017" s="1" t="n"/>
    </row>
    <row r="4018">
      <c r="C4018" s="1" t="n"/>
    </row>
    <row r="4019">
      <c r="C4019" s="1" t="n"/>
    </row>
    <row r="4020">
      <c r="C4020" s="1" t="n"/>
    </row>
    <row r="4021">
      <c r="C4021" s="1" t="n"/>
    </row>
    <row r="4022">
      <c r="C4022" s="1" t="n"/>
    </row>
    <row r="4023">
      <c r="C4023" s="1" t="n"/>
    </row>
    <row r="4024">
      <c r="C4024" s="1" t="n"/>
    </row>
    <row r="4025">
      <c r="C4025" s="1" t="n"/>
    </row>
    <row r="4026">
      <c r="C4026" s="1" t="n"/>
    </row>
    <row r="4027">
      <c r="C4027" s="1" t="n"/>
    </row>
    <row r="4028">
      <c r="C4028" s="1" t="n"/>
    </row>
    <row r="4029">
      <c r="C4029" s="1" t="n"/>
    </row>
    <row r="4030">
      <c r="C4030" s="1" t="n"/>
    </row>
    <row r="4031">
      <c r="C4031" s="1" t="n"/>
    </row>
    <row r="4032">
      <c r="C4032" s="1" t="n"/>
    </row>
    <row r="4033">
      <c r="C4033" s="1" t="n"/>
    </row>
    <row r="4034">
      <c r="C4034" s="1" t="n"/>
    </row>
    <row r="4035">
      <c r="C4035" s="1" t="n"/>
    </row>
    <row r="4036">
      <c r="C4036" s="1" t="n"/>
    </row>
    <row r="4037">
      <c r="C4037" s="1" t="n"/>
    </row>
    <row r="4038">
      <c r="C4038" s="1" t="n"/>
    </row>
    <row r="4039">
      <c r="C4039" s="1" t="n"/>
    </row>
    <row r="4040">
      <c r="C4040" s="1" t="n"/>
    </row>
    <row r="4041">
      <c r="C4041" s="1" t="n"/>
    </row>
    <row r="4042">
      <c r="C4042" s="1" t="n"/>
    </row>
    <row r="4043">
      <c r="C4043" s="1" t="n"/>
    </row>
    <row r="4044">
      <c r="C4044" s="1" t="n"/>
    </row>
    <row r="4045">
      <c r="C4045" s="1" t="n"/>
    </row>
    <row r="4046">
      <c r="C4046" s="1" t="n"/>
    </row>
    <row r="4047">
      <c r="C4047" s="1" t="n"/>
    </row>
    <row r="4048">
      <c r="C4048" s="1" t="n"/>
    </row>
    <row r="4049">
      <c r="C4049" s="1" t="n"/>
    </row>
    <row r="4050">
      <c r="C4050" s="1" t="n"/>
    </row>
    <row r="4051">
      <c r="C4051" s="1" t="n"/>
    </row>
    <row r="4052">
      <c r="C4052" s="1" t="n"/>
    </row>
    <row r="4053">
      <c r="C4053" s="1" t="n"/>
    </row>
    <row r="4054">
      <c r="C4054" s="1" t="n"/>
    </row>
    <row r="4055">
      <c r="C4055" s="1" t="n"/>
    </row>
    <row r="4056">
      <c r="C4056" s="1" t="n"/>
    </row>
    <row r="4057">
      <c r="C4057" s="1" t="n"/>
    </row>
    <row r="4058">
      <c r="C4058" s="1" t="n"/>
    </row>
    <row r="4059">
      <c r="C4059" s="1" t="n"/>
    </row>
    <row r="4060">
      <c r="C4060" s="1" t="n"/>
    </row>
    <row r="4061">
      <c r="C4061" s="1" t="n"/>
    </row>
    <row r="4062">
      <c r="C4062" s="1" t="n"/>
    </row>
    <row r="4063">
      <c r="C4063" s="1" t="n"/>
    </row>
    <row r="4064">
      <c r="C4064" s="1" t="n"/>
    </row>
    <row r="4065">
      <c r="C4065" s="1" t="n"/>
    </row>
    <row r="4066">
      <c r="C4066" s="1" t="n"/>
    </row>
    <row r="4067">
      <c r="C4067" s="1" t="n"/>
    </row>
    <row r="4068">
      <c r="C4068" s="1" t="n"/>
    </row>
    <row r="4069">
      <c r="C4069" s="1" t="n"/>
    </row>
    <row r="4070">
      <c r="C4070" s="1" t="n"/>
    </row>
    <row r="4071">
      <c r="C4071" s="1" t="n"/>
    </row>
    <row r="4072">
      <c r="C4072" s="1" t="n"/>
    </row>
    <row r="4073">
      <c r="C4073" s="1" t="n"/>
    </row>
    <row r="4074">
      <c r="C4074" s="1" t="n"/>
    </row>
    <row r="4075">
      <c r="C4075" s="1" t="n"/>
    </row>
    <row r="4076">
      <c r="C4076" s="1" t="n"/>
    </row>
    <row r="4077">
      <c r="C4077" s="1" t="n"/>
    </row>
    <row r="4078">
      <c r="C4078" s="1" t="n"/>
    </row>
    <row r="4079">
      <c r="C4079" s="1" t="n"/>
    </row>
    <row r="4080">
      <c r="C4080" s="1" t="n"/>
    </row>
    <row r="4081">
      <c r="C4081" s="1" t="n"/>
    </row>
    <row r="4082">
      <c r="C4082" s="1" t="n"/>
    </row>
    <row r="4083">
      <c r="C4083" s="1" t="n"/>
    </row>
    <row r="4084">
      <c r="C4084" s="1" t="n"/>
    </row>
    <row r="4085">
      <c r="C4085" s="1" t="n"/>
    </row>
    <row r="4086">
      <c r="C4086" s="1" t="n"/>
    </row>
    <row r="4087">
      <c r="C4087" s="1" t="n"/>
    </row>
    <row r="4088">
      <c r="C4088" s="1" t="n"/>
    </row>
    <row r="4089">
      <c r="C4089" s="1" t="n"/>
    </row>
    <row r="4090">
      <c r="C4090" s="1" t="n"/>
    </row>
    <row r="4091">
      <c r="C4091" s="1" t="n"/>
    </row>
    <row r="4092">
      <c r="C4092" s="1" t="n"/>
    </row>
    <row r="4093">
      <c r="C4093" s="1" t="n"/>
    </row>
    <row r="4094">
      <c r="C4094" s="1" t="n"/>
    </row>
    <row r="4095">
      <c r="C4095" s="1" t="n"/>
    </row>
    <row r="4096">
      <c r="C4096" s="1" t="n"/>
    </row>
    <row r="4097">
      <c r="C4097" s="1" t="n"/>
    </row>
    <row r="4098">
      <c r="C4098" s="1" t="n"/>
    </row>
    <row r="4099">
      <c r="C4099" s="1" t="n"/>
    </row>
    <row r="4100">
      <c r="C4100" s="1" t="n"/>
    </row>
    <row r="4101">
      <c r="C4101" s="1" t="n"/>
    </row>
    <row r="4102">
      <c r="C4102" s="1" t="n"/>
    </row>
    <row r="4103">
      <c r="C4103" s="1" t="n"/>
    </row>
    <row r="4104">
      <c r="C4104" s="1" t="n"/>
    </row>
    <row r="4105">
      <c r="C4105" s="1" t="n"/>
    </row>
    <row r="4106">
      <c r="C4106" s="1" t="n"/>
    </row>
    <row r="4107">
      <c r="C4107" s="1" t="n"/>
    </row>
    <row r="4108">
      <c r="C4108" s="1" t="n"/>
    </row>
    <row r="4109">
      <c r="C4109" s="1" t="n"/>
    </row>
    <row r="4110">
      <c r="C4110" s="1" t="n"/>
    </row>
    <row r="4111">
      <c r="C4111" s="1" t="n"/>
    </row>
    <row r="4112">
      <c r="C4112" s="1" t="n"/>
    </row>
    <row r="4113">
      <c r="C4113" s="1" t="n"/>
    </row>
    <row r="4114">
      <c r="C4114" s="1" t="n"/>
    </row>
    <row r="4115">
      <c r="C4115" s="1" t="n"/>
    </row>
    <row r="4116">
      <c r="C4116" s="1" t="n"/>
    </row>
    <row r="4117">
      <c r="C4117" s="1" t="n"/>
    </row>
    <row r="4118">
      <c r="C4118" s="1" t="n"/>
    </row>
    <row r="4119">
      <c r="C4119" s="1" t="n"/>
    </row>
    <row r="4120">
      <c r="C4120" s="1" t="n"/>
    </row>
    <row r="4121">
      <c r="C4121" s="1" t="n"/>
    </row>
    <row r="4122">
      <c r="C4122" s="1" t="n"/>
    </row>
    <row r="4123">
      <c r="C4123" s="1" t="n"/>
    </row>
    <row r="4124">
      <c r="C4124" s="1" t="n"/>
    </row>
    <row r="4125">
      <c r="C4125" s="1" t="n"/>
    </row>
    <row r="4126">
      <c r="C4126" s="1" t="n"/>
    </row>
    <row r="4127">
      <c r="C4127" s="1" t="n"/>
    </row>
    <row r="4128">
      <c r="C4128" s="1" t="n"/>
    </row>
    <row r="4129">
      <c r="C4129" s="1" t="n"/>
    </row>
    <row r="4130">
      <c r="C4130" s="1" t="n"/>
    </row>
    <row r="4131">
      <c r="C4131" s="1" t="n"/>
    </row>
    <row r="4132">
      <c r="C4132" s="1" t="n"/>
    </row>
    <row r="4133">
      <c r="C4133" s="1" t="n"/>
    </row>
    <row r="4134">
      <c r="C4134" s="1" t="n"/>
    </row>
    <row r="4135">
      <c r="C4135" s="1" t="n"/>
    </row>
    <row r="4136">
      <c r="C4136" s="1" t="n"/>
    </row>
    <row r="4137">
      <c r="C4137" s="1" t="n"/>
    </row>
    <row r="4138">
      <c r="C4138" s="1" t="n"/>
    </row>
    <row r="4139">
      <c r="C4139" s="1" t="n"/>
    </row>
    <row r="4140">
      <c r="C4140" s="1" t="n"/>
    </row>
    <row r="4141">
      <c r="C4141" s="1" t="n"/>
    </row>
    <row r="4142">
      <c r="C4142" s="1" t="n"/>
    </row>
    <row r="4143">
      <c r="C4143" s="1" t="n"/>
    </row>
    <row r="4144">
      <c r="C4144" s="1" t="n"/>
    </row>
    <row r="4145">
      <c r="C4145" s="1" t="n"/>
    </row>
    <row r="4146">
      <c r="C4146" s="1" t="n"/>
    </row>
    <row r="4147">
      <c r="C4147" s="1" t="n"/>
    </row>
    <row r="4148">
      <c r="C4148" s="1" t="n"/>
    </row>
    <row r="4149">
      <c r="C4149" s="1" t="n"/>
    </row>
    <row r="4150">
      <c r="C4150" s="1" t="n"/>
    </row>
    <row r="4151">
      <c r="C4151" s="1" t="n"/>
    </row>
    <row r="4152">
      <c r="C4152" s="1" t="n"/>
    </row>
    <row r="4153">
      <c r="C4153" s="1" t="n"/>
    </row>
    <row r="4154">
      <c r="C4154" s="1" t="n"/>
    </row>
    <row r="4155">
      <c r="C4155" s="1" t="n"/>
    </row>
    <row r="4156">
      <c r="C4156" s="1" t="n"/>
    </row>
    <row r="4157">
      <c r="C4157" s="1" t="n"/>
    </row>
    <row r="4158">
      <c r="C4158" s="1" t="n"/>
    </row>
    <row r="4159">
      <c r="C4159" s="1" t="n"/>
    </row>
    <row r="4160">
      <c r="C4160" s="1" t="n"/>
    </row>
    <row r="4161">
      <c r="C4161" s="1" t="n"/>
    </row>
    <row r="4162">
      <c r="C4162" s="1" t="n"/>
    </row>
    <row r="4163">
      <c r="C4163" s="1" t="n"/>
    </row>
    <row r="4164">
      <c r="C4164" s="1" t="n"/>
    </row>
    <row r="4165">
      <c r="C4165" s="1" t="n"/>
    </row>
    <row r="4166">
      <c r="C4166" s="1" t="n"/>
    </row>
    <row r="4167">
      <c r="C4167" s="1" t="n"/>
    </row>
    <row r="4168">
      <c r="C4168" s="1" t="n"/>
    </row>
    <row r="4169">
      <c r="C4169" s="1" t="n"/>
    </row>
    <row r="4170">
      <c r="C4170" s="1" t="n"/>
    </row>
    <row r="4171">
      <c r="C4171" s="1" t="n"/>
    </row>
    <row r="4172">
      <c r="C4172" s="1" t="n"/>
    </row>
    <row r="4173">
      <c r="C4173" s="1" t="n"/>
    </row>
    <row r="4174">
      <c r="C4174" s="1" t="n"/>
    </row>
    <row r="4175">
      <c r="C4175" s="1" t="n"/>
    </row>
    <row r="4176">
      <c r="C4176" s="1" t="n"/>
    </row>
    <row r="4177">
      <c r="C4177" s="1" t="n"/>
    </row>
    <row r="4178">
      <c r="C4178" s="1" t="n"/>
    </row>
    <row r="4179">
      <c r="C4179" s="1" t="n"/>
    </row>
    <row r="4180">
      <c r="C4180" s="1" t="n"/>
    </row>
    <row r="4181">
      <c r="C4181" s="1" t="n"/>
    </row>
    <row r="4182">
      <c r="C4182" s="1" t="n"/>
    </row>
    <row r="4183">
      <c r="C4183" s="1" t="n"/>
    </row>
    <row r="4184">
      <c r="C4184" s="1" t="n"/>
    </row>
    <row r="4185">
      <c r="C4185" s="1" t="n"/>
    </row>
    <row r="4186">
      <c r="C4186" s="1" t="n"/>
    </row>
    <row r="4187">
      <c r="C4187" s="1" t="n"/>
    </row>
    <row r="4188">
      <c r="C4188" s="1" t="n"/>
    </row>
    <row r="4189">
      <c r="C4189" s="1" t="n"/>
    </row>
    <row r="4190">
      <c r="C4190" s="1" t="n"/>
    </row>
    <row r="4191">
      <c r="C4191" s="1" t="n"/>
    </row>
    <row r="4192">
      <c r="C4192" s="1" t="n"/>
    </row>
    <row r="4193">
      <c r="C4193" s="1" t="n"/>
    </row>
    <row r="4194">
      <c r="C4194" s="1" t="n"/>
    </row>
    <row r="4195">
      <c r="C4195" s="1" t="n"/>
    </row>
    <row r="4196">
      <c r="C4196" s="1" t="n"/>
    </row>
    <row r="4197">
      <c r="C4197" s="1" t="n"/>
    </row>
    <row r="4198">
      <c r="C4198" s="1" t="n"/>
    </row>
    <row r="4199">
      <c r="C4199" s="1" t="n"/>
    </row>
    <row r="4200">
      <c r="C4200" s="1" t="n"/>
    </row>
    <row r="4201">
      <c r="C4201" s="1" t="n"/>
    </row>
    <row r="4202">
      <c r="C4202" s="1" t="n"/>
    </row>
    <row r="4203">
      <c r="C4203" s="1" t="n"/>
    </row>
    <row r="4204">
      <c r="C4204" s="1" t="n"/>
    </row>
    <row r="4205">
      <c r="C4205" s="1" t="n"/>
    </row>
    <row r="4206">
      <c r="C4206" s="1" t="n"/>
    </row>
    <row r="4207">
      <c r="C4207" s="1" t="n"/>
    </row>
    <row r="4208">
      <c r="C4208" s="1" t="n"/>
    </row>
    <row r="4209">
      <c r="C4209" s="1" t="n"/>
    </row>
    <row r="4210">
      <c r="C4210" s="1" t="n"/>
    </row>
    <row r="4211">
      <c r="C4211" s="1" t="n"/>
    </row>
    <row r="4212">
      <c r="C4212" s="1" t="n"/>
    </row>
    <row r="4213">
      <c r="C4213" s="1" t="n"/>
    </row>
    <row r="4214">
      <c r="C4214" s="1" t="n"/>
    </row>
    <row r="4215">
      <c r="C4215" s="1" t="n"/>
    </row>
    <row r="4216">
      <c r="C4216" s="1" t="n"/>
    </row>
    <row r="4217">
      <c r="C4217" s="1" t="n"/>
    </row>
    <row r="4218">
      <c r="C4218" s="1" t="n"/>
    </row>
    <row r="4219">
      <c r="C4219" s="1" t="n"/>
    </row>
    <row r="4220">
      <c r="C4220" s="1" t="n"/>
    </row>
    <row r="4221">
      <c r="C4221" s="1" t="n"/>
    </row>
    <row r="4222">
      <c r="C4222" s="1" t="n"/>
    </row>
    <row r="4223">
      <c r="C4223" s="1" t="n"/>
    </row>
    <row r="4224">
      <c r="C4224" s="1" t="n"/>
    </row>
    <row r="4225">
      <c r="C4225" s="1" t="n"/>
    </row>
    <row r="4226">
      <c r="C4226" s="1" t="n"/>
    </row>
    <row r="4227">
      <c r="C4227" s="1" t="n"/>
    </row>
    <row r="4228">
      <c r="C4228" s="1" t="n"/>
    </row>
    <row r="4229">
      <c r="C4229" s="1" t="n"/>
    </row>
    <row r="4230">
      <c r="C4230" s="1" t="n"/>
    </row>
    <row r="4231">
      <c r="C4231" s="1" t="n"/>
    </row>
    <row r="4232">
      <c r="C4232" s="1" t="n"/>
    </row>
    <row r="4233">
      <c r="C4233" s="1" t="n"/>
    </row>
    <row r="4234">
      <c r="C4234" s="1" t="n"/>
    </row>
    <row r="4235">
      <c r="C4235" s="1" t="n"/>
    </row>
    <row r="4236">
      <c r="C4236" s="1" t="n"/>
    </row>
    <row r="4237">
      <c r="C4237" s="1" t="n"/>
    </row>
    <row r="4238">
      <c r="C4238" s="1" t="n"/>
    </row>
    <row r="4239">
      <c r="C4239" s="1" t="n"/>
    </row>
    <row r="4240">
      <c r="C4240" s="1" t="n"/>
    </row>
    <row r="4241">
      <c r="C4241" s="1" t="n"/>
    </row>
    <row r="4242">
      <c r="C4242" s="1" t="n"/>
    </row>
    <row r="4243">
      <c r="C4243" s="1" t="n"/>
    </row>
    <row r="4244">
      <c r="C4244" s="1" t="n"/>
    </row>
    <row r="4245">
      <c r="C4245" s="1" t="n"/>
    </row>
    <row r="4246">
      <c r="C4246" s="1" t="n"/>
    </row>
    <row r="4247">
      <c r="C4247" s="1" t="n"/>
    </row>
    <row r="4248">
      <c r="C4248" s="1" t="n"/>
    </row>
    <row r="4249">
      <c r="C4249" s="1" t="n"/>
    </row>
    <row r="4250">
      <c r="C4250" s="1" t="n"/>
    </row>
    <row r="4251">
      <c r="C4251" s="1" t="n"/>
    </row>
    <row r="4252">
      <c r="C4252" s="1" t="n"/>
    </row>
    <row r="4253">
      <c r="C4253" s="1" t="n"/>
    </row>
    <row r="4254">
      <c r="C4254" s="1" t="n"/>
    </row>
    <row r="4255">
      <c r="C4255" s="1" t="n"/>
    </row>
    <row r="4256">
      <c r="C4256" s="1" t="n"/>
    </row>
    <row r="4257">
      <c r="C4257" s="1" t="n"/>
    </row>
    <row r="4258">
      <c r="C4258" s="1" t="n"/>
    </row>
    <row r="4259">
      <c r="C4259" s="1" t="n"/>
    </row>
    <row r="4260">
      <c r="C4260" s="1" t="n"/>
    </row>
    <row r="4261">
      <c r="C4261" s="1" t="n"/>
    </row>
    <row r="4262">
      <c r="C4262" s="1" t="n"/>
    </row>
    <row r="4263">
      <c r="C4263" s="1" t="n"/>
    </row>
    <row r="4264">
      <c r="C4264" s="1" t="n"/>
    </row>
    <row r="4265">
      <c r="C4265" s="1" t="n"/>
    </row>
    <row r="4266">
      <c r="C4266" s="1" t="n"/>
    </row>
    <row r="4267">
      <c r="C4267" s="1" t="n"/>
    </row>
    <row r="4268">
      <c r="C4268" s="1" t="n"/>
    </row>
    <row r="4269">
      <c r="C4269" s="1" t="n"/>
    </row>
    <row r="4270">
      <c r="C4270" s="1" t="n"/>
    </row>
    <row r="4271">
      <c r="C4271" s="1" t="n"/>
    </row>
    <row r="4272">
      <c r="C4272" s="1" t="n"/>
    </row>
    <row r="4273">
      <c r="C4273" s="1" t="n"/>
    </row>
    <row r="4274">
      <c r="C4274" s="1" t="n"/>
    </row>
    <row r="4275">
      <c r="C4275" s="1" t="n"/>
    </row>
    <row r="4276">
      <c r="C4276" s="1" t="n"/>
    </row>
    <row r="4277">
      <c r="C4277" s="1" t="n"/>
    </row>
    <row r="4278">
      <c r="C4278" s="1" t="n"/>
    </row>
    <row r="4279">
      <c r="C4279" s="1" t="n"/>
    </row>
    <row r="4280">
      <c r="C4280" s="1" t="n"/>
    </row>
    <row r="4281">
      <c r="C4281" s="1" t="n"/>
    </row>
    <row r="4282">
      <c r="C4282" s="1" t="n"/>
    </row>
    <row r="4283">
      <c r="C4283" s="1" t="n"/>
    </row>
    <row r="4284">
      <c r="C4284" s="1" t="n"/>
    </row>
    <row r="4285">
      <c r="C4285" s="1" t="n"/>
    </row>
    <row r="4286">
      <c r="C4286" s="1" t="n"/>
    </row>
    <row r="4287">
      <c r="C4287" s="1" t="n"/>
    </row>
    <row r="4288">
      <c r="C4288" s="1" t="n"/>
    </row>
    <row r="4289">
      <c r="C4289" s="1" t="n"/>
    </row>
    <row r="4290">
      <c r="C4290" s="1" t="n"/>
    </row>
    <row r="4291">
      <c r="C4291" s="1" t="n"/>
    </row>
    <row r="4292">
      <c r="C4292" s="1" t="n"/>
    </row>
    <row r="4293">
      <c r="C4293" s="1" t="n"/>
    </row>
    <row r="4294">
      <c r="C4294" s="1" t="n"/>
    </row>
    <row r="4295">
      <c r="C4295" s="1" t="n"/>
    </row>
    <row r="4296">
      <c r="C4296" s="1" t="n"/>
    </row>
    <row r="4297">
      <c r="C4297" s="1" t="n"/>
    </row>
    <row r="4298">
      <c r="C4298" s="1" t="n"/>
    </row>
    <row r="4299">
      <c r="C4299" s="1" t="n"/>
    </row>
    <row r="4300">
      <c r="C4300" s="1" t="n"/>
    </row>
    <row r="4301">
      <c r="C4301" s="1" t="n"/>
    </row>
    <row r="4302">
      <c r="C4302" s="1" t="n"/>
    </row>
    <row r="4303">
      <c r="C4303" s="1" t="n"/>
    </row>
    <row r="4304">
      <c r="C4304" s="1" t="n"/>
    </row>
    <row r="4305">
      <c r="C4305" s="1" t="n"/>
    </row>
    <row r="4306">
      <c r="C4306" s="1" t="n"/>
    </row>
    <row r="4307">
      <c r="C4307" s="1" t="n"/>
    </row>
    <row r="4308">
      <c r="C4308" s="1" t="n"/>
    </row>
    <row r="4309">
      <c r="C4309" s="1" t="n"/>
    </row>
    <row r="4310">
      <c r="C4310" s="1" t="n"/>
    </row>
    <row r="4311">
      <c r="C4311" s="1" t="n"/>
    </row>
    <row r="4312">
      <c r="C4312" s="1" t="n"/>
    </row>
    <row r="4313">
      <c r="C4313" s="1" t="n"/>
    </row>
    <row r="4314">
      <c r="C4314" s="1" t="n"/>
    </row>
    <row r="4315">
      <c r="C4315" s="1" t="n"/>
    </row>
    <row r="4316">
      <c r="C4316" s="1" t="n"/>
    </row>
    <row r="4317">
      <c r="C4317" s="1" t="n"/>
    </row>
    <row r="4318">
      <c r="C4318" s="1" t="n"/>
    </row>
    <row r="4319">
      <c r="C4319" s="1" t="n"/>
    </row>
    <row r="4320">
      <c r="C4320" s="1" t="n"/>
    </row>
    <row r="4321">
      <c r="C4321" s="1" t="n"/>
    </row>
    <row r="4322">
      <c r="C4322" s="1" t="n"/>
    </row>
    <row r="4323">
      <c r="C4323" s="1" t="n"/>
    </row>
    <row r="4324">
      <c r="C4324" s="1" t="n"/>
    </row>
    <row r="4325">
      <c r="C4325" s="1" t="n"/>
    </row>
    <row r="4326">
      <c r="C4326" s="1" t="n"/>
    </row>
    <row r="4327">
      <c r="C4327" s="1" t="n"/>
    </row>
    <row r="4328">
      <c r="C4328" s="1" t="n"/>
    </row>
    <row r="4329">
      <c r="C4329" s="1" t="n"/>
    </row>
    <row r="4330">
      <c r="C4330" s="1" t="n"/>
    </row>
    <row r="4331">
      <c r="C4331" s="1" t="n"/>
    </row>
    <row r="4332">
      <c r="C4332" s="1" t="n"/>
    </row>
    <row r="4333">
      <c r="C4333" s="1" t="n"/>
    </row>
    <row r="4334">
      <c r="C4334" s="1" t="n"/>
    </row>
    <row r="4335">
      <c r="C4335" s="1" t="n"/>
    </row>
    <row r="4336">
      <c r="C4336" s="1" t="n"/>
    </row>
    <row r="4337">
      <c r="C4337" s="1" t="n"/>
    </row>
    <row r="4338">
      <c r="C4338" s="1" t="n"/>
    </row>
    <row r="4339">
      <c r="C4339" s="1" t="n"/>
    </row>
    <row r="4340">
      <c r="C4340" s="1" t="n"/>
    </row>
    <row r="4341">
      <c r="C4341" s="1" t="n"/>
    </row>
    <row r="4342">
      <c r="C4342" s="1" t="n"/>
    </row>
    <row r="4343">
      <c r="C4343" s="1" t="n"/>
    </row>
    <row r="4344">
      <c r="C4344" s="1" t="n"/>
    </row>
    <row r="4345">
      <c r="C4345" s="1" t="n"/>
    </row>
    <row r="4346">
      <c r="C4346" s="1" t="n"/>
    </row>
    <row r="4347">
      <c r="C4347" s="1" t="n"/>
    </row>
    <row r="4348">
      <c r="C4348" s="1" t="n"/>
    </row>
    <row r="4349">
      <c r="C4349" s="1" t="n"/>
    </row>
    <row r="4350">
      <c r="C4350" s="1" t="n"/>
    </row>
    <row r="4351">
      <c r="C4351" s="1" t="n"/>
    </row>
    <row r="4352">
      <c r="C4352" s="1" t="n"/>
    </row>
    <row r="4353">
      <c r="C4353" s="1" t="n"/>
    </row>
    <row r="4354">
      <c r="C4354" s="1" t="n"/>
    </row>
    <row r="4355">
      <c r="C4355" s="1" t="n"/>
    </row>
    <row r="4356">
      <c r="C4356" s="1" t="n"/>
    </row>
    <row r="4357">
      <c r="C4357" s="1" t="n"/>
    </row>
    <row r="4358">
      <c r="C4358" s="1" t="n"/>
    </row>
    <row r="4359">
      <c r="C4359" s="1" t="n"/>
    </row>
    <row r="4360">
      <c r="C4360" s="1" t="n"/>
    </row>
    <row r="4361">
      <c r="C4361" s="1" t="n"/>
    </row>
    <row r="4362">
      <c r="C4362" s="1" t="n"/>
    </row>
    <row r="4363">
      <c r="C4363" s="1" t="n"/>
    </row>
    <row r="4364">
      <c r="C4364" s="1" t="n"/>
    </row>
    <row r="4365">
      <c r="C4365" s="1" t="n"/>
    </row>
    <row r="4366">
      <c r="C4366" s="1" t="n"/>
    </row>
    <row r="4367">
      <c r="C4367" s="1" t="n"/>
    </row>
    <row r="4368">
      <c r="C4368" s="1" t="n"/>
    </row>
    <row r="4369">
      <c r="C4369" s="1" t="n"/>
    </row>
    <row r="4370">
      <c r="C4370" s="1" t="n"/>
    </row>
    <row r="4371">
      <c r="C4371" s="1" t="n"/>
    </row>
    <row r="4372">
      <c r="C4372" s="1" t="n"/>
    </row>
    <row r="4373">
      <c r="C4373" s="1" t="n"/>
    </row>
    <row r="4374">
      <c r="C4374" s="1" t="n"/>
    </row>
    <row r="4375">
      <c r="C4375" s="1" t="n"/>
    </row>
    <row r="4376">
      <c r="C4376" s="1" t="n"/>
    </row>
    <row r="4377">
      <c r="C4377" s="1" t="n"/>
    </row>
    <row r="4378">
      <c r="C4378" s="1" t="n"/>
    </row>
    <row r="4379">
      <c r="C4379" s="1" t="n"/>
    </row>
    <row r="4380">
      <c r="C4380" s="1" t="n"/>
    </row>
    <row r="4381">
      <c r="C4381" s="1" t="n"/>
    </row>
    <row r="4382">
      <c r="C4382" s="1" t="n"/>
    </row>
    <row r="4383">
      <c r="C4383" s="1" t="n"/>
    </row>
    <row r="4384">
      <c r="C4384" s="1" t="n"/>
    </row>
    <row r="4385">
      <c r="C4385" s="1" t="n"/>
    </row>
    <row r="4386">
      <c r="C4386" s="1" t="n"/>
    </row>
    <row r="4387">
      <c r="C4387" s="1" t="n"/>
    </row>
    <row r="4388">
      <c r="C4388" s="1" t="n"/>
    </row>
    <row r="4389">
      <c r="C4389" s="1" t="n"/>
    </row>
    <row r="4390">
      <c r="C4390" s="1" t="n"/>
    </row>
    <row r="4391">
      <c r="C4391" s="1" t="n"/>
    </row>
    <row r="4392">
      <c r="C4392" s="1" t="n"/>
    </row>
    <row r="4393">
      <c r="C4393" s="1" t="n"/>
    </row>
    <row r="4394">
      <c r="C4394" s="1" t="n"/>
    </row>
    <row r="4395">
      <c r="C4395" s="1" t="n"/>
    </row>
    <row r="4396">
      <c r="C4396" s="1" t="n"/>
    </row>
    <row r="4397">
      <c r="C4397" s="1" t="n"/>
    </row>
    <row r="4398">
      <c r="C4398" s="1" t="n"/>
    </row>
    <row r="4399">
      <c r="C4399" s="1" t="n"/>
    </row>
    <row r="4400">
      <c r="C4400" s="1" t="n"/>
    </row>
    <row r="4401">
      <c r="C4401" s="1" t="n"/>
    </row>
    <row r="4402">
      <c r="C4402" s="1" t="n"/>
    </row>
    <row r="4403">
      <c r="C4403" s="1" t="n"/>
    </row>
    <row r="4404">
      <c r="C4404" s="1" t="n"/>
    </row>
    <row r="4405">
      <c r="C4405" s="1" t="n"/>
    </row>
    <row r="4406">
      <c r="C4406" s="1" t="n"/>
    </row>
    <row r="4407">
      <c r="C4407" s="1" t="n"/>
    </row>
    <row r="4408">
      <c r="C4408" s="1" t="n"/>
    </row>
    <row r="4409">
      <c r="C4409" s="1" t="n"/>
    </row>
    <row r="4410">
      <c r="C4410" s="1" t="n"/>
    </row>
    <row r="4411">
      <c r="C4411" s="1" t="n"/>
    </row>
    <row r="4412">
      <c r="C4412" s="1" t="n"/>
    </row>
    <row r="4413">
      <c r="C4413" s="1" t="n"/>
    </row>
    <row r="4414">
      <c r="C4414" s="1" t="n"/>
    </row>
    <row r="4415">
      <c r="C4415" s="1" t="n"/>
    </row>
    <row r="4416">
      <c r="C4416" s="1" t="n"/>
    </row>
    <row r="4417">
      <c r="C4417" s="1" t="n"/>
    </row>
    <row r="4418">
      <c r="C4418" s="1" t="n"/>
    </row>
    <row r="4419">
      <c r="C4419" s="1" t="n"/>
    </row>
    <row r="4420">
      <c r="C4420" s="1" t="n"/>
    </row>
    <row r="4421">
      <c r="C4421" s="1" t="n"/>
    </row>
    <row r="4422">
      <c r="C4422" s="1" t="n"/>
    </row>
    <row r="4423">
      <c r="C4423" s="1" t="n"/>
    </row>
    <row r="4424">
      <c r="C4424" s="1" t="n"/>
    </row>
    <row r="4425">
      <c r="C4425" s="1" t="n"/>
    </row>
    <row r="4426">
      <c r="C4426" s="1" t="n"/>
    </row>
    <row r="4427">
      <c r="C4427" s="1" t="n"/>
    </row>
    <row r="4428">
      <c r="C4428" s="1" t="n"/>
    </row>
    <row r="4429">
      <c r="C4429" s="1" t="n"/>
    </row>
    <row r="4430">
      <c r="C4430" s="1" t="n"/>
    </row>
    <row r="4431">
      <c r="C4431" s="1" t="n"/>
    </row>
    <row r="4432">
      <c r="C4432" s="1" t="n"/>
    </row>
    <row r="4433">
      <c r="C4433" s="1" t="n"/>
    </row>
    <row r="4434">
      <c r="C4434" s="1" t="n"/>
    </row>
    <row r="4435">
      <c r="C4435" s="1" t="n"/>
    </row>
    <row r="4436">
      <c r="C4436" s="1" t="n"/>
    </row>
    <row r="4437">
      <c r="C4437" s="1" t="n"/>
    </row>
    <row r="4438">
      <c r="C4438" s="1" t="n"/>
    </row>
    <row r="4439">
      <c r="C4439" s="1" t="n"/>
    </row>
    <row r="4440">
      <c r="C4440" s="1" t="n"/>
    </row>
    <row r="4441">
      <c r="C4441" s="1" t="n"/>
    </row>
    <row r="4442">
      <c r="C4442" s="1" t="n"/>
    </row>
    <row r="4443">
      <c r="C4443" s="1" t="n"/>
    </row>
    <row r="4444">
      <c r="C4444" s="1" t="n"/>
    </row>
    <row r="4445">
      <c r="C4445" s="1" t="n"/>
    </row>
    <row r="4446">
      <c r="C4446" s="1" t="n"/>
    </row>
    <row r="4447">
      <c r="C4447" s="1" t="n"/>
    </row>
    <row r="4448">
      <c r="C4448" s="1" t="n"/>
    </row>
    <row r="4449">
      <c r="C4449" s="1" t="n"/>
    </row>
    <row r="4450">
      <c r="C4450" s="1" t="n"/>
    </row>
    <row r="4451">
      <c r="C4451" s="1" t="n"/>
    </row>
    <row r="4452">
      <c r="C4452" s="1" t="n"/>
    </row>
    <row r="4453">
      <c r="C4453" s="1" t="n"/>
    </row>
    <row r="4454">
      <c r="C4454" s="1" t="n"/>
    </row>
    <row r="4455">
      <c r="C4455" s="1" t="n"/>
    </row>
    <row r="4456">
      <c r="C4456" s="1" t="n"/>
    </row>
    <row r="4457">
      <c r="C4457" s="1" t="n"/>
    </row>
    <row r="4458">
      <c r="C4458" s="1" t="n"/>
    </row>
    <row r="4459">
      <c r="C4459" s="1" t="n"/>
    </row>
    <row r="4460">
      <c r="C4460" s="1" t="n"/>
    </row>
    <row r="4461">
      <c r="C4461" s="1" t="n"/>
    </row>
    <row r="4462">
      <c r="C4462" s="1" t="n"/>
    </row>
    <row r="4463">
      <c r="C4463" s="1" t="n"/>
    </row>
    <row r="4464">
      <c r="C4464" s="1" t="n"/>
    </row>
    <row r="4465">
      <c r="C4465" s="1" t="n"/>
    </row>
    <row r="4466">
      <c r="C4466" s="1" t="n"/>
    </row>
    <row r="4467">
      <c r="C4467" s="1" t="n"/>
    </row>
    <row r="4468">
      <c r="C4468" s="1" t="n"/>
    </row>
    <row r="4469">
      <c r="C4469" s="1" t="n"/>
    </row>
    <row r="4470">
      <c r="C4470" s="1" t="n"/>
    </row>
    <row r="4471">
      <c r="C4471" s="1" t="n"/>
    </row>
    <row r="4472">
      <c r="C4472" s="1" t="n"/>
    </row>
    <row r="4473">
      <c r="C4473" s="1" t="n"/>
    </row>
    <row r="4474">
      <c r="C4474" s="1" t="n"/>
    </row>
    <row r="4475">
      <c r="C4475" s="1" t="n"/>
    </row>
    <row r="4476">
      <c r="C4476" s="1" t="n"/>
    </row>
    <row r="4477">
      <c r="C4477" s="1" t="n"/>
    </row>
    <row r="4478">
      <c r="C4478" s="1" t="n"/>
    </row>
    <row r="4479">
      <c r="C4479" s="1" t="n"/>
    </row>
    <row r="4480">
      <c r="C4480" s="1" t="n"/>
    </row>
    <row r="4481">
      <c r="C4481" s="1" t="n"/>
    </row>
    <row r="4482">
      <c r="C4482" s="1" t="n"/>
    </row>
    <row r="4483">
      <c r="C4483" s="1" t="n"/>
    </row>
    <row r="4484">
      <c r="C4484" s="1" t="n"/>
    </row>
    <row r="4485">
      <c r="C4485" s="1" t="n"/>
    </row>
    <row r="4486">
      <c r="C4486" s="1" t="n"/>
    </row>
    <row r="4487">
      <c r="C4487" s="1" t="n"/>
    </row>
    <row r="4488">
      <c r="C4488" s="1" t="n"/>
    </row>
    <row r="4489">
      <c r="C4489" s="1" t="n"/>
    </row>
    <row r="4490">
      <c r="C4490" s="1" t="n"/>
    </row>
    <row r="4491">
      <c r="C4491" s="1" t="n"/>
    </row>
    <row r="4492">
      <c r="C4492" s="1" t="n"/>
    </row>
    <row r="4493">
      <c r="C4493" s="1" t="n"/>
    </row>
    <row r="4494">
      <c r="C4494" s="1" t="n"/>
    </row>
    <row r="4495">
      <c r="C4495" s="1" t="n"/>
    </row>
    <row r="4496">
      <c r="C4496" s="1" t="n"/>
    </row>
    <row r="4497">
      <c r="C4497" s="1" t="n"/>
    </row>
    <row r="4498">
      <c r="C4498" s="1" t="n"/>
    </row>
    <row r="4499">
      <c r="C4499" s="1" t="n"/>
    </row>
    <row r="4500">
      <c r="C4500" s="1" t="n"/>
    </row>
    <row r="4501">
      <c r="C4501" s="1" t="n"/>
    </row>
    <row r="4502">
      <c r="C4502" s="1" t="n"/>
    </row>
    <row r="4503">
      <c r="C4503" s="1" t="n"/>
    </row>
    <row r="4504">
      <c r="C4504" s="1" t="n"/>
    </row>
    <row r="4505">
      <c r="C4505" s="1" t="n"/>
    </row>
    <row r="4506">
      <c r="C4506" s="1" t="n"/>
    </row>
    <row r="4507">
      <c r="C4507" s="1" t="n"/>
    </row>
    <row r="4508">
      <c r="C4508" s="1" t="n"/>
    </row>
    <row r="4509">
      <c r="C4509" s="1" t="n"/>
    </row>
    <row r="4510">
      <c r="C4510" s="1" t="n"/>
    </row>
    <row r="4511">
      <c r="C4511" s="1" t="n"/>
    </row>
    <row r="4512">
      <c r="C4512" s="1" t="n"/>
    </row>
    <row r="4513">
      <c r="C4513" s="1" t="n"/>
    </row>
    <row r="4514">
      <c r="C4514" s="1" t="n"/>
    </row>
    <row r="4515">
      <c r="C4515" s="1" t="n"/>
    </row>
    <row r="4516">
      <c r="C4516" s="1" t="n"/>
    </row>
    <row r="4517">
      <c r="C4517" s="1" t="n"/>
    </row>
    <row r="4518">
      <c r="C4518" s="1" t="n"/>
    </row>
    <row r="4519">
      <c r="C4519" s="1" t="n"/>
    </row>
    <row r="4520">
      <c r="C4520" s="1" t="n"/>
    </row>
    <row r="4521">
      <c r="C4521" s="1" t="n"/>
    </row>
    <row r="4522">
      <c r="C4522" s="1" t="n"/>
    </row>
    <row r="4523">
      <c r="C4523" s="1" t="n"/>
    </row>
    <row r="4524">
      <c r="C4524" s="1" t="n"/>
    </row>
    <row r="4525">
      <c r="C4525" s="1" t="n"/>
    </row>
    <row r="4526">
      <c r="C4526" s="1" t="n"/>
    </row>
    <row r="4527">
      <c r="C4527" s="1" t="n"/>
    </row>
    <row r="4528">
      <c r="C4528" s="1" t="n"/>
    </row>
    <row r="4529">
      <c r="C4529" s="1" t="n"/>
    </row>
    <row r="4530">
      <c r="C4530" s="1" t="n"/>
    </row>
    <row r="4531">
      <c r="C4531" s="1" t="n"/>
    </row>
    <row r="4532">
      <c r="C4532" s="1" t="n"/>
    </row>
    <row r="4533">
      <c r="C4533" s="1" t="n"/>
    </row>
    <row r="4534">
      <c r="C4534" s="1" t="n"/>
    </row>
    <row r="4535">
      <c r="C4535" s="1" t="n"/>
    </row>
    <row r="4536">
      <c r="C4536" s="1" t="n"/>
    </row>
    <row r="4537">
      <c r="C4537" s="1" t="n"/>
    </row>
    <row r="4538">
      <c r="C4538" s="1" t="n"/>
    </row>
    <row r="4539">
      <c r="C4539" s="1" t="n"/>
    </row>
    <row r="4540">
      <c r="C4540" s="1" t="n"/>
    </row>
    <row r="4541">
      <c r="C4541" s="1" t="n"/>
    </row>
    <row r="4542">
      <c r="C4542" s="1" t="n"/>
    </row>
    <row r="4543">
      <c r="C4543" s="1" t="n"/>
    </row>
    <row r="4544">
      <c r="C4544" s="1" t="n"/>
    </row>
    <row r="4545">
      <c r="C4545" s="1" t="n"/>
    </row>
    <row r="4546">
      <c r="C4546" s="1" t="n"/>
    </row>
    <row r="4547">
      <c r="C4547" s="1" t="n"/>
    </row>
    <row r="4548">
      <c r="C4548" s="1" t="n"/>
    </row>
    <row r="4549">
      <c r="C4549" s="1" t="n"/>
    </row>
    <row r="4550">
      <c r="C4550" s="1" t="n"/>
    </row>
    <row r="4551">
      <c r="C4551" s="1" t="n"/>
    </row>
    <row r="4552">
      <c r="C4552" s="1" t="n"/>
    </row>
    <row r="4553">
      <c r="C4553" s="1" t="n"/>
    </row>
    <row r="4554">
      <c r="C4554" s="1" t="n"/>
    </row>
    <row r="4555">
      <c r="C4555" s="1" t="n"/>
    </row>
    <row r="4556">
      <c r="C4556" s="1" t="n"/>
    </row>
    <row r="4557">
      <c r="C4557" s="1" t="n"/>
    </row>
    <row r="4558">
      <c r="C4558" s="1" t="n"/>
    </row>
    <row r="4559">
      <c r="C4559" s="1" t="n"/>
    </row>
    <row r="4560">
      <c r="C4560" s="1" t="n"/>
    </row>
    <row r="4561">
      <c r="C4561" s="1" t="n"/>
    </row>
    <row r="4562">
      <c r="C4562" s="1" t="n"/>
    </row>
    <row r="4563">
      <c r="C4563" s="1" t="n"/>
    </row>
    <row r="4564">
      <c r="C4564" s="1" t="n"/>
    </row>
    <row r="4565">
      <c r="C4565" s="1" t="n"/>
    </row>
    <row r="4566">
      <c r="C4566" s="1" t="n"/>
    </row>
    <row r="4567">
      <c r="C4567" s="1" t="n"/>
    </row>
    <row r="4568">
      <c r="C4568" s="1" t="n"/>
    </row>
    <row r="4569">
      <c r="C4569" s="1" t="n"/>
    </row>
    <row r="4570">
      <c r="C4570" s="1" t="n"/>
    </row>
    <row r="4571">
      <c r="C4571" s="1" t="n"/>
    </row>
    <row r="4572">
      <c r="C4572" s="1" t="n"/>
    </row>
    <row r="4573">
      <c r="C4573" s="1" t="n"/>
    </row>
    <row r="4574">
      <c r="C4574" s="1" t="n"/>
    </row>
    <row r="4575">
      <c r="C4575" s="1" t="n"/>
    </row>
    <row r="4576">
      <c r="C4576" s="1" t="n"/>
    </row>
    <row r="4577">
      <c r="C4577" s="1" t="n"/>
    </row>
    <row r="4578">
      <c r="C4578" s="1" t="n"/>
    </row>
    <row r="4579">
      <c r="C4579" s="1" t="n"/>
    </row>
    <row r="4580">
      <c r="C4580" s="1" t="n"/>
    </row>
    <row r="4581">
      <c r="C4581" s="1" t="n"/>
    </row>
    <row r="4582">
      <c r="C4582" s="1" t="n"/>
    </row>
    <row r="4583">
      <c r="C4583" s="1" t="n"/>
    </row>
    <row r="4584">
      <c r="C4584" s="1" t="n"/>
    </row>
    <row r="4585">
      <c r="C4585" s="1" t="n"/>
    </row>
    <row r="4586">
      <c r="C4586" s="1" t="n"/>
    </row>
    <row r="4587">
      <c r="C4587" s="1" t="n"/>
    </row>
    <row r="4588">
      <c r="C4588" s="1" t="n"/>
    </row>
    <row r="4589">
      <c r="C4589" s="1" t="n"/>
    </row>
    <row r="4590">
      <c r="C4590" s="1" t="n"/>
    </row>
    <row r="4591">
      <c r="C4591" s="1" t="n"/>
    </row>
    <row r="4592">
      <c r="C4592" s="1" t="n"/>
    </row>
    <row r="4593">
      <c r="C4593" s="1" t="n"/>
    </row>
    <row r="4594">
      <c r="C4594" s="1" t="n"/>
    </row>
    <row r="4595">
      <c r="C4595" s="1" t="n"/>
    </row>
    <row r="4596">
      <c r="C4596" s="1" t="n"/>
    </row>
    <row r="4597">
      <c r="C4597" s="1" t="n"/>
    </row>
    <row r="4598">
      <c r="C4598" s="1" t="n"/>
    </row>
    <row r="4599">
      <c r="C4599" s="1" t="n"/>
    </row>
    <row r="4600">
      <c r="C4600" s="1" t="n"/>
    </row>
    <row r="4601">
      <c r="C4601" s="1" t="n"/>
    </row>
    <row r="4602">
      <c r="C4602" s="1" t="n"/>
    </row>
    <row r="4603">
      <c r="C4603" s="1" t="n"/>
    </row>
    <row r="4604">
      <c r="C4604" s="1" t="n"/>
    </row>
    <row r="4605">
      <c r="C4605" s="1" t="n"/>
    </row>
    <row r="4606">
      <c r="C4606" s="1" t="n"/>
    </row>
    <row r="4607">
      <c r="C4607" s="1" t="n"/>
    </row>
    <row r="4608">
      <c r="C4608" s="1" t="n"/>
    </row>
    <row r="4609">
      <c r="C4609" s="1" t="n"/>
    </row>
    <row r="4610">
      <c r="C4610" s="1" t="n"/>
    </row>
    <row r="4611">
      <c r="C4611" s="1" t="n"/>
    </row>
    <row r="4612">
      <c r="C4612" s="1" t="n"/>
    </row>
    <row r="4613">
      <c r="C4613" s="1" t="n"/>
    </row>
    <row r="4614">
      <c r="C4614" s="1" t="n"/>
    </row>
    <row r="4615">
      <c r="C4615" s="1" t="n"/>
    </row>
    <row r="4616">
      <c r="C4616" s="1" t="n"/>
    </row>
    <row r="4617">
      <c r="C4617" s="1" t="n"/>
    </row>
    <row r="4618">
      <c r="C4618" s="1" t="n"/>
    </row>
    <row r="4619">
      <c r="C4619" s="1" t="n"/>
    </row>
    <row r="4620">
      <c r="C4620" s="1" t="n"/>
    </row>
    <row r="4621">
      <c r="C4621" s="1" t="n"/>
    </row>
    <row r="4622">
      <c r="C4622" s="1" t="n"/>
    </row>
    <row r="4623">
      <c r="C4623" s="1" t="n"/>
    </row>
    <row r="4624">
      <c r="C4624" s="1" t="n"/>
    </row>
    <row r="4625">
      <c r="C4625" s="1" t="n"/>
    </row>
    <row r="4626">
      <c r="C4626" s="1" t="n"/>
    </row>
    <row r="4627">
      <c r="C4627" s="1" t="n"/>
    </row>
    <row r="4628">
      <c r="C4628" s="1" t="n"/>
    </row>
    <row r="4629">
      <c r="C4629" s="1" t="n"/>
    </row>
    <row r="4630">
      <c r="C4630" s="1" t="n"/>
    </row>
    <row r="4631">
      <c r="C4631" s="1" t="n"/>
    </row>
    <row r="4632">
      <c r="C4632" s="1" t="n"/>
    </row>
    <row r="4633">
      <c r="C4633" s="1" t="n"/>
    </row>
    <row r="4634">
      <c r="C4634" s="1" t="n"/>
    </row>
    <row r="4635">
      <c r="C4635" s="1" t="n"/>
    </row>
    <row r="4636">
      <c r="C4636" s="1" t="n"/>
    </row>
    <row r="4637">
      <c r="C4637" s="1" t="n"/>
    </row>
    <row r="4638">
      <c r="C4638" s="1" t="n"/>
    </row>
    <row r="4639">
      <c r="C4639" s="1" t="n"/>
    </row>
    <row r="4640">
      <c r="C4640" s="1" t="n"/>
    </row>
    <row r="4641">
      <c r="C4641" s="1" t="n"/>
    </row>
    <row r="4642">
      <c r="C4642" s="1" t="n"/>
    </row>
    <row r="4643">
      <c r="C4643" s="1" t="n"/>
    </row>
    <row r="4644">
      <c r="C4644" s="1" t="n"/>
    </row>
    <row r="4645">
      <c r="C4645" s="1" t="n"/>
    </row>
    <row r="4646">
      <c r="C4646" s="1" t="n"/>
    </row>
    <row r="4647">
      <c r="C4647" s="1" t="n"/>
    </row>
    <row r="4648">
      <c r="C4648" s="1" t="n"/>
    </row>
    <row r="4649">
      <c r="C4649" s="1" t="n"/>
    </row>
    <row r="4650">
      <c r="C4650" s="1" t="n"/>
    </row>
    <row r="4651">
      <c r="C4651" s="1" t="n"/>
    </row>
    <row r="4652">
      <c r="C4652" s="1" t="n"/>
    </row>
    <row r="4653">
      <c r="C4653" s="1" t="n"/>
    </row>
    <row r="4654">
      <c r="C4654" s="1" t="n"/>
    </row>
    <row r="4655">
      <c r="C4655" s="1" t="n"/>
    </row>
    <row r="4656">
      <c r="C4656" s="1" t="n"/>
    </row>
    <row r="4657">
      <c r="C4657" s="1" t="n"/>
    </row>
    <row r="4658">
      <c r="C4658" s="1" t="n"/>
    </row>
    <row r="4659">
      <c r="C4659" s="1" t="n"/>
    </row>
    <row r="4660">
      <c r="C4660" s="1" t="n"/>
    </row>
    <row r="4661">
      <c r="C4661" s="1" t="n"/>
    </row>
    <row r="4662">
      <c r="C4662" s="1" t="n"/>
    </row>
    <row r="4663">
      <c r="C4663" s="1" t="n"/>
    </row>
    <row r="4664">
      <c r="C4664" s="1" t="n"/>
    </row>
    <row r="4665">
      <c r="C4665" s="1" t="n"/>
    </row>
    <row r="4666">
      <c r="C4666" s="1" t="n"/>
    </row>
    <row r="4667">
      <c r="C4667" s="1" t="n"/>
    </row>
    <row r="4668">
      <c r="C4668" s="1" t="n"/>
    </row>
    <row r="4669">
      <c r="C4669" s="1" t="n"/>
    </row>
    <row r="4670">
      <c r="C4670" s="1" t="n"/>
    </row>
    <row r="4671">
      <c r="C4671" s="1" t="n"/>
    </row>
    <row r="4672">
      <c r="C4672" s="1" t="n"/>
    </row>
    <row r="4673">
      <c r="C4673" s="1" t="n"/>
    </row>
    <row r="4674">
      <c r="C4674" s="1" t="n"/>
    </row>
    <row r="4675">
      <c r="C4675" s="1" t="n"/>
    </row>
    <row r="4676">
      <c r="C4676" s="1" t="n"/>
    </row>
    <row r="4677">
      <c r="C4677" s="1" t="n"/>
    </row>
    <row r="4678">
      <c r="C4678" s="1" t="n"/>
    </row>
    <row r="4679">
      <c r="C4679" s="1" t="n"/>
    </row>
    <row r="4680">
      <c r="C4680" s="1" t="n"/>
    </row>
    <row r="4681">
      <c r="C4681" s="1" t="n"/>
    </row>
    <row r="4682">
      <c r="C4682" s="1" t="n"/>
    </row>
    <row r="4683">
      <c r="C4683" s="1" t="n"/>
    </row>
    <row r="4684">
      <c r="C4684" s="1" t="n"/>
    </row>
    <row r="4685">
      <c r="C4685" s="1" t="n"/>
    </row>
    <row r="4686">
      <c r="C4686" s="1" t="n"/>
    </row>
    <row r="4687">
      <c r="C4687" s="1" t="n"/>
    </row>
    <row r="4688">
      <c r="C4688" s="1" t="n"/>
    </row>
    <row r="4689">
      <c r="C4689" s="1" t="n"/>
    </row>
    <row r="4690">
      <c r="C4690" s="1" t="n"/>
    </row>
    <row r="4691">
      <c r="C4691" s="1" t="n"/>
    </row>
    <row r="4692">
      <c r="C4692" s="1" t="n"/>
    </row>
    <row r="4693">
      <c r="C4693" s="1" t="n"/>
    </row>
    <row r="4694">
      <c r="C4694" s="1" t="n"/>
    </row>
    <row r="4695">
      <c r="C4695" s="1" t="n"/>
    </row>
    <row r="4696">
      <c r="C4696" s="1" t="n"/>
    </row>
    <row r="4697">
      <c r="C4697" s="1" t="n"/>
    </row>
    <row r="4698">
      <c r="C4698" s="1" t="n"/>
    </row>
    <row r="4699">
      <c r="C4699" s="1" t="n"/>
    </row>
    <row r="4700">
      <c r="C4700" s="1" t="n"/>
    </row>
    <row r="4701">
      <c r="C4701" s="1" t="n"/>
    </row>
    <row r="4702">
      <c r="C4702" s="1" t="n"/>
    </row>
    <row r="4703">
      <c r="C4703" s="1" t="n"/>
    </row>
    <row r="4704">
      <c r="C4704" s="1" t="n"/>
    </row>
    <row r="4705">
      <c r="C4705" s="1" t="n"/>
    </row>
    <row r="4706">
      <c r="C4706" s="1" t="n"/>
    </row>
    <row r="4707">
      <c r="C4707" s="1" t="n"/>
    </row>
    <row r="4708">
      <c r="C4708" s="1" t="n"/>
    </row>
    <row r="4709">
      <c r="C4709" s="1" t="n"/>
    </row>
    <row r="4710">
      <c r="C4710" s="1" t="n"/>
    </row>
    <row r="4711">
      <c r="C4711" s="1" t="n"/>
    </row>
    <row r="4712">
      <c r="C4712" s="1" t="n"/>
    </row>
    <row r="4713">
      <c r="C4713" s="1" t="n"/>
    </row>
    <row r="4714">
      <c r="C4714" s="1" t="n"/>
    </row>
    <row r="4715">
      <c r="C4715" s="1" t="n"/>
    </row>
    <row r="4716">
      <c r="C4716" s="1" t="n"/>
    </row>
    <row r="4717">
      <c r="C4717" s="1" t="n"/>
    </row>
    <row r="4718">
      <c r="C4718" s="1" t="n"/>
    </row>
    <row r="4719">
      <c r="C4719" s="1" t="n"/>
    </row>
    <row r="4720">
      <c r="C4720" s="1" t="n"/>
    </row>
    <row r="4721">
      <c r="C4721" s="1" t="n"/>
    </row>
    <row r="4722">
      <c r="C4722" s="1" t="n"/>
    </row>
    <row r="4723">
      <c r="C4723" s="1" t="n"/>
    </row>
    <row r="4724">
      <c r="C4724" s="1" t="n"/>
    </row>
    <row r="4725">
      <c r="C4725" s="1" t="n"/>
    </row>
    <row r="4726">
      <c r="C4726" s="1" t="n"/>
    </row>
    <row r="4727">
      <c r="C4727" s="1" t="n"/>
    </row>
    <row r="4728">
      <c r="C4728" s="1" t="n"/>
    </row>
    <row r="4729">
      <c r="C4729" s="1" t="n"/>
    </row>
    <row r="4730">
      <c r="C4730" s="1" t="n"/>
    </row>
    <row r="4731">
      <c r="C4731" s="1" t="n"/>
    </row>
    <row r="4732">
      <c r="C4732" s="1" t="n"/>
    </row>
    <row r="4733">
      <c r="C4733" s="1" t="n"/>
    </row>
    <row r="4734">
      <c r="C4734" s="1" t="n"/>
    </row>
    <row r="4735">
      <c r="C4735" s="1" t="n"/>
    </row>
    <row r="4736">
      <c r="C4736" s="1" t="n"/>
    </row>
    <row r="4737">
      <c r="C4737" s="1" t="n"/>
    </row>
    <row r="4738">
      <c r="C4738" s="1" t="n"/>
    </row>
    <row r="4739">
      <c r="C4739" s="1" t="n"/>
    </row>
    <row r="4740">
      <c r="C4740" s="1" t="n"/>
    </row>
    <row r="4741">
      <c r="C4741" s="1" t="n"/>
    </row>
    <row r="4742">
      <c r="C4742" s="1" t="n"/>
    </row>
    <row r="4743">
      <c r="C4743" s="1" t="n"/>
    </row>
    <row r="4744">
      <c r="C4744" s="1" t="n"/>
    </row>
    <row r="4745">
      <c r="C4745" s="1" t="n"/>
    </row>
    <row r="4746">
      <c r="C4746" s="1" t="n"/>
    </row>
    <row r="4747">
      <c r="C4747" s="1" t="n"/>
    </row>
    <row r="4748">
      <c r="C4748" s="1" t="n"/>
    </row>
    <row r="4749">
      <c r="C4749" s="1" t="n"/>
    </row>
    <row r="4750">
      <c r="C4750" s="1" t="n"/>
    </row>
    <row r="4751">
      <c r="C4751" s="1" t="n"/>
    </row>
    <row r="4752">
      <c r="C4752" s="1" t="n"/>
    </row>
    <row r="4753">
      <c r="C4753" s="1" t="n"/>
    </row>
    <row r="4754">
      <c r="C4754" s="1" t="n"/>
    </row>
    <row r="4755">
      <c r="C4755" s="1" t="n"/>
    </row>
    <row r="4756">
      <c r="C4756" s="1" t="n"/>
    </row>
    <row r="4757">
      <c r="C4757" s="1" t="n"/>
    </row>
    <row r="4758">
      <c r="C4758" s="1" t="n"/>
    </row>
    <row r="4759">
      <c r="C4759" s="1" t="n"/>
    </row>
    <row r="4760">
      <c r="C4760" s="1" t="n"/>
    </row>
    <row r="4761">
      <c r="C4761" s="1" t="n"/>
    </row>
    <row r="4762">
      <c r="C4762" s="1" t="n"/>
    </row>
    <row r="4763">
      <c r="C4763" s="1" t="n"/>
    </row>
    <row r="4764">
      <c r="C4764" s="1" t="n"/>
    </row>
    <row r="4765">
      <c r="C4765" s="1" t="n"/>
    </row>
    <row r="4766">
      <c r="C4766" s="1" t="n"/>
    </row>
    <row r="4767">
      <c r="C4767" s="1" t="n"/>
    </row>
    <row r="4768">
      <c r="C4768" s="1" t="n"/>
    </row>
    <row r="4769">
      <c r="C4769" s="1" t="n"/>
    </row>
    <row r="4770">
      <c r="C4770" s="1" t="n"/>
    </row>
    <row r="4771">
      <c r="C4771" s="1" t="n"/>
    </row>
    <row r="4772">
      <c r="C4772" s="1" t="n"/>
    </row>
    <row r="4773">
      <c r="C4773" s="1" t="n"/>
    </row>
    <row r="4774">
      <c r="C4774" s="1" t="n"/>
    </row>
    <row r="4775">
      <c r="C4775" s="1" t="n"/>
    </row>
    <row r="4776">
      <c r="C4776" s="1" t="n"/>
    </row>
    <row r="4777">
      <c r="C4777" s="1" t="n"/>
    </row>
    <row r="4778">
      <c r="C4778" s="1" t="n"/>
    </row>
    <row r="4779">
      <c r="C4779" s="1" t="n"/>
    </row>
    <row r="4780">
      <c r="C4780" s="1" t="n"/>
    </row>
    <row r="4781">
      <c r="C4781" s="1" t="n"/>
    </row>
    <row r="4782">
      <c r="C4782" s="1" t="n"/>
    </row>
    <row r="4783">
      <c r="C4783" s="1" t="n"/>
    </row>
    <row r="4784">
      <c r="C4784" s="1" t="n"/>
    </row>
    <row r="4785">
      <c r="C4785" s="1" t="n"/>
    </row>
    <row r="4786">
      <c r="C4786" s="1" t="n"/>
    </row>
    <row r="4787">
      <c r="C4787" s="1" t="n"/>
    </row>
    <row r="4788">
      <c r="C4788" s="1" t="n"/>
    </row>
    <row r="4789">
      <c r="C4789" s="1" t="n"/>
    </row>
    <row r="4790">
      <c r="C4790" s="1" t="n"/>
    </row>
    <row r="4791">
      <c r="C4791" s="1" t="n"/>
    </row>
    <row r="4792">
      <c r="C4792" s="1" t="n"/>
    </row>
    <row r="4793">
      <c r="C4793" s="1" t="n"/>
    </row>
    <row r="4794">
      <c r="C4794" s="1" t="n"/>
    </row>
    <row r="4795">
      <c r="C4795" s="1" t="n"/>
    </row>
    <row r="4796">
      <c r="C4796" s="1" t="n"/>
    </row>
    <row r="4797">
      <c r="C4797" s="1" t="n"/>
    </row>
    <row r="4798">
      <c r="C4798" s="1" t="n"/>
    </row>
    <row r="4799">
      <c r="C4799" s="1" t="n"/>
    </row>
    <row r="4800">
      <c r="C4800" s="1" t="n"/>
    </row>
    <row r="4801">
      <c r="C4801" s="1" t="n"/>
    </row>
    <row r="4802">
      <c r="C4802" s="1" t="n"/>
    </row>
    <row r="4803">
      <c r="C4803" s="1" t="n"/>
    </row>
    <row r="4804">
      <c r="C4804" s="1" t="n"/>
    </row>
    <row r="4805">
      <c r="C4805" s="1" t="n"/>
    </row>
    <row r="4806">
      <c r="C4806" s="1" t="n"/>
    </row>
    <row r="4807">
      <c r="C4807" s="1" t="n"/>
    </row>
    <row r="4808">
      <c r="C4808" s="1" t="n"/>
    </row>
    <row r="4809">
      <c r="C4809" s="1" t="n"/>
    </row>
    <row r="4810">
      <c r="C4810" s="1" t="n"/>
    </row>
    <row r="4811">
      <c r="C4811" s="1" t="n"/>
    </row>
    <row r="4812">
      <c r="C4812" s="1" t="n"/>
    </row>
    <row r="4813">
      <c r="C4813" s="1" t="n"/>
    </row>
    <row r="4814">
      <c r="C4814" s="1" t="n"/>
    </row>
    <row r="4815">
      <c r="C4815" s="1" t="n"/>
    </row>
    <row r="4816">
      <c r="C4816" s="1" t="n"/>
    </row>
    <row r="4817">
      <c r="C4817" s="1" t="n"/>
    </row>
    <row r="4818">
      <c r="C4818" s="1" t="n"/>
    </row>
    <row r="4819">
      <c r="C4819" s="1" t="n"/>
    </row>
    <row r="4820">
      <c r="C4820" s="1" t="n"/>
    </row>
    <row r="4821">
      <c r="C4821" s="1" t="n"/>
    </row>
    <row r="4822">
      <c r="C4822" s="1" t="n"/>
    </row>
    <row r="4823">
      <c r="C4823" s="1" t="n"/>
    </row>
    <row r="4824">
      <c r="C4824" s="1" t="n"/>
    </row>
    <row r="4825">
      <c r="C4825" s="1" t="n"/>
    </row>
    <row r="4826">
      <c r="C4826" s="1" t="n"/>
    </row>
    <row r="4827">
      <c r="C4827" s="1" t="n"/>
    </row>
    <row r="4828">
      <c r="C4828" s="1" t="n"/>
    </row>
    <row r="4829">
      <c r="C4829" s="1" t="n"/>
    </row>
    <row r="4830">
      <c r="C4830" s="1" t="n"/>
    </row>
    <row r="4831">
      <c r="C4831" s="1" t="n"/>
    </row>
    <row r="4832">
      <c r="C4832" s="1" t="n"/>
    </row>
    <row r="4833">
      <c r="C4833" s="1" t="n"/>
    </row>
    <row r="4834">
      <c r="C4834" s="1" t="n"/>
    </row>
    <row r="4835">
      <c r="C4835" s="1" t="n"/>
    </row>
    <row r="4836">
      <c r="C4836" s="1" t="n"/>
    </row>
    <row r="4837">
      <c r="C4837" s="1" t="n"/>
    </row>
    <row r="4838">
      <c r="C4838" s="1" t="n"/>
    </row>
    <row r="4839">
      <c r="C4839" s="1" t="n"/>
    </row>
    <row r="4840">
      <c r="C4840" s="1" t="n"/>
    </row>
    <row r="4841">
      <c r="C4841" s="1" t="n"/>
    </row>
    <row r="4842">
      <c r="C4842" s="1" t="n"/>
    </row>
    <row r="4843">
      <c r="C4843" s="1" t="n"/>
    </row>
    <row r="4844">
      <c r="C4844" s="1" t="n"/>
    </row>
    <row r="4845">
      <c r="C4845" s="1" t="n"/>
    </row>
    <row r="4846">
      <c r="C4846" s="1" t="n"/>
    </row>
    <row r="4847">
      <c r="C4847" s="1" t="n"/>
    </row>
    <row r="4848">
      <c r="C4848" s="1" t="n"/>
    </row>
    <row r="4849">
      <c r="C4849" s="1" t="n"/>
    </row>
    <row r="4850">
      <c r="C4850" s="1" t="n"/>
    </row>
    <row r="4851">
      <c r="C4851" s="1" t="n"/>
    </row>
    <row r="4852">
      <c r="C4852" s="1" t="n"/>
    </row>
    <row r="4853">
      <c r="C4853" s="1" t="n"/>
    </row>
    <row r="4854">
      <c r="C4854" s="1" t="n"/>
    </row>
    <row r="4855">
      <c r="C4855" s="1" t="n"/>
    </row>
    <row r="4856">
      <c r="C4856" s="1" t="n"/>
    </row>
    <row r="4857">
      <c r="C4857" s="1" t="n"/>
    </row>
    <row r="4858">
      <c r="C4858" s="1" t="n"/>
    </row>
    <row r="4859">
      <c r="C4859" s="1" t="n"/>
    </row>
    <row r="4860">
      <c r="C4860" s="1" t="n"/>
    </row>
    <row r="4861">
      <c r="C4861" s="1" t="n"/>
    </row>
    <row r="4862">
      <c r="C4862" s="1" t="n"/>
    </row>
    <row r="4863">
      <c r="C4863" s="1" t="n"/>
    </row>
    <row r="4864">
      <c r="C4864" s="1" t="n"/>
    </row>
    <row r="4865">
      <c r="C4865" s="1" t="n"/>
    </row>
    <row r="4866">
      <c r="C4866" s="1" t="n"/>
    </row>
    <row r="4867">
      <c r="C4867" s="1" t="n"/>
    </row>
    <row r="4868">
      <c r="C4868" s="1" t="n"/>
    </row>
    <row r="4869">
      <c r="C4869" s="1" t="n"/>
    </row>
    <row r="4870">
      <c r="C4870" s="1" t="n"/>
    </row>
    <row r="4871">
      <c r="C4871" s="1" t="n"/>
    </row>
    <row r="4872">
      <c r="C4872" s="1" t="n"/>
    </row>
    <row r="4873">
      <c r="C4873" s="1" t="n"/>
    </row>
    <row r="4874">
      <c r="C4874" s="1" t="n"/>
    </row>
    <row r="4875">
      <c r="C4875" s="1" t="n"/>
    </row>
    <row r="4876">
      <c r="C4876" s="1" t="n"/>
    </row>
    <row r="4877">
      <c r="C4877" s="1" t="n"/>
    </row>
    <row r="4878">
      <c r="C4878" s="1" t="n"/>
    </row>
    <row r="4879">
      <c r="C4879" s="1" t="n"/>
    </row>
    <row r="4880">
      <c r="C4880" s="1" t="n"/>
    </row>
    <row r="4881">
      <c r="C4881" s="1" t="n"/>
    </row>
    <row r="4882">
      <c r="C4882" s="1" t="n"/>
    </row>
    <row r="4883">
      <c r="C4883" s="1" t="n"/>
    </row>
    <row r="4884">
      <c r="C4884" s="1" t="n"/>
    </row>
    <row r="4885">
      <c r="C4885" s="1" t="n"/>
    </row>
    <row r="4886">
      <c r="C4886" s="1" t="n"/>
    </row>
    <row r="4887">
      <c r="C4887" s="1" t="n"/>
    </row>
    <row r="4888">
      <c r="C4888" s="1" t="n"/>
    </row>
    <row r="4889">
      <c r="C4889" s="1" t="n"/>
    </row>
    <row r="4890">
      <c r="C4890" s="1" t="n"/>
    </row>
    <row r="4891">
      <c r="C4891" s="1" t="n"/>
    </row>
    <row r="4892">
      <c r="C4892" s="1" t="n"/>
    </row>
    <row r="4893">
      <c r="C4893" s="1" t="n"/>
    </row>
    <row r="4894">
      <c r="C4894" s="1" t="n"/>
    </row>
    <row r="4895">
      <c r="C4895" s="1" t="n"/>
    </row>
    <row r="4896">
      <c r="C4896" s="1" t="n"/>
    </row>
    <row r="4897">
      <c r="C4897" s="1" t="n"/>
    </row>
    <row r="4898">
      <c r="C4898" s="1" t="n"/>
    </row>
    <row r="4899">
      <c r="C4899" s="1" t="n"/>
    </row>
    <row r="4900">
      <c r="C4900" s="1" t="n"/>
    </row>
    <row r="4901">
      <c r="C4901" s="1" t="n"/>
    </row>
    <row r="4902">
      <c r="C4902" s="1" t="n"/>
    </row>
    <row r="4903">
      <c r="C4903" s="1" t="n"/>
    </row>
    <row r="4904">
      <c r="C4904" s="1" t="n"/>
    </row>
    <row r="4905">
      <c r="C4905" s="1" t="n"/>
    </row>
    <row r="4906">
      <c r="C4906" s="1" t="n"/>
    </row>
    <row r="4907">
      <c r="C4907" s="1" t="n"/>
    </row>
    <row r="4908">
      <c r="C4908" s="1" t="n"/>
    </row>
    <row r="4909">
      <c r="C4909" s="1" t="n"/>
    </row>
    <row r="4910">
      <c r="C4910" s="1" t="n"/>
    </row>
    <row r="4911">
      <c r="C4911" s="1" t="n"/>
    </row>
    <row r="4912">
      <c r="C4912" s="1" t="n"/>
    </row>
    <row r="4913">
      <c r="C4913" s="1" t="n"/>
    </row>
    <row r="4914">
      <c r="C4914" s="1" t="n"/>
    </row>
    <row r="4915">
      <c r="C4915" s="1" t="n"/>
    </row>
    <row r="4916">
      <c r="C4916" s="1" t="n"/>
    </row>
    <row r="4917">
      <c r="C4917" s="1" t="n"/>
    </row>
    <row r="4918">
      <c r="C4918" s="1" t="n"/>
    </row>
    <row r="4919">
      <c r="C4919" s="1" t="n"/>
    </row>
    <row r="4920">
      <c r="C4920" s="1" t="n"/>
    </row>
    <row r="4921">
      <c r="C4921" s="1" t="n"/>
    </row>
    <row r="4922">
      <c r="C4922" s="1" t="n"/>
    </row>
    <row r="4923">
      <c r="C4923" s="1" t="n"/>
    </row>
    <row r="4924">
      <c r="C4924" s="1" t="n"/>
    </row>
    <row r="4925">
      <c r="C4925" s="1" t="n"/>
    </row>
    <row r="4926">
      <c r="C4926" s="1" t="n"/>
    </row>
    <row r="4927">
      <c r="C4927" s="1" t="n"/>
    </row>
    <row r="4928">
      <c r="C4928" s="1" t="n"/>
    </row>
    <row r="4929">
      <c r="C4929" s="1" t="n"/>
    </row>
    <row r="4930">
      <c r="C4930" s="1" t="n"/>
    </row>
    <row r="4931">
      <c r="C4931" s="1" t="n"/>
    </row>
    <row r="4932">
      <c r="C4932" s="1" t="n"/>
    </row>
    <row r="4933">
      <c r="C4933" s="1" t="n"/>
    </row>
    <row r="4934">
      <c r="C4934" s="1" t="n"/>
    </row>
    <row r="4935">
      <c r="C4935" s="1" t="n"/>
    </row>
    <row r="4936">
      <c r="C4936" s="1" t="n"/>
    </row>
    <row r="4937">
      <c r="C4937" s="1" t="n"/>
    </row>
    <row r="4938">
      <c r="C4938" s="1" t="n"/>
    </row>
    <row r="4939">
      <c r="C4939" s="1" t="n"/>
    </row>
    <row r="4940">
      <c r="C4940" s="1" t="n"/>
    </row>
    <row r="4941">
      <c r="C4941" s="1" t="n"/>
    </row>
    <row r="4942">
      <c r="C4942" s="1" t="n"/>
    </row>
    <row r="4943">
      <c r="C4943" s="1" t="n"/>
    </row>
    <row r="4944">
      <c r="C4944" s="1" t="n"/>
    </row>
    <row r="4945">
      <c r="C4945" s="1" t="n"/>
    </row>
    <row r="4946">
      <c r="C4946" s="1" t="n"/>
    </row>
    <row r="4947">
      <c r="C4947" s="1" t="n"/>
    </row>
    <row r="4948">
      <c r="C4948" s="1" t="n"/>
    </row>
    <row r="4949">
      <c r="C4949" s="1" t="n"/>
    </row>
    <row r="4950">
      <c r="C4950" s="1" t="n"/>
    </row>
    <row r="4951">
      <c r="C4951" s="1" t="n"/>
    </row>
    <row r="4952">
      <c r="C4952" s="1" t="n"/>
    </row>
    <row r="4953">
      <c r="C4953" s="1" t="n"/>
    </row>
    <row r="4954">
      <c r="C4954" s="1" t="n"/>
    </row>
    <row r="4955">
      <c r="C4955" s="1" t="n"/>
    </row>
    <row r="4956">
      <c r="C4956" s="1" t="n"/>
    </row>
    <row r="4957">
      <c r="C4957" s="1" t="n"/>
    </row>
    <row r="4958">
      <c r="C4958" s="1" t="n"/>
    </row>
    <row r="4959">
      <c r="C4959" s="1" t="n"/>
    </row>
    <row r="4960">
      <c r="C4960" s="1" t="n"/>
    </row>
    <row r="4961">
      <c r="C4961" s="1" t="n"/>
    </row>
    <row r="4962">
      <c r="C4962" s="1" t="n"/>
    </row>
    <row r="4963">
      <c r="C4963" s="1" t="n"/>
    </row>
    <row r="4964">
      <c r="C4964" s="1" t="n"/>
    </row>
    <row r="4965">
      <c r="C4965" s="1" t="n"/>
    </row>
    <row r="4966">
      <c r="C4966" s="1" t="n"/>
    </row>
    <row r="4967">
      <c r="C4967" s="1" t="n"/>
    </row>
    <row r="4968">
      <c r="C4968" s="1" t="n"/>
    </row>
    <row r="4969">
      <c r="C4969" s="1" t="n"/>
    </row>
    <row r="4970">
      <c r="C4970" s="1" t="n"/>
    </row>
    <row r="4971">
      <c r="C4971" s="1" t="n"/>
    </row>
    <row r="4972">
      <c r="C4972" s="1" t="n"/>
    </row>
    <row r="4973">
      <c r="C4973" s="1" t="n"/>
    </row>
    <row r="4974">
      <c r="C4974" s="1" t="n"/>
    </row>
    <row r="4975">
      <c r="C4975" s="1" t="n"/>
    </row>
    <row r="4976">
      <c r="C4976" s="1" t="n"/>
    </row>
    <row r="4977">
      <c r="C4977" s="1" t="n"/>
    </row>
    <row r="4978">
      <c r="C4978" s="1" t="n"/>
    </row>
    <row r="4979">
      <c r="C4979" s="1" t="n"/>
    </row>
    <row r="4980">
      <c r="C4980" s="1" t="n"/>
    </row>
    <row r="4981">
      <c r="C4981" s="1" t="n"/>
    </row>
    <row r="4982">
      <c r="C4982" s="1" t="n"/>
    </row>
    <row r="4983">
      <c r="C4983" s="1" t="n"/>
    </row>
    <row r="4984">
      <c r="C4984" s="1" t="n"/>
    </row>
    <row r="4985">
      <c r="C4985" s="1" t="n"/>
    </row>
    <row r="4986">
      <c r="C4986" s="1" t="n"/>
    </row>
    <row r="4987">
      <c r="C4987" s="1" t="n"/>
    </row>
    <row r="4988">
      <c r="C4988" s="1" t="n"/>
    </row>
    <row r="4989">
      <c r="C4989" s="1" t="n"/>
    </row>
    <row r="4990">
      <c r="C4990" s="1" t="n"/>
    </row>
    <row r="4991">
      <c r="C4991" s="1" t="n"/>
    </row>
    <row r="4992">
      <c r="C4992" s="1" t="n"/>
    </row>
    <row r="4993">
      <c r="C4993" s="1" t="n"/>
    </row>
    <row r="4994">
      <c r="C4994" s="1" t="n"/>
    </row>
    <row r="4995">
      <c r="C4995" s="1" t="n"/>
    </row>
    <row r="4996">
      <c r="C4996" s="1" t="n"/>
    </row>
    <row r="4997">
      <c r="C4997" s="1" t="n"/>
    </row>
    <row r="4998">
      <c r="C4998" s="1" t="n"/>
    </row>
    <row r="4999">
      <c r="C4999" s="1" t="n"/>
    </row>
    <row r="5000">
      <c r="C5000" s="1" t="n"/>
    </row>
    <row r="5001">
      <c r="C5001" s="1" t="n"/>
    </row>
    <row r="5002">
      <c r="C5002" s="1" t="n"/>
    </row>
    <row r="5003">
      <c r="C5003" s="1" t="n"/>
    </row>
    <row r="5004">
      <c r="C5004" s="1" t="n"/>
    </row>
    <row r="5005">
      <c r="C5005" s="1" t="n"/>
    </row>
    <row r="5006">
      <c r="C5006" s="1" t="n"/>
    </row>
    <row r="5007">
      <c r="C5007" s="1" t="n"/>
    </row>
    <row r="5008">
      <c r="C5008" s="1" t="n"/>
    </row>
    <row r="5009">
      <c r="C5009" s="1" t="n"/>
    </row>
    <row r="5010">
      <c r="C5010" s="1" t="n"/>
    </row>
    <row r="5011">
      <c r="C5011" s="1" t="n"/>
    </row>
    <row r="5012">
      <c r="C5012" s="1" t="n"/>
    </row>
    <row r="5013">
      <c r="C5013" s="1" t="n"/>
    </row>
    <row r="5014">
      <c r="C5014" s="1" t="n"/>
    </row>
    <row r="5015">
      <c r="C5015" s="1" t="n"/>
    </row>
    <row r="5016">
      <c r="C5016" s="1" t="n"/>
    </row>
    <row r="5017">
      <c r="C5017" s="1" t="n"/>
    </row>
    <row r="5018">
      <c r="C5018" s="1" t="n"/>
    </row>
    <row r="5019">
      <c r="C5019" s="1" t="n"/>
    </row>
    <row r="5020">
      <c r="C5020" s="1" t="n"/>
    </row>
    <row r="5021">
      <c r="C5021" s="1" t="n"/>
    </row>
    <row r="5022">
      <c r="C5022" s="1" t="n"/>
    </row>
    <row r="5023">
      <c r="C5023" s="1" t="n"/>
    </row>
    <row r="5024">
      <c r="C5024" s="1" t="n"/>
    </row>
    <row r="5025">
      <c r="C5025" s="1" t="n"/>
    </row>
    <row r="5026">
      <c r="C5026" s="1" t="n"/>
    </row>
    <row r="5027">
      <c r="C5027" s="1" t="n"/>
    </row>
    <row r="5028">
      <c r="C5028" s="1" t="n"/>
    </row>
    <row r="5029">
      <c r="C5029" s="1" t="n"/>
    </row>
    <row r="5030">
      <c r="C5030" s="1" t="n"/>
    </row>
    <row r="5031">
      <c r="C5031" s="1" t="n"/>
    </row>
    <row r="5032">
      <c r="C5032" s="1" t="n"/>
    </row>
    <row r="5033">
      <c r="C5033" s="1" t="n"/>
    </row>
    <row r="5034">
      <c r="C5034" s="1" t="n"/>
    </row>
    <row r="5035">
      <c r="C5035" s="1" t="n"/>
    </row>
    <row r="5036">
      <c r="C5036" s="1" t="n"/>
    </row>
    <row r="5037">
      <c r="C5037" s="1" t="n"/>
    </row>
    <row r="5038">
      <c r="C5038" s="1" t="n"/>
    </row>
    <row r="5039">
      <c r="C5039" s="1" t="n"/>
    </row>
    <row r="5040">
      <c r="C5040" s="1" t="n"/>
    </row>
    <row r="5041">
      <c r="C5041" s="1" t="n"/>
    </row>
    <row r="5042">
      <c r="C5042" s="1" t="n"/>
    </row>
    <row r="5043">
      <c r="C5043" s="1" t="n"/>
    </row>
    <row r="5044">
      <c r="C5044" s="1" t="n"/>
    </row>
    <row r="5045">
      <c r="C5045" s="1" t="n"/>
    </row>
    <row r="5046">
      <c r="C5046" s="1" t="n"/>
    </row>
    <row r="5047">
      <c r="C5047" s="1" t="n"/>
    </row>
    <row r="5048">
      <c r="C5048" s="1" t="n"/>
    </row>
    <row r="5049">
      <c r="C5049" s="1" t="n"/>
    </row>
    <row r="5050">
      <c r="C5050" s="1" t="n"/>
    </row>
    <row r="5051">
      <c r="C5051" s="1" t="n"/>
    </row>
    <row r="5052">
      <c r="C5052" s="1" t="n"/>
    </row>
    <row r="5053">
      <c r="C5053" s="1" t="n"/>
    </row>
    <row r="5054">
      <c r="C5054" s="1" t="n"/>
    </row>
    <row r="5055">
      <c r="C5055" s="1" t="n"/>
    </row>
    <row r="5056">
      <c r="C5056" s="1" t="n"/>
    </row>
    <row r="5057">
      <c r="C5057" s="1" t="n"/>
    </row>
    <row r="5058">
      <c r="C5058" s="1" t="n"/>
    </row>
    <row r="5059">
      <c r="C5059" s="1" t="n"/>
    </row>
    <row r="5060">
      <c r="C5060" s="1" t="n"/>
    </row>
    <row r="5061">
      <c r="C5061" s="1" t="n"/>
    </row>
    <row r="5062">
      <c r="C5062" s="1" t="n"/>
    </row>
    <row r="5063">
      <c r="C5063" s="1" t="n"/>
    </row>
    <row r="5064">
      <c r="C5064" s="1" t="n"/>
    </row>
    <row r="5065">
      <c r="C5065" s="1" t="n"/>
    </row>
    <row r="5066">
      <c r="C5066" s="1" t="n"/>
    </row>
    <row r="5067">
      <c r="C5067" s="1" t="n"/>
    </row>
    <row r="5068">
      <c r="C5068" s="1" t="n"/>
    </row>
    <row r="5069">
      <c r="C5069" s="1" t="n"/>
    </row>
    <row r="5070">
      <c r="C5070" s="1" t="n"/>
    </row>
    <row r="5071">
      <c r="C5071" s="1" t="n"/>
    </row>
    <row r="5072">
      <c r="C5072" s="1" t="n"/>
    </row>
    <row r="5073">
      <c r="C5073" s="1" t="n"/>
    </row>
    <row r="5074">
      <c r="C5074" s="1" t="n"/>
    </row>
    <row r="5075">
      <c r="C5075" s="1" t="n"/>
    </row>
    <row r="5076">
      <c r="C5076" s="1" t="n"/>
    </row>
    <row r="5077">
      <c r="C5077" s="1" t="n"/>
    </row>
    <row r="5078">
      <c r="C5078" s="1" t="n"/>
    </row>
    <row r="5079">
      <c r="C5079" s="1" t="n"/>
    </row>
    <row r="5080">
      <c r="C5080" s="1" t="n"/>
    </row>
    <row r="5081">
      <c r="C5081" s="1" t="n"/>
    </row>
    <row r="5082">
      <c r="C5082" s="1" t="n"/>
    </row>
    <row r="5083">
      <c r="C5083" s="1" t="n"/>
    </row>
    <row r="5084">
      <c r="C5084" s="1" t="n"/>
    </row>
    <row r="5085">
      <c r="C5085" s="1" t="n"/>
    </row>
    <row r="5086">
      <c r="C5086" s="1" t="n"/>
    </row>
    <row r="5087">
      <c r="C5087" s="1" t="n"/>
    </row>
    <row r="5088">
      <c r="C5088" s="1" t="n"/>
    </row>
    <row r="5089">
      <c r="C5089" s="1" t="n"/>
    </row>
    <row r="5090">
      <c r="C5090" s="1" t="n"/>
    </row>
    <row r="5091">
      <c r="C5091" s="1" t="n"/>
    </row>
    <row r="5092">
      <c r="C5092" s="1" t="n"/>
    </row>
    <row r="5093">
      <c r="C5093" s="1" t="n"/>
    </row>
    <row r="5094">
      <c r="C5094" s="1" t="n"/>
    </row>
    <row r="5095">
      <c r="C5095" s="1" t="n"/>
    </row>
    <row r="5096">
      <c r="C5096" s="1" t="n"/>
    </row>
    <row r="5097">
      <c r="C5097" s="1" t="n"/>
    </row>
    <row r="5098">
      <c r="C5098" s="1" t="n"/>
    </row>
    <row r="5099">
      <c r="C5099" s="1" t="n"/>
    </row>
    <row r="5100">
      <c r="C5100" s="1" t="n"/>
    </row>
    <row r="5101">
      <c r="C5101" s="1" t="n"/>
    </row>
    <row r="5102">
      <c r="C5102" s="1" t="n"/>
    </row>
    <row r="5103">
      <c r="C5103" s="1" t="n"/>
    </row>
    <row r="5104">
      <c r="C5104" s="1" t="n"/>
    </row>
    <row r="5105">
      <c r="C5105" s="1" t="n"/>
    </row>
    <row r="5106">
      <c r="C5106" s="1" t="n"/>
    </row>
    <row r="5107">
      <c r="C5107" s="1" t="n"/>
    </row>
    <row r="5108">
      <c r="C5108" s="1" t="n"/>
    </row>
    <row r="5109">
      <c r="C5109" s="1" t="n"/>
    </row>
    <row r="5110">
      <c r="C5110" s="1" t="n"/>
    </row>
    <row r="5111">
      <c r="C5111" s="1" t="n"/>
    </row>
    <row r="5112">
      <c r="C5112" s="1" t="n"/>
    </row>
    <row r="5113">
      <c r="C5113" s="1" t="n"/>
    </row>
    <row r="5114">
      <c r="C5114" s="1" t="n"/>
    </row>
    <row r="5115">
      <c r="C5115" s="1" t="n"/>
    </row>
    <row r="5116">
      <c r="C5116" s="1" t="n"/>
    </row>
    <row r="5117">
      <c r="C5117" s="1" t="n"/>
    </row>
    <row r="5118">
      <c r="C5118" s="1" t="n"/>
    </row>
    <row r="5119">
      <c r="C5119" s="1" t="n"/>
    </row>
    <row r="5120">
      <c r="C5120" s="1" t="n"/>
    </row>
    <row r="5121">
      <c r="C5121" s="1" t="n"/>
    </row>
    <row r="5122">
      <c r="C5122" s="1" t="n"/>
    </row>
    <row r="5123">
      <c r="C5123" s="1" t="n"/>
    </row>
    <row r="5124">
      <c r="C5124" s="1" t="n"/>
    </row>
    <row r="5125">
      <c r="C5125" s="1" t="n"/>
    </row>
    <row r="5126">
      <c r="C5126" s="1" t="n"/>
    </row>
    <row r="5127">
      <c r="C5127" s="1" t="n"/>
    </row>
    <row r="5128">
      <c r="C5128" s="1" t="n"/>
    </row>
    <row r="5129">
      <c r="C5129" s="1" t="n"/>
    </row>
    <row r="5130">
      <c r="C5130" s="1" t="n"/>
    </row>
    <row r="5131">
      <c r="C5131" s="1" t="n"/>
    </row>
    <row r="5132">
      <c r="C5132" s="1" t="n"/>
    </row>
    <row r="5133">
      <c r="C5133" s="1" t="n"/>
    </row>
    <row r="5134">
      <c r="C5134" s="1" t="n"/>
    </row>
    <row r="5135">
      <c r="C5135" s="1" t="n"/>
    </row>
    <row r="5136">
      <c r="C5136" s="1" t="n"/>
    </row>
    <row r="5137">
      <c r="C5137" s="1" t="n"/>
    </row>
    <row r="5138">
      <c r="C5138" s="1" t="n"/>
    </row>
    <row r="5139">
      <c r="C5139" s="1" t="n"/>
    </row>
    <row r="5140">
      <c r="C5140" s="1" t="n"/>
    </row>
    <row r="5141">
      <c r="C5141" s="1" t="n"/>
    </row>
    <row r="5142">
      <c r="C5142" s="1" t="n"/>
    </row>
    <row r="5143">
      <c r="C5143" s="1" t="n"/>
    </row>
    <row r="5144">
      <c r="C5144" s="1" t="n"/>
    </row>
    <row r="5145">
      <c r="C5145" s="1" t="n"/>
    </row>
    <row r="5146">
      <c r="C5146" s="1" t="n"/>
    </row>
    <row r="5147">
      <c r="C5147" s="1" t="n"/>
    </row>
    <row r="5148">
      <c r="C5148" s="1" t="n"/>
    </row>
    <row r="5149">
      <c r="C5149" s="1" t="n"/>
    </row>
    <row r="5150">
      <c r="C5150" s="1" t="n"/>
    </row>
    <row r="5151">
      <c r="C5151" s="1" t="n"/>
    </row>
    <row r="5152">
      <c r="C5152" s="1" t="n"/>
    </row>
    <row r="5153">
      <c r="C5153" s="1" t="n"/>
    </row>
    <row r="5154">
      <c r="C5154" s="1" t="n"/>
    </row>
    <row r="5155">
      <c r="C5155" s="1" t="n"/>
    </row>
    <row r="5156">
      <c r="C5156" s="1" t="n"/>
    </row>
    <row r="5157">
      <c r="C5157" s="1" t="n"/>
    </row>
    <row r="5158">
      <c r="C5158" s="1" t="n"/>
    </row>
    <row r="5159">
      <c r="C5159" s="1" t="n"/>
    </row>
    <row r="5160">
      <c r="C5160" s="1" t="n"/>
    </row>
    <row r="5161">
      <c r="C5161" s="1" t="n"/>
    </row>
    <row r="5162">
      <c r="C5162" s="1" t="n"/>
    </row>
    <row r="5163">
      <c r="C5163" s="1" t="n"/>
    </row>
    <row r="5164">
      <c r="C5164" s="1" t="n"/>
    </row>
    <row r="5165">
      <c r="C5165" s="1" t="n"/>
    </row>
    <row r="5166">
      <c r="C5166" s="1" t="n"/>
    </row>
    <row r="5167">
      <c r="C5167" s="1" t="n"/>
    </row>
    <row r="5168">
      <c r="C5168" s="1" t="n"/>
    </row>
    <row r="5169">
      <c r="C5169" s="1" t="n"/>
    </row>
    <row r="5170">
      <c r="C5170" s="1" t="n"/>
    </row>
    <row r="5171">
      <c r="C5171" s="1" t="n"/>
    </row>
    <row r="5172">
      <c r="C5172" s="1" t="n"/>
    </row>
    <row r="5173">
      <c r="C5173" s="1" t="n"/>
    </row>
    <row r="5174">
      <c r="C5174" s="1" t="n"/>
    </row>
    <row r="5175">
      <c r="C5175" s="1" t="n"/>
    </row>
    <row r="5176">
      <c r="C5176" s="1" t="n"/>
    </row>
    <row r="5177">
      <c r="C5177" s="1" t="n"/>
    </row>
    <row r="5178">
      <c r="C5178" s="1" t="n"/>
    </row>
    <row r="5179">
      <c r="C5179" s="1" t="n"/>
    </row>
    <row r="5180">
      <c r="C5180" s="1" t="n"/>
    </row>
    <row r="5181">
      <c r="C5181" s="1" t="n"/>
    </row>
    <row r="5182">
      <c r="C5182" s="1" t="n"/>
    </row>
    <row r="5183">
      <c r="C5183" s="1" t="n"/>
    </row>
    <row r="5184">
      <c r="C5184" s="1" t="n"/>
    </row>
    <row r="5185">
      <c r="C5185" s="1" t="n"/>
    </row>
    <row r="5186">
      <c r="C5186" s="1" t="n"/>
    </row>
    <row r="5187">
      <c r="C5187" s="1" t="n"/>
    </row>
    <row r="5188">
      <c r="C5188" s="1" t="n"/>
    </row>
    <row r="5189">
      <c r="C5189" s="1" t="n"/>
    </row>
    <row r="5190">
      <c r="C5190" s="1" t="n"/>
    </row>
    <row r="5191">
      <c r="C5191" s="1" t="n"/>
    </row>
    <row r="5192">
      <c r="C5192" s="1" t="n"/>
    </row>
    <row r="5193">
      <c r="C5193" s="1" t="n"/>
    </row>
    <row r="5194">
      <c r="C5194" s="1" t="n"/>
    </row>
    <row r="5195">
      <c r="C5195" s="1" t="n"/>
    </row>
    <row r="5196">
      <c r="C5196" s="1" t="n"/>
    </row>
    <row r="5197">
      <c r="C5197" s="1" t="n"/>
    </row>
    <row r="5198">
      <c r="C5198" s="1" t="n"/>
    </row>
    <row r="5199">
      <c r="C5199" s="1" t="n"/>
    </row>
    <row r="5200">
      <c r="C5200" s="1" t="n"/>
    </row>
    <row r="5201">
      <c r="C5201" s="1" t="n"/>
    </row>
    <row r="5202">
      <c r="C5202" s="1" t="n"/>
    </row>
    <row r="5203">
      <c r="C5203" s="1" t="n"/>
    </row>
    <row r="5204">
      <c r="C5204" s="1" t="n"/>
    </row>
    <row r="5205">
      <c r="C5205" s="1" t="n"/>
    </row>
    <row r="5206">
      <c r="C5206" s="1" t="n"/>
    </row>
    <row r="5207">
      <c r="C5207" s="1" t="n"/>
    </row>
    <row r="5208">
      <c r="C5208" s="1" t="n"/>
    </row>
    <row r="5209">
      <c r="C5209" s="1" t="n"/>
    </row>
    <row r="5210">
      <c r="C5210" s="1" t="n"/>
    </row>
    <row r="5211">
      <c r="C5211" s="1" t="n"/>
    </row>
    <row r="5212">
      <c r="C5212" s="1" t="n"/>
    </row>
    <row r="5213">
      <c r="C5213" s="1" t="n"/>
    </row>
    <row r="5214">
      <c r="C5214" s="1" t="n"/>
    </row>
    <row r="5215">
      <c r="C5215" s="1" t="n"/>
    </row>
    <row r="5216">
      <c r="C5216" s="1" t="n"/>
    </row>
    <row r="5217">
      <c r="C5217" s="1" t="n"/>
    </row>
    <row r="5218">
      <c r="C5218" s="1" t="n"/>
    </row>
    <row r="5219">
      <c r="C5219" s="1" t="n"/>
    </row>
    <row r="5220">
      <c r="C5220" s="1" t="n"/>
    </row>
    <row r="5221">
      <c r="C5221" s="1" t="n"/>
    </row>
    <row r="5222">
      <c r="C5222" s="1" t="n"/>
    </row>
    <row r="5223">
      <c r="C5223" s="1" t="n"/>
    </row>
    <row r="5224">
      <c r="C5224" s="1" t="n"/>
    </row>
    <row r="5225">
      <c r="C5225" s="1" t="n"/>
    </row>
    <row r="5226">
      <c r="C5226" s="1" t="n"/>
    </row>
    <row r="5227">
      <c r="C5227" s="1" t="n"/>
    </row>
    <row r="5228">
      <c r="C5228" s="1" t="n"/>
    </row>
    <row r="5229">
      <c r="C5229" s="1" t="n"/>
    </row>
    <row r="5230">
      <c r="C5230" s="1" t="n"/>
    </row>
    <row r="5231">
      <c r="C5231" s="1" t="n"/>
    </row>
    <row r="5232">
      <c r="C5232" s="1" t="n"/>
    </row>
    <row r="5233">
      <c r="C5233" s="1" t="n"/>
    </row>
    <row r="5234">
      <c r="C5234" s="1" t="n"/>
    </row>
    <row r="5235">
      <c r="C5235" s="1" t="n"/>
    </row>
    <row r="5236">
      <c r="C5236" s="1" t="n"/>
    </row>
    <row r="5237">
      <c r="C5237" s="1" t="n"/>
    </row>
    <row r="5238">
      <c r="C5238" s="1" t="n"/>
    </row>
    <row r="5239">
      <c r="C5239" s="1" t="n"/>
    </row>
    <row r="5240">
      <c r="C5240" s="1" t="n"/>
    </row>
    <row r="5241">
      <c r="C5241" s="1" t="n"/>
    </row>
    <row r="5242">
      <c r="C5242" s="1" t="n"/>
    </row>
    <row r="5243">
      <c r="C5243" s="1" t="n"/>
    </row>
    <row r="5244">
      <c r="C5244" s="1" t="n"/>
    </row>
    <row r="5245">
      <c r="C5245" s="1" t="n"/>
    </row>
    <row r="5246">
      <c r="C5246" s="1" t="n"/>
    </row>
    <row r="5247">
      <c r="C5247" s="1" t="n"/>
    </row>
    <row r="5248">
      <c r="C5248" s="1" t="n"/>
    </row>
    <row r="5249">
      <c r="C5249" s="1" t="n"/>
    </row>
    <row r="5250">
      <c r="C5250" s="1" t="n"/>
    </row>
    <row r="5251">
      <c r="C5251" s="1" t="n"/>
    </row>
    <row r="5252">
      <c r="C5252" s="1" t="n"/>
    </row>
    <row r="5253">
      <c r="C5253" s="1" t="n"/>
    </row>
    <row r="5254">
      <c r="C5254" s="1" t="n"/>
    </row>
    <row r="5255">
      <c r="C5255" s="1" t="n"/>
    </row>
    <row r="5256">
      <c r="C5256" s="1" t="n"/>
    </row>
    <row r="5257">
      <c r="C5257" s="1" t="n"/>
    </row>
    <row r="5258">
      <c r="C5258" s="1" t="n"/>
    </row>
    <row r="5259">
      <c r="C5259" s="1" t="n"/>
    </row>
    <row r="5260">
      <c r="C5260" s="1" t="n"/>
    </row>
    <row r="5261">
      <c r="C5261" s="1" t="n"/>
    </row>
    <row r="5262">
      <c r="C5262" s="1" t="n"/>
    </row>
    <row r="5263">
      <c r="C5263" s="1" t="n"/>
    </row>
    <row r="5264">
      <c r="C5264" s="1" t="n"/>
    </row>
    <row r="5265">
      <c r="C5265" s="1" t="n"/>
    </row>
    <row r="5266">
      <c r="C5266" s="1" t="n"/>
    </row>
    <row r="5267">
      <c r="C5267" s="1" t="n"/>
    </row>
    <row r="5268">
      <c r="C5268" s="1" t="n"/>
    </row>
    <row r="5269">
      <c r="C5269" s="1" t="n"/>
    </row>
    <row r="5270">
      <c r="C5270" s="1" t="n"/>
    </row>
    <row r="5271">
      <c r="C5271" s="1" t="n"/>
    </row>
    <row r="5272">
      <c r="C5272" s="1" t="n"/>
    </row>
    <row r="5273">
      <c r="C5273" s="1" t="n"/>
    </row>
    <row r="5274">
      <c r="C5274" s="1" t="n"/>
    </row>
    <row r="5275">
      <c r="C5275" s="1" t="n"/>
    </row>
    <row r="5276">
      <c r="C5276" s="1" t="n"/>
    </row>
    <row r="5277">
      <c r="C5277" s="1" t="n"/>
    </row>
    <row r="5278">
      <c r="C5278" s="1" t="n"/>
    </row>
    <row r="5279">
      <c r="C5279" s="1" t="n"/>
    </row>
    <row r="5280">
      <c r="C5280" s="1" t="n"/>
    </row>
    <row r="5281">
      <c r="C5281" s="1" t="n"/>
    </row>
    <row r="5282">
      <c r="C5282" s="1" t="n"/>
    </row>
    <row r="5283">
      <c r="C5283" s="1" t="n"/>
    </row>
    <row r="5284">
      <c r="C5284" s="1" t="n"/>
    </row>
    <row r="5285">
      <c r="C5285" s="1" t="n"/>
    </row>
    <row r="5286">
      <c r="C5286" s="1" t="n"/>
    </row>
    <row r="5287">
      <c r="C5287" s="1" t="n"/>
    </row>
    <row r="5288">
      <c r="C5288" s="1" t="n"/>
    </row>
    <row r="5289">
      <c r="C5289" s="1" t="n"/>
    </row>
    <row r="5290">
      <c r="C5290" s="1" t="n"/>
    </row>
    <row r="5291">
      <c r="C5291" s="1" t="n"/>
    </row>
    <row r="5292">
      <c r="C5292" s="1" t="n"/>
    </row>
    <row r="5293">
      <c r="C5293" s="1" t="n"/>
    </row>
    <row r="5294">
      <c r="C5294" s="1" t="n"/>
    </row>
    <row r="5295">
      <c r="C5295" s="1" t="n"/>
    </row>
    <row r="5296">
      <c r="C5296" s="1" t="n"/>
    </row>
    <row r="5297">
      <c r="C5297" s="1" t="n"/>
    </row>
    <row r="5298">
      <c r="C5298" s="1" t="n"/>
    </row>
    <row r="5299">
      <c r="C5299" s="1" t="n"/>
    </row>
    <row r="5300">
      <c r="C5300" s="1" t="n"/>
    </row>
    <row r="5301">
      <c r="C5301" s="1" t="n"/>
    </row>
    <row r="5302">
      <c r="C5302" s="1" t="n"/>
    </row>
    <row r="5303">
      <c r="C5303" s="1" t="n"/>
    </row>
    <row r="5304">
      <c r="C5304" s="1" t="n"/>
    </row>
    <row r="5305">
      <c r="C5305" s="1" t="n"/>
    </row>
    <row r="5306">
      <c r="C5306" s="1" t="n"/>
    </row>
    <row r="5307">
      <c r="C5307" s="1" t="n"/>
    </row>
    <row r="5308">
      <c r="C5308" s="1" t="n"/>
    </row>
    <row r="5309">
      <c r="C5309" s="1" t="n"/>
    </row>
    <row r="5310">
      <c r="C5310" s="1" t="n"/>
    </row>
    <row r="5311">
      <c r="C5311" s="1" t="n"/>
    </row>
    <row r="5312">
      <c r="C5312" s="1" t="n"/>
    </row>
    <row r="5313">
      <c r="C5313" s="1" t="n"/>
    </row>
    <row r="5314">
      <c r="C5314" s="1" t="n"/>
    </row>
    <row r="5315">
      <c r="C5315" s="1" t="n"/>
    </row>
    <row r="5316">
      <c r="C5316" s="1" t="n"/>
    </row>
    <row r="5317">
      <c r="C5317" s="1" t="n"/>
    </row>
    <row r="5318">
      <c r="C5318" s="1" t="n"/>
    </row>
    <row r="5319">
      <c r="C5319" s="1" t="n"/>
    </row>
    <row r="5320">
      <c r="C5320" s="1" t="n"/>
    </row>
    <row r="5321">
      <c r="C5321" s="1" t="n"/>
    </row>
    <row r="5322">
      <c r="C5322" s="1" t="n"/>
    </row>
    <row r="5323">
      <c r="C5323" s="1" t="n"/>
    </row>
    <row r="5324">
      <c r="C5324" s="1" t="n"/>
    </row>
    <row r="5325">
      <c r="C5325" s="1" t="n"/>
    </row>
    <row r="5326">
      <c r="C5326" s="1" t="n"/>
    </row>
    <row r="5327">
      <c r="C5327" s="1" t="n"/>
    </row>
    <row r="5328">
      <c r="C5328" s="1" t="n"/>
    </row>
    <row r="5329">
      <c r="C5329" s="1" t="n"/>
    </row>
    <row r="5330">
      <c r="C5330" s="1" t="n"/>
    </row>
    <row r="5331">
      <c r="C5331" s="1" t="n"/>
    </row>
    <row r="5332">
      <c r="C5332" s="1" t="n"/>
    </row>
    <row r="5333">
      <c r="C5333" s="1" t="n"/>
    </row>
    <row r="5334">
      <c r="C5334" s="1" t="n"/>
    </row>
    <row r="5335">
      <c r="C5335" s="1" t="n"/>
    </row>
    <row r="5336">
      <c r="C5336" s="1" t="n"/>
    </row>
    <row r="5337">
      <c r="C5337" s="1" t="n"/>
    </row>
    <row r="5338">
      <c r="C5338" s="1" t="n"/>
    </row>
    <row r="5339">
      <c r="C5339" s="1" t="n"/>
    </row>
    <row r="5340">
      <c r="C5340" s="1" t="n"/>
    </row>
    <row r="5341">
      <c r="C5341" s="1" t="n"/>
    </row>
    <row r="5342">
      <c r="C5342" s="1" t="n"/>
    </row>
    <row r="5343">
      <c r="C5343" s="1" t="n"/>
    </row>
    <row r="5344">
      <c r="C5344" s="1" t="n"/>
    </row>
    <row r="5345">
      <c r="C5345" s="1" t="n"/>
    </row>
    <row r="5346">
      <c r="C5346" s="1" t="n"/>
    </row>
    <row r="5347">
      <c r="C5347" s="1" t="n"/>
    </row>
    <row r="5348">
      <c r="C5348" s="1" t="n"/>
    </row>
    <row r="5349">
      <c r="C5349" s="1" t="n"/>
    </row>
    <row r="5350">
      <c r="C5350" s="1" t="n"/>
    </row>
    <row r="5351">
      <c r="C5351" s="1" t="n"/>
    </row>
    <row r="5352">
      <c r="C5352" s="1" t="n"/>
    </row>
    <row r="5353">
      <c r="C5353" s="1" t="n"/>
    </row>
    <row r="5354">
      <c r="C5354" s="1" t="n"/>
    </row>
    <row r="5355">
      <c r="C5355" s="1" t="n"/>
    </row>
    <row r="5356">
      <c r="C5356" s="1" t="n"/>
    </row>
    <row r="5357">
      <c r="C5357" s="1" t="n"/>
    </row>
    <row r="5358">
      <c r="C5358" s="1" t="n"/>
    </row>
    <row r="5359">
      <c r="C5359" s="1" t="n"/>
    </row>
    <row r="5360">
      <c r="C5360" s="1" t="n"/>
    </row>
    <row r="5361">
      <c r="C5361" s="1" t="n"/>
    </row>
    <row r="5362">
      <c r="C5362" s="1" t="n"/>
    </row>
    <row r="5363">
      <c r="C5363" s="1" t="n"/>
    </row>
    <row r="5364">
      <c r="C5364" s="1" t="n"/>
    </row>
    <row r="5365">
      <c r="C5365" s="1" t="n"/>
    </row>
    <row r="5366">
      <c r="C5366" s="1" t="n"/>
    </row>
    <row r="5367">
      <c r="C5367" s="1" t="n"/>
    </row>
    <row r="5368">
      <c r="C5368" s="1" t="n"/>
    </row>
    <row r="5369">
      <c r="C5369" s="1" t="n"/>
    </row>
    <row r="5370">
      <c r="C5370" s="1" t="n"/>
    </row>
    <row r="5371">
      <c r="C5371" s="1" t="n"/>
    </row>
    <row r="5372">
      <c r="C5372" s="1" t="n"/>
    </row>
    <row r="5373">
      <c r="C5373" s="1" t="n"/>
    </row>
    <row r="5374">
      <c r="C5374" s="1" t="n"/>
    </row>
    <row r="5375">
      <c r="C5375" s="1" t="n"/>
    </row>
    <row r="5376">
      <c r="C5376" s="1" t="n"/>
    </row>
    <row r="5377">
      <c r="C5377" s="1" t="n"/>
    </row>
    <row r="5378">
      <c r="C5378" s="1" t="n"/>
    </row>
    <row r="5379">
      <c r="C5379" s="1" t="n"/>
    </row>
    <row r="5380">
      <c r="C5380" s="1" t="n"/>
    </row>
    <row r="5381">
      <c r="C5381" s="1" t="n"/>
    </row>
    <row r="5382">
      <c r="C5382" s="1" t="n"/>
    </row>
    <row r="5383">
      <c r="C5383" s="1" t="n"/>
    </row>
    <row r="5384">
      <c r="C5384" s="1" t="n"/>
    </row>
    <row r="5385">
      <c r="C5385" s="1" t="n"/>
    </row>
    <row r="5386">
      <c r="C5386" s="1" t="n"/>
    </row>
    <row r="5387">
      <c r="C5387" s="1" t="n"/>
    </row>
    <row r="5388">
      <c r="C5388" s="1" t="n"/>
    </row>
    <row r="5389">
      <c r="C5389" s="1" t="n"/>
    </row>
    <row r="5390">
      <c r="C5390" s="1" t="n"/>
    </row>
    <row r="5391">
      <c r="C5391" s="1" t="n"/>
    </row>
    <row r="5392">
      <c r="C5392" s="1" t="n"/>
    </row>
    <row r="5393">
      <c r="C5393" s="1" t="n"/>
    </row>
    <row r="5394">
      <c r="C5394" s="1" t="n"/>
    </row>
    <row r="5395">
      <c r="C5395" s="1" t="n"/>
    </row>
    <row r="5396">
      <c r="C5396" s="1" t="n"/>
    </row>
    <row r="5397">
      <c r="C5397" s="1" t="n"/>
    </row>
    <row r="5398">
      <c r="C5398" s="1" t="n"/>
    </row>
    <row r="5399">
      <c r="C5399" s="1" t="n"/>
    </row>
    <row r="5400">
      <c r="C5400" s="1" t="n"/>
    </row>
    <row r="5401">
      <c r="C5401" s="1" t="n"/>
    </row>
    <row r="5402">
      <c r="C5402" s="1" t="n"/>
    </row>
    <row r="5403">
      <c r="C5403" s="1" t="n"/>
    </row>
    <row r="5404">
      <c r="C5404" s="1" t="n"/>
    </row>
    <row r="5405">
      <c r="C5405" s="1" t="n"/>
    </row>
    <row r="5406">
      <c r="C5406" s="1" t="n"/>
    </row>
    <row r="5407">
      <c r="C5407" s="1" t="n"/>
    </row>
    <row r="5408">
      <c r="C5408" s="1" t="n"/>
    </row>
    <row r="5409">
      <c r="C5409" s="1" t="n"/>
    </row>
    <row r="5410">
      <c r="C5410" s="1" t="n"/>
    </row>
    <row r="5411">
      <c r="C5411" s="1" t="n"/>
    </row>
    <row r="5412">
      <c r="C5412" s="1" t="n"/>
    </row>
    <row r="5413">
      <c r="C5413" s="1" t="n"/>
    </row>
    <row r="5414">
      <c r="C5414" s="1" t="n"/>
    </row>
    <row r="5415">
      <c r="C5415" s="1" t="n"/>
    </row>
    <row r="5416">
      <c r="C5416" s="1" t="n"/>
    </row>
    <row r="5417">
      <c r="C5417" s="1" t="n"/>
    </row>
    <row r="5418">
      <c r="C5418" s="1" t="n"/>
    </row>
    <row r="5419">
      <c r="C5419" s="1" t="n"/>
    </row>
    <row r="5420">
      <c r="C5420" s="1" t="n"/>
    </row>
    <row r="5421">
      <c r="C5421" s="1" t="n"/>
    </row>
    <row r="5422">
      <c r="C5422" s="1" t="n"/>
    </row>
    <row r="5423">
      <c r="C5423" s="1" t="n"/>
    </row>
    <row r="5424">
      <c r="C5424" s="1" t="n"/>
    </row>
    <row r="5425">
      <c r="C5425" s="1" t="n"/>
    </row>
    <row r="5426">
      <c r="C5426" s="1" t="n"/>
    </row>
    <row r="5427">
      <c r="C5427" s="1" t="n"/>
    </row>
    <row r="5428">
      <c r="C5428" s="1" t="n"/>
    </row>
    <row r="5429">
      <c r="C5429" s="1" t="n"/>
    </row>
    <row r="5430">
      <c r="C5430" s="1" t="n"/>
    </row>
    <row r="5431">
      <c r="C5431" s="1" t="n"/>
    </row>
    <row r="5432">
      <c r="C5432" s="1" t="n"/>
    </row>
    <row r="5433">
      <c r="C5433" s="1" t="n"/>
    </row>
    <row r="5434">
      <c r="C5434" s="1" t="n"/>
    </row>
    <row r="5435">
      <c r="C5435" s="1" t="n"/>
    </row>
    <row r="5436">
      <c r="C5436" s="1" t="n"/>
    </row>
    <row r="5437">
      <c r="C5437" s="1" t="n"/>
    </row>
    <row r="5438">
      <c r="C5438" s="1" t="n"/>
    </row>
    <row r="5439">
      <c r="C5439" s="1" t="n"/>
    </row>
    <row r="5440">
      <c r="C5440" s="1" t="n"/>
    </row>
    <row r="5441">
      <c r="C5441" s="1" t="n"/>
    </row>
    <row r="5442">
      <c r="C5442" s="1" t="n"/>
    </row>
    <row r="5443">
      <c r="C5443" s="1" t="n"/>
    </row>
    <row r="5444">
      <c r="C5444" s="1" t="n"/>
    </row>
    <row r="5445">
      <c r="C5445" s="1" t="n"/>
    </row>
    <row r="5446">
      <c r="C5446" s="1" t="n"/>
    </row>
    <row r="5447">
      <c r="C5447" s="1" t="n"/>
    </row>
    <row r="5448">
      <c r="C5448" s="1" t="n"/>
    </row>
    <row r="5449">
      <c r="C5449" s="1" t="n"/>
    </row>
    <row r="5450">
      <c r="C5450" s="1" t="n"/>
    </row>
    <row r="5451">
      <c r="C5451" s="1" t="n"/>
    </row>
    <row r="5452">
      <c r="C5452" s="1" t="n"/>
    </row>
    <row r="5453">
      <c r="C5453" s="1" t="n"/>
    </row>
    <row r="5454">
      <c r="C5454" s="1" t="n"/>
    </row>
    <row r="5455">
      <c r="C5455" s="1" t="n"/>
    </row>
    <row r="5456">
      <c r="C5456" s="1" t="n"/>
    </row>
    <row r="5457">
      <c r="C5457" s="1" t="n"/>
    </row>
    <row r="5458">
      <c r="C5458" s="1" t="n"/>
    </row>
    <row r="5459">
      <c r="C5459" s="1" t="n"/>
    </row>
    <row r="5460">
      <c r="C5460" s="1" t="n"/>
    </row>
    <row r="5461">
      <c r="C5461" s="1" t="n"/>
    </row>
    <row r="5462">
      <c r="C5462" s="1" t="n"/>
    </row>
    <row r="5463">
      <c r="C5463" s="1" t="n"/>
    </row>
    <row r="5464">
      <c r="C5464" s="1" t="n"/>
    </row>
    <row r="5465">
      <c r="C5465" s="1" t="n"/>
    </row>
    <row r="5466">
      <c r="C5466" s="1" t="n"/>
    </row>
    <row r="5467">
      <c r="C5467" s="1" t="n"/>
    </row>
    <row r="5468">
      <c r="C5468" s="1" t="n"/>
    </row>
    <row r="5469">
      <c r="C5469" s="1" t="n"/>
    </row>
    <row r="5470">
      <c r="C5470" s="1" t="n"/>
    </row>
    <row r="5471">
      <c r="C5471" s="1" t="n"/>
    </row>
    <row r="5472">
      <c r="C5472" s="1" t="n"/>
    </row>
    <row r="5473">
      <c r="C5473" s="1" t="n"/>
    </row>
    <row r="5474">
      <c r="C5474" s="1" t="n"/>
    </row>
    <row r="5475">
      <c r="C5475" s="1" t="n"/>
    </row>
    <row r="5476">
      <c r="C5476" s="1" t="n"/>
    </row>
    <row r="5477">
      <c r="C5477" s="1" t="n"/>
    </row>
    <row r="5478">
      <c r="C5478" s="1" t="n"/>
    </row>
    <row r="5479">
      <c r="C5479" s="1" t="n"/>
    </row>
    <row r="5480">
      <c r="C5480" s="1" t="n"/>
    </row>
    <row r="5481">
      <c r="C5481" s="1" t="n"/>
    </row>
    <row r="5482">
      <c r="C5482" s="1" t="n"/>
    </row>
    <row r="5483">
      <c r="C5483" s="1" t="n"/>
    </row>
    <row r="5484">
      <c r="C5484" s="1" t="n"/>
    </row>
    <row r="5485">
      <c r="C5485" s="1" t="n"/>
    </row>
    <row r="5486">
      <c r="C5486" s="1" t="n"/>
    </row>
    <row r="5487">
      <c r="C5487" s="1" t="n"/>
    </row>
    <row r="5488">
      <c r="C5488" s="1" t="n"/>
    </row>
    <row r="5489">
      <c r="C5489" s="1" t="n"/>
    </row>
    <row r="5490">
      <c r="C5490" s="1" t="n"/>
    </row>
    <row r="5491">
      <c r="C5491" s="1" t="n"/>
    </row>
    <row r="5492">
      <c r="C5492" s="1" t="n"/>
    </row>
    <row r="5493">
      <c r="C5493" s="1" t="n"/>
    </row>
    <row r="5494">
      <c r="C5494" s="1" t="n"/>
    </row>
    <row r="5495">
      <c r="C5495" s="1" t="n"/>
    </row>
    <row r="5496">
      <c r="C5496" s="1" t="n"/>
    </row>
    <row r="5497">
      <c r="C5497" s="1" t="n"/>
    </row>
    <row r="5498">
      <c r="C5498" s="1" t="n"/>
    </row>
    <row r="5499">
      <c r="C5499" s="1" t="n"/>
    </row>
    <row r="5500">
      <c r="C5500" s="1" t="n"/>
    </row>
    <row r="5501">
      <c r="C5501" s="1" t="n"/>
    </row>
    <row r="5502">
      <c r="C5502" s="1" t="n"/>
    </row>
    <row r="5503">
      <c r="C5503" s="1" t="n"/>
    </row>
    <row r="5504">
      <c r="C5504" s="1" t="n"/>
    </row>
    <row r="5505">
      <c r="C5505" s="1" t="n"/>
    </row>
    <row r="5506">
      <c r="C5506" s="1" t="n"/>
    </row>
    <row r="5507">
      <c r="C5507" s="1" t="n"/>
    </row>
    <row r="5508">
      <c r="C5508" s="1" t="n"/>
    </row>
    <row r="5509">
      <c r="C5509" s="1" t="n"/>
    </row>
    <row r="5510">
      <c r="C5510" s="1" t="n"/>
    </row>
    <row r="5511">
      <c r="C5511" s="1" t="n"/>
    </row>
    <row r="5512">
      <c r="C5512" s="1" t="n"/>
    </row>
    <row r="5513">
      <c r="C5513" s="1" t="n"/>
    </row>
    <row r="5514">
      <c r="C5514" s="1" t="n"/>
    </row>
    <row r="5515">
      <c r="C5515" s="1" t="n"/>
    </row>
    <row r="5516">
      <c r="C5516" s="1" t="n"/>
    </row>
    <row r="5517">
      <c r="C5517" s="1" t="n"/>
    </row>
    <row r="5518">
      <c r="C5518" s="1" t="n"/>
    </row>
    <row r="5519">
      <c r="C5519" s="1" t="n"/>
    </row>
    <row r="5520">
      <c r="C5520" s="1" t="n"/>
    </row>
    <row r="5521">
      <c r="C5521" s="1" t="n"/>
    </row>
    <row r="5522">
      <c r="C5522" s="1" t="n"/>
    </row>
    <row r="5523">
      <c r="C5523" s="1" t="n"/>
    </row>
    <row r="5524">
      <c r="C5524" s="1" t="n"/>
    </row>
    <row r="5525">
      <c r="C5525" s="1" t="n"/>
    </row>
    <row r="5526">
      <c r="C5526" s="1" t="n"/>
    </row>
    <row r="5527">
      <c r="C5527" s="1" t="n"/>
    </row>
    <row r="5528">
      <c r="C5528" s="1" t="n"/>
    </row>
    <row r="5529">
      <c r="C5529" s="1" t="n"/>
    </row>
    <row r="5530">
      <c r="C5530" s="1" t="n"/>
    </row>
    <row r="5531">
      <c r="C5531" s="1" t="n"/>
    </row>
    <row r="5532">
      <c r="C5532" s="1" t="n"/>
    </row>
    <row r="5533">
      <c r="C5533" s="1" t="n"/>
    </row>
    <row r="5534">
      <c r="C5534" s="1" t="n"/>
    </row>
    <row r="5535">
      <c r="C5535" s="1" t="n"/>
    </row>
    <row r="5536">
      <c r="C5536" s="1" t="n"/>
    </row>
    <row r="5537">
      <c r="C5537" s="1" t="n"/>
    </row>
    <row r="5538">
      <c r="C5538" s="1" t="n"/>
    </row>
    <row r="5539">
      <c r="C5539" s="1" t="n"/>
    </row>
    <row r="5540">
      <c r="C5540" s="1" t="n"/>
    </row>
    <row r="5541">
      <c r="C5541" s="1" t="n"/>
    </row>
    <row r="5542">
      <c r="C5542" s="1" t="n"/>
    </row>
    <row r="5543">
      <c r="C5543" s="1" t="n"/>
    </row>
    <row r="5544">
      <c r="C5544" s="1" t="n"/>
    </row>
    <row r="5545">
      <c r="C5545" s="1" t="n"/>
    </row>
    <row r="5546">
      <c r="C5546" s="1" t="n"/>
    </row>
    <row r="5547">
      <c r="C5547" s="1" t="n"/>
    </row>
    <row r="5548">
      <c r="C5548" s="1" t="n"/>
    </row>
    <row r="5549">
      <c r="C5549" s="1" t="n"/>
    </row>
    <row r="5550">
      <c r="C5550" s="1" t="n"/>
    </row>
    <row r="5551">
      <c r="C5551" s="1" t="n"/>
    </row>
    <row r="5552">
      <c r="C5552" s="1" t="n"/>
    </row>
    <row r="5553">
      <c r="C5553" s="1" t="n"/>
    </row>
    <row r="5554">
      <c r="C5554" s="1" t="n"/>
    </row>
    <row r="5555">
      <c r="C5555" s="1" t="n"/>
    </row>
    <row r="5556">
      <c r="C5556" s="1" t="n"/>
    </row>
    <row r="5557">
      <c r="C5557" s="1" t="n"/>
    </row>
    <row r="5558">
      <c r="C5558" s="1" t="n"/>
    </row>
    <row r="5559">
      <c r="C5559" s="1" t="n"/>
    </row>
    <row r="5560">
      <c r="C5560" s="1" t="n"/>
    </row>
    <row r="5561">
      <c r="C5561" s="1" t="n"/>
    </row>
    <row r="5562">
      <c r="C5562" s="1" t="n"/>
    </row>
    <row r="5563">
      <c r="C5563" s="1" t="n"/>
    </row>
    <row r="5564">
      <c r="C5564" s="1" t="n"/>
    </row>
    <row r="5565">
      <c r="C5565" s="1" t="n"/>
    </row>
    <row r="5566">
      <c r="C5566" s="1" t="n"/>
    </row>
    <row r="5567">
      <c r="C5567" s="1" t="n"/>
    </row>
    <row r="5568">
      <c r="C5568" s="1" t="n"/>
    </row>
    <row r="5569">
      <c r="C5569" s="1" t="n"/>
    </row>
    <row r="5570">
      <c r="C5570" s="1" t="n"/>
    </row>
    <row r="5571">
      <c r="C5571" s="1" t="n"/>
    </row>
    <row r="5572">
      <c r="C5572" s="1" t="n"/>
    </row>
    <row r="5573">
      <c r="C5573" s="1" t="n"/>
    </row>
    <row r="5574">
      <c r="C5574" s="1" t="n"/>
    </row>
    <row r="5575">
      <c r="C5575" s="1" t="n"/>
    </row>
    <row r="5576">
      <c r="C5576" s="1" t="n"/>
    </row>
    <row r="5577">
      <c r="C5577" s="1" t="n"/>
    </row>
    <row r="5578">
      <c r="C5578" s="1" t="n"/>
    </row>
    <row r="5579">
      <c r="C5579" s="1" t="n"/>
    </row>
    <row r="5580">
      <c r="C5580" s="1" t="n"/>
    </row>
    <row r="5581">
      <c r="C5581" s="1" t="n"/>
    </row>
    <row r="5582">
      <c r="C5582" s="1" t="n"/>
    </row>
    <row r="5583">
      <c r="C5583" s="1" t="n"/>
    </row>
    <row r="5584">
      <c r="C5584" s="1" t="n"/>
    </row>
    <row r="5585">
      <c r="C5585" s="1" t="n"/>
    </row>
    <row r="5586">
      <c r="C5586" s="1" t="n"/>
    </row>
    <row r="5587">
      <c r="C5587" s="1" t="n"/>
    </row>
    <row r="5588">
      <c r="C5588" s="1" t="n"/>
    </row>
    <row r="5589">
      <c r="C5589" s="1" t="n"/>
    </row>
    <row r="5590">
      <c r="C5590" s="1" t="n"/>
    </row>
    <row r="5591">
      <c r="C5591" s="1" t="n"/>
    </row>
    <row r="5592">
      <c r="C5592" s="1" t="n"/>
    </row>
    <row r="5593">
      <c r="C5593" s="1" t="n"/>
    </row>
    <row r="5594">
      <c r="C5594" s="1" t="n"/>
    </row>
    <row r="5595">
      <c r="C5595" s="1" t="n"/>
    </row>
    <row r="5596">
      <c r="C5596" s="1" t="n"/>
    </row>
    <row r="5597">
      <c r="C5597" s="1" t="n"/>
    </row>
    <row r="5598">
      <c r="C5598" s="1" t="n"/>
    </row>
    <row r="5599">
      <c r="C5599" s="1" t="n"/>
    </row>
    <row r="5600">
      <c r="C5600" s="1" t="n"/>
    </row>
    <row r="5601">
      <c r="C5601" s="1" t="n"/>
    </row>
    <row r="5602">
      <c r="C5602" s="1" t="n"/>
    </row>
    <row r="5603">
      <c r="C5603" s="1" t="n"/>
    </row>
    <row r="5604">
      <c r="C5604" s="1" t="n"/>
    </row>
    <row r="5605">
      <c r="C5605" s="1" t="n"/>
    </row>
    <row r="5606">
      <c r="C5606" s="1" t="n"/>
    </row>
    <row r="5607">
      <c r="C5607" s="1" t="n"/>
    </row>
    <row r="5608">
      <c r="C5608" s="1" t="n"/>
    </row>
    <row r="5609">
      <c r="C5609" s="1" t="n"/>
    </row>
    <row r="5610">
      <c r="C5610" s="1" t="n"/>
    </row>
    <row r="5611">
      <c r="C5611" s="1" t="n"/>
    </row>
    <row r="5612">
      <c r="C5612" s="1" t="n"/>
    </row>
    <row r="5613">
      <c r="C5613" s="1" t="n"/>
    </row>
    <row r="5614">
      <c r="C5614" s="1" t="n"/>
    </row>
    <row r="5615">
      <c r="C5615" s="1" t="n"/>
    </row>
    <row r="5616">
      <c r="C5616" s="1" t="n"/>
    </row>
    <row r="5617">
      <c r="C5617" s="1" t="n"/>
    </row>
    <row r="5618">
      <c r="C5618" s="1" t="n"/>
    </row>
    <row r="5619">
      <c r="C5619" s="1" t="n"/>
    </row>
    <row r="5620">
      <c r="C5620" s="1" t="n"/>
    </row>
    <row r="5621">
      <c r="C5621" s="1" t="n"/>
    </row>
    <row r="5622">
      <c r="C5622" s="1" t="n"/>
    </row>
    <row r="5623">
      <c r="C5623" s="1" t="n"/>
    </row>
    <row r="5624">
      <c r="C5624" s="1" t="n"/>
    </row>
    <row r="5625">
      <c r="C5625" s="1" t="n"/>
    </row>
    <row r="5626">
      <c r="C5626" s="1" t="n"/>
    </row>
    <row r="5627">
      <c r="C5627" s="1" t="n"/>
    </row>
    <row r="5628">
      <c r="C5628" s="1" t="n"/>
    </row>
    <row r="5629">
      <c r="C5629" s="1" t="n"/>
    </row>
    <row r="5630">
      <c r="C5630" s="1" t="n"/>
    </row>
    <row r="5631">
      <c r="C5631" s="1" t="n"/>
    </row>
    <row r="5632">
      <c r="C5632" s="1" t="n"/>
    </row>
    <row r="5633">
      <c r="C5633" s="1" t="n"/>
    </row>
    <row r="5634">
      <c r="C5634" s="1" t="n"/>
    </row>
    <row r="5635">
      <c r="C5635" s="1" t="n"/>
    </row>
    <row r="5636">
      <c r="C5636" s="1" t="n"/>
    </row>
    <row r="5637">
      <c r="C5637" s="1" t="n"/>
    </row>
    <row r="5638">
      <c r="C5638" s="1" t="n"/>
    </row>
    <row r="5639">
      <c r="C5639" s="1" t="n"/>
    </row>
    <row r="5640">
      <c r="C5640" s="1" t="n"/>
    </row>
    <row r="5641">
      <c r="C5641" s="1" t="n"/>
    </row>
    <row r="5642">
      <c r="C5642" s="1" t="n"/>
    </row>
    <row r="5643">
      <c r="C5643" s="1" t="n"/>
    </row>
    <row r="5644">
      <c r="C5644" s="1" t="n"/>
    </row>
    <row r="5645">
      <c r="C5645" s="1" t="n"/>
    </row>
    <row r="5646">
      <c r="C5646" s="1" t="n"/>
    </row>
    <row r="5647">
      <c r="C5647" s="1" t="n"/>
    </row>
    <row r="5648">
      <c r="C5648" s="1" t="n"/>
    </row>
    <row r="5649">
      <c r="C5649" s="1" t="n"/>
    </row>
    <row r="5650">
      <c r="C5650" s="1" t="n"/>
    </row>
    <row r="5651">
      <c r="C5651" s="1" t="n"/>
    </row>
    <row r="5652">
      <c r="C5652" s="1" t="n"/>
    </row>
    <row r="5653">
      <c r="C5653" s="1" t="n"/>
    </row>
    <row r="5654">
      <c r="C5654" s="1" t="n"/>
    </row>
    <row r="5655">
      <c r="C5655" s="1" t="n"/>
    </row>
    <row r="5656">
      <c r="C5656" s="1" t="n"/>
    </row>
    <row r="5657">
      <c r="C5657" s="1" t="n"/>
    </row>
    <row r="5658">
      <c r="C5658" s="1" t="n"/>
    </row>
    <row r="5659">
      <c r="C5659" s="1" t="n"/>
    </row>
    <row r="5660">
      <c r="C5660" s="1" t="n"/>
    </row>
    <row r="5661">
      <c r="C5661" s="1" t="n"/>
    </row>
    <row r="5662">
      <c r="C5662" s="1" t="n"/>
    </row>
    <row r="5663">
      <c r="C5663" s="1" t="n"/>
    </row>
    <row r="5664">
      <c r="C5664" s="1" t="n"/>
    </row>
    <row r="5665">
      <c r="C5665" s="1" t="n"/>
    </row>
    <row r="5666">
      <c r="C5666" s="1" t="n"/>
    </row>
    <row r="5667">
      <c r="C5667" s="1" t="n"/>
    </row>
    <row r="5668">
      <c r="C5668" s="1" t="n"/>
    </row>
    <row r="5669">
      <c r="C5669" s="1" t="n"/>
    </row>
    <row r="5670">
      <c r="C5670" s="1" t="n"/>
    </row>
    <row r="5671">
      <c r="C5671" s="1" t="n"/>
    </row>
    <row r="5672">
      <c r="C5672" s="1" t="n"/>
    </row>
    <row r="5673">
      <c r="C5673" s="1" t="n"/>
    </row>
    <row r="5674">
      <c r="C5674" s="1" t="n"/>
    </row>
    <row r="5675">
      <c r="C5675" s="1" t="n"/>
    </row>
    <row r="5676">
      <c r="C5676" s="1" t="n"/>
    </row>
    <row r="5677">
      <c r="C5677" s="1" t="n"/>
    </row>
    <row r="5678">
      <c r="C5678" s="1" t="n"/>
    </row>
    <row r="5679">
      <c r="C5679" s="1" t="n"/>
    </row>
    <row r="5680">
      <c r="C5680" s="1" t="n"/>
    </row>
    <row r="5681">
      <c r="C5681" s="1" t="n"/>
    </row>
    <row r="5682">
      <c r="C5682" s="1" t="n"/>
    </row>
    <row r="5683">
      <c r="C5683" s="1" t="n"/>
    </row>
    <row r="5684">
      <c r="C5684" s="1" t="n"/>
    </row>
    <row r="5685">
      <c r="C5685" s="1" t="n"/>
    </row>
    <row r="5686">
      <c r="C5686" s="1" t="n"/>
    </row>
    <row r="5687">
      <c r="C5687" s="1" t="n"/>
    </row>
    <row r="5688">
      <c r="C5688" s="1" t="n"/>
    </row>
    <row r="5689">
      <c r="C5689" s="1" t="n"/>
    </row>
    <row r="5690">
      <c r="C5690" s="1" t="n"/>
    </row>
    <row r="5691">
      <c r="C5691" s="1" t="n"/>
    </row>
    <row r="5692">
      <c r="C5692" s="1" t="n"/>
    </row>
    <row r="5693">
      <c r="C5693" s="1" t="n"/>
    </row>
    <row r="5694">
      <c r="C5694" s="1" t="n"/>
    </row>
    <row r="5695">
      <c r="C5695" s="1" t="n"/>
    </row>
    <row r="5696">
      <c r="C5696" s="1" t="n"/>
    </row>
    <row r="5697">
      <c r="C5697" s="1" t="n"/>
    </row>
    <row r="5698">
      <c r="C5698" s="1" t="n"/>
    </row>
    <row r="5699">
      <c r="C5699" s="1" t="n"/>
    </row>
    <row r="5700">
      <c r="C5700" s="1" t="n"/>
    </row>
    <row r="5701">
      <c r="C5701" s="1" t="n"/>
    </row>
    <row r="5702">
      <c r="C5702" s="1" t="n"/>
    </row>
    <row r="5703">
      <c r="C5703" s="1" t="n"/>
    </row>
    <row r="5704">
      <c r="C5704" s="1" t="n"/>
    </row>
    <row r="5705">
      <c r="C5705" s="1" t="n"/>
    </row>
    <row r="5706">
      <c r="C5706" s="1" t="n"/>
    </row>
    <row r="5707">
      <c r="C5707" s="1" t="n"/>
    </row>
    <row r="5708">
      <c r="C5708" s="1" t="n"/>
    </row>
    <row r="5709">
      <c r="C5709" s="1" t="n"/>
    </row>
    <row r="5710">
      <c r="C5710" s="1" t="n"/>
    </row>
    <row r="5711">
      <c r="C5711" s="1" t="n"/>
    </row>
    <row r="5712">
      <c r="C5712" s="1" t="n"/>
    </row>
    <row r="5713">
      <c r="C5713" s="1" t="n"/>
    </row>
    <row r="5714">
      <c r="C5714" s="1" t="n"/>
    </row>
    <row r="5715">
      <c r="C5715" s="1" t="n"/>
    </row>
    <row r="5716">
      <c r="C5716" s="1" t="n"/>
    </row>
    <row r="5717">
      <c r="C5717" s="1" t="n"/>
    </row>
    <row r="5718">
      <c r="C5718" s="1" t="n"/>
    </row>
    <row r="5719">
      <c r="C5719" s="1" t="n"/>
    </row>
    <row r="5720">
      <c r="C5720" s="1" t="n"/>
    </row>
    <row r="5721">
      <c r="C5721" s="1" t="n"/>
    </row>
    <row r="5722">
      <c r="C5722" s="1" t="n"/>
    </row>
    <row r="5723">
      <c r="C5723" s="1" t="n"/>
    </row>
    <row r="5724">
      <c r="C5724" s="1" t="n"/>
    </row>
    <row r="5725">
      <c r="C5725" s="1" t="n"/>
    </row>
    <row r="5726">
      <c r="C5726" s="1" t="n"/>
    </row>
    <row r="5727">
      <c r="C5727" s="1" t="n"/>
    </row>
    <row r="5728">
      <c r="C5728" s="1" t="n"/>
    </row>
    <row r="5729">
      <c r="C5729" s="1" t="n"/>
    </row>
    <row r="5730">
      <c r="C5730" s="1" t="n"/>
    </row>
    <row r="5731">
      <c r="C5731" s="1" t="n"/>
    </row>
    <row r="5732">
      <c r="C5732" s="1" t="n"/>
    </row>
    <row r="5733">
      <c r="C5733" s="1" t="n"/>
    </row>
    <row r="5734">
      <c r="C5734" s="1" t="n"/>
    </row>
    <row r="5735">
      <c r="C5735" s="1" t="n"/>
    </row>
    <row r="5736">
      <c r="C5736" s="1" t="n"/>
    </row>
    <row r="5737">
      <c r="C5737" s="1" t="n"/>
    </row>
    <row r="5738">
      <c r="C5738" s="1" t="n"/>
    </row>
    <row r="5739">
      <c r="C5739" s="1" t="n"/>
    </row>
    <row r="5740">
      <c r="C5740" s="1" t="n"/>
    </row>
    <row r="5741">
      <c r="C5741" s="1" t="n"/>
    </row>
    <row r="5742">
      <c r="C5742" s="1" t="n"/>
    </row>
    <row r="5743">
      <c r="C5743" s="1" t="n"/>
    </row>
    <row r="5744">
      <c r="C5744" s="1" t="n"/>
    </row>
    <row r="5745">
      <c r="C5745" s="1" t="n"/>
    </row>
    <row r="5746">
      <c r="C5746" s="1" t="n"/>
    </row>
    <row r="5747">
      <c r="C5747" s="1" t="n"/>
    </row>
    <row r="5748">
      <c r="C5748" s="1" t="n"/>
    </row>
    <row r="5749">
      <c r="C5749" s="1" t="n"/>
    </row>
    <row r="5750">
      <c r="C5750" s="1" t="n"/>
    </row>
    <row r="5751">
      <c r="C5751" s="1" t="n"/>
    </row>
    <row r="5752">
      <c r="C5752" s="1" t="n"/>
    </row>
    <row r="5753">
      <c r="C5753" s="1" t="n"/>
    </row>
    <row r="5754">
      <c r="C5754" s="1" t="n"/>
    </row>
    <row r="5755">
      <c r="C5755" s="1" t="n"/>
    </row>
    <row r="5756">
      <c r="C5756" s="1" t="n"/>
    </row>
    <row r="5757">
      <c r="C5757" s="1" t="n"/>
    </row>
    <row r="5758">
      <c r="C5758" s="1" t="n"/>
    </row>
    <row r="5759">
      <c r="C5759" s="1" t="n"/>
    </row>
    <row r="5760">
      <c r="C5760" s="1" t="n"/>
    </row>
    <row r="5761">
      <c r="C5761" s="1" t="n"/>
    </row>
    <row r="5762">
      <c r="C5762" s="1" t="n"/>
    </row>
    <row r="5763">
      <c r="C5763" s="1" t="n"/>
    </row>
    <row r="5764">
      <c r="C5764" s="1" t="n"/>
    </row>
    <row r="5765">
      <c r="C5765" s="1" t="n"/>
    </row>
    <row r="5766">
      <c r="C5766" s="1" t="n"/>
    </row>
    <row r="5767">
      <c r="C5767" s="1" t="n"/>
    </row>
    <row r="5768">
      <c r="C5768" s="1" t="n"/>
    </row>
    <row r="5769">
      <c r="C5769" s="1" t="n"/>
    </row>
    <row r="5770">
      <c r="C5770" s="1" t="n"/>
    </row>
    <row r="5771">
      <c r="C5771" s="1" t="n"/>
    </row>
    <row r="5772">
      <c r="C5772" s="1" t="n"/>
    </row>
    <row r="5773">
      <c r="C5773" s="1" t="n"/>
    </row>
    <row r="5774">
      <c r="C5774" s="1" t="n"/>
    </row>
    <row r="5775">
      <c r="C5775" s="1" t="n"/>
    </row>
    <row r="5776">
      <c r="C5776" s="1" t="n"/>
    </row>
    <row r="5777">
      <c r="C5777" s="1" t="n"/>
    </row>
    <row r="5778">
      <c r="C5778" s="1" t="n"/>
    </row>
    <row r="5779">
      <c r="C5779" s="1" t="n"/>
    </row>
    <row r="5780">
      <c r="C5780" s="1" t="n"/>
    </row>
    <row r="5781">
      <c r="C5781" s="1" t="n"/>
    </row>
    <row r="5782">
      <c r="C5782" s="1" t="n"/>
    </row>
    <row r="5783">
      <c r="C5783" s="1" t="n"/>
    </row>
    <row r="5784">
      <c r="C5784" s="1" t="n"/>
    </row>
    <row r="5785">
      <c r="C5785" s="1" t="n"/>
    </row>
    <row r="5786">
      <c r="C5786" s="1" t="n"/>
    </row>
    <row r="5787">
      <c r="C5787" s="1" t="n"/>
    </row>
    <row r="5788">
      <c r="C5788" s="1" t="n"/>
    </row>
    <row r="5789">
      <c r="C5789" s="1" t="n"/>
    </row>
    <row r="5790">
      <c r="C5790" s="1" t="n"/>
    </row>
    <row r="5791">
      <c r="C5791" s="1" t="n"/>
    </row>
    <row r="5792">
      <c r="C5792" s="1" t="n"/>
    </row>
    <row r="5793">
      <c r="C5793" s="1" t="n"/>
    </row>
    <row r="5794">
      <c r="C5794" s="1" t="n"/>
    </row>
    <row r="5795">
      <c r="C5795" s="1" t="n"/>
    </row>
    <row r="5796">
      <c r="C5796" s="1" t="n"/>
    </row>
    <row r="5797">
      <c r="C5797" s="1" t="n"/>
    </row>
    <row r="5798">
      <c r="C5798" s="1" t="n"/>
    </row>
    <row r="5799">
      <c r="C5799" s="1" t="n"/>
    </row>
    <row r="5800">
      <c r="C5800" s="1" t="n"/>
    </row>
    <row r="5801">
      <c r="C5801" s="1" t="n"/>
    </row>
    <row r="5802">
      <c r="C5802" s="1" t="n"/>
    </row>
    <row r="5803">
      <c r="C5803" s="1" t="n"/>
    </row>
    <row r="5804">
      <c r="C5804" s="1" t="n"/>
    </row>
    <row r="5805">
      <c r="C5805" s="1" t="n"/>
    </row>
    <row r="5806">
      <c r="C5806" s="1" t="n"/>
    </row>
    <row r="5807">
      <c r="C5807" s="1" t="n"/>
    </row>
    <row r="5808">
      <c r="C5808" s="1" t="n"/>
    </row>
    <row r="5809">
      <c r="C5809" s="1" t="n"/>
    </row>
    <row r="5810">
      <c r="C5810" s="1" t="n"/>
    </row>
    <row r="5811">
      <c r="C5811" s="1" t="n"/>
    </row>
    <row r="5812">
      <c r="C5812" s="1" t="n"/>
    </row>
    <row r="5813">
      <c r="C5813" s="1" t="n"/>
    </row>
    <row r="5814">
      <c r="C5814" s="1" t="n"/>
    </row>
    <row r="5815">
      <c r="C5815" s="1" t="n"/>
    </row>
    <row r="5816">
      <c r="C5816" s="1" t="n"/>
    </row>
    <row r="5817">
      <c r="C5817" s="1" t="n"/>
    </row>
    <row r="5818">
      <c r="C5818" s="1" t="n"/>
    </row>
    <row r="5819">
      <c r="C5819" s="1" t="n"/>
    </row>
    <row r="5820">
      <c r="C5820" s="1" t="n"/>
    </row>
    <row r="5821">
      <c r="C5821" s="1" t="n"/>
    </row>
    <row r="5822">
      <c r="C5822" s="1" t="n"/>
    </row>
    <row r="5823">
      <c r="C5823" s="1" t="n"/>
    </row>
    <row r="5824">
      <c r="C5824" s="1" t="n"/>
    </row>
    <row r="5825">
      <c r="C5825" s="1" t="n"/>
    </row>
    <row r="5826">
      <c r="C5826" s="1" t="n"/>
    </row>
    <row r="5827">
      <c r="C5827" s="1" t="n"/>
    </row>
    <row r="5828">
      <c r="C5828" s="1" t="n"/>
    </row>
    <row r="5829">
      <c r="C5829" s="1" t="n"/>
    </row>
    <row r="5830">
      <c r="C5830" s="1" t="n"/>
    </row>
    <row r="5831">
      <c r="C5831" s="1" t="n"/>
    </row>
    <row r="5832">
      <c r="C5832" s="1" t="n"/>
    </row>
    <row r="5833">
      <c r="C5833" s="1" t="n"/>
    </row>
    <row r="5834">
      <c r="C5834" s="1" t="n"/>
    </row>
    <row r="5835">
      <c r="C5835" s="1" t="n"/>
    </row>
    <row r="5836">
      <c r="C5836" s="1" t="n"/>
    </row>
    <row r="5837">
      <c r="C5837" s="1" t="n"/>
    </row>
    <row r="5838">
      <c r="C5838" s="1" t="n"/>
    </row>
    <row r="5839">
      <c r="C5839" s="1" t="n"/>
    </row>
    <row r="5840">
      <c r="C5840" s="1" t="n"/>
    </row>
    <row r="5841">
      <c r="C5841" s="1" t="n"/>
    </row>
    <row r="5842">
      <c r="C5842" s="1" t="n"/>
    </row>
    <row r="5843">
      <c r="C5843" s="1" t="n"/>
    </row>
    <row r="5844">
      <c r="C5844" s="1" t="n"/>
    </row>
    <row r="5845">
      <c r="C5845" s="1" t="n"/>
    </row>
    <row r="5846">
      <c r="C5846" s="1" t="n"/>
    </row>
    <row r="5847">
      <c r="C5847" s="1" t="n"/>
    </row>
    <row r="5848">
      <c r="C5848" s="1" t="n"/>
    </row>
    <row r="5849">
      <c r="C5849" s="1" t="n"/>
    </row>
    <row r="5850">
      <c r="C5850" s="1" t="n"/>
    </row>
    <row r="5851">
      <c r="C5851" s="1" t="n"/>
    </row>
    <row r="5852">
      <c r="C5852" s="1" t="n"/>
    </row>
    <row r="5853">
      <c r="C5853" s="1" t="n"/>
    </row>
    <row r="5854">
      <c r="C5854" s="1" t="n"/>
    </row>
    <row r="5855">
      <c r="C5855" s="1" t="n"/>
    </row>
    <row r="5856">
      <c r="C5856" s="1" t="n"/>
    </row>
    <row r="5857">
      <c r="C5857" s="1" t="n"/>
    </row>
    <row r="5858">
      <c r="C5858" s="1" t="n"/>
    </row>
    <row r="5859">
      <c r="C5859" s="1" t="n"/>
    </row>
    <row r="5860">
      <c r="C5860" s="1" t="n"/>
    </row>
    <row r="5861">
      <c r="C5861" s="1" t="n"/>
    </row>
    <row r="5862">
      <c r="C5862" s="1" t="n"/>
    </row>
    <row r="5863">
      <c r="C5863" s="1" t="n"/>
    </row>
    <row r="5864">
      <c r="C5864" s="1" t="n"/>
    </row>
    <row r="5865">
      <c r="C5865" s="1" t="n"/>
    </row>
    <row r="5866">
      <c r="C5866" s="1" t="n"/>
    </row>
    <row r="5867">
      <c r="C5867" s="1" t="n"/>
    </row>
    <row r="5868">
      <c r="C5868" s="1" t="n"/>
    </row>
    <row r="5869">
      <c r="C5869" s="1" t="n"/>
    </row>
    <row r="5870">
      <c r="C5870" s="1" t="n"/>
    </row>
    <row r="5871">
      <c r="C5871" s="1" t="n"/>
    </row>
    <row r="5872">
      <c r="C5872" s="1" t="n"/>
    </row>
    <row r="5873">
      <c r="C5873" s="1" t="n"/>
    </row>
    <row r="5874">
      <c r="C5874" s="1" t="n"/>
    </row>
    <row r="5875">
      <c r="C5875" s="1" t="n"/>
    </row>
    <row r="5876">
      <c r="C5876" s="1" t="n"/>
    </row>
    <row r="5877">
      <c r="C5877" s="1" t="n"/>
    </row>
    <row r="5878">
      <c r="C5878" s="1" t="n"/>
    </row>
    <row r="5879">
      <c r="C5879" s="1" t="n"/>
    </row>
    <row r="5880">
      <c r="C5880" s="1" t="n"/>
    </row>
    <row r="5881">
      <c r="C5881" s="1" t="n"/>
    </row>
    <row r="5882">
      <c r="C5882" s="1" t="n"/>
    </row>
    <row r="5883">
      <c r="C5883" s="1" t="n"/>
    </row>
    <row r="5884">
      <c r="C5884" s="1" t="n"/>
    </row>
    <row r="5885">
      <c r="C5885" s="1" t="n"/>
    </row>
    <row r="5886">
      <c r="C5886" s="1" t="n"/>
    </row>
    <row r="5887">
      <c r="C5887" s="1" t="n"/>
    </row>
    <row r="5888">
      <c r="C5888" s="1" t="n"/>
    </row>
    <row r="5889">
      <c r="C5889" s="1" t="n"/>
    </row>
    <row r="5890">
      <c r="C5890" s="1" t="n"/>
    </row>
    <row r="5891">
      <c r="C5891" s="1" t="n"/>
    </row>
    <row r="5892">
      <c r="C5892" s="1" t="n"/>
    </row>
    <row r="5893">
      <c r="C5893" s="1" t="n"/>
    </row>
    <row r="5894">
      <c r="C5894" s="1" t="n"/>
    </row>
    <row r="5895">
      <c r="C5895" s="1" t="n"/>
    </row>
    <row r="5896">
      <c r="C5896" s="1" t="n"/>
    </row>
    <row r="5897">
      <c r="C5897" s="1" t="n"/>
    </row>
    <row r="5898">
      <c r="C5898" s="1" t="n"/>
    </row>
    <row r="5899">
      <c r="C5899" s="1" t="n"/>
    </row>
    <row r="5900">
      <c r="C5900" s="1" t="n"/>
    </row>
    <row r="5901">
      <c r="C5901" s="1" t="n"/>
    </row>
    <row r="5902">
      <c r="C5902" s="1" t="n"/>
    </row>
    <row r="5903">
      <c r="C5903" s="1" t="n"/>
    </row>
    <row r="5904">
      <c r="C5904" s="1" t="n"/>
    </row>
    <row r="5905">
      <c r="C5905" s="1" t="n"/>
    </row>
    <row r="5906">
      <c r="C5906" s="1" t="n"/>
    </row>
    <row r="5907">
      <c r="C5907" s="1" t="n"/>
    </row>
    <row r="5908">
      <c r="C5908" s="1" t="n"/>
    </row>
    <row r="5909">
      <c r="C5909" s="1" t="n"/>
    </row>
    <row r="5910">
      <c r="C5910" s="1" t="n"/>
    </row>
    <row r="5911">
      <c r="C5911" s="1" t="n"/>
    </row>
    <row r="5912">
      <c r="C5912" s="1" t="n"/>
    </row>
    <row r="5913">
      <c r="C5913" s="1" t="n"/>
    </row>
    <row r="5914">
      <c r="C5914" s="1" t="n"/>
    </row>
    <row r="5915">
      <c r="C5915" s="1" t="n"/>
    </row>
    <row r="5916">
      <c r="C5916" s="1" t="n"/>
    </row>
    <row r="5917">
      <c r="C5917" s="1" t="n"/>
    </row>
    <row r="5918">
      <c r="C5918" s="1" t="n"/>
    </row>
    <row r="5919">
      <c r="C5919" s="1" t="n"/>
    </row>
    <row r="5920">
      <c r="C5920" s="1" t="n"/>
    </row>
    <row r="5921">
      <c r="C5921" s="1" t="n"/>
    </row>
    <row r="5922">
      <c r="C5922" s="1" t="n"/>
    </row>
    <row r="5923">
      <c r="C5923" s="1" t="n"/>
    </row>
    <row r="5924">
      <c r="C5924" s="1" t="n"/>
    </row>
    <row r="5925">
      <c r="C5925" s="1" t="n"/>
    </row>
    <row r="5926">
      <c r="C5926" s="1" t="n"/>
    </row>
    <row r="5927">
      <c r="C5927" s="1" t="n"/>
    </row>
    <row r="5928">
      <c r="C5928" s="1" t="n"/>
    </row>
    <row r="5929">
      <c r="C5929" s="1" t="n"/>
    </row>
    <row r="5930">
      <c r="C5930" s="1" t="n"/>
    </row>
    <row r="5931">
      <c r="C5931" s="1" t="n"/>
    </row>
    <row r="5932">
      <c r="C5932" s="1" t="n"/>
    </row>
    <row r="5933">
      <c r="C5933" s="1" t="n"/>
    </row>
    <row r="5934">
      <c r="C5934" s="1" t="n"/>
    </row>
    <row r="5935">
      <c r="C5935" s="1" t="n"/>
    </row>
    <row r="5936">
      <c r="C5936" s="1" t="n"/>
    </row>
    <row r="5937">
      <c r="C5937" s="1" t="n"/>
    </row>
    <row r="5938">
      <c r="C5938" s="1" t="n"/>
    </row>
    <row r="5939">
      <c r="C5939" s="1" t="n"/>
    </row>
    <row r="5940">
      <c r="C5940" s="1" t="n"/>
    </row>
    <row r="5941">
      <c r="C5941" s="1" t="n"/>
    </row>
    <row r="5942">
      <c r="C5942" s="1" t="n"/>
    </row>
    <row r="5943">
      <c r="C5943" s="1" t="n"/>
    </row>
    <row r="5944">
      <c r="C5944" s="1" t="n"/>
    </row>
    <row r="5945">
      <c r="C5945" s="1" t="n"/>
    </row>
    <row r="5946">
      <c r="C5946" s="1" t="n"/>
    </row>
    <row r="5947">
      <c r="C5947" s="1" t="n"/>
    </row>
    <row r="5948">
      <c r="C5948" s="1" t="n"/>
    </row>
    <row r="5949">
      <c r="C5949" s="1" t="n"/>
    </row>
    <row r="5950">
      <c r="C5950" s="1" t="n"/>
    </row>
    <row r="5951">
      <c r="C5951" s="1" t="n"/>
    </row>
    <row r="5952">
      <c r="C5952" s="1" t="n"/>
    </row>
    <row r="5953">
      <c r="C5953" s="1" t="n"/>
    </row>
    <row r="5954">
      <c r="C5954" s="1" t="n"/>
    </row>
    <row r="5955">
      <c r="C5955" s="1" t="n"/>
    </row>
    <row r="5956">
      <c r="C5956" s="1" t="n"/>
    </row>
    <row r="5957">
      <c r="C5957" s="1" t="n"/>
    </row>
    <row r="5958">
      <c r="C5958" s="1" t="n"/>
    </row>
    <row r="5959">
      <c r="C5959" s="1" t="n"/>
    </row>
    <row r="5960">
      <c r="C5960" s="1" t="n"/>
    </row>
    <row r="5961">
      <c r="C5961" s="1" t="n"/>
    </row>
    <row r="5962">
      <c r="C5962" s="1" t="n"/>
    </row>
    <row r="5963">
      <c r="C5963" s="1" t="n"/>
    </row>
    <row r="5964">
      <c r="C5964" s="1" t="n"/>
    </row>
    <row r="5965">
      <c r="C5965" s="1" t="n"/>
    </row>
    <row r="5966">
      <c r="C5966" s="1" t="n"/>
    </row>
    <row r="5967">
      <c r="C5967" s="1" t="n"/>
    </row>
    <row r="5968">
      <c r="C5968" s="1" t="n"/>
    </row>
    <row r="5969">
      <c r="C5969" s="1" t="n"/>
    </row>
    <row r="5970">
      <c r="C5970" s="1" t="n"/>
    </row>
    <row r="5971">
      <c r="C5971" s="1" t="n"/>
    </row>
    <row r="5972">
      <c r="C5972" s="1" t="n"/>
    </row>
    <row r="5973">
      <c r="C5973" s="1" t="n"/>
    </row>
    <row r="5974">
      <c r="C5974" s="1" t="n"/>
    </row>
    <row r="5975">
      <c r="C5975" s="1" t="n"/>
    </row>
    <row r="5976">
      <c r="C5976" s="1" t="n"/>
    </row>
    <row r="5977">
      <c r="C5977" s="1" t="n"/>
    </row>
    <row r="5978">
      <c r="C5978" s="1" t="n"/>
    </row>
    <row r="5979">
      <c r="C5979" s="1" t="n"/>
    </row>
    <row r="5980">
      <c r="C5980" s="1" t="n"/>
    </row>
    <row r="5981">
      <c r="C5981" s="1" t="n"/>
    </row>
    <row r="5982">
      <c r="C5982" s="1" t="n"/>
    </row>
    <row r="5983">
      <c r="C5983" s="1" t="n"/>
    </row>
    <row r="5984">
      <c r="C5984" s="1" t="n"/>
    </row>
    <row r="5985">
      <c r="C5985" s="1" t="n"/>
    </row>
    <row r="5986">
      <c r="C5986" s="1" t="n"/>
    </row>
    <row r="5987">
      <c r="C5987" s="1" t="n"/>
    </row>
    <row r="5988">
      <c r="C5988" s="1" t="n"/>
    </row>
    <row r="5989">
      <c r="C5989" s="1" t="n"/>
    </row>
    <row r="5990">
      <c r="C5990" s="1" t="n"/>
    </row>
    <row r="5991">
      <c r="C5991" s="1" t="n"/>
    </row>
    <row r="5992">
      <c r="C5992" s="1" t="n"/>
    </row>
    <row r="5993">
      <c r="C5993" s="1" t="n"/>
    </row>
    <row r="5994">
      <c r="C5994" s="1" t="n"/>
    </row>
    <row r="5995">
      <c r="C5995" s="1" t="n"/>
    </row>
    <row r="5996">
      <c r="C5996" s="1" t="n"/>
    </row>
    <row r="5997">
      <c r="C5997" s="1" t="n"/>
    </row>
    <row r="5998">
      <c r="C5998" s="1" t="n"/>
    </row>
    <row r="5999">
      <c r="C5999" s="1" t="n"/>
    </row>
    <row r="6000">
      <c r="C6000" s="1" t="n"/>
    </row>
    <row r="6001">
      <c r="C6001" s="1" t="n"/>
    </row>
    <row r="6002">
      <c r="C6002" s="1" t="n"/>
    </row>
    <row r="6003">
      <c r="C6003" s="1" t="n"/>
    </row>
    <row r="6004">
      <c r="C6004" s="1" t="n"/>
    </row>
    <row r="6005">
      <c r="C6005" s="1" t="n"/>
    </row>
    <row r="6006">
      <c r="C6006" s="1" t="n"/>
    </row>
    <row r="6007">
      <c r="C6007" s="1" t="n"/>
    </row>
    <row r="6008">
      <c r="C6008" s="1" t="n"/>
    </row>
    <row r="6009">
      <c r="C6009" s="1" t="n"/>
    </row>
    <row r="6010">
      <c r="C6010" s="1" t="n"/>
    </row>
    <row r="6011">
      <c r="C6011" s="1" t="n"/>
    </row>
    <row r="6012">
      <c r="C6012" s="1" t="n"/>
    </row>
    <row r="6013">
      <c r="C6013" s="1" t="n"/>
    </row>
    <row r="6014">
      <c r="C6014" s="1" t="n"/>
    </row>
    <row r="6015">
      <c r="C6015" s="1" t="n"/>
    </row>
    <row r="6016">
      <c r="C6016" s="1" t="n"/>
    </row>
    <row r="6017">
      <c r="C6017" s="1" t="n"/>
    </row>
    <row r="6018">
      <c r="C6018" s="1" t="n"/>
    </row>
    <row r="6019">
      <c r="C6019" s="1" t="n"/>
    </row>
    <row r="6020">
      <c r="C6020" s="1" t="n"/>
    </row>
    <row r="6021">
      <c r="C6021" s="1" t="n"/>
    </row>
    <row r="6022">
      <c r="C6022" s="1" t="n"/>
    </row>
    <row r="6023">
      <c r="C6023" s="1" t="n"/>
    </row>
    <row r="6024">
      <c r="C6024" s="1" t="n"/>
    </row>
    <row r="6025">
      <c r="C6025" s="1" t="n"/>
    </row>
    <row r="6026">
      <c r="C6026" s="1" t="n"/>
    </row>
    <row r="6027">
      <c r="C6027" s="1" t="n"/>
    </row>
    <row r="6028">
      <c r="C6028" s="1" t="n"/>
    </row>
    <row r="6029">
      <c r="C6029" s="1" t="n"/>
    </row>
    <row r="6030">
      <c r="C6030" s="1" t="n"/>
    </row>
    <row r="6031">
      <c r="C6031" s="1" t="n"/>
    </row>
    <row r="6032">
      <c r="C6032" s="1" t="n"/>
    </row>
    <row r="6033">
      <c r="C6033" s="1" t="n"/>
    </row>
    <row r="6034">
      <c r="C6034" s="1" t="n"/>
    </row>
    <row r="6035">
      <c r="C6035" s="1" t="n"/>
    </row>
    <row r="6036">
      <c r="C6036" s="1" t="n"/>
    </row>
    <row r="6037">
      <c r="C6037" s="1" t="n"/>
    </row>
    <row r="6038">
      <c r="C6038" s="1" t="n"/>
    </row>
    <row r="6039">
      <c r="C6039" s="1" t="n"/>
    </row>
    <row r="6040">
      <c r="C6040" s="1" t="n"/>
    </row>
    <row r="6041">
      <c r="C6041" s="1" t="n"/>
    </row>
    <row r="6042">
      <c r="C6042" s="1" t="n"/>
    </row>
    <row r="6043">
      <c r="C6043" s="1" t="n"/>
    </row>
    <row r="6044">
      <c r="C6044" s="1" t="n"/>
    </row>
    <row r="6045">
      <c r="C6045" s="1" t="n"/>
    </row>
    <row r="6046">
      <c r="C6046" s="1" t="n"/>
    </row>
    <row r="6047">
      <c r="C6047" s="1" t="n"/>
    </row>
    <row r="6048">
      <c r="C6048" s="1" t="n"/>
    </row>
    <row r="6049">
      <c r="C6049" s="1" t="n"/>
    </row>
    <row r="6050">
      <c r="C6050" s="1" t="n"/>
    </row>
    <row r="6051">
      <c r="C6051" s="1" t="n"/>
    </row>
    <row r="6052">
      <c r="C6052" s="1" t="n"/>
    </row>
    <row r="6053">
      <c r="C6053" s="1" t="n"/>
    </row>
    <row r="6054">
      <c r="C6054" s="1" t="n"/>
    </row>
    <row r="6055">
      <c r="C6055" s="1" t="n"/>
    </row>
    <row r="6056">
      <c r="C6056" s="1" t="n"/>
    </row>
    <row r="6057">
      <c r="C6057" s="1" t="n"/>
    </row>
    <row r="6058">
      <c r="C6058" s="1" t="n"/>
    </row>
    <row r="6059">
      <c r="C6059" s="1" t="n"/>
    </row>
    <row r="6060">
      <c r="C6060" s="1" t="n"/>
    </row>
    <row r="6061">
      <c r="C6061" s="1" t="n"/>
    </row>
    <row r="6062">
      <c r="C6062" s="1" t="n"/>
    </row>
    <row r="6063">
      <c r="C6063" s="1" t="n"/>
    </row>
    <row r="6064">
      <c r="C6064" s="1" t="n"/>
    </row>
    <row r="6065">
      <c r="C6065" s="1" t="n"/>
    </row>
    <row r="6066">
      <c r="C6066" s="1" t="n"/>
    </row>
    <row r="6067">
      <c r="C6067" s="1" t="n"/>
    </row>
    <row r="6068">
      <c r="C6068" s="1" t="n"/>
    </row>
    <row r="6069">
      <c r="C6069" s="1" t="n"/>
    </row>
    <row r="6070">
      <c r="C6070" s="1" t="n"/>
    </row>
    <row r="6071">
      <c r="C6071" s="1" t="n"/>
    </row>
    <row r="6072">
      <c r="C6072" s="1" t="n"/>
    </row>
    <row r="6073">
      <c r="C6073" s="1" t="n"/>
    </row>
    <row r="6074">
      <c r="C6074" s="1" t="n"/>
    </row>
    <row r="6075">
      <c r="C6075" s="1" t="n"/>
    </row>
    <row r="6076">
      <c r="C6076" s="1" t="n"/>
    </row>
    <row r="6077">
      <c r="C6077" s="1" t="n"/>
    </row>
    <row r="6078">
      <c r="C6078" s="1" t="n"/>
    </row>
    <row r="6079">
      <c r="C6079" s="1" t="n"/>
    </row>
    <row r="6080">
      <c r="C6080" s="1" t="n"/>
    </row>
    <row r="6081">
      <c r="C6081" s="1" t="n"/>
    </row>
    <row r="6082">
      <c r="C6082" s="1" t="n"/>
    </row>
    <row r="6083">
      <c r="C6083" s="1" t="n"/>
    </row>
    <row r="6084">
      <c r="C6084" s="1" t="n"/>
    </row>
    <row r="6085">
      <c r="C6085" s="1" t="n"/>
    </row>
    <row r="6086">
      <c r="C6086" s="1" t="n"/>
    </row>
    <row r="6087">
      <c r="C6087" s="1" t="n"/>
    </row>
    <row r="6088">
      <c r="C6088" s="1" t="n"/>
    </row>
    <row r="6089">
      <c r="C6089" s="1" t="n"/>
    </row>
    <row r="6090">
      <c r="C6090" s="1" t="n"/>
    </row>
    <row r="6091">
      <c r="C6091" s="1" t="n"/>
    </row>
    <row r="6092">
      <c r="C6092" s="1" t="n"/>
    </row>
    <row r="6093">
      <c r="C6093" s="1" t="n"/>
    </row>
    <row r="6094">
      <c r="C6094" s="1" t="n"/>
    </row>
    <row r="6095">
      <c r="C6095" s="1" t="n"/>
    </row>
    <row r="6096">
      <c r="C6096" s="1" t="n"/>
    </row>
    <row r="6097">
      <c r="C6097" s="1" t="n"/>
    </row>
    <row r="6098">
      <c r="C6098" s="1" t="n"/>
    </row>
    <row r="6099">
      <c r="C6099" s="1" t="n"/>
    </row>
    <row r="6100">
      <c r="C6100" s="1" t="n"/>
    </row>
    <row r="6101">
      <c r="C6101" s="1" t="n"/>
    </row>
    <row r="6102">
      <c r="C6102" s="1" t="n"/>
    </row>
    <row r="6103">
      <c r="C6103" s="1" t="n"/>
    </row>
    <row r="6104">
      <c r="C6104" s="1" t="n"/>
    </row>
    <row r="6105">
      <c r="C6105" s="1" t="n"/>
    </row>
    <row r="6106">
      <c r="C6106" s="1" t="n"/>
    </row>
    <row r="6107">
      <c r="C6107" s="1" t="n"/>
    </row>
    <row r="6108">
      <c r="C6108" s="1" t="n"/>
    </row>
    <row r="6109">
      <c r="C6109" s="1" t="n"/>
    </row>
    <row r="6110">
      <c r="C6110" s="1" t="n"/>
    </row>
    <row r="6111">
      <c r="C6111" s="1" t="n"/>
    </row>
    <row r="6112">
      <c r="C6112" s="1" t="n"/>
    </row>
    <row r="6113">
      <c r="C6113" s="1" t="n"/>
    </row>
    <row r="6114">
      <c r="C6114" s="1" t="n"/>
    </row>
    <row r="6115">
      <c r="C6115" s="1" t="n"/>
    </row>
    <row r="6116">
      <c r="C6116" s="1" t="n"/>
    </row>
    <row r="6117">
      <c r="C6117" s="1" t="n"/>
    </row>
    <row r="6118">
      <c r="C6118" s="1" t="n"/>
    </row>
    <row r="6119">
      <c r="C6119" s="1" t="n"/>
    </row>
    <row r="6120">
      <c r="C6120" s="1" t="n"/>
    </row>
    <row r="6121">
      <c r="C6121" s="1" t="n"/>
    </row>
    <row r="6122">
      <c r="C6122" s="1" t="n"/>
    </row>
    <row r="6123">
      <c r="C6123" s="1" t="n"/>
    </row>
    <row r="6124">
      <c r="C6124" s="1" t="n"/>
    </row>
    <row r="6125">
      <c r="C6125" s="1" t="n"/>
    </row>
    <row r="6126">
      <c r="C6126" s="1" t="n"/>
    </row>
    <row r="6127">
      <c r="C6127" s="1" t="n"/>
    </row>
    <row r="6128">
      <c r="C6128" s="1" t="n"/>
    </row>
    <row r="6129">
      <c r="C6129" s="1" t="n"/>
    </row>
    <row r="6130">
      <c r="C6130" s="1" t="n"/>
    </row>
    <row r="6131">
      <c r="C6131" s="1" t="n"/>
    </row>
    <row r="6132">
      <c r="C6132" s="1" t="n"/>
    </row>
    <row r="6133">
      <c r="C6133" s="1" t="n"/>
    </row>
    <row r="6134">
      <c r="C6134" s="1" t="n"/>
    </row>
    <row r="6135">
      <c r="C6135" s="1" t="n"/>
    </row>
    <row r="6136">
      <c r="C6136" s="1" t="n"/>
    </row>
    <row r="6137">
      <c r="C6137" s="1" t="n"/>
    </row>
    <row r="6138">
      <c r="C6138" s="1" t="n"/>
    </row>
    <row r="6139">
      <c r="C6139" s="1" t="n"/>
    </row>
    <row r="6140">
      <c r="C6140" s="1" t="n"/>
    </row>
    <row r="6141">
      <c r="C6141" s="1" t="n"/>
    </row>
    <row r="6142">
      <c r="C6142" s="1" t="n"/>
    </row>
    <row r="6143">
      <c r="C6143" s="1" t="n"/>
    </row>
    <row r="6144">
      <c r="C6144" s="1" t="n"/>
    </row>
    <row r="6145">
      <c r="C6145" s="1" t="n"/>
    </row>
    <row r="6146">
      <c r="C6146" s="1" t="n"/>
    </row>
    <row r="6147">
      <c r="C6147" s="1" t="n"/>
    </row>
    <row r="6148">
      <c r="C6148" s="1" t="n"/>
    </row>
    <row r="6149">
      <c r="C6149" s="1" t="n"/>
    </row>
    <row r="6150">
      <c r="C6150" s="1" t="n"/>
    </row>
    <row r="6151">
      <c r="C6151" s="1" t="n"/>
    </row>
    <row r="6152">
      <c r="C6152" s="1" t="n"/>
    </row>
    <row r="6153">
      <c r="C6153" s="1" t="n"/>
    </row>
    <row r="6154">
      <c r="C6154" s="1" t="n"/>
    </row>
    <row r="6155">
      <c r="C6155" s="1" t="n"/>
    </row>
    <row r="6156">
      <c r="C6156" s="1" t="n"/>
    </row>
    <row r="6157">
      <c r="C6157" s="1" t="n"/>
    </row>
    <row r="6158">
      <c r="C6158" s="1" t="n"/>
    </row>
    <row r="6159">
      <c r="C6159" s="1" t="n"/>
    </row>
    <row r="6160">
      <c r="C6160" s="1" t="n"/>
    </row>
    <row r="6161">
      <c r="C6161" s="1" t="n"/>
    </row>
    <row r="6162">
      <c r="C6162" s="1" t="n"/>
    </row>
    <row r="6163">
      <c r="C6163" s="1" t="n"/>
    </row>
    <row r="6164">
      <c r="C6164" s="1" t="n"/>
    </row>
    <row r="6165">
      <c r="C6165" s="1" t="n"/>
    </row>
    <row r="6166">
      <c r="C6166" s="1" t="n"/>
    </row>
    <row r="6167">
      <c r="C6167" s="1" t="n"/>
    </row>
    <row r="6168">
      <c r="C6168" s="1" t="n"/>
    </row>
    <row r="6169">
      <c r="C6169" s="1" t="n"/>
    </row>
    <row r="6170">
      <c r="C6170" s="1" t="n"/>
    </row>
    <row r="6171">
      <c r="C6171" s="1" t="n"/>
    </row>
    <row r="6172">
      <c r="C6172" s="1" t="n"/>
    </row>
    <row r="6173">
      <c r="C6173" s="1" t="n"/>
    </row>
    <row r="6174">
      <c r="C6174" s="1" t="n"/>
    </row>
    <row r="6175">
      <c r="C6175" s="1" t="n"/>
    </row>
    <row r="6176">
      <c r="C6176" s="1" t="n"/>
    </row>
    <row r="6177">
      <c r="C6177" s="1" t="n"/>
    </row>
    <row r="6178">
      <c r="C6178" s="1" t="n"/>
    </row>
    <row r="6179">
      <c r="C6179" s="1" t="n"/>
    </row>
    <row r="6180">
      <c r="C6180" s="1" t="n"/>
    </row>
    <row r="6181">
      <c r="C6181" s="1" t="n"/>
    </row>
    <row r="6182">
      <c r="C6182" s="1" t="n"/>
    </row>
    <row r="6183">
      <c r="C6183" s="1" t="n"/>
    </row>
    <row r="6184">
      <c r="C6184" s="1" t="n"/>
    </row>
    <row r="6185">
      <c r="C6185" s="1" t="n"/>
    </row>
    <row r="6186">
      <c r="C6186" s="1" t="n"/>
    </row>
    <row r="6187">
      <c r="C6187" s="1" t="n"/>
    </row>
    <row r="6188">
      <c r="C6188" s="1" t="n"/>
    </row>
    <row r="6189">
      <c r="C6189" s="1" t="n"/>
    </row>
    <row r="6190">
      <c r="C6190" s="1" t="n"/>
    </row>
    <row r="6191">
      <c r="C6191" s="1" t="n"/>
    </row>
    <row r="6192">
      <c r="C6192" s="1" t="n"/>
    </row>
    <row r="6193">
      <c r="C6193" s="1" t="n"/>
    </row>
    <row r="6194">
      <c r="C6194" s="1" t="n"/>
    </row>
    <row r="6195">
      <c r="C6195" s="1" t="n"/>
    </row>
    <row r="6196">
      <c r="C6196" s="1" t="n"/>
    </row>
    <row r="6197">
      <c r="C6197" s="1" t="n"/>
    </row>
    <row r="6198">
      <c r="C6198" s="1" t="n"/>
    </row>
    <row r="6199">
      <c r="C6199" s="1" t="n"/>
    </row>
    <row r="6200">
      <c r="C6200" s="1" t="n"/>
    </row>
    <row r="6201">
      <c r="C6201" s="1" t="n"/>
    </row>
    <row r="6202">
      <c r="C6202" s="1" t="n"/>
    </row>
    <row r="6203">
      <c r="C6203" s="1" t="n"/>
    </row>
    <row r="6204">
      <c r="C6204" s="1" t="n"/>
    </row>
    <row r="6205">
      <c r="C6205" s="1" t="n"/>
    </row>
    <row r="6206">
      <c r="C6206" s="1" t="n"/>
    </row>
    <row r="6207">
      <c r="C6207" s="1" t="n"/>
    </row>
    <row r="6208">
      <c r="C6208" s="1" t="n"/>
    </row>
    <row r="6209">
      <c r="C6209" s="1" t="n"/>
    </row>
    <row r="6210">
      <c r="C6210" s="1" t="n"/>
    </row>
    <row r="6211">
      <c r="C6211" s="1" t="n"/>
    </row>
    <row r="6212">
      <c r="C6212" s="1" t="n"/>
    </row>
    <row r="6213">
      <c r="C6213" s="1" t="n"/>
    </row>
    <row r="6214">
      <c r="C6214" s="1" t="n"/>
    </row>
    <row r="6215">
      <c r="C6215" s="1" t="n"/>
    </row>
    <row r="6216">
      <c r="C6216" s="1" t="n"/>
    </row>
    <row r="6217">
      <c r="C6217" s="1" t="n"/>
    </row>
    <row r="6218">
      <c r="C6218" s="1" t="n"/>
    </row>
    <row r="6219">
      <c r="C6219" s="1" t="n"/>
    </row>
    <row r="6220">
      <c r="C6220" s="1" t="n"/>
    </row>
    <row r="6221">
      <c r="C6221" s="1" t="n"/>
    </row>
    <row r="6222">
      <c r="C6222" s="1" t="n"/>
    </row>
    <row r="6223">
      <c r="C6223" s="1" t="n"/>
    </row>
    <row r="6224">
      <c r="C6224" s="1" t="n"/>
    </row>
    <row r="6225">
      <c r="C6225" s="1" t="n"/>
    </row>
    <row r="6226">
      <c r="C6226" s="1" t="n"/>
    </row>
    <row r="6227">
      <c r="C6227" s="1" t="n"/>
    </row>
    <row r="6228">
      <c r="C6228" s="1" t="n"/>
    </row>
    <row r="6229">
      <c r="C6229" s="1" t="n"/>
    </row>
    <row r="6230">
      <c r="C6230" s="1" t="n"/>
    </row>
    <row r="6231">
      <c r="C6231" s="1" t="n"/>
    </row>
    <row r="6232">
      <c r="C6232" s="1" t="n"/>
    </row>
    <row r="6233">
      <c r="C6233" s="1" t="n"/>
    </row>
    <row r="6234">
      <c r="C6234" s="1" t="n"/>
    </row>
    <row r="6235">
      <c r="C6235" s="1" t="n"/>
    </row>
    <row r="6236">
      <c r="C6236" s="1" t="n"/>
    </row>
    <row r="6237">
      <c r="C6237" s="1" t="n"/>
    </row>
    <row r="6238">
      <c r="C6238" s="1" t="n"/>
    </row>
    <row r="6239">
      <c r="C6239" s="1" t="n"/>
    </row>
    <row r="6240">
      <c r="C6240" s="1" t="n"/>
    </row>
    <row r="6241">
      <c r="C6241" s="1" t="n"/>
    </row>
    <row r="6242">
      <c r="C6242" s="1" t="n"/>
    </row>
    <row r="6243">
      <c r="C6243" s="1" t="n"/>
    </row>
    <row r="6244">
      <c r="C6244" s="1" t="n"/>
    </row>
    <row r="6245">
      <c r="C6245" s="1" t="n"/>
    </row>
    <row r="6246">
      <c r="C6246" s="1" t="n"/>
    </row>
    <row r="6247">
      <c r="C6247" s="1" t="n"/>
    </row>
    <row r="6248">
      <c r="C6248" s="1" t="n"/>
    </row>
    <row r="6249">
      <c r="C6249" s="1" t="n"/>
    </row>
    <row r="6250">
      <c r="C6250" s="1" t="n"/>
    </row>
    <row r="6251">
      <c r="C6251" s="1" t="n"/>
    </row>
    <row r="6252">
      <c r="C6252" s="1" t="n"/>
    </row>
    <row r="6253">
      <c r="C6253" s="1" t="n"/>
    </row>
    <row r="6254">
      <c r="C6254" s="1" t="n"/>
    </row>
    <row r="6255">
      <c r="C6255" s="1" t="n"/>
    </row>
    <row r="6256">
      <c r="C6256" s="1" t="n"/>
    </row>
    <row r="6257">
      <c r="C6257" s="1" t="n"/>
    </row>
    <row r="6258">
      <c r="C6258" s="1" t="n"/>
    </row>
    <row r="6259">
      <c r="C6259" s="1" t="n"/>
    </row>
    <row r="6260">
      <c r="C6260" s="1" t="n"/>
    </row>
    <row r="6261">
      <c r="C6261" s="1" t="n"/>
    </row>
    <row r="6262">
      <c r="C6262" s="1" t="n"/>
    </row>
    <row r="6263">
      <c r="C6263" s="1" t="n"/>
    </row>
    <row r="6264">
      <c r="C6264" s="1" t="n"/>
    </row>
    <row r="6265">
      <c r="C6265" s="1" t="n"/>
    </row>
    <row r="6266">
      <c r="C6266" s="1" t="n"/>
    </row>
    <row r="6267">
      <c r="C6267" s="1" t="n"/>
    </row>
    <row r="6268">
      <c r="C6268" s="1" t="n"/>
    </row>
    <row r="6269">
      <c r="C6269" s="1" t="n"/>
    </row>
    <row r="6270">
      <c r="C6270" s="1" t="n"/>
    </row>
    <row r="6271">
      <c r="C6271" s="1" t="n"/>
    </row>
    <row r="6272">
      <c r="C6272" s="1" t="n"/>
    </row>
    <row r="6273">
      <c r="C6273" s="1" t="n"/>
    </row>
    <row r="6274">
      <c r="C6274" s="1" t="n"/>
    </row>
    <row r="6275">
      <c r="C6275" s="1" t="n"/>
    </row>
    <row r="6276">
      <c r="C6276" s="1" t="n"/>
    </row>
    <row r="6277">
      <c r="C6277" s="1" t="n"/>
    </row>
    <row r="6278">
      <c r="C6278" s="1" t="n"/>
    </row>
    <row r="6279">
      <c r="C6279" s="1" t="n"/>
    </row>
    <row r="6280">
      <c r="C6280" s="1" t="n"/>
    </row>
    <row r="6281">
      <c r="C6281" s="1" t="n"/>
    </row>
    <row r="6282">
      <c r="C6282" s="1" t="n"/>
    </row>
    <row r="6283">
      <c r="C6283" s="1" t="n"/>
    </row>
    <row r="6284">
      <c r="C6284" s="1" t="n"/>
    </row>
    <row r="6285">
      <c r="C6285" s="1" t="n"/>
    </row>
    <row r="6286">
      <c r="C6286" s="1" t="n"/>
    </row>
    <row r="6287">
      <c r="C6287" s="1" t="n"/>
    </row>
    <row r="6288">
      <c r="C6288" s="1" t="n"/>
    </row>
    <row r="6289">
      <c r="C6289" s="1" t="n"/>
    </row>
    <row r="6290">
      <c r="C6290" s="1" t="n"/>
    </row>
    <row r="6291">
      <c r="C6291" s="1" t="n"/>
    </row>
    <row r="6292">
      <c r="C6292" s="1" t="n"/>
    </row>
    <row r="6293">
      <c r="C6293" s="1" t="n"/>
    </row>
    <row r="6294">
      <c r="C6294" s="1" t="n"/>
    </row>
    <row r="6295">
      <c r="C6295" s="1" t="n"/>
    </row>
    <row r="6296">
      <c r="C6296" s="1" t="n"/>
    </row>
    <row r="6297">
      <c r="C6297" s="1" t="n"/>
    </row>
    <row r="6298">
      <c r="C6298" s="1" t="n"/>
    </row>
    <row r="6299">
      <c r="C6299" s="1" t="n"/>
    </row>
    <row r="6300">
      <c r="C6300" s="1" t="n"/>
    </row>
    <row r="6301">
      <c r="C6301" s="1" t="n"/>
    </row>
    <row r="6302">
      <c r="C6302" s="1" t="n"/>
    </row>
    <row r="6303">
      <c r="C6303" s="1" t="n"/>
    </row>
    <row r="6304">
      <c r="C6304" s="1" t="n"/>
    </row>
    <row r="6305">
      <c r="C6305" s="1" t="n"/>
    </row>
    <row r="6306">
      <c r="C6306" s="1" t="n"/>
    </row>
    <row r="6307">
      <c r="C6307" s="1" t="n"/>
    </row>
    <row r="6308">
      <c r="C6308" s="1" t="n"/>
    </row>
    <row r="6309">
      <c r="C6309" s="1" t="n"/>
    </row>
    <row r="6310">
      <c r="C6310" s="1" t="n"/>
    </row>
    <row r="6311">
      <c r="C6311" s="1" t="n"/>
    </row>
    <row r="6312">
      <c r="C6312" s="1" t="n"/>
    </row>
    <row r="6313">
      <c r="C6313" s="1" t="n"/>
    </row>
    <row r="6314">
      <c r="C6314" s="1" t="n"/>
    </row>
    <row r="6315">
      <c r="C6315" s="1" t="n"/>
    </row>
    <row r="6316">
      <c r="C6316" s="1" t="n"/>
    </row>
    <row r="6317">
      <c r="C6317" s="1" t="n"/>
    </row>
    <row r="6318">
      <c r="C6318" s="1" t="n"/>
    </row>
    <row r="6319">
      <c r="C6319" s="1" t="n"/>
    </row>
    <row r="6320">
      <c r="C6320" s="1" t="n"/>
    </row>
    <row r="6321">
      <c r="C6321" s="1" t="n"/>
    </row>
    <row r="6322">
      <c r="C6322" s="1" t="n"/>
    </row>
    <row r="6323">
      <c r="C6323" s="1" t="n"/>
    </row>
    <row r="6324">
      <c r="C6324" s="1" t="n"/>
    </row>
    <row r="6325">
      <c r="C6325" s="1" t="n"/>
    </row>
    <row r="6326">
      <c r="C6326" s="1" t="n"/>
    </row>
    <row r="6327">
      <c r="C6327" s="1" t="n"/>
    </row>
    <row r="6328">
      <c r="C6328" s="1" t="n"/>
    </row>
    <row r="6329">
      <c r="C6329" s="1" t="n"/>
    </row>
    <row r="6330">
      <c r="C6330" s="1" t="n"/>
    </row>
    <row r="6331">
      <c r="C6331" s="1" t="n"/>
    </row>
    <row r="6332">
      <c r="C6332" s="1" t="n"/>
    </row>
    <row r="6333">
      <c r="C6333" s="1" t="n"/>
    </row>
    <row r="6334">
      <c r="C6334" s="1" t="n"/>
    </row>
    <row r="6335">
      <c r="C6335" s="1" t="n"/>
    </row>
    <row r="6336">
      <c r="C6336" s="1" t="n"/>
    </row>
    <row r="6337">
      <c r="C6337" s="1" t="n"/>
    </row>
    <row r="6338">
      <c r="C6338" s="1" t="n"/>
    </row>
    <row r="6339">
      <c r="C6339" s="1" t="n"/>
    </row>
    <row r="6340">
      <c r="C6340" s="1" t="n"/>
    </row>
    <row r="6341">
      <c r="C6341" s="1" t="n"/>
    </row>
    <row r="6342">
      <c r="C6342" s="1" t="n"/>
    </row>
    <row r="6343">
      <c r="C6343" s="1" t="n"/>
    </row>
    <row r="6344">
      <c r="C6344" s="1" t="n"/>
    </row>
    <row r="6345">
      <c r="C6345" s="1" t="n"/>
    </row>
    <row r="6346">
      <c r="C6346" s="1" t="n"/>
    </row>
    <row r="6347">
      <c r="C6347" s="1" t="n"/>
    </row>
    <row r="6348">
      <c r="C6348" s="1" t="n"/>
    </row>
    <row r="6349">
      <c r="C6349" s="1" t="n"/>
    </row>
    <row r="6350">
      <c r="C6350" s="1" t="n"/>
    </row>
    <row r="6351">
      <c r="C6351" s="1" t="n"/>
    </row>
    <row r="6352">
      <c r="C6352" s="1" t="n"/>
    </row>
    <row r="6353">
      <c r="C6353" s="1" t="n"/>
    </row>
    <row r="6354">
      <c r="C6354" s="1" t="n"/>
    </row>
    <row r="6355">
      <c r="C6355" s="1" t="n"/>
    </row>
    <row r="6356">
      <c r="C6356" s="1" t="n"/>
    </row>
    <row r="6357">
      <c r="C6357" s="1" t="n"/>
    </row>
    <row r="6358">
      <c r="C6358" s="1" t="n"/>
    </row>
    <row r="6359">
      <c r="C6359" s="1" t="n"/>
    </row>
    <row r="6360">
      <c r="C6360" s="1" t="n"/>
    </row>
    <row r="6361">
      <c r="C6361" s="1" t="n"/>
    </row>
    <row r="6362">
      <c r="C6362" s="1" t="n"/>
    </row>
    <row r="6363">
      <c r="C6363" s="1" t="n"/>
    </row>
    <row r="6364">
      <c r="C6364" s="1" t="n"/>
    </row>
    <row r="6365">
      <c r="C6365" s="1" t="n"/>
    </row>
    <row r="6366">
      <c r="C6366" s="1" t="n"/>
    </row>
    <row r="6367">
      <c r="C6367" s="1" t="n"/>
    </row>
    <row r="6368">
      <c r="C6368" s="1" t="n"/>
    </row>
    <row r="6369">
      <c r="C6369" s="1" t="n"/>
    </row>
    <row r="6370">
      <c r="C6370" s="1" t="n"/>
    </row>
    <row r="6371">
      <c r="C6371" s="1" t="n"/>
    </row>
    <row r="6372">
      <c r="C6372" s="1" t="n"/>
    </row>
    <row r="6373">
      <c r="C6373" s="1" t="n"/>
    </row>
    <row r="6374">
      <c r="C6374" s="1" t="n"/>
    </row>
    <row r="6375">
      <c r="C6375" s="1" t="n"/>
    </row>
    <row r="6376">
      <c r="C6376" s="1" t="n"/>
    </row>
    <row r="6377">
      <c r="C6377" s="1" t="n"/>
    </row>
    <row r="6378">
      <c r="C6378" s="1" t="n"/>
    </row>
    <row r="6379">
      <c r="C6379" s="1" t="n"/>
    </row>
    <row r="6380">
      <c r="C6380" s="1" t="n"/>
    </row>
    <row r="6381">
      <c r="C6381" s="1" t="n"/>
    </row>
    <row r="6382">
      <c r="C6382" s="1" t="n"/>
    </row>
    <row r="6383">
      <c r="C6383" s="1" t="n"/>
    </row>
    <row r="6384">
      <c r="C6384" s="1" t="n"/>
    </row>
    <row r="6385">
      <c r="C6385" s="1" t="n"/>
    </row>
    <row r="6386">
      <c r="C6386" s="1" t="n"/>
    </row>
    <row r="6387">
      <c r="C6387" s="1" t="n"/>
    </row>
    <row r="6388">
      <c r="C6388" s="1" t="n"/>
    </row>
    <row r="6389">
      <c r="C6389" s="1" t="n"/>
    </row>
    <row r="6390">
      <c r="C6390" s="1" t="n"/>
    </row>
    <row r="6391">
      <c r="C6391" s="1" t="n"/>
    </row>
    <row r="6392">
      <c r="C6392" s="1" t="n"/>
    </row>
    <row r="6393">
      <c r="C6393" s="1" t="n"/>
    </row>
    <row r="6394">
      <c r="C6394" s="1" t="n"/>
    </row>
    <row r="6395">
      <c r="C6395" s="1" t="n"/>
    </row>
    <row r="6396">
      <c r="C6396" s="1" t="n"/>
    </row>
    <row r="6397">
      <c r="C6397" s="1" t="n"/>
    </row>
    <row r="6398">
      <c r="C6398" s="1" t="n"/>
    </row>
    <row r="6399">
      <c r="C6399" s="1" t="n"/>
    </row>
    <row r="6400">
      <c r="C6400" s="1" t="n"/>
    </row>
    <row r="6401">
      <c r="C6401" s="1" t="n"/>
    </row>
    <row r="6402">
      <c r="C6402" s="1" t="n"/>
    </row>
    <row r="6403">
      <c r="C6403" s="1" t="n"/>
    </row>
    <row r="6404">
      <c r="C6404" s="1" t="n"/>
    </row>
    <row r="6405">
      <c r="C6405" s="1" t="n"/>
    </row>
    <row r="6406">
      <c r="C6406" s="1" t="n"/>
    </row>
    <row r="6407">
      <c r="C6407" s="1" t="n"/>
    </row>
    <row r="6408">
      <c r="C6408" s="1" t="n"/>
    </row>
    <row r="6409">
      <c r="C6409" s="1" t="n"/>
    </row>
    <row r="6410">
      <c r="C6410" s="1" t="n"/>
    </row>
    <row r="6411">
      <c r="C6411" s="1" t="n"/>
    </row>
    <row r="6412">
      <c r="C6412" s="1" t="n"/>
    </row>
    <row r="6413">
      <c r="C6413" s="1" t="n"/>
    </row>
    <row r="6414">
      <c r="C6414" s="1" t="n"/>
    </row>
    <row r="6415">
      <c r="C6415" s="1" t="n"/>
    </row>
    <row r="6416">
      <c r="C6416" s="1" t="n"/>
    </row>
    <row r="6417">
      <c r="C6417" s="1" t="n"/>
    </row>
    <row r="6418">
      <c r="C6418" s="1" t="n"/>
    </row>
    <row r="6419">
      <c r="C6419" s="1" t="n"/>
    </row>
    <row r="6420">
      <c r="C6420" s="1" t="n"/>
    </row>
    <row r="6421">
      <c r="C6421" s="1" t="n"/>
    </row>
    <row r="6422">
      <c r="C6422" s="1" t="n"/>
    </row>
    <row r="6423">
      <c r="C6423" s="1" t="n"/>
    </row>
    <row r="6424">
      <c r="C6424" s="1" t="n"/>
    </row>
    <row r="6425">
      <c r="C6425" s="1" t="n"/>
    </row>
    <row r="6426">
      <c r="C6426" s="1" t="n"/>
    </row>
    <row r="6427">
      <c r="C6427" s="1" t="n"/>
    </row>
    <row r="6428">
      <c r="C6428" s="1" t="n"/>
    </row>
    <row r="6429">
      <c r="C6429" s="1" t="n"/>
    </row>
    <row r="6430">
      <c r="C6430" s="1" t="n"/>
    </row>
    <row r="6431">
      <c r="C6431" s="1" t="n"/>
    </row>
    <row r="6432">
      <c r="C6432" s="1" t="n"/>
    </row>
    <row r="6433">
      <c r="C6433" s="1" t="n"/>
    </row>
    <row r="6434">
      <c r="C6434" s="1" t="n"/>
    </row>
    <row r="6435">
      <c r="C6435" s="1" t="n"/>
    </row>
    <row r="6436">
      <c r="C6436" s="1" t="n"/>
    </row>
    <row r="6437">
      <c r="C6437" s="1" t="n"/>
    </row>
    <row r="6438">
      <c r="C6438" s="1" t="n"/>
    </row>
    <row r="6439">
      <c r="C6439" s="1" t="n"/>
    </row>
    <row r="6440">
      <c r="C6440" s="1" t="n"/>
    </row>
    <row r="6441">
      <c r="C6441" s="1" t="n"/>
    </row>
    <row r="6442">
      <c r="C6442" s="1" t="n"/>
    </row>
    <row r="6443">
      <c r="C6443" s="1" t="n"/>
    </row>
    <row r="6444">
      <c r="C6444" s="1" t="n"/>
    </row>
    <row r="6445">
      <c r="C6445" s="1" t="n"/>
    </row>
    <row r="6446">
      <c r="C6446" s="1" t="n"/>
    </row>
    <row r="6447">
      <c r="C6447" s="1" t="n"/>
    </row>
    <row r="6448">
      <c r="C6448" s="1" t="n"/>
    </row>
    <row r="6449">
      <c r="C6449" s="1" t="n"/>
    </row>
    <row r="6450">
      <c r="C6450" s="1" t="n"/>
    </row>
    <row r="6451">
      <c r="C6451" s="1" t="n"/>
    </row>
    <row r="6452">
      <c r="C6452" s="1" t="n"/>
    </row>
    <row r="6453">
      <c r="C6453" s="1" t="n"/>
    </row>
    <row r="6454">
      <c r="C6454" s="1" t="n"/>
    </row>
    <row r="6455">
      <c r="C6455" s="1" t="n"/>
    </row>
    <row r="6456">
      <c r="C6456" s="1" t="n"/>
    </row>
    <row r="6457">
      <c r="C6457" s="1" t="n"/>
    </row>
    <row r="6458">
      <c r="C6458" s="1" t="n"/>
    </row>
    <row r="6459">
      <c r="C6459" s="1" t="n"/>
    </row>
    <row r="6460">
      <c r="C6460" s="1" t="n"/>
    </row>
    <row r="6461">
      <c r="C6461" s="1" t="n"/>
    </row>
    <row r="6462">
      <c r="C6462" s="1" t="n"/>
    </row>
    <row r="6463">
      <c r="C6463" s="1" t="n"/>
    </row>
    <row r="6464">
      <c r="C6464" s="1" t="n"/>
    </row>
    <row r="6465">
      <c r="C6465" s="1" t="n"/>
    </row>
    <row r="6466">
      <c r="C6466" s="1" t="n"/>
    </row>
    <row r="6467">
      <c r="C6467" s="1" t="n"/>
    </row>
    <row r="6468">
      <c r="C6468" s="1" t="n"/>
    </row>
    <row r="6469">
      <c r="C6469" s="1" t="n"/>
    </row>
    <row r="6470">
      <c r="C6470" s="1" t="n"/>
    </row>
    <row r="6471">
      <c r="C6471" s="1" t="n"/>
    </row>
    <row r="6472">
      <c r="C6472" s="1" t="n"/>
    </row>
    <row r="6473">
      <c r="C6473" s="1" t="n"/>
    </row>
    <row r="6474">
      <c r="C6474" s="1" t="n"/>
    </row>
    <row r="6475">
      <c r="C6475" s="1" t="n"/>
    </row>
    <row r="6476">
      <c r="C6476" s="1" t="n"/>
    </row>
    <row r="6477">
      <c r="C6477" s="1" t="n"/>
    </row>
    <row r="6478">
      <c r="C6478" s="1" t="n"/>
    </row>
    <row r="6479">
      <c r="C6479" s="1" t="n"/>
    </row>
    <row r="6480">
      <c r="C6480" s="1" t="n"/>
    </row>
    <row r="6481">
      <c r="C6481" s="1" t="n"/>
    </row>
    <row r="6482">
      <c r="C6482" s="1" t="n"/>
    </row>
    <row r="6483">
      <c r="C6483" s="1" t="n"/>
    </row>
    <row r="6484">
      <c r="C6484" s="1" t="n"/>
    </row>
    <row r="6485">
      <c r="C6485" s="1" t="n"/>
    </row>
    <row r="6486">
      <c r="C6486" s="1" t="n"/>
    </row>
    <row r="6487">
      <c r="C6487" s="1" t="n"/>
    </row>
    <row r="6488">
      <c r="C6488" s="1" t="n"/>
    </row>
    <row r="6489">
      <c r="C6489" s="1" t="n"/>
    </row>
    <row r="6490">
      <c r="C6490" s="1" t="n"/>
    </row>
    <row r="6491">
      <c r="C6491" s="1" t="n"/>
    </row>
    <row r="6492">
      <c r="C6492" s="1" t="n"/>
    </row>
    <row r="6493">
      <c r="C6493" s="1" t="n"/>
    </row>
    <row r="6494">
      <c r="C6494" s="1" t="n"/>
    </row>
    <row r="6495">
      <c r="C6495" s="1" t="n"/>
    </row>
    <row r="6496">
      <c r="C6496" s="1" t="n"/>
    </row>
    <row r="6497">
      <c r="C6497" s="1" t="n"/>
    </row>
    <row r="6498">
      <c r="C6498" s="1" t="n"/>
    </row>
    <row r="6499">
      <c r="C6499" s="1" t="n"/>
    </row>
    <row r="6500">
      <c r="C6500" s="1" t="n"/>
    </row>
    <row r="6501">
      <c r="C6501" s="1" t="n"/>
    </row>
    <row r="6502">
      <c r="C6502" s="1" t="n"/>
    </row>
    <row r="6503">
      <c r="C6503" s="1" t="n"/>
    </row>
    <row r="6504">
      <c r="C6504" s="1" t="n"/>
    </row>
    <row r="6505">
      <c r="C6505" s="1" t="n"/>
    </row>
    <row r="6506">
      <c r="C6506" s="1" t="n"/>
    </row>
    <row r="6507">
      <c r="C6507" s="1" t="n"/>
    </row>
    <row r="6508">
      <c r="C6508" s="1" t="n"/>
    </row>
    <row r="6509">
      <c r="C6509" s="1" t="n"/>
    </row>
    <row r="6510">
      <c r="C6510" s="1" t="n"/>
    </row>
    <row r="6511">
      <c r="C6511" s="1" t="n"/>
    </row>
    <row r="6512">
      <c r="C6512" s="1" t="n"/>
    </row>
    <row r="6513">
      <c r="C6513" s="1" t="n"/>
    </row>
    <row r="6514">
      <c r="C6514" s="1" t="n"/>
    </row>
    <row r="6515">
      <c r="C6515" s="1" t="n"/>
    </row>
    <row r="6516">
      <c r="C6516" s="1" t="n"/>
    </row>
    <row r="6517">
      <c r="C6517" s="1" t="n"/>
    </row>
    <row r="6518">
      <c r="C6518" s="1" t="n"/>
    </row>
    <row r="6519">
      <c r="C6519" s="1" t="n"/>
    </row>
    <row r="6520">
      <c r="C6520" s="1" t="n"/>
    </row>
    <row r="6521">
      <c r="C6521" s="1" t="n"/>
    </row>
    <row r="6522">
      <c r="C6522" s="1" t="n"/>
    </row>
    <row r="6523">
      <c r="C6523" s="1" t="n"/>
    </row>
    <row r="6524">
      <c r="C6524" s="1" t="n"/>
    </row>
    <row r="6525">
      <c r="C6525" s="1" t="n"/>
    </row>
    <row r="6526">
      <c r="C6526" s="1" t="n"/>
    </row>
    <row r="6527">
      <c r="C6527" s="1" t="n"/>
    </row>
    <row r="6528">
      <c r="C6528" s="1" t="n"/>
    </row>
    <row r="6529">
      <c r="C6529" s="1" t="n"/>
    </row>
    <row r="6530">
      <c r="C6530" s="1" t="n"/>
    </row>
    <row r="6531">
      <c r="C6531" s="1" t="n"/>
    </row>
    <row r="6532">
      <c r="C6532" s="1" t="n"/>
    </row>
    <row r="6533">
      <c r="C6533" s="1" t="n"/>
    </row>
    <row r="6534">
      <c r="C6534" s="1" t="n"/>
    </row>
    <row r="6535">
      <c r="C6535" s="1" t="n"/>
    </row>
    <row r="6536">
      <c r="C6536" s="1" t="n"/>
    </row>
    <row r="6537">
      <c r="C6537" s="1" t="n"/>
    </row>
    <row r="6538">
      <c r="C6538" s="1" t="n"/>
    </row>
    <row r="6539">
      <c r="C6539" s="1" t="n"/>
    </row>
    <row r="6540">
      <c r="C6540" s="1" t="n"/>
    </row>
    <row r="6541">
      <c r="C6541" s="1" t="n"/>
    </row>
    <row r="6542">
      <c r="C6542" s="1" t="n"/>
    </row>
    <row r="6543">
      <c r="C6543" s="1" t="n"/>
    </row>
    <row r="6544">
      <c r="C6544" s="1" t="n"/>
    </row>
    <row r="6545">
      <c r="C6545" s="1" t="n"/>
    </row>
    <row r="6546">
      <c r="C6546" s="1" t="n"/>
    </row>
    <row r="6547">
      <c r="C6547" s="1" t="n"/>
    </row>
    <row r="6548">
      <c r="C6548" s="1" t="n"/>
    </row>
    <row r="6549">
      <c r="C6549" s="1" t="n"/>
    </row>
    <row r="6550">
      <c r="C6550" s="1" t="n"/>
    </row>
    <row r="6551">
      <c r="C6551" s="1" t="n"/>
    </row>
    <row r="6552">
      <c r="C6552" s="1" t="n"/>
    </row>
    <row r="6553">
      <c r="C6553" s="1" t="n"/>
    </row>
    <row r="6554">
      <c r="C6554" s="1" t="n"/>
    </row>
    <row r="6555">
      <c r="C6555" s="1" t="n"/>
    </row>
    <row r="6556">
      <c r="C6556" s="1" t="n"/>
    </row>
    <row r="6557">
      <c r="C6557" s="1" t="n"/>
    </row>
    <row r="6558">
      <c r="C6558" s="1" t="n"/>
    </row>
    <row r="6559">
      <c r="C6559" s="1" t="n"/>
    </row>
    <row r="6560">
      <c r="C6560" s="1" t="n"/>
    </row>
    <row r="6561">
      <c r="C6561" s="1" t="n"/>
    </row>
    <row r="6562">
      <c r="C6562" s="1" t="n"/>
    </row>
    <row r="6563">
      <c r="C6563" s="1" t="n"/>
    </row>
    <row r="6564">
      <c r="C6564" s="1" t="n"/>
    </row>
    <row r="6565">
      <c r="C6565" s="1" t="n"/>
    </row>
    <row r="6566">
      <c r="C6566" s="1" t="n"/>
    </row>
    <row r="6567">
      <c r="C6567" s="1" t="n"/>
    </row>
    <row r="6568">
      <c r="C6568" s="1" t="n"/>
    </row>
    <row r="6569">
      <c r="C6569" s="1" t="n"/>
    </row>
    <row r="6570">
      <c r="C6570" s="1" t="n"/>
    </row>
    <row r="6571">
      <c r="C6571" s="1" t="n"/>
    </row>
    <row r="6572">
      <c r="C6572" s="1" t="n"/>
    </row>
    <row r="6573">
      <c r="C6573" s="1" t="n"/>
    </row>
    <row r="6574">
      <c r="C6574" s="1" t="n"/>
    </row>
    <row r="6575">
      <c r="C6575" s="1" t="n"/>
    </row>
    <row r="6576">
      <c r="C6576" s="1" t="n"/>
    </row>
    <row r="6577">
      <c r="C6577" s="1" t="n"/>
    </row>
    <row r="6578">
      <c r="C6578" s="1" t="n"/>
    </row>
    <row r="6579">
      <c r="C6579" s="1" t="n"/>
    </row>
    <row r="6580">
      <c r="C6580" s="1" t="n"/>
    </row>
    <row r="6581">
      <c r="C6581" s="1" t="n"/>
    </row>
    <row r="6582">
      <c r="C6582" s="1" t="n"/>
    </row>
    <row r="6583">
      <c r="C6583" s="1" t="n"/>
    </row>
    <row r="6584">
      <c r="C6584" s="1" t="n"/>
    </row>
    <row r="6585">
      <c r="C6585" s="1" t="n"/>
    </row>
    <row r="6586">
      <c r="C6586" s="1" t="n"/>
    </row>
    <row r="6587">
      <c r="C6587" s="1" t="n"/>
    </row>
    <row r="6588">
      <c r="C6588" s="1" t="n"/>
    </row>
    <row r="6589">
      <c r="C6589" s="1" t="n"/>
    </row>
    <row r="6590">
      <c r="C6590" s="1" t="n"/>
    </row>
    <row r="6591">
      <c r="C6591" s="1" t="n"/>
    </row>
    <row r="6592">
      <c r="C6592" s="1" t="n"/>
    </row>
    <row r="6593">
      <c r="C6593" s="1" t="n"/>
    </row>
    <row r="6594">
      <c r="C6594" s="1" t="n"/>
    </row>
    <row r="6595">
      <c r="C6595" s="1" t="n"/>
    </row>
    <row r="6596">
      <c r="C6596" s="1" t="n"/>
    </row>
    <row r="6597">
      <c r="C6597" s="1" t="n"/>
    </row>
    <row r="6598">
      <c r="C6598" s="1" t="n"/>
    </row>
    <row r="6599">
      <c r="C6599" s="1" t="n"/>
    </row>
    <row r="6600">
      <c r="C6600" s="1" t="n"/>
    </row>
    <row r="6601">
      <c r="C6601" s="1" t="n"/>
    </row>
    <row r="6602">
      <c r="C6602" s="1" t="n"/>
    </row>
    <row r="6603">
      <c r="C6603" s="1" t="n"/>
    </row>
    <row r="6604">
      <c r="C6604" s="1" t="n"/>
    </row>
    <row r="6605">
      <c r="C6605" s="1" t="n"/>
    </row>
    <row r="6606">
      <c r="C6606" s="1" t="n"/>
    </row>
    <row r="6607">
      <c r="C6607" s="1" t="n"/>
    </row>
    <row r="6608">
      <c r="C6608" s="1" t="n"/>
    </row>
    <row r="6609">
      <c r="C6609" s="1" t="n"/>
    </row>
    <row r="6610">
      <c r="C6610" s="1" t="n"/>
    </row>
    <row r="6611">
      <c r="C6611" s="1" t="n"/>
    </row>
    <row r="6612">
      <c r="C6612" s="1" t="n"/>
    </row>
    <row r="6613">
      <c r="C6613" s="1" t="n"/>
    </row>
    <row r="6614">
      <c r="C6614" s="1" t="n"/>
    </row>
    <row r="6615">
      <c r="C6615" s="1" t="n"/>
    </row>
    <row r="6616">
      <c r="C6616" s="1" t="n"/>
    </row>
    <row r="6617">
      <c r="C6617" s="1" t="n"/>
    </row>
    <row r="6618">
      <c r="C6618" s="1" t="n"/>
    </row>
    <row r="6619">
      <c r="C6619" s="1" t="n"/>
    </row>
    <row r="6620">
      <c r="C6620" s="1" t="n"/>
    </row>
    <row r="6621">
      <c r="C6621" s="1" t="n"/>
    </row>
    <row r="6622">
      <c r="C6622" s="1" t="n"/>
    </row>
    <row r="6623">
      <c r="C6623" s="1" t="n"/>
    </row>
    <row r="6624">
      <c r="C6624" s="1" t="n"/>
    </row>
    <row r="6625">
      <c r="C6625" s="1" t="n"/>
    </row>
    <row r="6626">
      <c r="C6626" s="1" t="n"/>
    </row>
    <row r="6627">
      <c r="C6627" s="1" t="n"/>
    </row>
    <row r="6628">
      <c r="C6628" s="1" t="n"/>
    </row>
    <row r="6629">
      <c r="C6629" s="1" t="n"/>
    </row>
    <row r="6630">
      <c r="C6630" s="1" t="n"/>
    </row>
    <row r="6631">
      <c r="C6631" s="1" t="n"/>
    </row>
    <row r="6632">
      <c r="C6632" s="1" t="n"/>
    </row>
    <row r="6633">
      <c r="C6633" s="1" t="n"/>
    </row>
    <row r="6634">
      <c r="C6634" s="1" t="n"/>
    </row>
    <row r="6635">
      <c r="C6635" s="1" t="n"/>
    </row>
    <row r="6636">
      <c r="C6636" s="1" t="n"/>
    </row>
    <row r="6637">
      <c r="C6637" s="1" t="n"/>
    </row>
    <row r="6638">
      <c r="C6638" s="1" t="n"/>
    </row>
    <row r="6639">
      <c r="C6639" s="1" t="n"/>
    </row>
    <row r="6640">
      <c r="C6640" s="1" t="n"/>
    </row>
    <row r="6641">
      <c r="C6641" s="1" t="n"/>
    </row>
    <row r="6642">
      <c r="C6642" s="1" t="n"/>
    </row>
    <row r="6643">
      <c r="C6643" s="1" t="n"/>
    </row>
    <row r="6644">
      <c r="C6644" s="1" t="n"/>
    </row>
    <row r="6645">
      <c r="C6645" s="1" t="n"/>
    </row>
    <row r="6646">
      <c r="C6646" s="1" t="n"/>
    </row>
    <row r="6647">
      <c r="C6647" s="1" t="n"/>
    </row>
    <row r="6648">
      <c r="C6648" s="1" t="n"/>
    </row>
    <row r="6649">
      <c r="C6649" s="1" t="n"/>
    </row>
    <row r="6650">
      <c r="C6650" s="1" t="n"/>
    </row>
    <row r="6651">
      <c r="C6651" s="1" t="n"/>
    </row>
    <row r="6652">
      <c r="C6652" s="1" t="n"/>
    </row>
    <row r="6653">
      <c r="C6653" s="1" t="n"/>
    </row>
    <row r="6654">
      <c r="C6654" s="1" t="n"/>
    </row>
    <row r="6655">
      <c r="C6655" s="1" t="n"/>
    </row>
    <row r="6656">
      <c r="C6656" s="1" t="n"/>
    </row>
    <row r="6657">
      <c r="C6657" s="1" t="n"/>
    </row>
    <row r="6658">
      <c r="C6658" s="1" t="n"/>
    </row>
    <row r="6659">
      <c r="C6659" s="1" t="n"/>
    </row>
    <row r="6660">
      <c r="C6660" s="1" t="n"/>
    </row>
    <row r="6661">
      <c r="C6661" s="1" t="n"/>
    </row>
    <row r="6662">
      <c r="C6662" s="1" t="n"/>
    </row>
    <row r="6663">
      <c r="C6663" s="1" t="n"/>
    </row>
    <row r="6664">
      <c r="C6664" s="1" t="n"/>
    </row>
    <row r="6665">
      <c r="C6665" s="1" t="n"/>
    </row>
    <row r="6666">
      <c r="C6666" s="1" t="n"/>
    </row>
    <row r="6667">
      <c r="C6667" s="1" t="n"/>
    </row>
    <row r="6668">
      <c r="C6668" s="1" t="n"/>
    </row>
    <row r="6669">
      <c r="C6669" s="1" t="n"/>
    </row>
    <row r="6670">
      <c r="C6670" s="1" t="n"/>
    </row>
    <row r="6671">
      <c r="C6671" s="1" t="n"/>
    </row>
    <row r="6672">
      <c r="C6672" s="1" t="n"/>
    </row>
    <row r="6673">
      <c r="C6673" s="1" t="n"/>
    </row>
    <row r="6674">
      <c r="C6674" s="1" t="n"/>
    </row>
    <row r="6675">
      <c r="C6675" s="1" t="n"/>
    </row>
    <row r="6676">
      <c r="C6676" s="1" t="n"/>
    </row>
    <row r="6677">
      <c r="C6677" s="1" t="n"/>
    </row>
    <row r="6678">
      <c r="C6678" s="1" t="n"/>
    </row>
    <row r="6679">
      <c r="C6679" s="1" t="n"/>
    </row>
    <row r="6680">
      <c r="C6680" s="1" t="n"/>
    </row>
    <row r="6681">
      <c r="C6681" s="1" t="n"/>
    </row>
    <row r="6682">
      <c r="C6682" s="1" t="n"/>
    </row>
    <row r="6683">
      <c r="C6683" s="1" t="n"/>
    </row>
    <row r="6684">
      <c r="C6684" s="1" t="n"/>
    </row>
    <row r="6685">
      <c r="C6685" s="1" t="n"/>
    </row>
    <row r="6686">
      <c r="C6686" s="1" t="n"/>
    </row>
    <row r="6687">
      <c r="C6687" s="1" t="n"/>
    </row>
    <row r="6688">
      <c r="C6688" s="1" t="n"/>
    </row>
    <row r="6689">
      <c r="C6689" s="1" t="n"/>
    </row>
    <row r="6690">
      <c r="C6690" s="1" t="n"/>
    </row>
    <row r="6691">
      <c r="C6691" s="1" t="n"/>
    </row>
    <row r="6692">
      <c r="C6692" s="1" t="n"/>
    </row>
    <row r="6693">
      <c r="C6693" s="1" t="n"/>
    </row>
    <row r="6694">
      <c r="C6694" s="1" t="n"/>
    </row>
    <row r="6695">
      <c r="C6695" s="1" t="n"/>
    </row>
    <row r="6696">
      <c r="C6696" s="1" t="n"/>
    </row>
    <row r="6697">
      <c r="C6697" s="1" t="n"/>
    </row>
    <row r="6698">
      <c r="C6698" s="1" t="n"/>
    </row>
    <row r="6699">
      <c r="C6699" s="1" t="n"/>
    </row>
    <row r="6700">
      <c r="C6700" s="1" t="n"/>
    </row>
    <row r="6701">
      <c r="C6701" s="1" t="n"/>
    </row>
    <row r="6702">
      <c r="C6702" s="1" t="n"/>
    </row>
    <row r="6703">
      <c r="C6703" s="1" t="n"/>
    </row>
    <row r="6704">
      <c r="C6704" s="1" t="n"/>
    </row>
    <row r="6705">
      <c r="C6705" s="1" t="n"/>
    </row>
    <row r="6706">
      <c r="C6706" s="1" t="n"/>
    </row>
    <row r="6707">
      <c r="C6707" s="1" t="n"/>
    </row>
    <row r="6708">
      <c r="C6708" s="1" t="n"/>
    </row>
    <row r="6709">
      <c r="C6709" s="1" t="n"/>
    </row>
    <row r="6710">
      <c r="C6710" s="1" t="n"/>
    </row>
    <row r="6711">
      <c r="C6711" s="1" t="n"/>
    </row>
    <row r="6712">
      <c r="C6712" s="1" t="n"/>
    </row>
    <row r="6713">
      <c r="C6713" s="1" t="n"/>
    </row>
    <row r="6714">
      <c r="C6714" s="1" t="n"/>
    </row>
    <row r="6715">
      <c r="C6715" s="1" t="n"/>
    </row>
    <row r="6716">
      <c r="C6716" s="1" t="n"/>
    </row>
    <row r="6717">
      <c r="C6717" s="1" t="n"/>
    </row>
    <row r="6718">
      <c r="C6718" s="1" t="n"/>
    </row>
    <row r="6719">
      <c r="C6719" s="1" t="n"/>
    </row>
    <row r="6720">
      <c r="C6720" s="1" t="n"/>
    </row>
    <row r="6721">
      <c r="C6721" s="1" t="n"/>
    </row>
    <row r="6722">
      <c r="C6722" s="1" t="n"/>
    </row>
    <row r="6723">
      <c r="C6723" s="1" t="n"/>
    </row>
    <row r="6724">
      <c r="C6724" s="1" t="n"/>
    </row>
    <row r="6725">
      <c r="C6725" s="1" t="n"/>
    </row>
    <row r="6726">
      <c r="C6726" s="1" t="n"/>
    </row>
    <row r="6727">
      <c r="C6727" s="1" t="n"/>
    </row>
    <row r="6728">
      <c r="C6728" s="1" t="n"/>
    </row>
    <row r="6729">
      <c r="C6729" s="1" t="n"/>
    </row>
    <row r="6730">
      <c r="C6730" s="1" t="n"/>
    </row>
    <row r="6731">
      <c r="C6731" s="1" t="n"/>
    </row>
    <row r="6732">
      <c r="C6732" s="1" t="n"/>
    </row>
    <row r="6733">
      <c r="C6733" s="1" t="n"/>
    </row>
    <row r="6734">
      <c r="C6734" s="1" t="n"/>
    </row>
    <row r="6735">
      <c r="C6735" s="1" t="n"/>
    </row>
    <row r="6736">
      <c r="C6736" s="1" t="n"/>
    </row>
    <row r="6737">
      <c r="C6737" s="1" t="n"/>
    </row>
    <row r="6738">
      <c r="C6738" s="1" t="n"/>
    </row>
    <row r="6739">
      <c r="C6739" s="1" t="n"/>
    </row>
    <row r="6740">
      <c r="C6740" s="1" t="n"/>
    </row>
    <row r="6741">
      <c r="C6741" s="1" t="n"/>
    </row>
    <row r="6742">
      <c r="C6742" s="1" t="n"/>
    </row>
    <row r="6743">
      <c r="C6743" s="1" t="n"/>
    </row>
    <row r="6744">
      <c r="C6744" s="1" t="n"/>
    </row>
    <row r="6745">
      <c r="C6745" s="1" t="n"/>
    </row>
    <row r="6746">
      <c r="C6746" s="1" t="n"/>
    </row>
    <row r="6747">
      <c r="C6747" s="1" t="n"/>
    </row>
    <row r="6748">
      <c r="C6748" s="1" t="n"/>
    </row>
    <row r="6749">
      <c r="C6749" s="1" t="n"/>
    </row>
    <row r="6750">
      <c r="C6750" s="1" t="n"/>
    </row>
    <row r="6751">
      <c r="C6751" s="1" t="n"/>
    </row>
    <row r="6752">
      <c r="C6752" s="1" t="n"/>
    </row>
    <row r="6753">
      <c r="C6753" s="1" t="n"/>
    </row>
    <row r="6754">
      <c r="C6754" s="1" t="n"/>
    </row>
    <row r="6755">
      <c r="C6755" s="1" t="n"/>
    </row>
    <row r="6756">
      <c r="C6756" s="1" t="n"/>
    </row>
    <row r="6757">
      <c r="C6757" s="1" t="n"/>
    </row>
    <row r="6758">
      <c r="C6758" s="1" t="n"/>
    </row>
    <row r="6759">
      <c r="C6759" s="1" t="n"/>
    </row>
    <row r="6760">
      <c r="C6760" s="1" t="n"/>
    </row>
    <row r="6761">
      <c r="C6761" s="1" t="n"/>
    </row>
    <row r="6762">
      <c r="C6762" s="1" t="n"/>
    </row>
    <row r="6763">
      <c r="C6763" s="1" t="n"/>
    </row>
    <row r="6764">
      <c r="C6764" s="1" t="n"/>
    </row>
    <row r="6765">
      <c r="C6765" s="1" t="n"/>
    </row>
    <row r="6766">
      <c r="C6766" s="1" t="n"/>
    </row>
    <row r="6767">
      <c r="C6767" s="1" t="n"/>
    </row>
    <row r="6768">
      <c r="C6768" s="1" t="n"/>
    </row>
    <row r="6769">
      <c r="C6769" s="1" t="n"/>
    </row>
    <row r="6770">
      <c r="C6770" s="1" t="n"/>
    </row>
    <row r="6771">
      <c r="C6771" s="1" t="n"/>
    </row>
    <row r="6772">
      <c r="C6772" s="1" t="n"/>
    </row>
    <row r="6773">
      <c r="C6773" s="1" t="n"/>
    </row>
    <row r="6774">
      <c r="C6774" s="1" t="n"/>
    </row>
    <row r="6775">
      <c r="C6775" s="1" t="n"/>
    </row>
    <row r="6776">
      <c r="C6776" s="1" t="n"/>
    </row>
    <row r="6777">
      <c r="C6777" s="1" t="n"/>
    </row>
    <row r="6778">
      <c r="C6778" s="1" t="n"/>
    </row>
    <row r="6779">
      <c r="C6779" s="1" t="n"/>
    </row>
    <row r="6780">
      <c r="C6780" s="1" t="n"/>
    </row>
    <row r="6781">
      <c r="C6781" s="1" t="n"/>
    </row>
    <row r="6782">
      <c r="C6782" s="1" t="n"/>
    </row>
    <row r="6783">
      <c r="C6783" s="1" t="n"/>
    </row>
    <row r="6784">
      <c r="C6784" s="1" t="n"/>
    </row>
    <row r="6785">
      <c r="C6785" s="1" t="n"/>
    </row>
    <row r="6786">
      <c r="C6786" s="1" t="n"/>
    </row>
    <row r="6787">
      <c r="C6787" s="1" t="n"/>
    </row>
    <row r="6788">
      <c r="C6788" s="1" t="n"/>
    </row>
    <row r="6789">
      <c r="C6789" s="1" t="n"/>
    </row>
    <row r="6790">
      <c r="C6790" s="1" t="n"/>
    </row>
    <row r="6791">
      <c r="C6791" s="1" t="n"/>
    </row>
    <row r="6792">
      <c r="C6792" s="1" t="n"/>
    </row>
    <row r="6793">
      <c r="C6793" s="1" t="n"/>
    </row>
    <row r="6794">
      <c r="C6794" s="1" t="n"/>
    </row>
    <row r="6795">
      <c r="C6795" s="1" t="n"/>
    </row>
    <row r="6796">
      <c r="C6796" s="1" t="n"/>
    </row>
    <row r="6797">
      <c r="C6797" s="1" t="n"/>
    </row>
    <row r="6798">
      <c r="C6798" s="1" t="n"/>
    </row>
    <row r="6799">
      <c r="C6799" s="1" t="n"/>
    </row>
    <row r="6800">
      <c r="C6800" s="1" t="n"/>
    </row>
    <row r="6801">
      <c r="C6801" s="1" t="n"/>
    </row>
    <row r="6802">
      <c r="C6802" s="1" t="n"/>
    </row>
    <row r="6803">
      <c r="C6803" s="1" t="n"/>
    </row>
    <row r="6804">
      <c r="C6804" s="1" t="n"/>
    </row>
    <row r="6805">
      <c r="C6805" s="1" t="n"/>
    </row>
    <row r="6806">
      <c r="C6806" s="1" t="n"/>
    </row>
    <row r="6807">
      <c r="C6807" s="1" t="n"/>
    </row>
    <row r="6808">
      <c r="C6808" s="1" t="n"/>
    </row>
    <row r="6809">
      <c r="C6809" s="1" t="n"/>
    </row>
    <row r="6810">
      <c r="C6810" s="1" t="n"/>
    </row>
    <row r="6811">
      <c r="C6811" s="1" t="n"/>
    </row>
    <row r="6812">
      <c r="C6812" s="1" t="n"/>
    </row>
    <row r="6813">
      <c r="C6813" s="1" t="n"/>
    </row>
    <row r="6814">
      <c r="C6814" s="1" t="n"/>
    </row>
    <row r="6815">
      <c r="C6815" s="1" t="n"/>
    </row>
    <row r="6816">
      <c r="C6816" s="1" t="n"/>
    </row>
    <row r="6817">
      <c r="C6817" s="1" t="n"/>
    </row>
    <row r="6818">
      <c r="C6818" s="1" t="n"/>
    </row>
    <row r="6819">
      <c r="C6819" s="1" t="n"/>
    </row>
    <row r="6820">
      <c r="C6820" s="1" t="n"/>
    </row>
    <row r="6821">
      <c r="C6821" s="1" t="n"/>
    </row>
    <row r="6822">
      <c r="C6822" s="1" t="n"/>
    </row>
    <row r="6823">
      <c r="C6823" s="1" t="n"/>
    </row>
    <row r="6824">
      <c r="C6824" s="1" t="n"/>
    </row>
    <row r="6825">
      <c r="C6825" s="1" t="n"/>
    </row>
    <row r="6826">
      <c r="C6826" s="1" t="n"/>
    </row>
    <row r="6827">
      <c r="C6827" s="1" t="n"/>
    </row>
    <row r="6828">
      <c r="C6828" s="1" t="n"/>
    </row>
    <row r="6829">
      <c r="C6829" s="1" t="n"/>
    </row>
    <row r="6830">
      <c r="C6830" s="1" t="n"/>
    </row>
    <row r="6831">
      <c r="C6831" s="1" t="n"/>
    </row>
    <row r="6832">
      <c r="C6832" s="1" t="n"/>
    </row>
    <row r="6833">
      <c r="C6833" s="1" t="n"/>
    </row>
    <row r="6834">
      <c r="C6834" s="1" t="n"/>
    </row>
    <row r="6835">
      <c r="C6835" s="1" t="n"/>
    </row>
    <row r="6836">
      <c r="C6836" s="1" t="n"/>
    </row>
    <row r="6837">
      <c r="C6837" s="1" t="n"/>
    </row>
    <row r="6838">
      <c r="C6838" s="1" t="n"/>
    </row>
    <row r="6839">
      <c r="C6839" s="1" t="n"/>
    </row>
    <row r="6840">
      <c r="C6840" s="1" t="n"/>
    </row>
    <row r="6841">
      <c r="C6841" s="1" t="n"/>
    </row>
    <row r="6842">
      <c r="C6842" s="1" t="n"/>
    </row>
    <row r="6843">
      <c r="C6843" s="1" t="n"/>
    </row>
    <row r="6844">
      <c r="C6844" s="1" t="n"/>
    </row>
    <row r="6845">
      <c r="C6845" s="1" t="n"/>
    </row>
    <row r="6846">
      <c r="C6846" s="1" t="n"/>
    </row>
    <row r="6847">
      <c r="C6847" s="1" t="n"/>
    </row>
    <row r="6848">
      <c r="C6848" s="1" t="n"/>
    </row>
    <row r="6849">
      <c r="C6849" s="1" t="n"/>
    </row>
    <row r="6850">
      <c r="C6850" s="1" t="n"/>
    </row>
    <row r="6851">
      <c r="C6851" s="1" t="n"/>
    </row>
    <row r="6852">
      <c r="C6852" s="1" t="n"/>
    </row>
    <row r="6853">
      <c r="C6853" s="1" t="n"/>
    </row>
    <row r="6854">
      <c r="C6854" s="1" t="n"/>
    </row>
    <row r="6855">
      <c r="C6855" s="1" t="n"/>
    </row>
    <row r="6856">
      <c r="C6856" s="1" t="n"/>
    </row>
    <row r="6857">
      <c r="C6857" s="1" t="n"/>
    </row>
    <row r="6858">
      <c r="C6858" s="1" t="n"/>
    </row>
    <row r="6859">
      <c r="C6859" s="1" t="n"/>
    </row>
    <row r="6860">
      <c r="C6860" s="1" t="n"/>
    </row>
    <row r="6861">
      <c r="C6861" s="1" t="n"/>
    </row>
    <row r="6862">
      <c r="C6862" s="1" t="n"/>
    </row>
    <row r="6863">
      <c r="C6863" s="1" t="n"/>
    </row>
    <row r="6864">
      <c r="C6864" s="1" t="n"/>
    </row>
    <row r="6865">
      <c r="C6865" s="1" t="n"/>
    </row>
    <row r="6866">
      <c r="C6866" s="1" t="n"/>
    </row>
    <row r="6867">
      <c r="C6867" s="1" t="n"/>
    </row>
    <row r="6868">
      <c r="C6868" s="1" t="n"/>
    </row>
    <row r="6869">
      <c r="C6869" s="1" t="n"/>
    </row>
    <row r="6870">
      <c r="C6870" s="1" t="n"/>
    </row>
    <row r="6871">
      <c r="C6871" s="1" t="n"/>
    </row>
    <row r="6872">
      <c r="C6872" s="1" t="n"/>
    </row>
    <row r="6873">
      <c r="C6873" s="1" t="n"/>
    </row>
    <row r="6874">
      <c r="C6874" s="1" t="n"/>
    </row>
    <row r="6875">
      <c r="C6875" s="1" t="n"/>
    </row>
    <row r="6876">
      <c r="C6876" s="1" t="n"/>
    </row>
    <row r="6877">
      <c r="C6877" s="1" t="n"/>
    </row>
    <row r="6878">
      <c r="C6878" s="1" t="n"/>
    </row>
    <row r="6879">
      <c r="C6879" s="1" t="n"/>
    </row>
    <row r="6880">
      <c r="C6880" s="1" t="n"/>
    </row>
    <row r="6881">
      <c r="C6881" s="1" t="n"/>
    </row>
    <row r="6882">
      <c r="C6882" s="1" t="n"/>
    </row>
    <row r="6883">
      <c r="C6883" s="1" t="n"/>
    </row>
    <row r="6884">
      <c r="C6884" s="1" t="n"/>
    </row>
    <row r="6885">
      <c r="C6885" s="1" t="n"/>
    </row>
    <row r="6886">
      <c r="C6886" s="1" t="n"/>
    </row>
    <row r="6887">
      <c r="C6887" s="1" t="n"/>
    </row>
    <row r="6888">
      <c r="C6888" s="1" t="n"/>
    </row>
    <row r="6889">
      <c r="C6889" s="1" t="n"/>
    </row>
    <row r="6890">
      <c r="C6890" s="1" t="n"/>
    </row>
    <row r="6891">
      <c r="C6891" s="1" t="n"/>
    </row>
    <row r="6892">
      <c r="C6892" s="1" t="n"/>
    </row>
    <row r="6893">
      <c r="C6893" s="1" t="n"/>
    </row>
    <row r="6894">
      <c r="C6894" s="1" t="n"/>
    </row>
    <row r="6895">
      <c r="C6895" s="1" t="n"/>
    </row>
    <row r="6896">
      <c r="C6896" s="1" t="n"/>
    </row>
    <row r="6897">
      <c r="C6897" s="1" t="n"/>
    </row>
    <row r="6898">
      <c r="C6898" s="1" t="n"/>
    </row>
    <row r="6899">
      <c r="C6899" s="1" t="n"/>
    </row>
    <row r="6900">
      <c r="C6900" s="1" t="n"/>
    </row>
    <row r="6901">
      <c r="C6901" s="1" t="n"/>
    </row>
    <row r="6902">
      <c r="C6902" s="1" t="n"/>
    </row>
    <row r="6903">
      <c r="C6903" s="1" t="n"/>
    </row>
    <row r="6904">
      <c r="C6904" s="1" t="n"/>
    </row>
    <row r="6905">
      <c r="C6905" s="1" t="n"/>
    </row>
    <row r="6906">
      <c r="C6906" s="1" t="n"/>
    </row>
    <row r="6907">
      <c r="C6907" s="1" t="n"/>
    </row>
    <row r="6908">
      <c r="C6908" s="1" t="n"/>
    </row>
    <row r="6909">
      <c r="C6909" s="1" t="n"/>
    </row>
    <row r="6910">
      <c r="C6910" s="1" t="n"/>
    </row>
    <row r="6911">
      <c r="C6911" s="1" t="n"/>
    </row>
    <row r="6912">
      <c r="C6912" s="1" t="n"/>
    </row>
    <row r="6913">
      <c r="C6913" s="1" t="n"/>
    </row>
    <row r="6914">
      <c r="C6914" s="1" t="n"/>
    </row>
    <row r="6915">
      <c r="C6915" s="1" t="n"/>
    </row>
    <row r="6916">
      <c r="C6916" s="1" t="n"/>
    </row>
    <row r="6917">
      <c r="C6917" s="1" t="n"/>
    </row>
    <row r="6918">
      <c r="C6918" s="1" t="n"/>
    </row>
    <row r="6919">
      <c r="C6919" s="1" t="n"/>
    </row>
    <row r="6920">
      <c r="C6920" s="1" t="n"/>
    </row>
    <row r="6921">
      <c r="C6921" s="1" t="n"/>
    </row>
    <row r="6922">
      <c r="C6922" s="1" t="n"/>
    </row>
    <row r="6923">
      <c r="C6923" s="1" t="n"/>
    </row>
    <row r="6924">
      <c r="C6924" s="1" t="n"/>
    </row>
    <row r="6925">
      <c r="C6925" s="1" t="n"/>
    </row>
    <row r="6926">
      <c r="C6926" s="1" t="n"/>
    </row>
    <row r="6927">
      <c r="C6927" s="1" t="n"/>
    </row>
    <row r="6928">
      <c r="C6928" s="1" t="n"/>
    </row>
    <row r="6929">
      <c r="C6929" s="1" t="n"/>
    </row>
    <row r="6930">
      <c r="C6930" s="1" t="n"/>
    </row>
    <row r="6931">
      <c r="C6931" s="1" t="n"/>
    </row>
    <row r="6932">
      <c r="C6932" s="1" t="n"/>
    </row>
    <row r="6933">
      <c r="C6933" s="1" t="n"/>
    </row>
    <row r="6934">
      <c r="C6934" s="1" t="n"/>
    </row>
    <row r="6935">
      <c r="C6935" s="1" t="n"/>
    </row>
    <row r="6936">
      <c r="C6936" s="1" t="n"/>
    </row>
    <row r="6937">
      <c r="C6937" s="1" t="n"/>
    </row>
    <row r="6938">
      <c r="C6938" s="1" t="n"/>
    </row>
    <row r="6939">
      <c r="C6939" s="1" t="n"/>
    </row>
    <row r="6940">
      <c r="C6940" s="1" t="n"/>
    </row>
    <row r="6941">
      <c r="C6941" s="1" t="n"/>
    </row>
    <row r="6942">
      <c r="C6942" s="1" t="n"/>
    </row>
    <row r="6943">
      <c r="C6943" s="1" t="n"/>
    </row>
    <row r="6944">
      <c r="C6944" s="1" t="n"/>
    </row>
    <row r="6945">
      <c r="C6945" s="1" t="n"/>
    </row>
    <row r="6946">
      <c r="C6946" s="1" t="n"/>
    </row>
    <row r="6947">
      <c r="C6947" s="1" t="n"/>
    </row>
    <row r="6948">
      <c r="C6948" s="1" t="n"/>
    </row>
    <row r="6949">
      <c r="C6949" s="1" t="n"/>
    </row>
    <row r="6950">
      <c r="C6950" s="1" t="n"/>
    </row>
    <row r="6951">
      <c r="C6951" s="1" t="n"/>
    </row>
    <row r="6952">
      <c r="C6952" s="1" t="n"/>
    </row>
    <row r="6953">
      <c r="C6953" s="1" t="n"/>
    </row>
    <row r="6954">
      <c r="C6954" s="1" t="n"/>
    </row>
    <row r="6955">
      <c r="C6955" s="1" t="n"/>
    </row>
    <row r="6956">
      <c r="C6956" s="1" t="n"/>
    </row>
    <row r="6957">
      <c r="C6957" s="1" t="n"/>
    </row>
    <row r="6958">
      <c r="C6958" s="1" t="n"/>
    </row>
    <row r="6959">
      <c r="C6959" s="1" t="n"/>
    </row>
    <row r="6960">
      <c r="C6960" s="1" t="n"/>
    </row>
    <row r="6961">
      <c r="C6961" s="1" t="n"/>
    </row>
    <row r="6962">
      <c r="C6962" s="1" t="n"/>
    </row>
    <row r="6963">
      <c r="C6963" s="1" t="n"/>
    </row>
    <row r="6964">
      <c r="C6964" s="1" t="n"/>
    </row>
    <row r="6965">
      <c r="C6965" s="1" t="n"/>
    </row>
    <row r="6966">
      <c r="C6966" s="1" t="n"/>
    </row>
    <row r="6967">
      <c r="C6967" s="1" t="n"/>
    </row>
    <row r="6968">
      <c r="C6968" s="1" t="n"/>
    </row>
    <row r="6969">
      <c r="C6969" s="1" t="n"/>
    </row>
    <row r="6970">
      <c r="C6970" s="1" t="n"/>
    </row>
    <row r="6971">
      <c r="C6971" s="1" t="n"/>
    </row>
    <row r="6972">
      <c r="C6972" s="1" t="n"/>
    </row>
    <row r="6973">
      <c r="C6973" s="1" t="n"/>
    </row>
    <row r="6974">
      <c r="C6974" s="1" t="n"/>
    </row>
    <row r="6975">
      <c r="C6975" s="1" t="n"/>
    </row>
    <row r="6976">
      <c r="C6976" s="1" t="n"/>
    </row>
    <row r="6977">
      <c r="C6977" s="1" t="n"/>
    </row>
    <row r="6978">
      <c r="C6978" s="1" t="n"/>
    </row>
    <row r="6979">
      <c r="C6979" s="1" t="n"/>
    </row>
    <row r="6980">
      <c r="C6980" s="1" t="n"/>
    </row>
    <row r="6981">
      <c r="C6981" s="1" t="n"/>
    </row>
    <row r="6982">
      <c r="C6982" s="1" t="n"/>
    </row>
    <row r="6983">
      <c r="C6983" s="1" t="n"/>
    </row>
    <row r="6984">
      <c r="C6984" s="1" t="n"/>
    </row>
    <row r="6985">
      <c r="C6985" s="1" t="n"/>
    </row>
    <row r="6986">
      <c r="C6986" s="1" t="n"/>
    </row>
    <row r="6987">
      <c r="C6987" s="1" t="n"/>
    </row>
    <row r="6988">
      <c r="C6988" s="1" t="n"/>
    </row>
    <row r="6989">
      <c r="C6989" s="1" t="n"/>
    </row>
    <row r="6990">
      <c r="C6990" s="1" t="n"/>
    </row>
    <row r="6991">
      <c r="C6991" s="1" t="n"/>
    </row>
    <row r="6992">
      <c r="C6992" s="1" t="n"/>
    </row>
    <row r="6993">
      <c r="C6993" s="1" t="n"/>
    </row>
    <row r="6994">
      <c r="C6994" s="1" t="n"/>
    </row>
    <row r="6995">
      <c r="C6995" s="1" t="n"/>
    </row>
    <row r="6996">
      <c r="C6996" s="1" t="n"/>
    </row>
    <row r="6997">
      <c r="C6997" s="1" t="n"/>
    </row>
    <row r="6998">
      <c r="C6998" s="1" t="n"/>
    </row>
    <row r="6999">
      <c r="C6999" s="1" t="n"/>
    </row>
    <row r="7000">
      <c r="C7000" s="1" t="n"/>
    </row>
    <row r="7001">
      <c r="C7001" s="1" t="n"/>
    </row>
    <row r="7002">
      <c r="C7002" s="1" t="n"/>
    </row>
    <row r="7003">
      <c r="C7003" s="1" t="n"/>
    </row>
    <row r="7004">
      <c r="C7004" s="1" t="n"/>
    </row>
    <row r="7005">
      <c r="C7005" s="1" t="n"/>
    </row>
    <row r="7006">
      <c r="C7006" s="1" t="n"/>
    </row>
    <row r="7007">
      <c r="C7007" s="1" t="n"/>
    </row>
    <row r="7008">
      <c r="C7008" s="1" t="n"/>
    </row>
    <row r="7009">
      <c r="C7009" s="1" t="n"/>
    </row>
    <row r="7010">
      <c r="C7010" s="1" t="n"/>
    </row>
    <row r="7011">
      <c r="C7011" s="1" t="n"/>
    </row>
    <row r="7012">
      <c r="C7012" s="1" t="n"/>
    </row>
    <row r="7013">
      <c r="C7013" s="1" t="n"/>
    </row>
    <row r="7014">
      <c r="C7014" s="1" t="n"/>
    </row>
    <row r="7015">
      <c r="C7015" s="1" t="n"/>
    </row>
    <row r="7016">
      <c r="C7016" s="1" t="n"/>
    </row>
    <row r="7017">
      <c r="C7017" s="1" t="n"/>
    </row>
    <row r="7018">
      <c r="C7018" s="1" t="n"/>
    </row>
    <row r="7019">
      <c r="C7019" s="1" t="n"/>
    </row>
    <row r="7020">
      <c r="C7020" s="1" t="n"/>
    </row>
    <row r="7021">
      <c r="C7021" s="1" t="n"/>
    </row>
    <row r="7022">
      <c r="C7022" s="1" t="n"/>
    </row>
    <row r="7023">
      <c r="C7023" s="1" t="n"/>
    </row>
    <row r="7024">
      <c r="C7024" s="1" t="n"/>
    </row>
    <row r="7025">
      <c r="C7025" s="1" t="n"/>
    </row>
    <row r="7026">
      <c r="C7026" s="1" t="n"/>
    </row>
    <row r="7027">
      <c r="C7027" s="1" t="n"/>
    </row>
    <row r="7028">
      <c r="C7028" s="1" t="n"/>
    </row>
    <row r="7029">
      <c r="C7029" s="1" t="n"/>
    </row>
    <row r="7030">
      <c r="C7030" s="1" t="n"/>
    </row>
    <row r="7031">
      <c r="C7031" s="1" t="n"/>
    </row>
    <row r="7032">
      <c r="C7032" s="1" t="n"/>
    </row>
    <row r="7033">
      <c r="C7033" s="1" t="n"/>
    </row>
    <row r="7034">
      <c r="C7034" s="1" t="n"/>
    </row>
    <row r="7035">
      <c r="C7035" s="1" t="n"/>
    </row>
    <row r="7036">
      <c r="C7036" s="1" t="n"/>
    </row>
    <row r="7037">
      <c r="C7037" s="1" t="n"/>
    </row>
    <row r="7038">
      <c r="C7038" s="1" t="n"/>
    </row>
    <row r="7039">
      <c r="C7039" s="1" t="n"/>
    </row>
    <row r="7040">
      <c r="C7040" s="1" t="n"/>
    </row>
    <row r="7041">
      <c r="C7041" s="1" t="n"/>
    </row>
    <row r="7042">
      <c r="C7042" s="1" t="n"/>
    </row>
    <row r="7043">
      <c r="C7043" s="1" t="n"/>
    </row>
    <row r="7044">
      <c r="C7044" s="1" t="n"/>
    </row>
    <row r="7045">
      <c r="C7045" s="1" t="n"/>
    </row>
    <row r="7046">
      <c r="C7046" s="1" t="n"/>
    </row>
    <row r="7047">
      <c r="C7047" s="1" t="n"/>
    </row>
    <row r="7048">
      <c r="C7048" s="1" t="n"/>
    </row>
    <row r="7049">
      <c r="C7049" s="1" t="n"/>
    </row>
    <row r="7050">
      <c r="C7050" s="1" t="n"/>
    </row>
    <row r="7051">
      <c r="C7051" s="1" t="n"/>
    </row>
    <row r="7052">
      <c r="C7052" s="1" t="n"/>
    </row>
    <row r="7053">
      <c r="C7053" s="1" t="n"/>
    </row>
    <row r="7054">
      <c r="C7054" s="1" t="n"/>
    </row>
    <row r="7055">
      <c r="C7055" s="1" t="n"/>
    </row>
    <row r="7056">
      <c r="C7056" s="1" t="n"/>
    </row>
    <row r="7057">
      <c r="C7057" s="1" t="n"/>
    </row>
    <row r="7058">
      <c r="C7058" s="1" t="n"/>
    </row>
    <row r="7059">
      <c r="C7059" s="1" t="n"/>
    </row>
    <row r="7060">
      <c r="C7060" s="1" t="n"/>
    </row>
    <row r="7061">
      <c r="C7061" s="1" t="n"/>
    </row>
    <row r="7062">
      <c r="C7062" s="1" t="n"/>
    </row>
    <row r="7063">
      <c r="C7063" s="1" t="n"/>
    </row>
    <row r="7064">
      <c r="C7064" s="1" t="n"/>
    </row>
    <row r="7065">
      <c r="C7065" s="1" t="n"/>
    </row>
    <row r="7066">
      <c r="C7066" s="1" t="n"/>
    </row>
    <row r="7067">
      <c r="C7067" s="1" t="n"/>
    </row>
    <row r="7068">
      <c r="C7068" s="1" t="n"/>
    </row>
    <row r="7069">
      <c r="C7069" s="1" t="n"/>
    </row>
    <row r="7070">
      <c r="C7070" s="1" t="n"/>
    </row>
    <row r="7071">
      <c r="C7071" s="1" t="n"/>
    </row>
    <row r="7072">
      <c r="C7072" s="1" t="n"/>
    </row>
    <row r="7073">
      <c r="C7073" s="1" t="n"/>
    </row>
    <row r="7074">
      <c r="C7074" s="1" t="n"/>
    </row>
    <row r="7075">
      <c r="C7075" s="1" t="n"/>
    </row>
    <row r="7076">
      <c r="C7076" s="1" t="n"/>
    </row>
    <row r="7077">
      <c r="C7077" s="1" t="n"/>
    </row>
    <row r="7078">
      <c r="C7078" s="1" t="n"/>
    </row>
    <row r="7079">
      <c r="C7079" s="1" t="n"/>
    </row>
    <row r="7080">
      <c r="C7080" s="1" t="n"/>
    </row>
    <row r="7081">
      <c r="C7081" s="1" t="n"/>
    </row>
    <row r="7082">
      <c r="C7082" s="1" t="n"/>
    </row>
    <row r="7083">
      <c r="C7083" s="1" t="n"/>
    </row>
    <row r="7084">
      <c r="C7084" s="1" t="n"/>
    </row>
    <row r="7085">
      <c r="C7085" s="1" t="n"/>
    </row>
    <row r="7086">
      <c r="C7086" s="1" t="n"/>
    </row>
    <row r="7087">
      <c r="C7087" s="1" t="n"/>
    </row>
    <row r="7088">
      <c r="C7088" s="1" t="n"/>
    </row>
    <row r="7089">
      <c r="C7089" s="1" t="n"/>
    </row>
    <row r="7090">
      <c r="C7090" s="1" t="n"/>
    </row>
    <row r="7091">
      <c r="C7091" s="1" t="n"/>
    </row>
    <row r="7092">
      <c r="C7092" s="1" t="n"/>
    </row>
    <row r="7093">
      <c r="C7093" s="1" t="n"/>
    </row>
    <row r="7094">
      <c r="C7094" s="1" t="n"/>
    </row>
    <row r="7095">
      <c r="C7095" s="1" t="n"/>
    </row>
    <row r="7096">
      <c r="C7096" s="1" t="n"/>
    </row>
    <row r="7097">
      <c r="C7097" s="1" t="n"/>
    </row>
    <row r="7098">
      <c r="C7098" s="1" t="n"/>
    </row>
    <row r="7099">
      <c r="C7099" s="1" t="n"/>
    </row>
    <row r="7100">
      <c r="C7100" s="1" t="n"/>
    </row>
    <row r="7101">
      <c r="C7101" s="1" t="n"/>
    </row>
    <row r="7102">
      <c r="C7102" s="1" t="n"/>
    </row>
    <row r="7103">
      <c r="C7103" s="1" t="n"/>
    </row>
    <row r="7104">
      <c r="C7104" s="1" t="n"/>
    </row>
    <row r="7105">
      <c r="C7105" s="1" t="n"/>
    </row>
    <row r="7106">
      <c r="C7106" s="1" t="n"/>
    </row>
    <row r="7107">
      <c r="C7107" s="1" t="n"/>
    </row>
    <row r="7108">
      <c r="C7108" s="1" t="n"/>
    </row>
    <row r="7109">
      <c r="C7109" s="1" t="n"/>
    </row>
    <row r="7110">
      <c r="C7110" s="1" t="n"/>
    </row>
    <row r="7111">
      <c r="C7111" s="1" t="n"/>
    </row>
    <row r="7112">
      <c r="C7112" s="1" t="n"/>
    </row>
    <row r="7113">
      <c r="C7113" s="1" t="n"/>
    </row>
    <row r="7114">
      <c r="C7114" s="1" t="n"/>
    </row>
    <row r="7115">
      <c r="C7115" s="1" t="n"/>
    </row>
    <row r="7116">
      <c r="C7116" s="1" t="n"/>
    </row>
    <row r="7117">
      <c r="C7117" s="1" t="n"/>
    </row>
    <row r="7118">
      <c r="C7118" s="1" t="n"/>
    </row>
    <row r="7119">
      <c r="C7119" s="1" t="n"/>
    </row>
    <row r="7120">
      <c r="C7120" s="1" t="n"/>
    </row>
    <row r="7121">
      <c r="C7121" s="1" t="n"/>
    </row>
    <row r="7122">
      <c r="C7122" s="1" t="n"/>
    </row>
    <row r="7123">
      <c r="C7123" s="1" t="n"/>
    </row>
    <row r="7124">
      <c r="C7124" s="1" t="n"/>
    </row>
    <row r="7125">
      <c r="C7125" s="1" t="n"/>
    </row>
    <row r="7126">
      <c r="C7126" s="1" t="n"/>
    </row>
    <row r="7127">
      <c r="C7127" s="1" t="n"/>
    </row>
    <row r="7128">
      <c r="C7128" s="1" t="n"/>
    </row>
    <row r="7129">
      <c r="C7129" s="1" t="n"/>
    </row>
    <row r="7130">
      <c r="C7130" s="1" t="n"/>
    </row>
    <row r="7131">
      <c r="C7131" s="1" t="n"/>
    </row>
    <row r="7132">
      <c r="C7132" s="1" t="n"/>
    </row>
    <row r="7133">
      <c r="C7133" s="1" t="n"/>
    </row>
    <row r="7134">
      <c r="C7134" s="1" t="n"/>
    </row>
    <row r="7135">
      <c r="C7135" s="1" t="n"/>
    </row>
    <row r="7136">
      <c r="C7136" s="1" t="n"/>
    </row>
    <row r="7137">
      <c r="C7137" s="1" t="n"/>
    </row>
    <row r="7138">
      <c r="C7138" s="1" t="n"/>
    </row>
    <row r="7139">
      <c r="C7139" s="1" t="n"/>
    </row>
    <row r="7140">
      <c r="C7140" s="1" t="n"/>
    </row>
    <row r="7141">
      <c r="C7141" s="1" t="n"/>
    </row>
    <row r="7142">
      <c r="C7142" s="1" t="n"/>
    </row>
    <row r="7143">
      <c r="C7143" s="1" t="n"/>
    </row>
    <row r="7144">
      <c r="C7144" s="1" t="n"/>
    </row>
    <row r="7145">
      <c r="C7145" s="1" t="n"/>
    </row>
    <row r="7146">
      <c r="C7146" s="1" t="n"/>
    </row>
    <row r="7147">
      <c r="C7147" s="1" t="n"/>
    </row>
    <row r="7148">
      <c r="C7148" s="1" t="n"/>
    </row>
    <row r="7149">
      <c r="C7149" s="1" t="n"/>
    </row>
    <row r="7150">
      <c r="C7150" s="1" t="n"/>
    </row>
    <row r="7151">
      <c r="C7151" s="1" t="n"/>
    </row>
    <row r="7152">
      <c r="C7152" s="1" t="n"/>
    </row>
    <row r="7153">
      <c r="C7153" s="1" t="n"/>
    </row>
    <row r="7154">
      <c r="C7154" s="1" t="n"/>
    </row>
    <row r="7155">
      <c r="C7155" s="1" t="n"/>
    </row>
    <row r="7156">
      <c r="C7156" s="1" t="n"/>
    </row>
    <row r="7157">
      <c r="C7157" s="1" t="n"/>
    </row>
    <row r="7158">
      <c r="C7158" s="1" t="n"/>
    </row>
    <row r="7159">
      <c r="C7159" s="1" t="n"/>
    </row>
    <row r="7160">
      <c r="C7160" s="1" t="n"/>
    </row>
    <row r="7161">
      <c r="C7161" s="1" t="n"/>
    </row>
    <row r="7162">
      <c r="C7162" s="1" t="n"/>
    </row>
    <row r="7163">
      <c r="C7163" s="1" t="n"/>
    </row>
    <row r="7164">
      <c r="C7164" s="1" t="n"/>
    </row>
    <row r="7165">
      <c r="C7165" s="1" t="n"/>
    </row>
    <row r="7166">
      <c r="C7166" s="1" t="n"/>
    </row>
    <row r="7167">
      <c r="C7167" s="1" t="n"/>
    </row>
    <row r="7168">
      <c r="C7168" s="1" t="n"/>
    </row>
    <row r="7169">
      <c r="C7169" s="1" t="n"/>
    </row>
    <row r="7170">
      <c r="C7170" s="1" t="n"/>
    </row>
    <row r="7171">
      <c r="C7171" s="1" t="n"/>
    </row>
    <row r="7172">
      <c r="C7172" s="1" t="n"/>
    </row>
    <row r="7173">
      <c r="C7173" s="1" t="n"/>
    </row>
    <row r="7174">
      <c r="C7174" s="1" t="n"/>
    </row>
    <row r="7175">
      <c r="C7175" s="1" t="n"/>
    </row>
    <row r="7176">
      <c r="C7176" s="1" t="n"/>
    </row>
    <row r="7177">
      <c r="C7177" s="1" t="n"/>
    </row>
    <row r="7178">
      <c r="C7178" s="1" t="n"/>
    </row>
    <row r="7179">
      <c r="C7179" s="1" t="n"/>
    </row>
    <row r="7180">
      <c r="C7180" s="1" t="n"/>
    </row>
    <row r="7181">
      <c r="C7181" s="1" t="n"/>
    </row>
    <row r="7182">
      <c r="C7182" s="1" t="n"/>
    </row>
    <row r="7183">
      <c r="C7183" s="1" t="n"/>
    </row>
    <row r="7184">
      <c r="C7184" s="1" t="n"/>
    </row>
    <row r="7185">
      <c r="C7185" s="1" t="n"/>
    </row>
    <row r="7186">
      <c r="C7186" s="1" t="n"/>
    </row>
    <row r="7187">
      <c r="C7187" s="1" t="n"/>
    </row>
    <row r="7188">
      <c r="C7188" s="1" t="n"/>
    </row>
    <row r="7189">
      <c r="C7189" s="1" t="n"/>
    </row>
    <row r="7190">
      <c r="C7190" s="1" t="n"/>
    </row>
    <row r="7191">
      <c r="C7191" s="1" t="n"/>
    </row>
    <row r="7192">
      <c r="C7192" s="1" t="n"/>
    </row>
    <row r="7193">
      <c r="C7193" s="1" t="n"/>
    </row>
    <row r="7194">
      <c r="C7194" s="1" t="n"/>
    </row>
    <row r="7195">
      <c r="C7195" s="1" t="n"/>
    </row>
    <row r="7196">
      <c r="C7196" s="1" t="n"/>
    </row>
    <row r="7197">
      <c r="C7197" s="1" t="n"/>
    </row>
    <row r="7198">
      <c r="C7198" s="1" t="n"/>
    </row>
    <row r="7199">
      <c r="C7199" s="1" t="n"/>
    </row>
    <row r="7200">
      <c r="C7200" s="1" t="n"/>
    </row>
    <row r="7201">
      <c r="C7201" s="1" t="n"/>
    </row>
    <row r="7202">
      <c r="C7202" s="1" t="n"/>
    </row>
    <row r="7203">
      <c r="C7203" s="1" t="n"/>
    </row>
    <row r="7204">
      <c r="C7204" s="1" t="n"/>
    </row>
    <row r="7205">
      <c r="C7205" s="1" t="n"/>
    </row>
    <row r="7206">
      <c r="C7206" s="1" t="n"/>
    </row>
    <row r="7207">
      <c r="C7207" s="1" t="n"/>
    </row>
    <row r="7208">
      <c r="C7208" s="1" t="n"/>
    </row>
    <row r="7209">
      <c r="C7209" s="1" t="n"/>
    </row>
    <row r="7210">
      <c r="C7210" s="1" t="n"/>
    </row>
    <row r="7211">
      <c r="C7211" s="1" t="n"/>
    </row>
    <row r="7212">
      <c r="C7212" s="1" t="n"/>
    </row>
    <row r="7213">
      <c r="C7213" s="1" t="n"/>
    </row>
    <row r="7214">
      <c r="C7214" s="1" t="n"/>
    </row>
    <row r="7215">
      <c r="C7215" s="1" t="n"/>
    </row>
    <row r="7216">
      <c r="C7216" s="1" t="n"/>
    </row>
    <row r="7217">
      <c r="C7217" s="1" t="n"/>
    </row>
    <row r="7218">
      <c r="C7218" s="1" t="n"/>
    </row>
    <row r="7219">
      <c r="C7219" s="1" t="n"/>
    </row>
    <row r="7220">
      <c r="C7220" s="1" t="n"/>
    </row>
    <row r="7221">
      <c r="C7221" s="1" t="n"/>
    </row>
    <row r="7222">
      <c r="C7222" s="1" t="n"/>
    </row>
    <row r="7223">
      <c r="C7223" s="1" t="n"/>
    </row>
    <row r="7224">
      <c r="C7224" s="1" t="n"/>
    </row>
    <row r="7225">
      <c r="C7225" s="1" t="n"/>
    </row>
    <row r="7226">
      <c r="C7226" s="1" t="n"/>
    </row>
    <row r="7227">
      <c r="C7227" s="1" t="n"/>
    </row>
    <row r="7228">
      <c r="C7228" s="1" t="n"/>
    </row>
    <row r="7229">
      <c r="C7229" s="1" t="n"/>
    </row>
    <row r="7230">
      <c r="C7230" s="1" t="n"/>
    </row>
    <row r="7231">
      <c r="C7231" s="1" t="n"/>
    </row>
    <row r="7232">
      <c r="C7232" s="1" t="n"/>
    </row>
    <row r="7233">
      <c r="C7233" s="1" t="n"/>
    </row>
    <row r="7234">
      <c r="C7234" s="1" t="n"/>
    </row>
    <row r="7235">
      <c r="C7235" s="1" t="n"/>
    </row>
    <row r="7236">
      <c r="C7236" s="1" t="n"/>
    </row>
    <row r="7237">
      <c r="C7237" s="1" t="n"/>
    </row>
    <row r="7238">
      <c r="C7238" s="1" t="n"/>
    </row>
    <row r="7239">
      <c r="C7239" s="1" t="n"/>
    </row>
    <row r="7240">
      <c r="C7240" s="1" t="n"/>
    </row>
    <row r="7241">
      <c r="C7241" s="1" t="n"/>
    </row>
    <row r="7242">
      <c r="C7242" s="1" t="n"/>
    </row>
    <row r="7243">
      <c r="C7243" s="1" t="n"/>
    </row>
    <row r="7244">
      <c r="C7244" s="1" t="n"/>
    </row>
    <row r="7245">
      <c r="C7245" s="1" t="n"/>
    </row>
    <row r="7246">
      <c r="C7246" s="1" t="n"/>
    </row>
    <row r="7247">
      <c r="C7247" s="1" t="n"/>
    </row>
    <row r="7248">
      <c r="C7248" s="1" t="n"/>
    </row>
    <row r="7249">
      <c r="C7249" s="1" t="n"/>
    </row>
    <row r="7250">
      <c r="C7250" s="1" t="n"/>
    </row>
    <row r="7251">
      <c r="C7251" s="1" t="n"/>
    </row>
    <row r="7252">
      <c r="C7252" s="1" t="n"/>
    </row>
    <row r="7253">
      <c r="C7253" s="1" t="n"/>
    </row>
    <row r="7254">
      <c r="C7254" s="1" t="n"/>
    </row>
    <row r="7255">
      <c r="C7255" s="1" t="n"/>
    </row>
    <row r="7256">
      <c r="C7256" s="1" t="n"/>
    </row>
    <row r="7257">
      <c r="C7257" s="1" t="n"/>
    </row>
    <row r="7258">
      <c r="C7258" s="1" t="n"/>
    </row>
    <row r="7259">
      <c r="C7259" s="1" t="n"/>
    </row>
    <row r="7260">
      <c r="C7260" s="1" t="n"/>
    </row>
    <row r="7261">
      <c r="C7261" s="1" t="n"/>
    </row>
    <row r="7262">
      <c r="C7262" s="1" t="n"/>
    </row>
    <row r="7263">
      <c r="C7263" s="1" t="n"/>
    </row>
    <row r="7264">
      <c r="C7264" s="1" t="n"/>
    </row>
    <row r="7265">
      <c r="C7265" s="1" t="n"/>
    </row>
    <row r="7266">
      <c r="C7266" s="1" t="n"/>
    </row>
    <row r="7267">
      <c r="C7267" s="1" t="n"/>
    </row>
    <row r="7268">
      <c r="C7268" s="1" t="n"/>
    </row>
    <row r="7269">
      <c r="C7269" s="1" t="n"/>
    </row>
    <row r="7270">
      <c r="C7270" s="1" t="n"/>
    </row>
    <row r="7271">
      <c r="C7271" s="1" t="n"/>
    </row>
    <row r="7272">
      <c r="C7272" s="1" t="n"/>
    </row>
    <row r="7273">
      <c r="C7273" s="1" t="n"/>
    </row>
    <row r="7274">
      <c r="C7274" s="1" t="n"/>
    </row>
    <row r="7275">
      <c r="C7275" s="1" t="n"/>
    </row>
    <row r="7276">
      <c r="C7276" s="1" t="n"/>
    </row>
    <row r="7277">
      <c r="C7277" s="1" t="n"/>
    </row>
    <row r="7278">
      <c r="C7278" s="1" t="n"/>
    </row>
    <row r="7279">
      <c r="C7279" s="1" t="n"/>
    </row>
    <row r="7280">
      <c r="C7280" s="1" t="n"/>
    </row>
    <row r="7281">
      <c r="C7281" s="1" t="n"/>
    </row>
    <row r="7282">
      <c r="C7282" s="1" t="n"/>
    </row>
    <row r="7283">
      <c r="C7283" s="1" t="n"/>
    </row>
    <row r="7284">
      <c r="C7284" s="1" t="n"/>
    </row>
    <row r="7285">
      <c r="C7285" s="1" t="n"/>
    </row>
    <row r="7286">
      <c r="C7286" s="1" t="n"/>
    </row>
    <row r="7287">
      <c r="C7287" s="1" t="n"/>
    </row>
    <row r="7288">
      <c r="C7288" s="1" t="n"/>
    </row>
    <row r="7289">
      <c r="C7289" s="1" t="n"/>
    </row>
    <row r="7290">
      <c r="C7290" s="1" t="n"/>
    </row>
    <row r="7291">
      <c r="C7291" s="1" t="n"/>
    </row>
    <row r="7292">
      <c r="C7292" s="1" t="n"/>
    </row>
    <row r="7293">
      <c r="C7293" s="1" t="n"/>
    </row>
    <row r="7294">
      <c r="C7294" s="1" t="n"/>
    </row>
    <row r="7295">
      <c r="C7295" s="1" t="n"/>
    </row>
    <row r="7296">
      <c r="C7296" s="1" t="n"/>
    </row>
    <row r="7297">
      <c r="C7297" s="1" t="n"/>
    </row>
    <row r="7298">
      <c r="C7298" s="1" t="n"/>
    </row>
    <row r="7299">
      <c r="C7299" s="1" t="n"/>
    </row>
    <row r="7300">
      <c r="C7300" s="1" t="n"/>
    </row>
    <row r="7301">
      <c r="C7301" s="1" t="n"/>
    </row>
    <row r="7302">
      <c r="C7302" s="1" t="n"/>
    </row>
    <row r="7303">
      <c r="C7303" s="1" t="n"/>
    </row>
    <row r="7304">
      <c r="C7304" s="1" t="n"/>
    </row>
    <row r="7305">
      <c r="C7305" s="1" t="n"/>
    </row>
    <row r="7306">
      <c r="C7306" s="1" t="n"/>
    </row>
    <row r="7307">
      <c r="C7307" s="1" t="n"/>
    </row>
    <row r="7308">
      <c r="C7308" s="1" t="n"/>
    </row>
    <row r="7309">
      <c r="C7309" s="1" t="n"/>
    </row>
    <row r="7310">
      <c r="C7310" s="1" t="n"/>
    </row>
    <row r="7311">
      <c r="C7311" s="1" t="n"/>
    </row>
    <row r="7312">
      <c r="C7312" s="1" t="n"/>
    </row>
    <row r="7313">
      <c r="C7313" s="1" t="n"/>
    </row>
    <row r="7314">
      <c r="C7314" s="1" t="n"/>
    </row>
    <row r="7315">
      <c r="C7315" s="1" t="n"/>
    </row>
    <row r="7316">
      <c r="C7316" s="1" t="n"/>
    </row>
    <row r="7317">
      <c r="C7317" s="1" t="n"/>
    </row>
    <row r="7318">
      <c r="C7318" s="1" t="n"/>
    </row>
    <row r="7319">
      <c r="C7319" s="1" t="n"/>
    </row>
    <row r="7320">
      <c r="C7320" s="1" t="n"/>
    </row>
    <row r="7321">
      <c r="C7321" s="1" t="n"/>
    </row>
    <row r="7322">
      <c r="C7322" s="1" t="n"/>
    </row>
    <row r="7323">
      <c r="C7323" s="1" t="n"/>
    </row>
    <row r="7324">
      <c r="C7324" s="1" t="n"/>
    </row>
    <row r="7325">
      <c r="C7325" s="1" t="n"/>
    </row>
    <row r="7326">
      <c r="C7326" s="1" t="n"/>
    </row>
    <row r="7327">
      <c r="C7327" s="1" t="n"/>
    </row>
    <row r="7328">
      <c r="C7328" s="1" t="n"/>
    </row>
    <row r="7329">
      <c r="C7329" s="1" t="n"/>
    </row>
    <row r="7330">
      <c r="C7330" s="1" t="n"/>
    </row>
    <row r="7331">
      <c r="C7331" s="1" t="n"/>
    </row>
    <row r="7332">
      <c r="C7332" s="1" t="n"/>
    </row>
    <row r="7333">
      <c r="C7333" s="1" t="n"/>
    </row>
    <row r="7334">
      <c r="C7334" s="1" t="n"/>
    </row>
    <row r="7335">
      <c r="C7335" s="1" t="n"/>
    </row>
    <row r="7336">
      <c r="C7336" s="1" t="n"/>
    </row>
    <row r="7337">
      <c r="C7337" s="1" t="n"/>
    </row>
    <row r="7338">
      <c r="C7338" s="1" t="n"/>
    </row>
    <row r="7339">
      <c r="C7339" s="1" t="n"/>
    </row>
    <row r="7340">
      <c r="C7340" s="1" t="n"/>
    </row>
    <row r="7341">
      <c r="C7341" s="1" t="n"/>
    </row>
    <row r="7342">
      <c r="C7342" s="1" t="n"/>
    </row>
    <row r="7343">
      <c r="C7343" s="1" t="n"/>
    </row>
    <row r="7344">
      <c r="C7344" s="1" t="n"/>
    </row>
    <row r="7345">
      <c r="C7345" s="1" t="n"/>
    </row>
    <row r="7346">
      <c r="C7346" s="1" t="n"/>
    </row>
    <row r="7347">
      <c r="C7347" s="1" t="n"/>
    </row>
    <row r="7348">
      <c r="C7348" s="1" t="n"/>
    </row>
    <row r="7349">
      <c r="C7349" s="1" t="n"/>
    </row>
    <row r="7350">
      <c r="C7350" s="1" t="n"/>
    </row>
    <row r="7351">
      <c r="C7351" s="1" t="n"/>
    </row>
    <row r="7352">
      <c r="C7352" s="1" t="n"/>
    </row>
    <row r="7353">
      <c r="C7353" s="1" t="n"/>
    </row>
    <row r="7354">
      <c r="C7354" s="1" t="n"/>
    </row>
    <row r="7355">
      <c r="C7355" s="1" t="n"/>
    </row>
    <row r="7356">
      <c r="C7356" s="1" t="n"/>
    </row>
    <row r="7357">
      <c r="C7357" s="1" t="n"/>
    </row>
    <row r="7358">
      <c r="C7358" s="1" t="n"/>
    </row>
    <row r="7359">
      <c r="C7359" s="1" t="n"/>
    </row>
    <row r="7360">
      <c r="C7360" s="1" t="n"/>
    </row>
    <row r="7361">
      <c r="C7361" s="1" t="n"/>
    </row>
    <row r="7362">
      <c r="C7362" s="1" t="n"/>
    </row>
    <row r="7363">
      <c r="C7363" s="1" t="n"/>
    </row>
    <row r="7364">
      <c r="C7364" s="1" t="n"/>
    </row>
    <row r="7365">
      <c r="C7365" s="1" t="n"/>
    </row>
    <row r="7366">
      <c r="C7366" s="1" t="n"/>
    </row>
    <row r="7367">
      <c r="C7367" s="1" t="n"/>
    </row>
    <row r="7368">
      <c r="C7368" s="1" t="n"/>
    </row>
    <row r="7369">
      <c r="C7369" s="1" t="n"/>
    </row>
    <row r="7370">
      <c r="C7370" s="1" t="n"/>
    </row>
    <row r="7371">
      <c r="C7371" s="1" t="n"/>
    </row>
    <row r="7372">
      <c r="C7372" s="1" t="n"/>
    </row>
    <row r="7373">
      <c r="C7373" s="1" t="n"/>
    </row>
    <row r="7374">
      <c r="C7374" s="1" t="n"/>
    </row>
    <row r="7375">
      <c r="C7375" s="1" t="n"/>
    </row>
    <row r="7376">
      <c r="C7376" s="1" t="n"/>
    </row>
    <row r="7377">
      <c r="C7377" s="1" t="n"/>
    </row>
    <row r="7378">
      <c r="C7378" s="1" t="n"/>
    </row>
    <row r="7379">
      <c r="C7379" s="1" t="n"/>
    </row>
    <row r="7380">
      <c r="C7380" s="1" t="n"/>
    </row>
    <row r="7381">
      <c r="C7381" s="1" t="n"/>
    </row>
    <row r="7382">
      <c r="C7382" s="1" t="n"/>
    </row>
    <row r="7383">
      <c r="C7383" s="1" t="n"/>
    </row>
    <row r="7384">
      <c r="C7384" s="1" t="n"/>
    </row>
    <row r="7385">
      <c r="C7385" s="1" t="n"/>
    </row>
    <row r="7386">
      <c r="C7386" s="1" t="n"/>
    </row>
    <row r="7387">
      <c r="C7387" s="1" t="n"/>
    </row>
    <row r="7388">
      <c r="C7388" s="1" t="n"/>
    </row>
    <row r="7389">
      <c r="C7389" s="1" t="n"/>
    </row>
    <row r="7390">
      <c r="C7390" s="1" t="n"/>
    </row>
    <row r="7391">
      <c r="C7391" s="1" t="n"/>
    </row>
    <row r="7392">
      <c r="C7392" s="1" t="n"/>
    </row>
    <row r="7393">
      <c r="C7393" s="1" t="n"/>
    </row>
    <row r="7394">
      <c r="C7394" s="1" t="n"/>
    </row>
    <row r="7395">
      <c r="C7395" s="1" t="n"/>
    </row>
    <row r="7396">
      <c r="C7396" s="1" t="n"/>
    </row>
    <row r="7397">
      <c r="C7397" s="1" t="n"/>
    </row>
    <row r="7398">
      <c r="C7398" s="1" t="n"/>
    </row>
    <row r="7399">
      <c r="C7399" s="1" t="n"/>
    </row>
    <row r="7400">
      <c r="C7400" s="1" t="n"/>
    </row>
    <row r="7401">
      <c r="C7401" s="1" t="n"/>
    </row>
    <row r="7402">
      <c r="C7402" s="1" t="n"/>
    </row>
    <row r="7403">
      <c r="C7403" s="1" t="n"/>
    </row>
    <row r="7404">
      <c r="C7404" s="1" t="n"/>
    </row>
    <row r="7405">
      <c r="C7405" s="1" t="n"/>
    </row>
    <row r="7406">
      <c r="C7406" s="1" t="n"/>
    </row>
    <row r="7407">
      <c r="C7407" s="1" t="n"/>
    </row>
    <row r="7408">
      <c r="C7408" s="1" t="n"/>
    </row>
    <row r="7409">
      <c r="C7409" s="1" t="n"/>
    </row>
    <row r="7410">
      <c r="C7410" s="1" t="n"/>
    </row>
    <row r="7411">
      <c r="C7411" s="1" t="n"/>
    </row>
    <row r="7412">
      <c r="C7412" s="1" t="n"/>
    </row>
    <row r="7413">
      <c r="C7413" s="1" t="n"/>
    </row>
    <row r="7414">
      <c r="C7414" s="1" t="n"/>
    </row>
    <row r="7415">
      <c r="C7415" s="1" t="n"/>
    </row>
    <row r="7416">
      <c r="C7416" s="1" t="n"/>
    </row>
    <row r="7417">
      <c r="C7417" s="1" t="n"/>
    </row>
    <row r="7418">
      <c r="C7418" s="1" t="n"/>
    </row>
    <row r="7419">
      <c r="C7419" s="1" t="n"/>
    </row>
    <row r="7420">
      <c r="C7420" s="1" t="n"/>
    </row>
    <row r="7421">
      <c r="C7421" s="1" t="n"/>
    </row>
    <row r="7422">
      <c r="C7422" s="1" t="n"/>
    </row>
    <row r="7423">
      <c r="C7423" s="1" t="n"/>
    </row>
    <row r="7424">
      <c r="C7424" s="1" t="n"/>
    </row>
    <row r="7425">
      <c r="C7425" s="1" t="n"/>
    </row>
    <row r="7426">
      <c r="C7426" s="1" t="n"/>
    </row>
    <row r="7427">
      <c r="C7427" s="1" t="n"/>
    </row>
    <row r="7428">
      <c r="C7428" s="1" t="n"/>
    </row>
    <row r="7429">
      <c r="C7429" s="1" t="n"/>
    </row>
    <row r="7430">
      <c r="C7430" s="1" t="n"/>
    </row>
    <row r="7431">
      <c r="C7431" s="1" t="n"/>
    </row>
    <row r="7432">
      <c r="C7432" s="1" t="n"/>
    </row>
    <row r="7433">
      <c r="C7433" s="1" t="n"/>
    </row>
    <row r="7434">
      <c r="C7434" s="1" t="n"/>
    </row>
    <row r="7435">
      <c r="C7435" s="1" t="n"/>
    </row>
    <row r="7436">
      <c r="C7436" s="1" t="n"/>
    </row>
    <row r="7437">
      <c r="C7437" s="1" t="n"/>
    </row>
    <row r="7438">
      <c r="C7438" s="1" t="n"/>
    </row>
    <row r="7439">
      <c r="C7439" s="1" t="n"/>
    </row>
    <row r="7440">
      <c r="C7440" s="1" t="n"/>
    </row>
    <row r="7441">
      <c r="C7441" s="1" t="n"/>
    </row>
    <row r="7442">
      <c r="C7442" s="1" t="n"/>
    </row>
    <row r="7443">
      <c r="C7443" s="1" t="n"/>
    </row>
    <row r="7444">
      <c r="C7444" s="1" t="n"/>
    </row>
    <row r="7445">
      <c r="C7445" s="1" t="n"/>
    </row>
    <row r="7446">
      <c r="C7446" s="1" t="n"/>
    </row>
    <row r="7447">
      <c r="C7447" s="1" t="n"/>
    </row>
    <row r="7448">
      <c r="C7448" s="1" t="n"/>
    </row>
    <row r="7449">
      <c r="C7449" s="1" t="n"/>
    </row>
    <row r="7450">
      <c r="C7450" s="1" t="n"/>
    </row>
    <row r="7451">
      <c r="C7451" s="1" t="n"/>
    </row>
    <row r="7452">
      <c r="C7452" s="1" t="n"/>
    </row>
    <row r="7453">
      <c r="C7453" s="1" t="n"/>
    </row>
    <row r="7454">
      <c r="C7454" s="1" t="n"/>
    </row>
    <row r="7455">
      <c r="C7455" s="1" t="n"/>
    </row>
    <row r="7456">
      <c r="C7456" s="1" t="n"/>
    </row>
    <row r="7457">
      <c r="C7457" s="1" t="n"/>
    </row>
    <row r="7458">
      <c r="C7458" s="1" t="n"/>
    </row>
    <row r="7459">
      <c r="C7459" s="1" t="n"/>
    </row>
    <row r="7460">
      <c r="C7460" s="1" t="n"/>
    </row>
    <row r="7461">
      <c r="C7461" s="1" t="n"/>
    </row>
    <row r="7462">
      <c r="C7462" s="1" t="n"/>
    </row>
    <row r="7463">
      <c r="C7463" s="1" t="n"/>
    </row>
    <row r="7464">
      <c r="C7464" s="1" t="n"/>
    </row>
    <row r="7465">
      <c r="C7465" s="1" t="n"/>
    </row>
    <row r="7466">
      <c r="C7466" s="1" t="n"/>
    </row>
    <row r="7467">
      <c r="C7467" s="1" t="n"/>
    </row>
    <row r="7468">
      <c r="C7468" s="1" t="n"/>
    </row>
    <row r="7469">
      <c r="C7469" s="1" t="n"/>
    </row>
    <row r="7470">
      <c r="C7470" s="1" t="n"/>
    </row>
    <row r="7471">
      <c r="C7471" s="1" t="n"/>
    </row>
    <row r="7472">
      <c r="C7472" s="1" t="n"/>
    </row>
    <row r="7473">
      <c r="C7473" s="1" t="n"/>
    </row>
    <row r="7474">
      <c r="C7474" s="1" t="n"/>
    </row>
    <row r="7475">
      <c r="C7475" s="1" t="n"/>
    </row>
    <row r="7476">
      <c r="C7476" s="1" t="n"/>
    </row>
    <row r="7477">
      <c r="C7477" s="1" t="n"/>
    </row>
    <row r="7478">
      <c r="C7478" s="1" t="n"/>
    </row>
    <row r="7479">
      <c r="C7479" s="1" t="n"/>
    </row>
    <row r="7480">
      <c r="C7480" s="1" t="n"/>
    </row>
    <row r="7481">
      <c r="C7481" s="1" t="n"/>
    </row>
    <row r="7482">
      <c r="C7482" s="1" t="n"/>
    </row>
    <row r="7483">
      <c r="C7483" s="1" t="n"/>
    </row>
    <row r="7484">
      <c r="C7484" s="1" t="n"/>
    </row>
    <row r="7485">
      <c r="C7485" s="1" t="n"/>
    </row>
    <row r="7486">
      <c r="C7486" s="1" t="n"/>
    </row>
    <row r="7487">
      <c r="C7487" s="1" t="n"/>
    </row>
    <row r="7488">
      <c r="C7488" s="1" t="n"/>
    </row>
    <row r="7489">
      <c r="C7489" s="1" t="n"/>
    </row>
    <row r="7490">
      <c r="C7490" s="1" t="n"/>
    </row>
    <row r="7491">
      <c r="C7491" s="1" t="n"/>
    </row>
    <row r="7492">
      <c r="C7492" s="1" t="n"/>
    </row>
    <row r="7493">
      <c r="C7493" s="1" t="n"/>
    </row>
    <row r="7494">
      <c r="C7494" s="1" t="n"/>
    </row>
    <row r="7495">
      <c r="C7495" s="1" t="n"/>
    </row>
    <row r="7496">
      <c r="C7496" s="1" t="n"/>
    </row>
    <row r="7497">
      <c r="C7497" s="1" t="n"/>
    </row>
    <row r="7498">
      <c r="C7498" s="1" t="n"/>
    </row>
    <row r="7499">
      <c r="C7499" s="1" t="n"/>
    </row>
    <row r="7500">
      <c r="C7500" s="1" t="n"/>
    </row>
    <row r="7501">
      <c r="C7501" s="1" t="n"/>
    </row>
    <row r="7502">
      <c r="C7502" s="1" t="n"/>
    </row>
    <row r="7503">
      <c r="C7503" s="1" t="n"/>
    </row>
    <row r="7504">
      <c r="C7504" s="1" t="n"/>
    </row>
    <row r="7505">
      <c r="C7505" s="1" t="n"/>
    </row>
    <row r="7506">
      <c r="C7506" s="1" t="n"/>
    </row>
    <row r="7507">
      <c r="C7507" s="1" t="n"/>
    </row>
    <row r="7508">
      <c r="C7508" s="1" t="n"/>
    </row>
    <row r="7509">
      <c r="C7509" s="1" t="n"/>
    </row>
    <row r="7510">
      <c r="C7510" s="1" t="n"/>
    </row>
    <row r="7511">
      <c r="C7511" s="1" t="n"/>
    </row>
    <row r="7512">
      <c r="C7512" s="1" t="n"/>
    </row>
    <row r="7513">
      <c r="C7513" s="1" t="n"/>
    </row>
    <row r="7514">
      <c r="C7514" s="1" t="n"/>
    </row>
    <row r="7515">
      <c r="C7515" s="1" t="n"/>
    </row>
    <row r="7516">
      <c r="C7516" s="1" t="n"/>
    </row>
    <row r="7517">
      <c r="C7517" s="1" t="n"/>
    </row>
    <row r="7518">
      <c r="C7518" s="1" t="n"/>
    </row>
    <row r="7519">
      <c r="C7519" s="1" t="n"/>
    </row>
    <row r="7520">
      <c r="C7520" s="1" t="n"/>
    </row>
    <row r="7521">
      <c r="C7521" s="1" t="n"/>
    </row>
    <row r="7522">
      <c r="C7522" s="1" t="n"/>
    </row>
    <row r="7523">
      <c r="C7523" s="1" t="n"/>
    </row>
    <row r="7524">
      <c r="C7524" s="1" t="n"/>
    </row>
    <row r="7525">
      <c r="C7525" s="1" t="n"/>
    </row>
    <row r="7526">
      <c r="C7526" s="1" t="n"/>
    </row>
    <row r="7527">
      <c r="C7527" s="1" t="n"/>
    </row>
    <row r="7528">
      <c r="C7528" s="1" t="n"/>
    </row>
    <row r="7529">
      <c r="C7529" s="1" t="n"/>
    </row>
    <row r="7530">
      <c r="C7530" s="1" t="n"/>
    </row>
    <row r="7531">
      <c r="C7531" s="1" t="n"/>
    </row>
    <row r="7532">
      <c r="C7532" s="1" t="n"/>
    </row>
    <row r="7533">
      <c r="C7533" s="1" t="n"/>
    </row>
    <row r="7534">
      <c r="C7534" s="1" t="n"/>
    </row>
    <row r="7535">
      <c r="C7535" s="1" t="n"/>
    </row>
    <row r="7536">
      <c r="C7536" s="1" t="n"/>
    </row>
    <row r="7537">
      <c r="C7537" s="1" t="n"/>
    </row>
    <row r="7538">
      <c r="C7538" s="1" t="n"/>
    </row>
    <row r="7539">
      <c r="C7539" s="1" t="n"/>
    </row>
    <row r="7540">
      <c r="C7540" s="1" t="n"/>
    </row>
    <row r="7541">
      <c r="C7541" s="1" t="n"/>
    </row>
    <row r="7542">
      <c r="C7542" s="1" t="n"/>
    </row>
    <row r="7543">
      <c r="C7543" s="1" t="n"/>
    </row>
    <row r="7544">
      <c r="C7544" s="1" t="n"/>
    </row>
    <row r="7545">
      <c r="C7545" s="1" t="n"/>
    </row>
    <row r="7546">
      <c r="C7546" s="1" t="n"/>
    </row>
    <row r="7547">
      <c r="C7547" s="1" t="n"/>
    </row>
    <row r="7548">
      <c r="C7548" s="1" t="n"/>
    </row>
    <row r="7549">
      <c r="C7549" s="1" t="n"/>
    </row>
    <row r="7550">
      <c r="C7550" s="1" t="n"/>
    </row>
    <row r="7551">
      <c r="C7551" s="1" t="n"/>
    </row>
    <row r="7552">
      <c r="C7552" s="1" t="n"/>
    </row>
    <row r="7553">
      <c r="C7553" s="1" t="n"/>
    </row>
    <row r="7554">
      <c r="C7554" s="1" t="n"/>
    </row>
    <row r="7555">
      <c r="C7555" s="1" t="n"/>
    </row>
    <row r="7556">
      <c r="C7556" s="1" t="n"/>
    </row>
    <row r="7557">
      <c r="C7557" s="1" t="n"/>
    </row>
    <row r="7558">
      <c r="C7558" s="1" t="n"/>
    </row>
    <row r="7559">
      <c r="C7559" s="1" t="n"/>
    </row>
    <row r="7560">
      <c r="C7560" s="1" t="n"/>
    </row>
    <row r="7561">
      <c r="C7561" s="1" t="n"/>
    </row>
    <row r="7562">
      <c r="C7562" s="1" t="n"/>
    </row>
    <row r="7563">
      <c r="C7563" s="1" t="n"/>
    </row>
    <row r="7564">
      <c r="C7564" s="1" t="n"/>
    </row>
    <row r="7565">
      <c r="C7565" s="1" t="n"/>
    </row>
    <row r="7566">
      <c r="C7566" s="1" t="n"/>
    </row>
    <row r="7567">
      <c r="C7567" s="1" t="n"/>
    </row>
    <row r="7568">
      <c r="C7568" s="1" t="n"/>
    </row>
    <row r="7569">
      <c r="C7569" s="1" t="n"/>
    </row>
    <row r="7570">
      <c r="C7570" s="1" t="n"/>
    </row>
    <row r="7571">
      <c r="C7571" s="1" t="n"/>
    </row>
    <row r="7572">
      <c r="C7572" s="1" t="n"/>
    </row>
    <row r="7573">
      <c r="C7573" s="1" t="n"/>
    </row>
    <row r="7574">
      <c r="C7574" s="1" t="n"/>
    </row>
    <row r="7575">
      <c r="C7575" s="1" t="n"/>
    </row>
    <row r="7576">
      <c r="C7576" s="1" t="n"/>
    </row>
    <row r="7577">
      <c r="C7577" s="1" t="n"/>
    </row>
    <row r="7578">
      <c r="C7578" s="1" t="n"/>
    </row>
    <row r="7579">
      <c r="C7579" s="1" t="n"/>
    </row>
    <row r="7580">
      <c r="C7580" s="1" t="n"/>
    </row>
    <row r="7581">
      <c r="C7581" s="1" t="n"/>
    </row>
    <row r="7582">
      <c r="C7582" s="1" t="n"/>
    </row>
    <row r="7583">
      <c r="C7583" s="1" t="n"/>
    </row>
    <row r="7584">
      <c r="C7584" s="1" t="n"/>
    </row>
    <row r="7585">
      <c r="C7585" s="1" t="n"/>
    </row>
    <row r="7586">
      <c r="C7586" s="1" t="n"/>
    </row>
    <row r="7587">
      <c r="C7587" s="1" t="n"/>
    </row>
    <row r="7588">
      <c r="C7588" s="1" t="n"/>
    </row>
    <row r="7589">
      <c r="C7589" s="1" t="n"/>
    </row>
    <row r="7590">
      <c r="C7590" s="1" t="n"/>
    </row>
    <row r="7591">
      <c r="C7591" s="1" t="n"/>
    </row>
    <row r="7592">
      <c r="C7592" s="1" t="n"/>
    </row>
    <row r="7593">
      <c r="C7593" s="1" t="n"/>
    </row>
    <row r="7594">
      <c r="C7594" s="1" t="n"/>
    </row>
    <row r="7595">
      <c r="C7595" s="1" t="n"/>
    </row>
    <row r="7596">
      <c r="C7596" s="1" t="n"/>
    </row>
    <row r="7597">
      <c r="C7597" s="1" t="n"/>
    </row>
    <row r="7598">
      <c r="C7598" s="1" t="n"/>
    </row>
    <row r="7599">
      <c r="C7599" s="1" t="n"/>
    </row>
    <row r="7600">
      <c r="C7600" s="1" t="n"/>
    </row>
    <row r="7601">
      <c r="C7601" s="1" t="n"/>
    </row>
    <row r="7602">
      <c r="C7602" s="1" t="n"/>
    </row>
    <row r="7603">
      <c r="C7603" s="1" t="n"/>
    </row>
    <row r="7604">
      <c r="C7604" s="1" t="n"/>
    </row>
    <row r="7605">
      <c r="C7605" s="1" t="n"/>
    </row>
    <row r="7606">
      <c r="C7606" s="1" t="n"/>
    </row>
    <row r="7607">
      <c r="C7607" s="1" t="n"/>
    </row>
    <row r="7608">
      <c r="C7608" s="1" t="n"/>
    </row>
    <row r="7609">
      <c r="C7609" s="1" t="n"/>
    </row>
    <row r="7610">
      <c r="C7610" s="1" t="n"/>
    </row>
    <row r="7611">
      <c r="C7611" s="1" t="n"/>
    </row>
    <row r="7612">
      <c r="C7612" s="1" t="n"/>
    </row>
    <row r="7613">
      <c r="C7613" s="1" t="n"/>
    </row>
    <row r="7614">
      <c r="C7614" s="1" t="n"/>
    </row>
    <row r="7615">
      <c r="C7615" s="1" t="n"/>
    </row>
    <row r="7616">
      <c r="C7616" s="1" t="n"/>
    </row>
    <row r="7617">
      <c r="C7617" s="1" t="n"/>
    </row>
    <row r="7618">
      <c r="C7618" s="1" t="n"/>
    </row>
    <row r="7619">
      <c r="C7619" s="1" t="n"/>
    </row>
    <row r="7620">
      <c r="C7620" s="1" t="n"/>
    </row>
    <row r="7621">
      <c r="C7621" s="1" t="n"/>
    </row>
    <row r="7622">
      <c r="C7622" s="1" t="n"/>
    </row>
    <row r="7623">
      <c r="C7623" s="1" t="n"/>
    </row>
    <row r="7624">
      <c r="C7624" s="1" t="n"/>
    </row>
    <row r="7625">
      <c r="C7625" s="1" t="n"/>
    </row>
    <row r="7626">
      <c r="C7626" s="1" t="n"/>
    </row>
    <row r="7627">
      <c r="C7627" s="1" t="n"/>
    </row>
    <row r="7628">
      <c r="C7628" s="1" t="n"/>
    </row>
    <row r="7629">
      <c r="C7629" s="1" t="n"/>
    </row>
    <row r="7630">
      <c r="C7630" s="1" t="n"/>
    </row>
    <row r="7631">
      <c r="C7631" s="1" t="n"/>
    </row>
    <row r="7632">
      <c r="C7632" s="1" t="n"/>
    </row>
    <row r="7633">
      <c r="C7633" s="1" t="n"/>
    </row>
    <row r="7634">
      <c r="C7634" s="1" t="n"/>
    </row>
    <row r="7635">
      <c r="C7635" s="1" t="n"/>
    </row>
    <row r="7636">
      <c r="C7636" s="1" t="n"/>
    </row>
    <row r="7637">
      <c r="C7637" s="1" t="n"/>
    </row>
    <row r="7638">
      <c r="C7638" s="1" t="n"/>
    </row>
    <row r="7639">
      <c r="C7639" s="1" t="n"/>
    </row>
    <row r="7640">
      <c r="C7640" s="1" t="n"/>
    </row>
    <row r="7641">
      <c r="C7641" s="1" t="n"/>
    </row>
    <row r="7642">
      <c r="C7642" s="1" t="n"/>
    </row>
    <row r="7643">
      <c r="C7643" s="1" t="n"/>
    </row>
    <row r="7644">
      <c r="C7644" s="1" t="n"/>
    </row>
    <row r="7645">
      <c r="C7645" s="1" t="n"/>
    </row>
    <row r="7646">
      <c r="C7646" s="1" t="n"/>
    </row>
    <row r="7647">
      <c r="C7647" s="1" t="n"/>
    </row>
    <row r="7648">
      <c r="C7648" s="1" t="n"/>
    </row>
    <row r="7649">
      <c r="C7649" s="1" t="n"/>
    </row>
    <row r="7650">
      <c r="C7650" s="1" t="n"/>
    </row>
    <row r="7651">
      <c r="C7651" s="1" t="n"/>
    </row>
    <row r="7652">
      <c r="C7652" s="1" t="n"/>
    </row>
    <row r="7653">
      <c r="C7653" s="1" t="n"/>
    </row>
    <row r="7654">
      <c r="C7654" s="1" t="n"/>
    </row>
    <row r="7655">
      <c r="C7655" s="1" t="n"/>
    </row>
    <row r="7656">
      <c r="C7656" s="1" t="n"/>
    </row>
    <row r="7657">
      <c r="C7657" s="1" t="n"/>
    </row>
    <row r="7658">
      <c r="C7658" s="1" t="n"/>
    </row>
    <row r="7659">
      <c r="C7659" s="1" t="n"/>
    </row>
    <row r="7660">
      <c r="C7660" s="1" t="n"/>
    </row>
    <row r="7661">
      <c r="C7661" s="1" t="n"/>
    </row>
    <row r="7662">
      <c r="C7662" s="1" t="n"/>
    </row>
    <row r="7663">
      <c r="C7663" s="1" t="n"/>
    </row>
    <row r="7664">
      <c r="C7664" s="1" t="n"/>
    </row>
    <row r="7665">
      <c r="C7665" s="1" t="n"/>
    </row>
    <row r="7666">
      <c r="C7666" s="1" t="n"/>
    </row>
    <row r="7667">
      <c r="C7667" s="1" t="n"/>
    </row>
    <row r="7668">
      <c r="C7668" s="1" t="n"/>
    </row>
    <row r="7669">
      <c r="C7669" s="1" t="n"/>
    </row>
    <row r="7670">
      <c r="C7670" s="1" t="n"/>
    </row>
    <row r="7671">
      <c r="C7671" s="1" t="n"/>
    </row>
    <row r="7672">
      <c r="C7672" s="1" t="n"/>
    </row>
    <row r="7673">
      <c r="C7673" s="1" t="n"/>
    </row>
    <row r="7674">
      <c r="C7674" s="1" t="n"/>
    </row>
    <row r="7675">
      <c r="C7675" s="1" t="n"/>
    </row>
    <row r="7676">
      <c r="C7676" s="1" t="n"/>
    </row>
    <row r="7677">
      <c r="C7677" s="1" t="n"/>
    </row>
    <row r="7678">
      <c r="C7678" s="1" t="n"/>
    </row>
    <row r="7679">
      <c r="C7679" s="1" t="n"/>
    </row>
    <row r="7680">
      <c r="C7680" s="1" t="n"/>
    </row>
    <row r="7681">
      <c r="C7681" s="1" t="n"/>
    </row>
    <row r="7682">
      <c r="C7682" s="1" t="n"/>
    </row>
    <row r="7683">
      <c r="C7683" s="1" t="n"/>
    </row>
    <row r="7684">
      <c r="C7684" s="1" t="n"/>
    </row>
    <row r="7685">
      <c r="C7685" s="1" t="n"/>
    </row>
    <row r="7686">
      <c r="C7686" s="1" t="n"/>
    </row>
    <row r="7687">
      <c r="C7687" s="1" t="n"/>
    </row>
    <row r="7688">
      <c r="C7688" s="1" t="n"/>
    </row>
    <row r="7689">
      <c r="C7689" s="1" t="n"/>
    </row>
    <row r="7690">
      <c r="C7690" s="1" t="n"/>
    </row>
    <row r="7691">
      <c r="C7691" s="1" t="n"/>
    </row>
    <row r="7692">
      <c r="C7692" s="1" t="n"/>
    </row>
    <row r="7693">
      <c r="C7693" s="1" t="n"/>
    </row>
    <row r="7694">
      <c r="C7694" s="1" t="n"/>
    </row>
    <row r="7695">
      <c r="C7695" s="1" t="n"/>
    </row>
    <row r="7696">
      <c r="C7696" s="1" t="n"/>
    </row>
    <row r="7697">
      <c r="C7697" s="1" t="n"/>
    </row>
    <row r="7698">
      <c r="C7698" s="1" t="n"/>
    </row>
    <row r="7699">
      <c r="C7699" s="1" t="n"/>
    </row>
    <row r="7700">
      <c r="C7700" s="1" t="n"/>
    </row>
    <row r="7701">
      <c r="C7701" s="1" t="n"/>
    </row>
    <row r="7702">
      <c r="C7702" s="1" t="n"/>
    </row>
    <row r="7703">
      <c r="C7703" s="1" t="n"/>
    </row>
    <row r="7704">
      <c r="C7704" s="1" t="n"/>
    </row>
    <row r="7705">
      <c r="C7705" s="1" t="n"/>
    </row>
    <row r="7706">
      <c r="C7706" s="1" t="n"/>
    </row>
    <row r="7707">
      <c r="C7707" s="1" t="n"/>
    </row>
    <row r="7708">
      <c r="C7708" s="1" t="n"/>
    </row>
    <row r="7709">
      <c r="C7709" s="1" t="n"/>
    </row>
    <row r="7710">
      <c r="C7710" s="1" t="n"/>
    </row>
    <row r="7711">
      <c r="C7711" s="1" t="n"/>
    </row>
    <row r="7712">
      <c r="C7712" s="1" t="n"/>
    </row>
    <row r="7713">
      <c r="C7713" s="1" t="n"/>
    </row>
    <row r="7714">
      <c r="C7714" s="1" t="n"/>
    </row>
    <row r="7715">
      <c r="C7715" s="1" t="n"/>
    </row>
    <row r="7716">
      <c r="C7716" s="1" t="n"/>
    </row>
    <row r="7717">
      <c r="C7717" s="1" t="n"/>
    </row>
    <row r="7718">
      <c r="C7718" s="1" t="n"/>
    </row>
    <row r="7719">
      <c r="C7719" s="1" t="n"/>
    </row>
    <row r="7720">
      <c r="C7720" s="1" t="n"/>
    </row>
    <row r="7721">
      <c r="C7721" s="1" t="n"/>
    </row>
    <row r="7722">
      <c r="C7722" s="1" t="n"/>
    </row>
    <row r="7723">
      <c r="C7723" s="1" t="n"/>
    </row>
    <row r="7724">
      <c r="C7724" s="1" t="n"/>
    </row>
    <row r="7725">
      <c r="C7725" s="1" t="n"/>
    </row>
    <row r="7726">
      <c r="C7726" s="1" t="n"/>
    </row>
    <row r="7727">
      <c r="C7727" s="1" t="n"/>
    </row>
    <row r="7728">
      <c r="C7728" s="1" t="n"/>
    </row>
    <row r="7729">
      <c r="C7729" s="1" t="n"/>
    </row>
    <row r="7730">
      <c r="C7730" s="1" t="n"/>
    </row>
    <row r="7731">
      <c r="C7731" s="1" t="n"/>
    </row>
    <row r="7732">
      <c r="C7732" s="1" t="n"/>
    </row>
    <row r="7733">
      <c r="C7733" s="1" t="n"/>
    </row>
    <row r="7734">
      <c r="C7734" s="1" t="n"/>
    </row>
    <row r="7735">
      <c r="C7735" s="1" t="n"/>
    </row>
    <row r="7736">
      <c r="C7736" s="1" t="n"/>
    </row>
    <row r="7737">
      <c r="C7737" s="1" t="n"/>
    </row>
    <row r="7738">
      <c r="C7738" s="1" t="n"/>
    </row>
    <row r="7739">
      <c r="C7739" s="1" t="n"/>
    </row>
    <row r="7740">
      <c r="C7740" s="1" t="n"/>
    </row>
    <row r="7741">
      <c r="C7741" s="1" t="n"/>
    </row>
    <row r="7742">
      <c r="C7742" s="1" t="n"/>
    </row>
    <row r="7743">
      <c r="C7743" s="1" t="n"/>
    </row>
    <row r="7744">
      <c r="C7744" s="1" t="n"/>
    </row>
    <row r="7745">
      <c r="C7745" s="1" t="n"/>
    </row>
    <row r="7746">
      <c r="C7746" s="1" t="n"/>
    </row>
    <row r="7747">
      <c r="C7747" s="1" t="n"/>
    </row>
    <row r="7748">
      <c r="C7748" s="1" t="n"/>
    </row>
    <row r="7749">
      <c r="C7749" s="1" t="n"/>
    </row>
    <row r="7750">
      <c r="C7750" s="1" t="n"/>
    </row>
    <row r="7751">
      <c r="C7751" s="1" t="n"/>
    </row>
    <row r="7752">
      <c r="C7752" s="1" t="n"/>
    </row>
    <row r="7753">
      <c r="C7753" s="1" t="n"/>
    </row>
    <row r="7754">
      <c r="C7754" s="1" t="n"/>
    </row>
    <row r="7755">
      <c r="C7755" s="1" t="n"/>
    </row>
    <row r="7756">
      <c r="C7756" s="1" t="n"/>
    </row>
    <row r="7757">
      <c r="C7757" s="1" t="n"/>
    </row>
    <row r="7758">
      <c r="C7758" s="1" t="n"/>
    </row>
    <row r="7759">
      <c r="C7759" s="1" t="n"/>
    </row>
    <row r="7760">
      <c r="C7760" s="1" t="n"/>
    </row>
    <row r="7761">
      <c r="C7761" s="1" t="n"/>
    </row>
    <row r="7762">
      <c r="C7762" s="1" t="n"/>
    </row>
    <row r="7763">
      <c r="C7763" s="1" t="n"/>
    </row>
    <row r="7764">
      <c r="C7764" s="1" t="n"/>
    </row>
    <row r="7765">
      <c r="C7765" s="1" t="n"/>
    </row>
    <row r="7766">
      <c r="C7766" s="1" t="n"/>
    </row>
    <row r="7767">
      <c r="C7767" s="1" t="n"/>
    </row>
    <row r="7768">
      <c r="C7768" s="1" t="n"/>
    </row>
    <row r="7769">
      <c r="C7769" s="1" t="n"/>
    </row>
    <row r="7770">
      <c r="C7770" s="1" t="n"/>
    </row>
    <row r="7771">
      <c r="C7771" s="1" t="n"/>
    </row>
    <row r="7772">
      <c r="C7772" s="1" t="n"/>
    </row>
    <row r="7773">
      <c r="C7773" s="1" t="n"/>
    </row>
    <row r="7774">
      <c r="C7774" s="1" t="n"/>
    </row>
    <row r="7775">
      <c r="C7775" s="1" t="n"/>
    </row>
    <row r="7776">
      <c r="C7776" s="1" t="n"/>
    </row>
    <row r="7777">
      <c r="C7777" s="1" t="n"/>
    </row>
    <row r="7778">
      <c r="C7778" s="1" t="n"/>
    </row>
    <row r="7779">
      <c r="C7779" s="1" t="n"/>
    </row>
    <row r="7780">
      <c r="C7780" s="1" t="n"/>
    </row>
    <row r="7781">
      <c r="C7781" s="1" t="n"/>
    </row>
    <row r="7782">
      <c r="C7782" s="1" t="n"/>
    </row>
    <row r="7783">
      <c r="C7783" s="1" t="n"/>
    </row>
    <row r="7784">
      <c r="C7784" s="1" t="n"/>
    </row>
    <row r="7785">
      <c r="C7785" s="1" t="n"/>
    </row>
    <row r="7786">
      <c r="C7786" s="1" t="n"/>
    </row>
    <row r="7787">
      <c r="C7787" s="1" t="n"/>
    </row>
    <row r="7788">
      <c r="C7788" s="1" t="n"/>
    </row>
    <row r="7789">
      <c r="C7789" s="1" t="n"/>
    </row>
    <row r="7790">
      <c r="C7790" s="1" t="n"/>
    </row>
    <row r="7791">
      <c r="C7791" s="1" t="n"/>
    </row>
    <row r="7792">
      <c r="C7792" s="1" t="n"/>
    </row>
    <row r="7793">
      <c r="C7793" s="1" t="n"/>
    </row>
    <row r="7794">
      <c r="C7794" s="1" t="n"/>
    </row>
    <row r="7795">
      <c r="C7795" s="1" t="n"/>
    </row>
    <row r="7796">
      <c r="C7796" s="1" t="n"/>
    </row>
    <row r="7797">
      <c r="C7797" s="1" t="n"/>
    </row>
    <row r="7798">
      <c r="C7798" s="1" t="n"/>
    </row>
    <row r="7799">
      <c r="C7799" s="1" t="n"/>
    </row>
    <row r="7800">
      <c r="C7800" s="1" t="n"/>
    </row>
    <row r="7801">
      <c r="C7801" s="1" t="n"/>
    </row>
    <row r="7802">
      <c r="C7802" s="1" t="n"/>
    </row>
    <row r="7803">
      <c r="C7803" s="1" t="n"/>
    </row>
    <row r="7804">
      <c r="C7804" s="1" t="n"/>
    </row>
    <row r="7805">
      <c r="C7805" s="1" t="n"/>
    </row>
    <row r="7806">
      <c r="C7806" s="1" t="n"/>
    </row>
    <row r="7807">
      <c r="C7807" s="1" t="n"/>
    </row>
    <row r="7808">
      <c r="C7808" s="1" t="n"/>
    </row>
    <row r="7809">
      <c r="C7809" s="1" t="n"/>
    </row>
    <row r="7810">
      <c r="C7810" s="1" t="n"/>
    </row>
    <row r="7811">
      <c r="C7811" s="1" t="n"/>
    </row>
    <row r="7812">
      <c r="C7812" s="1" t="n"/>
    </row>
    <row r="7813">
      <c r="C7813" s="1" t="n"/>
    </row>
    <row r="7814">
      <c r="C7814" s="1" t="n"/>
    </row>
    <row r="7815">
      <c r="C7815" s="1" t="n"/>
    </row>
    <row r="7816">
      <c r="C7816" s="1" t="n"/>
    </row>
    <row r="7817">
      <c r="C7817" s="1" t="n"/>
    </row>
    <row r="7818">
      <c r="C7818" s="1" t="n"/>
    </row>
    <row r="7819">
      <c r="C7819" s="1" t="n"/>
    </row>
    <row r="7820">
      <c r="C7820" s="1" t="n"/>
    </row>
    <row r="7821">
      <c r="C7821" s="1" t="n"/>
    </row>
    <row r="7822">
      <c r="C7822" s="1" t="n"/>
    </row>
    <row r="7823">
      <c r="C7823" s="1" t="n"/>
    </row>
    <row r="7824">
      <c r="C7824" s="1" t="n"/>
    </row>
    <row r="7825">
      <c r="C7825" s="1" t="n"/>
    </row>
    <row r="7826">
      <c r="C7826" s="1" t="n"/>
    </row>
    <row r="7827">
      <c r="C7827" s="1" t="n"/>
    </row>
    <row r="7828">
      <c r="C7828" s="1" t="n"/>
    </row>
    <row r="7829">
      <c r="C7829" s="1" t="n"/>
    </row>
    <row r="7830">
      <c r="C7830" s="1" t="n"/>
    </row>
    <row r="7831">
      <c r="C7831" s="1" t="n"/>
    </row>
    <row r="7832">
      <c r="C7832" s="1" t="n"/>
    </row>
    <row r="7833">
      <c r="C7833" s="1" t="n"/>
    </row>
    <row r="7834">
      <c r="C7834" s="1" t="n"/>
    </row>
    <row r="7835">
      <c r="C7835" s="1" t="n"/>
    </row>
    <row r="7836">
      <c r="C7836" s="1" t="n"/>
    </row>
    <row r="7837">
      <c r="C7837" s="1" t="n"/>
    </row>
    <row r="7838">
      <c r="C7838" s="1" t="n"/>
    </row>
    <row r="7839">
      <c r="C7839" s="1" t="n"/>
    </row>
    <row r="7840">
      <c r="C7840" s="1" t="n"/>
    </row>
    <row r="7841">
      <c r="C7841" s="1" t="n"/>
    </row>
    <row r="7842">
      <c r="C7842" s="1" t="n"/>
    </row>
    <row r="7843">
      <c r="C7843" s="1" t="n"/>
    </row>
    <row r="7844">
      <c r="C7844" s="1" t="n"/>
    </row>
    <row r="7845">
      <c r="C7845" s="1" t="n"/>
    </row>
    <row r="7846">
      <c r="C7846" s="1" t="n"/>
    </row>
    <row r="7847">
      <c r="C7847" s="1" t="n"/>
    </row>
    <row r="7848">
      <c r="C7848" s="1" t="n"/>
    </row>
    <row r="7849">
      <c r="C7849" s="1" t="n"/>
    </row>
    <row r="7850">
      <c r="C7850" s="1" t="n"/>
    </row>
    <row r="7851">
      <c r="C7851" s="1" t="n"/>
    </row>
    <row r="7852">
      <c r="C7852" s="1" t="n"/>
    </row>
    <row r="7853">
      <c r="C7853" s="1" t="n"/>
    </row>
    <row r="7854">
      <c r="C7854" s="1" t="n"/>
    </row>
    <row r="7855">
      <c r="C7855" s="1" t="n"/>
    </row>
    <row r="7856">
      <c r="C7856" s="1" t="n"/>
    </row>
    <row r="7857">
      <c r="C7857" s="1" t="n"/>
    </row>
    <row r="7858">
      <c r="C7858" s="1" t="n"/>
    </row>
    <row r="7859">
      <c r="C7859" s="1" t="n"/>
    </row>
    <row r="7860">
      <c r="C7860" s="1" t="n"/>
    </row>
    <row r="7861">
      <c r="C7861" s="1" t="n"/>
    </row>
    <row r="7862">
      <c r="C7862" s="1" t="n"/>
    </row>
    <row r="7863">
      <c r="C7863" s="1" t="n"/>
    </row>
    <row r="7864">
      <c r="C7864" s="1" t="n"/>
    </row>
    <row r="7865">
      <c r="C7865" s="1" t="n"/>
    </row>
    <row r="7866">
      <c r="C7866" s="1" t="n"/>
    </row>
    <row r="7867">
      <c r="C7867" s="1" t="n"/>
    </row>
    <row r="7868">
      <c r="C7868" s="1" t="n"/>
    </row>
    <row r="7869">
      <c r="C7869" s="1" t="n"/>
    </row>
    <row r="7870">
      <c r="C7870" s="1" t="n"/>
    </row>
    <row r="7871">
      <c r="C7871" s="1" t="n"/>
    </row>
    <row r="7872">
      <c r="C7872" s="1" t="n"/>
    </row>
    <row r="7873">
      <c r="C7873" s="1" t="n"/>
    </row>
    <row r="7874">
      <c r="C7874" s="1" t="n"/>
    </row>
    <row r="7875">
      <c r="C7875" s="1" t="n"/>
    </row>
    <row r="7876">
      <c r="C7876" s="1" t="n"/>
    </row>
    <row r="7877">
      <c r="C7877" s="1" t="n"/>
    </row>
    <row r="7878">
      <c r="C7878" s="1" t="n"/>
    </row>
    <row r="7879">
      <c r="C7879" s="1" t="n"/>
    </row>
    <row r="7880">
      <c r="C7880" s="1" t="n"/>
    </row>
    <row r="7881">
      <c r="C7881" s="1" t="n"/>
    </row>
    <row r="7882">
      <c r="C7882" s="1" t="n"/>
    </row>
    <row r="7883">
      <c r="C7883" s="1" t="n"/>
    </row>
    <row r="7884">
      <c r="C7884" s="1" t="n"/>
    </row>
    <row r="7885">
      <c r="C7885" s="1" t="n"/>
    </row>
    <row r="7886">
      <c r="C7886" s="1" t="n"/>
    </row>
    <row r="7887">
      <c r="C7887" s="1" t="n"/>
    </row>
    <row r="7888">
      <c r="C7888" s="1" t="n"/>
    </row>
    <row r="7889">
      <c r="C7889" s="1" t="n"/>
    </row>
    <row r="7890">
      <c r="C7890" s="1" t="n"/>
    </row>
    <row r="7891">
      <c r="C7891" s="1" t="n"/>
    </row>
    <row r="7892">
      <c r="C7892" s="1" t="n"/>
    </row>
    <row r="7893">
      <c r="C7893" s="1" t="n"/>
    </row>
    <row r="7894">
      <c r="C7894" s="1" t="n"/>
    </row>
    <row r="7895">
      <c r="C7895" s="1" t="n"/>
    </row>
    <row r="7896">
      <c r="C7896" s="1" t="n"/>
    </row>
    <row r="7897">
      <c r="C7897" s="1" t="n"/>
    </row>
    <row r="7898">
      <c r="C7898" s="1" t="n"/>
    </row>
    <row r="7899">
      <c r="C7899" s="1" t="n"/>
    </row>
    <row r="7900">
      <c r="C7900" s="1" t="n"/>
    </row>
    <row r="7901">
      <c r="C7901" s="1" t="n"/>
    </row>
    <row r="7902">
      <c r="C7902" s="1" t="n"/>
    </row>
    <row r="7903">
      <c r="C7903" s="1" t="n"/>
    </row>
    <row r="7904">
      <c r="C7904" s="1" t="n"/>
    </row>
    <row r="7905">
      <c r="C7905" s="1" t="n"/>
    </row>
    <row r="7906">
      <c r="C7906" s="1" t="n"/>
    </row>
    <row r="7907">
      <c r="C7907" s="1" t="n"/>
    </row>
    <row r="7908">
      <c r="C7908" s="1" t="n"/>
    </row>
    <row r="7909">
      <c r="C7909" s="1" t="n"/>
    </row>
    <row r="7910">
      <c r="C7910" s="1" t="n"/>
    </row>
    <row r="7911">
      <c r="C7911" s="1" t="n"/>
    </row>
    <row r="7912">
      <c r="C7912" s="1" t="n"/>
    </row>
    <row r="7913">
      <c r="C7913" s="1" t="n"/>
    </row>
    <row r="7914">
      <c r="C7914" s="1" t="n"/>
    </row>
    <row r="7915">
      <c r="C7915" s="1" t="n"/>
    </row>
    <row r="7916">
      <c r="C7916" s="1" t="n"/>
    </row>
    <row r="7917">
      <c r="C7917" s="1" t="n"/>
    </row>
    <row r="7918">
      <c r="C7918" s="1" t="n"/>
    </row>
    <row r="7919">
      <c r="C7919" s="1" t="n"/>
    </row>
    <row r="7920">
      <c r="C7920" s="1" t="n"/>
    </row>
    <row r="7921">
      <c r="C7921" s="1" t="n"/>
    </row>
    <row r="7922">
      <c r="C7922" s="1" t="n"/>
    </row>
    <row r="7923">
      <c r="C7923" s="1" t="n"/>
    </row>
    <row r="7924">
      <c r="C7924" s="1" t="n"/>
    </row>
    <row r="7925">
      <c r="C7925" s="1" t="n"/>
    </row>
    <row r="7926">
      <c r="C7926" s="1" t="n"/>
    </row>
    <row r="7927">
      <c r="C7927" s="1" t="n"/>
    </row>
    <row r="7928">
      <c r="C7928" s="1" t="n"/>
    </row>
    <row r="7929">
      <c r="C7929" s="1" t="n"/>
    </row>
    <row r="7930">
      <c r="C7930" s="1" t="n"/>
    </row>
    <row r="7931">
      <c r="C7931" s="1" t="n"/>
    </row>
    <row r="7932">
      <c r="C7932" s="1" t="n"/>
    </row>
    <row r="7933">
      <c r="C7933" s="1" t="n"/>
    </row>
    <row r="7934">
      <c r="C7934" s="1" t="n"/>
    </row>
    <row r="7935">
      <c r="C7935" s="1" t="n"/>
    </row>
    <row r="7936">
      <c r="C7936" s="1" t="n"/>
    </row>
    <row r="7937">
      <c r="C7937" s="1" t="n"/>
    </row>
    <row r="7938">
      <c r="C7938" s="1" t="n"/>
    </row>
    <row r="7939">
      <c r="C7939" s="1" t="n"/>
    </row>
    <row r="7940">
      <c r="C7940" s="1" t="n"/>
    </row>
    <row r="7941">
      <c r="C7941" s="1" t="n"/>
    </row>
    <row r="7942">
      <c r="C7942" s="1" t="n"/>
    </row>
    <row r="7943">
      <c r="C7943" s="1" t="n"/>
    </row>
    <row r="7944">
      <c r="C7944" s="1" t="n"/>
    </row>
    <row r="7945">
      <c r="C7945" s="1" t="n"/>
    </row>
    <row r="7946">
      <c r="C7946" s="1" t="n"/>
    </row>
    <row r="7947">
      <c r="C7947" s="1" t="n"/>
    </row>
    <row r="7948">
      <c r="C7948" s="1" t="n"/>
    </row>
    <row r="7949">
      <c r="C7949" s="1" t="n"/>
    </row>
    <row r="7950">
      <c r="C7950" s="1" t="n"/>
    </row>
    <row r="7951">
      <c r="C7951" s="1" t="n"/>
    </row>
    <row r="7952">
      <c r="C7952" s="1" t="n"/>
    </row>
    <row r="7953">
      <c r="C7953" s="1" t="n"/>
    </row>
    <row r="7954">
      <c r="C7954" s="1" t="n"/>
    </row>
    <row r="7955">
      <c r="C7955" s="1" t="n"/>
    </row>
    <row r="7956">
      <c r="C7956" s="1" t="n"/>
    </row>
    <row r="7957">
      <c r="C7957" s="1" t="n"/>
    </row>
    <row r="7958">
      <c r="C7958" s="1" t="n"/>
    </row>
    <row r="7959">
      <c r="C7959" s="1" t="n"/>
    </row>
    <row r="7960">
      <c r="C7960" s="1" t="n"/>
    </row>
    <row r="7961">
      <c r="C7961" s="1" t="n"/>
    </row>
    <row r="7962">
      <c r="C7962" s="1" t="n"/>
    </row>
    <row r="7963">
      <c r="C7963" s="1" t="n"/>
    </row>
    <row r="7964">
      <c r="C7964" s="1" t="n"/>
    </row>
    <row r="7965">
      <c r="C7965" s="1" t="n"/>
    </row>
    <row r="7966">
      <c r="C7966" s="1" t="n"/>
    </row>
    <row r="7967">
      <c r="C7967" s="1" t="n"/>
    </row>
    <row r="7968">
      <c r="C7968" s="1" t="n"/>
    </row>
    <row r="7969">
      <c r="C7969" s="1" t="n"/>
    </row>
    <row r="7970">
      <c r="C7970" s="1" t="n"/>
    </row>
    <row r="7971">
      <c r="C7971" s="1" t="n"/>
    </row>
    <row r="7972">
      <c r="C7972" s="1" t="n"/>
    </row>
    <row r="7973">
      <c r="C7973" s="1" t="n"/>
    </row>
    <row r="7974">
      <c r="C7974" s="1" t="n"/>
    </row>
    <row r="7975">
      <c r="C7975" s="1" t="n"/>
    </row>
    <row r="7976">
      <c r="C7976" s="1" t="n"/>
    </row>
    <row r="7977">
      <c r="C7977" s="1" t="n"/>
    </row>
    <row r="7978">
      <c r="C7978" s="1" t="n"/>
    </row>
    <row r="7979">
      <c r="C7979" s="1" t="n"/>
    </row>
    <row r="7980">
      <c r="C7980" s="1" t="n"/>
    </row>
    <row r="7981">
      <c r="C7981" s="1" t="n"/>
    </row>
    <row r="7982">
      <c r="C7982" s="1" t="n"/>
    </row>
    <row r="7983">
      <c r="C7983" s="1" t="n"/>
    </row>
    <row r="7984">
      <c r="C7984" s="1" t="n"/>
    </row>
    <row r="7985">
      <c r="C7985" s="1" t="n"/>
    </row>
    <row r="7986">
      <c r="C7986" s="1" t="n"/>
    </row>
    <row r="7987">
      <c r="C7987" s="1" t="n"/>
    </row>
    <row r="7988">
      <c r="C7988" s="1" t="n"/>
    </row>
    <row r="7989">
      <c r="C7989" s="1" t="n"/>
    </row>
    <row r="7990">
      <c r="C7990" s="1" t="n"/>
    </row>
    <row r="7991">
      <c r="C7991" s="1" t="n"/>
    </row>
    <row r="7992">
      <c r="C7992" s="1" t="n"/>
    </row>
    <row r="7993">
      <c r="C7993" s="1" t="n"/>
    </row>
    <row r="7994">
      <c r="C7994" s="1" t="n"/>
    </row>
    <row r="7995">
      <c r="C7995" s="1" t="n"/>
    </row>
    <row r="7996">
      <c r="C7996" s="1" t="n"/>
    </row>
    <row r="7997">
      <c r="C7997" s="1" t="n"/>
    </row>
    <row r="7998">
      <c r="C7998" s="1" t="n"/>
    </row>
    <row r="7999">
      <c r="C7999" s="1" t="n"/>
    </row>
    <row r="8000">
      <c r="C8000" s="1" t="n"/>
    </row>
    <row r="8001">
      <c r="C8001" s="1" t="n"/>
    </row>
    <row r="8002">
      <c r="C8002" s="1" t="n"/>
    </row>
    <row r="8003">
      <c r="C8003" s="1" t="n"/>
    </row>
    <row r="8004">
      <c r="C8004" s="1" t="n"/>
    </row>
    <row r="8005">
      <c r="C8005" s="1" t="n"/>
    </row>
    <row r="8006">
      <c r="C8006" s="1" t="n"/>
    </row>
    <row r="8007">
      <c r="C8007" s="1" t="n"/>
    </row>
    <row r="8008">
      <c r="C8008" s="1" t="n"/>
    </row>
    <row r="8009">
      <c r="C8009" s="1" t="n"/>
    </row>
    <row r="8010">
      <c r="C8010" s="1" t="n"/>
    </row>
    <row r="8011">
      <c r="C8011" s="1" t="n"/>
    </row>
    <row r="8012">
      <c r="C8012" s="1" t="n"/>
    </row>
    <row r="8013">
      <c r="C8013" s="1" t="n"/>
    </row>
    <row r="8014">
      <c r="C8014" s="1" t="n"/>
    </row>
    <row r="8015">
      <c r="C8015" s="1" t="n"/>
    </row>
    <row r="8016">
      <c r="C8016" s="1" t="n"/>
    </row>
    <row r="8017">
      <c r="C8017" s="1" t="n"/>
    </row>
    <row r="8018">
      <c r="C8018" s="1" t="n"/>
    </row>
    <row r="8019">
      <c r="C8019" s="1" t="n"/>
    </row>
    <row r="8020">
      <c r="C8020" s="1" t="n"/>
    </row>
    <row r="8021">
      <c r="C8021" s="1" t="n"/>
    </row>
    <row r="8022">
      <c r="C8022" s="1" t="n"/>
    </row>
    <row r="8023">
      <c r="C8023" s="1" t="n"/>
    </row>
    <row r="8024">
      <c r="C8024" s="1" t="n"/>
    </row>
    <row r="8025">
      <c r="C8025" s="1" t="n"/>
    </row>
    <row r="8026">
      <c r="C8026" s="1" t="n"/>
    </row>
    <row r="8027">
      <c r="C8027" s="1" t="n"/>
    </row>
    <row r="8028">
      <c r="C8028" s="1" t="n"/>
    </row>
    <row r="8029">
      <c r="C8029" s="1" t="n"/>
    </row>
    <row r="8030">
      <c r="C8030" s="1" t="n"/>
    </row>
    <row r="8031">
      <c r="C8031" s="1" t="n"/>
    </row>
    <row r="8032">
      <c r="C8032" s="1" t="n"/>
    </row>
    <row r="8033">
      <c r="C8033" s="1" t="n"/>
    </row>
    <row r="8034">
      <c r="C8034" s="1" t="n"/>
    </row>
    <row r="8035">
      <c r="C8035" s="1" t="n"/>
    </row>
    <row r="8036">
      <c r="C8036" s="1" t="n"/>
    </row>
    <row r="8037">
      <c r="C8037" s="1" t="n"/>
    </row>
    <row r="8038">
      <c r="C8038" s="1" t="n"/>
    </row>
    <row r="8039">
      <c r="C8039" s="1" t="n"/>
    </row>
    <row r="8040">
      <c r="C8040" s="1" t="n"/>
    </row>
    <row r="8041">
      <c r="C8041" s="1" t="n"/>
    </row>
    <row r="8042">
      <c r="C8042" s="1" t="n"/>
    </row>
    <row r="8043">
      <c r="C8043" s="1" t="n"/>
    </row>
    <row r="8044">
      <c r="C8044" s="1" t="n"/>
    </row>
    <row r="8045">
      <c r="C8045" s="1" t="n"/>
    </row>
    <row r="8046">
      <c r="C8046" s="1" t="n"/>
    </row>
    <row r="8047">
      <c r="C8047" s="1" t="n"/>
    </row>
    <row r="8048">
      <c r="C8048" s="1" t="n"/>
    </row>
    <row r="8049">
      <c r="C8049" s="1" t="n"/>
    </row>
    <row r="8050">
      <c r="C8050" s="1" t="n"/>
    </row>
    <row r="8051">
      <c r="C8051" s="1" t="n"/>
    </row>
    <row r="8052">
      <c r="C8052" s="1" t="n"/>
    </row>
    <row r="8053">
      <c r="C8053" s="1" t="n"/>
    </row>
    <row r="8054">
      <c r="C8054" s="1" t="n"/>
    </row>
    <row r="8055">
      <c r="C8055" s="1" t="n"/>
    </row>
    <row r="8056">
      <c r="C8056" s="1" t="n"/>
    </row>
    <row r="8057">
      <c r="C8057" s="1" t="n"/>
    </row>
    <row r="8058">
      <c r="C8058" s="1" t="n"/>
    </row>
    <row r="8059">
      <c r="C8059" s="1" t="n"/>
    </row>
    <row r="8060">
      <c r="C8060" s="1" t="n"/>
    </row>
    <row r="8061">
      <c r="C8061" s="1" t="n"/>
    </row>
    <row r="8062">
      <c r="C8062" s="1" t="n"/>
    </row>
    <row r="8063">
      <c r="C8063" s="1" t="n"/>
    </row>
    <row r="8064">
      <c r="C8064" s="1" t="n"/>
    </row>
    <row r="8065">
      <c r="C8065" s="1" t="n"/>
    </row>
    <row r="8066">
      <c r="C8066" s="1" t="n"/>
    </row>
    <row r="8067">
      <c r="C8067" s="1" t="n"/>
    </row>
    <row r="8068">
      <c r="C8068" s="1" t="n"/>
    </row>
    <row r="8069">
      <c r="C8069" s="1" t="n"/>
    </row>
    <row r="8070">
      <c r="C8070" s="1" t="n"/>
    </row>
    <row r="8071">
      <c r="C8071" s="1" t="n"/>
    </row>
    <row r="8072">
      <c r="C8072" s="1" t="n"/>
    </row>
    <row r="8073">
      <c r="C8073" s="1" t="n"/>
    </row>
    <row r="8074">
      <c r="C8074" s="1" t="n"/>
    </row>
    <row r="8075">
      <c r="C8075" s="1" t="n"/>
    </row>
    <row r="8076">
      <c r="C8076" s="1" t="n"/>
    </row>
    <row r="8077">
      <c r="C8077" s="1" t="n"/>
    </row>
    <row r="8078">
      <c r="C8078" s="1" t="n"/>
    </row>
    <row r="8079">
      <c r="C8079" s="1" t="n"/>
    </row>
    <row r="8080">
      <c r="C8080" s="1" t="n"/>
    </row>
    <row r="8081">
      <c r="C8081" s="1" t="n"/>
    </row>
    <row r="8082">
      <c r="C8082" s="1" t="n"/>
    </row>
    <row r="8083">
      <c r="C8083" s="1" t="n"/>
    </row>
    <row r="8084">
      <c r="C8084" s="1" t="n"/>
    </row>
    <row r="8085">
      <c r="C8085" s="1" t="n"/>
    </row>
    <row r="8086">
      <c r="C8086" s="1" t="n"/>
    </row>
    <row r="8087">
      <c r="C8087" s="1" t="n"/>
    </row>
    <row r="8088">
      <c r="C8088" s="1" t="n"/>
    </row>
    <row r="8089">
      <c r="C8089" s="1" t="n"/>
    </row>
    <row r="8090">
      <c r="C8090" s="1" t="n"/>
    </row>
    <row r="8091">
      <c r="C8091" s="1" t="n"/>
    </row>
    <row r="8092">
      <c r="C8092" s="1" t="n"/>
    </row>
    <row r="8093">
      <c r="C8093" s="1" t="n"/>
    </row>
    <row r="8094">
      <c r="C8094" s="1" t="n"/>
    </row>
    <row r="8095">
      <c r="C8095" s="1" t="n"/>
    </row>
    <row r="8096">
      <c r="C8096" s="1" t="n"/>
    </row>
    <row r="8097">
      <c r="C8097" s="1" t="n"/>
    </row>
    <row r="8098">
      <c r="C8098" s="1" t="n"/>
    </row>
    <row r="8099">
      <c r="C8099" s="1" t="n"/>
    </row>
    <row r="8100">
      <c r="C8100" s="1" t="n"/>
    </row>
    <row r="8101">
      <c r="C8101" s="1" t="n"/>
    </row>
    <row r="8102">
      <c r="C8102" s="1" t="n"/>
    </row>
    <row r="8103">
      <c r="C8103" s="1" t="n"/>
    </row>
    <row r="8104">
      <c r="C8104" s="1" t="n"/>
    </row>
    <row r="8105">
      <c r="C8105" s="1" t="n"/>
    </row>
    <row r="8106">
      <c r="C8106" s="1" t="n"/>
    </row>
    <row r="8107">
      <c r="C8107" s="1" t="n"/>
    </row>
    <row r="8108">
      <c r="C8108" s="1" t="n"/>
    </row>
    <row r="8109">
      <c r="C8109" s="1" t="n"/>
    </row>
    <row r="8110">
      <c r="C8110" s="1" t="n"/>
    </row>
    <row r="8111">
      <c r="C8111" s="1" t="n"/>
    </row>
    <row r="8112">
      <c r="C8112" s="1" t="n"/>
    </row>
    <row r="8113">
      <c r="C8113" s="1" t="n"/>
    </row>
    <row r="8114">
      <c r="C8114" s="1" t="n"/>
    </row>
    <row r="8115">
      <c r="C8115" s="1" t="n"/>
    </row>
    <row r="8116">
      <c r="C8116" s="1" t="n"/>
    </row>
    <row r="8117">
      <c r="C8117" s="1" t="n"/>
    </row>
    <row r="8118">
      <c r="C8118" s="1" t="n"/>
    </row>
    <row r="8119">
      <c r="C8119" s="1" t="n"/>
    </row>
    <row r="8120">
      <c r="C8120" s="1" t="n"/>
    </row>
    <row r="8121">
      <c r="C8121" s="1" t="n"/>
    </row>
    <row r="8122">
      <c r="C8122" s="1" t="n"/>
    </row>
    <row r="8123">
      <c r="C8123" s="1" t="n"/>
    </row>
    <row r="8124">
      <c r="C8124" s="1" t="n"/>
    </row>
    <row r="8125">
      <c r="C8125" s="1" t="n"/>
    </row>
    <row r="8126">
      <c r="C8126" s="1" t="n"/>
    </row>
    <row r="8127">
      <c r="C8127" s="1" t="n"/>
    </row>
    <row r="8128">
      <c r="C8128" s="1" t="n"/>
    </row>
    <row r="8129">
      <c r="C8129" s="1" t="n"/>
    </row>
    <row r="8130">
      <c r="C8130" s="1" t="n"/>
    </row>
    <row r="8131">
      <c r="C8131" s="1" t="n"/>
    </row>
    <row r="8132">
      <c r="C8132" s="1" t="n"/>
    </row>
    <row r="8133">
      <c r="C8133" s="1" t="n"/>
    </row>
    <row r="8134">
      <c r="C8134" s="1" t="n"/>
    </row>
    <row r="8135">
      <c r="C8135" s="1" t="n"/>
    </row>
    <row r="8136">
      <c r="C8136" s="1" t="n"/>
    </row>
    <row r="8137">
      <c r="C8137" s="1" t="n"/>
    </row>
    <row r="8138">
      <c r="C8138" s="1" t="n"/>
    </row>
    <row r="8139">
      <c r="C8139" s="1" t="n"/>
    </row>
    <row r="8140">
      <c r="C8140" s="1" t="n"/>
    </row>
    <row r="8141">
      <c r="C8141" s="1" t="n"/>
    </row>
    <row r="8142">
      <c r="C8142" s="1" t="n"/>
    </row>
    <row r="8143">
      <c r="C8143" s="1" t="n"/>
    </row>
    <row r="8144">
      <c r="C8144" s="1" t="n"/>
    </row>
    <row r="8145">
      <c r="C8145" s="1" t="n"/>
    </row>
    <row r="8146">
      <c r="C8146" s="1" t="n"/>
    </row>
    <row r="8147">
      <c r="C8147" s="1" t="n"/>
    </row>
    <row r="8148">
      <c r="C8148" s="1" t="n"/>
    </row>
    <row r="8149">
      <c r="C8149" s="1" t="n"/>
    </row>
    <row r="8150">
      <c r="C8150" s="1" t="n"/>
    </row>
    <row r="8151">
      <c r="C8151" s="1" t="n"/>
    </row>
    <row r="8152">
      <c r="C8152" s="1" t="n"/>
    </row>
    <row r="8153">
      <c r="C8153" s="1" t="n"/>
    </row>
    <row r="8154">
      <c r="C8154" s="1" t="n"/>
    </row>
    <row r="8155">
      <c r="C8155" s="1" t="n"/>
    </row>
    <row r="8156">
      <c r="C8156" s="1" t="n"/>
    </row>
    <row r="8157">
      <c r="C8157" s="1" t="n"/>
    </row>
    <row r="8158">
      <c r="C8158" s="1" t="n"/>
    </row>
    <row r="8159">
      <c r="C8159" s="1" t="n"/>
    </row>
    <row r="8160">
      <c r="C8160" s="1" t="n"/>
    </row>
    <row r="8161">
      <c r="C8161" s="1" t="n"/>
    </row>
    <row r="8162">
      <c r="C8162" s="1" t="n"/>
    </row>
    <row r="8163">
      <c r="C8163" s="1" t="n"/>
    </row>
    <row r="8164">
      <c r="C8164" s="1" t="n"/>
    </row>
    <row r="8165">
      <c r="C8165" s="1" t="n"/>
    </row>
    <row r="8166">
      <c r="C8166" s="1" t="n"/>
    </row>
    <row r="8167">
      <c r="C8167" s="1" t="n"/>
    </row>
    <row r="8168">
      <c r="C8168" s="1" t="n"/>
    </row>
    <row r="8169">
      <c r="C8169" s="1" t="n"/>
    </row>
    <row r="8170">
      <c r="C8170" s="1" t="n"/>
    </row>
    <row r="8171">
      <c r="C8171" s="1" t="n"/>
    </row>
    <row r="8172">
      <c r="C8172" s="1" t="n"/>
    </row>
    <row r="8173">
      <c r="C8173" s="1" t="n"/>
    </row>
    <row r="8174">
      <c r="C8174" s="1" t="n"/>
    </row>
    <row r="8175">
      <c r="C8175" s="1" t="n"/>
    </row>
    <row r="8176">
      <c r="C8176" s="1" t="n"/>
    </row>
    <row r="8177">
      <c r="C8177" s="1" t="n"/>
    </row>
    <row r="8178">
      <c r="C8178" s="1" t="n"/>
    </row>
    <row r="8179">
      <c r="C8179" s="1" t="n"/>
    </row>
    <row r="8180">
      <c r="C8180" s="1" t="n"/>
    </row>
    <row r="8181">
      <c r="C8181" s="1" t="n"/>
    </row>
    <row r="8182">
      <c r="C8182" s="1" t="n"/>
    </row>
    <row r="8183">
      <c r="C8183" s="1" t="n"/>
    </row>
    <row r="8184">
      <c r="C8184" s="1" t="n"/>
    </row>
    <row r="8185">
      <c r="C8185" s="1" t="n"/>
    </row>
    <row r="8186">
      <c r="C8186" s="1" t="n"/>
    </row>
    <row r="8187">
      <c r="C8187" s="1" t="n"/>
    </row>
    <row r="8188">
      <c r="C8188" s="1" t="n"/>
    </row>
    <row r="8189">
      <c r="C8189" s="1" t="n"/>
    </row>
    <row r="8190">
      <c r="C8190" s="1" t="n"/>
    </row>
    <row r="8191">
      <c r="C8191" s="1" t="n"/>
    </row>
    <row r="8192">
      <c r="C8192" s="1" t="n"/>
    </row>
    <row r="8193">
      <c r="C8193" s="1" t="n"/>
    </row>
    <row r="8194">
      <c r="C8194" s="1" t="n"/>
    </row>
    <row r="8195">
      <c r="C8195" s="1" t="n"/>
    </row>
    <row r="8196">
      <c r="C8196" s="1" t="n"/>
    </row>
    <row r="8197">
      <c r="C8197" s="1" t="n"/>
    </row>
    <row r="8198">
      <c r="C8198" s="1" t="n"/>
    </row>
    <row r="8199">
      <c r="C8199" s="1" t="n"/>
    </row>
    <row r="8200">
      <c r="C8200" s="1" t="n"/>
    </row>
    <row r="8201">
      <c r="C8201" s="1" t="n"/>
    </row>
    <row r="8202">
      <c r="C8202" s="1" t="n"/>
    </row>
    <row r="8203">
      <c r="C8203" s="1" t="n"/>
    </row>
    <row r="8204">
      <c r="C8204" s="1" t="n"/>
    </row>
    <row r="8205">
      <c r="C8205" s="1" t="n"/>
    </row>
    <row r="8206">
      <c r="C8206" s="1" t="n"/>
    </row>
    <row r="8207">
      <c r="C8207" s="1" t="n"/>
    </row>
    <row r="8208">
      <c r="C8208" s="1" t="n"/>
    </row>
    <row r="8209">
      <c r="C8209" s="1" t="n"/>
    </row>
    <row r="8210">
      <c r="C8210" s="1" t="n"/>
    </row>
    <row r="8211">
      <c r="C8211" s="1" t="n"/>
    </row>
    <row r="8212">
      <c r="C8212" s="1" t="n"/>
    </row>
    <row r="8213">
      <c r="C8213" s="1" t="n"/>
    </row>
    <row r="8214">
      <c r="C8214" s="1" t="n"/>
    </row>
    <row r="8215">
      <c r="C8215" s="1" t="n"/>
    </row>
    <row r="8216">
      <c r="C8216" s="1" t="n"/>
    </row>
    <row r="8217">
      <c r="C8217" s="1" t="n"/>
    </row>
    <row r="8218">
      <c r="C8218" s="1" t="n"/>
    </row>
    <row r="8219">
      <c r="C8219" s="1" t="n"/>
    </row>
    <row r="8220">
      <c r="C8220" s="1" t="n"/>
    </row>
    <row r="8221">
      <c r="C8221" s="1" t="n"/>
    </row>
    <row r="8222">
      <c r="C8222" s="1" t="n"/>
    </row>
    <row r="8223">
      <c r="C8223" s="1" t="n"/>
    </row>
    <row r="8224">
      <c r="C8224" s="1" t="n"/>
    </row>
    <row r="8225">
      <c r="C8225" s="1" t="n"/>
    </row>
    <row r="8226">
      <c r="C8226" s="1" t="n"/>
    </row>
    <row r="8227">
      <c r="C8227" s="1" t="n"/>
    </row>
    <row r="8228">
      <c r="C8228" s="1" t="n"/>
    </row>
    <row r="8229">
      <c r="C8229" s="1" t="n"/>
    </row>
    <row r="8230">
      <c r="C8230" s="1" t="n"/>
    </row>
    <row r="8231">
      <c r="C8231" s="1" t="n"/>
    </row>
    <row r="8232">
      <c r="C8232" s="1" t="n"/>
    </row>
    <row r="8233">
      <c r="C8233" s="1" t="n"/>
    </row>
    <row r="8234">
      <c r="C8234" s="1" t="n"/>
    </row>
    <row r="8235">
      <c r="C8235" s="1" t="n"/>
    </row>
    <row r="8236">
      <c r="C8236" s="1" t="n"/>
    </row>
    <row r="8237">
      <c r="C8237" s="1" t="n"/>
    </row>
    <row r="8238">
      <c r="C8238" s="1" t="n"/>
    </row>
    <row r="8239">
      <c r="C8239" s="1" t="n"/>
    </row>
    <row r="8240">
      <c r="C8240" s="1" t="n"/>
    </row>
    <row r="8241">
      <c r="C8241" s="1" t="n"/>
    </row>
    <row r="8242">
      <c r="C8242" s="1" t="n"/>
    </row>
    <row r="8243">
      <c r="C8243" s="1" t="n"/>
    </row>
    <row r="8244">
      <c r="C8244" s="1" t="n"/>
    </row>
    <row r="8245">
      <c r="C8245" s="1" t="n"/>
    </row>
    <row r="8246">
      <c r="C8246" s="1" t="n"/>
    </row>
    <row r="8247">
      <c r="C8247" s="1" t="n"/>
    </row>
    <row r="8248">
      <c r="C8248" s="1" t="n"/>
    </row>
    <row r="8249">
      <c r="C8249" s="1" t="n"/>
    </row>
    <row r="8250">
      <c r="C8250" s="1" t="n"/>
    </row>
    <row r="8251">
      <c r="C8251" s="1" t="n"/>
    </row>
    <row r="8252">
      <c r="C8252" s="1" t="n"/>
    </row>
    <row r="8253">
      <c r="C8253" s="1" t="n"/>
    </row>
    <row r="8254">
      <c r="C8254" s="1" t="n"/>
    </row>
    <row r="8255">
      <c r="C8255" s="1" t="n"/>
    </row>
    <row r="8256">
      <c r="C8256" s="1" t="n"/>
    </row>
    <row r="8257">
      <c r="C8257" s="1" t="n"/>
    </row>
    <row r="8258">
      <c r="C8258" s="1" t="n"/>
    </row>
    <row r="8259">
      <c r="C8259" s="1" t="n"/>
    </row>
    <row r="8260">
      <c r="C8260" s="1" t="n"/>
    </row>
    <row r="8261">
      <c r="C8261" s="1" t="n"/>
    </row>
    <row r="8262">
      <c r="C8262" s="1" t="n"/>
    </row>
    <row r="8263">
      <c r="C8263" s="1" t="n"/>
    </row>
    <row r="8264">
      <c r="C8264" s="1" t="n"/>
    </row>
    <row r="8265">
      <c r="C8265" s="1" t="n"/>
    </row>
    <row r="8266">
      <c r="C8266" s="1" t="n"/>
    </row>
    <row r="8267">
      <c r="C8267" s="1" t="n"/>
    </row>
    <row r="8268">
      <c r="C8268" s="1" t="n"/>
    </row>
    <row r="8269">
      <c r="C8269" s="1" t="n"/>
    </row>
    <row r="8270">
      <c r="C8270" s="1" t="n"/>
    </row>
    <row r="8271">
      <c r="C8271" s="1" t="n"/>
    </row>
    <row r="8272">
      <c r="C8272" s="1" t="n"/>
    </row>
    <row r="8273">
      <c r="C8273" s="1" t="n"/>
    </row>
    <row r="8274">
      <c r="C8274" s="1" t="n"/>
    </row>
    <row r="8275">
      <c r="C8275" s="1" t="n"/>
    </row>
    <row r="8276">
      <c r="C8276" s="1" t="n"/>
    </row>
    <row r="8277">
      <c r="C8277" s="1" t="n"/>
    </row>
    <row r="8278">
      <c r="C8278" s="1" t="n"/>
    </row>
    <row r="8279">
      <c r="C8279" s="1" t="n"/>
    </row>
    <row r="8280">
      <c r="C8280" s="1" t="n"/>
    </row>
    <row r="8281">
      <c r="C8281" s="1" t="n"/>
    </row>
    <row r="8282">
      <c r="C8282" s="1" t="n"/>
    </row>
    <row r="8283">
      <c r="C8283" s="1" t="n"/>
    </row>
    <row r="8284">
      <c r="C8284" s="1" t="n"/>
    </row>
    <row r="8285">
      <c r="C8285" s="1" t="n"/>
    </row>
    <row r="8286">
      <c r="C8286" s="1" t="n"/>
    </row>
    <row r="8287">
      <c r="C8287" s="1" t="n"/>
    </row>
    <row r="8288">
      <c r="C8288" s="1" t="n"/>
    </row>
    <row r="8289">
      <c r="C8289" s="1" t="n"/>
    </row>
    <row r="8290">
      <c r="C8290" s="1" t="n"/>
    </row>
    <row r="8291">
      <c r="C8291" s="1" t="n"/>
    </row>
    <row r="8292">
      <c r="C8292" s="1" t="n"/>
    </row>
    <row r="8293">
      <c r="C8293" s="1" t="n"/>
    </row>
    <row r="8294">
      <c r="C8294" s="1" t="n"/>
    </row>
    <row r="8295">
      <c r="C8295" s="1" t="n"/>
    </row>
    <row r="8296">
      <c r="C8296" s="1" t="n"/>
    </row>
    <row r="8297">
      <c r="C8297" s="1" t="n"/>
    </row>
    <row r="8298">
      <c r="C8298" s="1" t="n"/>
    </row>
    <row r="8299">
      <c r="C8299" s="1" t="n"/>
    </row>
    <row r="8300">
      <c r="C8300" s="1" t="n"/>
    </row>
    <row r="8301">
      <c r="C8301" s="1" t="n"/>
    </row>
    <row r="8302">
      <c r="C8302" s="1" t="n"/>
    </row>
    <row r="8303">
      <c r="C8303" s="1" t="n"/>
    </row>
    <row r="8304">
      <c r="C8304" s="1" t="n"/>
    </row>
    <row r="8305">
      <c r="C8305" s="1" t="n"/>
    </row>
    <row r="8306">
      <c r="C8306" s="1" t="n"/>
    </row>
    <row r="8307">
      <c r="C8307" s="1" t="n"/>
    </row>
    <row r="8308">
      <c r="C8308" s="1" t="n"/>
    </row>
    <row r="8309">
      <c r="C8309" s="1" t="n"/>
    </row>
    <row r="8310">
      <c r="C8310" s="1" t="n"/>
    </row>
    <row r="8311">
      <c r="C8311" s="1" t="n"/>
    </row>
    <row r="8312">
      <c r="C8312" s="1" t="n"/>
    </row>
    <row r="8313">
      <c r="C8313" s="1" t="n"/>
    </row>
    <row r="8314">
      <c r="C8314" s="1" t="n"/>
    </row>
    <row r="8315">
      <c r="C8315" s="1" t="n"/>
    </row>
    <row r="8316">
      <c r="C8316" s="1" t="n"/>
    </row>
    <row r="8317">
      <c r="C8317" s="1" t="n"/>
    </row>
    <row r="8318">
      <c r="C8318" s="1" t="n"/>
    </row>
    <row r="8319">
      <c r="C8319" s="1" t="n"/>
    </row>
    <row r="8320">
      <c r="C8320" s="1" t="n"/>
    </row>
    <row r="8321">
      <c r="C8321" s="1" t="n"/>
    </row>
    <row r="8322">
      <c r="C8322" s="1" t="n"/>
    </row>
    <row r="8323">
      <c r="C8323" s="1" t="n"/>
    </row>
    <row r="8324">
      <c r="C8324" s="1" t="n"/>
    </row>
    <row r="8325">
      <c r="C8325" s="1" t="n"/>
    </row>
    <row r="8326">
      <c r="C8326" s="1" t="n"/>
    </row>
    <row r="8327">
      <c r="C8327" s="1" t="n"/>
    </row>
    <row r="8328">
      <c r="C8328" s="1" t="n"/>
    </row>
    <row r="8329">
      <c r="C8329" s="1" t="n"/>
    </row>
    <row r="8330">
      <c r="C8330" s="1" t="n"/>
    </row>
    <row r="8331">
      <c r="C8331" s="1" t="n"/>
    </row>
    <row r="8332">
      <c r="C8332" s="1" t="n"/>
    </row>
    <row r="8333">
      <c r="C8333" s="1" t="n"/>
    </row>
    <row r="8334">
      <c r="C8334" s="1" t="n"/>
    </row>
    <row r="8335">
      <c r="C8335" s="1" t="n"/>
    </row>
    <row r="8336">
      <c r="C8336" s="1" t="n"/>
    </row>
    <row r="8337">
      <c r="C8337" s="1" t="n"/>
    </row>
    <row r="8338">
      <c r="C8338" s="1" t="n"/>
    </row>
    <row r="8339">
      <c r="C8339" s="1" t="n"/>
    </row>
    <row r="8340">
      <c r="C8340" s="1" t="n"/>
    </row>
    <row r="8341">
      <c r="C8341" s="1" t="n"/>
    </row>
    <row r="8342">
      <c r="C8342" s="1" t="n"/>
    </row>
    <row r="8343">
      <c r="C8343" s="1" t="n"/>
    </row>
    <row r="8344">
      <c r="C8344" s="1" t="n"/>
    </row>
    <row r="8345">
      <c r="C8345" s="1" t="n"/>
    </row>
    <row r="8346">
      <c r="C8346" s="1" t="n"/>
    </row>
    <row r="8347">
      <c r="C8347" s="1" t="n"/>
    </row>
    <row r="8348">
      <c r="C8348" s="1" t="n"/>
    </row>
    <row r="8349">
      <c r="C8349" s="1" t="n"/>
    </row>
    <row r="8350">
      <c r="C8350" s="1" t="n"/>
    </row>
    <row r="8351">
      <c r="C8351" s="1" t="n"/>
    </row>
    <row r="8352">
      <c r="C8352" s="1" t="n"/>
    </row>
    <row r="8353">
      <c r="C8353" s="1" t="n"/>
    </row>
    <row r="8354">
      <c r="C8354" s="1" t="n"/>
    </row>
    <row r="8355">
      <c r="C8355" s="1" t="n"/>
    </row>
    <row r="8356">
      <c r="C8356" s="1" t="n"/>
    </row>
    <row r="8357">
      <c r="C8357" s="1" t="n"/>
    </row>
    <row r="8358">
      <c r="C8358" s="1" t="n"/>
    </row>
    <row r="8359">
      <c r="C8359" s="1" t="n"/>
    </row>
    <row r="8360">
      <c r="C8360" s="1" t="n"/>
    </row>
    <row r="8361">
      <c r="C8361" s="1" t="n"/>
    </row>
    <row r="8362">
      <c r="C8362" s="1" t="n"/>
    </row>
    <row r="8363">
      <c r="C8363" s="1" t="n"/>
    </row>
    <row r="8364">
      <c r="C8364" s="1" t="n"/>
    </row>
    <row r="8365">
      <c r="C8365" s="1" t="n"/>
    </row>
    <row r="8366">
      <c r="C8366" s="1" t="n"/>
    </row>
    <row r="8367">
      <c r="C8367" s="1" t="n"/>
    </row>
    <row r="8368">
      <c r="C8368" s="1" t="n"/>
    </row>
    <row r="8369">
      <c r="C8369" s="1" t="n"/>
    </row>
    <row r="8370">
      <c r="C8370" s="1" t="n"/>
    </row>
    <row r="8371">
      <c r="C8371" s="1" t="n"/>
    </row>
    <row r="8372">
      <c r="C8372" s="1" t="n"/>
    </row>
    <row r="8373">
      <c r="C8373" s="1" t="n"/>
    </row>
    <row r="8374">
      <c r="C8374" s="1" t="n"/>
    </row>
    <row r="8375">
      <c r="C8375" s="1" t="n"/>
    </row>
    <row r="8376">
      <c r="C8376" s="1" t="n"/>
    </row>
    <row r="8377">
      <c r="C8377" s="1" t="n"/>
    </row>
    <row r="8378">
      <c r="C8378" s="1" t="n"/>
    </row>
    <row r="8379">
      <c r="C8379" s="1" t="n"/>
    </row>
    <row r="8380">
      <c r="C8380" s="1" t="n"/>
    </row>
    <row r="8381">
      <c r="C8381" s="1" t="n"/>
    </row>
    <row r="8382">
      <c r="C8382" s="1" t="n"/>
    </row>
    <row r="8383">
      <c r="C8383" s="1" t="n"/>
    </row>
    <row r="8384">
      <c r="C8384" s="1" t="n"/>
    </row>
    <row r="8385">
      <c r="C8385" s="1" t="n"/>
    </row>
    <row r="8386">
      <c r="C8386" s="1" t="n"/>
    </row>
    <row r="8387">
      <c r="C8387" s="1" t="n"/>
    </row>
    <row r="8388">
      <c r="C8388" s="1" t="n"/>
    </row>
    <row r="8389">
      <c r="C8389" s="1" t="n"/>
    </row>
    <row r="8390">
      <c r="C8390" s="1" t="n"/>
    </row>
    <row r="8391">
      <c r="C8391" s="1" t="n"/>
    </row>
    <row r="8392">
      <c r="C8392" s="1" t="n"/>
    </row>
    <row r="8393">
      <c r="C8393" s="1" t="n"/>
    </row>
    <row r="8394">
      <c r="C8394" s="1" t="n"/>
    </row>
    <row r="8395">
      <c r="C8395" s="1" t="n"/>
    </row>
    <row r="8396">
      <c r="C8396" s="1" t="n"/>
    </row>
    <row r="8397">
      <c r="C8397" s="1" t="n"/>
    </row>
    <row r="8398">
      <c r="C8398" s="1" t="n"/>
    </row>
    <row r="8399">
      <c r="C8399" s="1" t="n"/>
    </row>
    <row r="8400">
      <c r="C8400" s="1" t="n"/>
    </row>
    <row r="8401">
      <c r="C8401" s="1" t="n"/>
    </row>
    <row r="8402">
      <c r="C8402" s="1" t="n"/>
    </row>
    <row r="8403">
      <c r="C8403" s="1" t="n"/>
    </row>
    <row r="8404">
      <c r="C8404" s="1" t="n"/>
    </row>
    <row r="8405">
      <c r="C8405" s="1" t="n"/>
    </row>
    <row r="8406">
      <c r="C8406" s="1" t="n"/>
    </row>
    <row r="8407">
      <c r="C8407" s="1" t="n"/>
    </row>
    <row r="8408">
      <c r="C8408" s="1" t="n"/>
    </row>
    <row r="8409">
      <c r="C8409" s="1" t="n"/>
    </row>
    <row r="8410">
      <c r="C8410" s="1" t="n"/>
    </row>
    <row r="8411">
      <c r="C8411" s="1" t="n"/>
    </row>
    <row r="8412">
      <c r="C8412" s="1" t="n"/>
    </row>
    <row r="8413">
      <c r="C8413" s="1" t="n"/>
    </row>
    <row r="8414">
      <c r="C8414" s="1" t="n"/>
    </row>
    <row r="8415">
      <c r="C8415" s="1" t="n"/>
    </row>
    <row r="8416">
      <c r="C8416" s="1" t="n"/>
    </row>
    <row r="8417">
      <c r="C8417" s="1" t="n"/>
    </row>
    <row r="8418">
      <c r="C8418" s="1" t="n"/>
    </row>
    <row r="8419">
      <c r="C8419" s="1" t="n"/>
    </row>
    <row r="8420">
      <c r="C8420" s="1" t="n"/>
    </row>
    <row r="8421">
      <c r="C8421" s="1" t="n"/>
    </row>
    <row r="8422">
      <c r="C8422" s="1" t="n"/>
    </row>
    <row r="8423">
      <c r="C8423" s="1" t="n"/>
    </row>
    <row r="8424">
      <c r="C8424" s="1" t="n"/>
    </row>
    <row r="8425">
      <c r="C8425" s="1" t="n"/>
    </row>
    <row r="8426">
      <c r="C8426" s="1" t="n"/>
    </row>
    <row r="8427">
      <c r="C8427" s="1" t="n"/>
    </row>
    <row r="8428">
      <c r="C8428" s="1" t="n"/>
    </row>
    <row r="8429">
      <c r="C8429" s="1" t="n"/>
    </row>
    <row r="8430">
      <c r="C8430" s="1" t="n"/>
    </row>
    <row r="8431">
      <c r="C8431" s="1" t="n"/>
    </row>
    <row r="8432">
      <c r="C8432" s="1" t="n"/>
    </row>
    <row r="8433">
      <c r="C8433" s="1" t="n"/>
    </row>
    <row r="8434">
      <c r="C8434" s="1" t="n"/>
    </row>
    <row r="8435">
      <c r="C8435" s="1" t="n"/>
    </row>
    <row r="8436">
      <c r="C8436" s="1" t="n"/>
    </row>
    <row r="8437">
      <c r="C8437" s="1" t="n"/>
    </row>
    <row r="8438">
      <c r="C8438" s="1" t="n"/>
    </row>
    <row r="8439">
      <c r="C8439" s="1" t="n"/>
    </row>
    <row r="8440">
      <c r="C8440" s="1" t="n"/>
    </row>
    <row r="8441">
      <c r="C8441" s="1" t="n"/>
    </row>
    <row r="8442">
      <c r="C8442" s="1" t="n"/>
    </row>
    <row r="8443">
      <c r="C8443" s="1" t="n"/>
    </row>
    <row r="8444">
      <c r="C8444" s="1" t="n"/>
    </row>
    <row r="8445">
      <c r="C8445" s="1" t="n"/>
    </row>
    <row r="8446">
      <c r="C8446" s="1" t="n"/>
    </row>
    <row r="8447">
      <c r="C8447" s="1" t="n"/>
    </row>
    <row r="8448">
      <c r="C8448" s="1" t="n"/>
    </row>
    <row r="8449">
      <c r="C8449" s="1" t="n"/>
    </row>
    <row r="8450">
      <c r="C8450" s="1" t="n"/>
    </row>
    <row r="8451">
      <c r="C8451" s="1" t="n"/>
    </row>
    <row r="8452">
      <c r="C8452" s="1" t="n"/>
    </row>
    <row r="8453">
      <c r="C8453" s="1" t="n"/>
    </row>
    <row r="8454">
      <c r="C8454" s="1" t="n"/>
    </row>
    <row r="8455">
      <c r="C8455" s="1" t="n"/>
    </row>
    <row r="8456">
      <c r="C8456" s="1" t="n"/>
    </row>
    <row r="8457">
      <c r="C8457" s="1" t="n"/>
    </row>
    <row r="8458">
      <c r="C8458" s="1" t="n"/>
    </row>
    <row r="8459">
      <c r="C8459" s="1" t="n"/>
    </row>
    <row r="8460">
      <c r="C8460" s="1" t="n"/>
    </row>
    <row r="8461">
      <c r="C8461" s="1" t="n"/>
    </row>
    <row r="8462">
      <c r="C8462" s="1" t="n"/>
    </row>
    <row r="8463">
      <c r="C8463" s="1" t="n"/>
    </row>
    <row r="8464">
      <c r="C8464" s="1" t="n"/>
    </row>
    <row r="8465">
      <c r="C8465" s="1" t="n"/>
    </row>
    <row r="8466">
      <c r="C8466" s="1" t="n"/>
    </row>
    <row r="8467">
      <c r="C8467" s="1" t="n"/>
    </row>
    <row r="8468">
      <c r="C8468" s="1" t="n"/>
    </row>
    <row r="8469">
      <c r="C8469" s="1" t="n"/>
    </row>
    <row r="8470">
      <c r="C8470" s="1" t="n"/>
    </row>
    <row r="8471">
      <c r="C8471" s="1" t="n"/>
    </row>
    <row r="8472">
      <c r="C8472" s="1" t="n"/>
    </row>
    <row r="8473">
      <c r="C8473" s="1" t="n"/>
    </row>
    <row r="8474">
      <c r="C8474" s="1" t="n"/>
    </row>
    <row r="8475">
      <c r="C8475" s="1" t="n"/>
    </row>
    <row r="8476">
      <c r="C8476" s="1" t="n"/>
    </row>
    <row r="8477">
      <c r="C8477" s="1" t="n"/>
    </row>
    <row r="8478">
      <c r="C8478" s="1" t="n"/>
    </row>
    <row r="8479">
      <c r="C8479" s="1" t="n"/>
    </row>
    <row r="8480">
      <c r="C8480" s="1" t="n"/>
    </row>
    <row r="8481">
      <c r="C8481" s="1" t="n"/>
    </row>
    <row r="8482">
      <c r="C8482" s="1" t="n"/>
    </row>
    <row r="8483">
      <c r="C8483" s="1" t="n"/>
    </row>
    <row r="8484">
      <c r="C8484" s="1" t="n"/>
    </row>
    <row r="8485">
      <c r="C8485" s="1" t="n"/>
    </row>
    <row r="8486">
      <c r="C8486" s="1" t="n"/>
    </row>
    <row r="8487">
      <c r="C8487" s="1" t="n"/>
    </row>
    <row r="8488">
      <c r="C8488" s="1" t="n"/>
    </row>
    <row r="8489">
      <c r="C8489" s="1" t="n"/>
    </row>
    <row r="8490">
      <c r="C8490" s="1" t="n"/>
    </row>
    <row r="8491">
      <c r="C8491" s="1" t="n"/>
    </row>
    <row r="8492">
      <c r="C8492" s="1" t="n"/>
    </row>
    <row r="8493">
      <c r="C8493" s="1" t="n"/>
    </row>
    <row r="8494">
      <c r="C8494" s="1" t="n"/>
    </row>
    <row r="8495">
      <c r="C8495" s="1" t="n"/>
    </row>
    <row r="8496">
      <c r="C8496" s="1" t="n"/>
    </row>
    <row r="8497">
      <c r="C8497" s="1" t="n"/>
    </row>
    <row r="8498">
      <c r="C8498" s="1" t="n"/>
    </row>
    <row r="8499">
      <c r="C8499" s="1" t="n"/>
    </row>
    <row r="8500">
      <c r="C8500" s="1" t="n"/>
    </row>
    <row r="8501">
      <c r="C8501" s="1" t="n"/>
    </row>
    <row r="8502">
      <c r="C8502" s="1" t="n"/>
    </row>
    <row r="8503">
      <c r="C8503" s="1" t="n"/>
    </row>
    <row r="8504">
      <c r="C8504" s="1" t="n"/>
    </row>
    <row r="8505">
      <c r="C8505" s="1" t="n"/>
    </row>
    <row r="8506">
      <c r="C8506" s="1" t="n"/>
    </row>
    <row r="8507">
      <c r="C8507" s="1" t="n"/>
    </row>
    <row r="8508">
      <c r="C8508" s="1" t="n"/>
    </row>
    <row r="8509">
      <c r="C8509" s="1" t="n"/>
    </row>
    <row r="8510">
      <c r="C8510" s="1" t="n"/>
    </row>
    <row r="8511">
      <c r="C8511" s="1" t="n"/>
    </row>
    <row r="8512">
      <c r="C8512" s="1" t="n"/>
    </row>
    <row r="8513">
      <c r="C8513" s="1" t="n"/>
    </row>
    <row r="8514">
      <c r="C8514" s="1" t="n"/>
    </row>
    <row r="8515">
      <c r="C8515" s="1" t="n"/>
    </row>
    <row r="8516">
      <c r="C8516" s="1" t="n"/>
    </row>
    <row r="8517">
      <c r="C8517" s="1" t="n"/>
    </row>
    <row r="8518">
      <c r="C8518" s="1" t="n"/>
    </row>
    <row r="8519">
      <c r="C8519" s="1" t="n"/>
    </row>
    <row r="8520">
      <c r="C8520" s="1" t="n"/>
    </row>
    <row r="8521">
      <c r="C8521" s="1" t="n"/>
    </row>
    <row r="8522">
      <c r="C8522" s="1" t="n"/>
    </row>
    <row r="8523">
      <c r="C8523" s="1" t="n"/>
    </row>
    <row r="8524">
      <c r="C8524" s="1" t="n"/>
    </row>
    <row r="8525">
      <c r="C8525" s="1" t="n"/>
    </row>
    <row r="8526">
      <c r="C8526" s="1" t="n"/>
    </row>
    <row r="8527">
      <c r="C8527" s="1" t="n"/>
    </row>
    <row r="8528">
      <c r="C8528" s="1" t="n"/>
    </row>
    <row r="8529">
      <c r="C8529" s="1" t="n"/>
    </row>
    <row r="8530">
      <c r="C8530" s="1" t="n"/>
    </row>
    <row r="8531">
      <c r="C8531" s="1" t="n"/>
    </row>
    <row r="8532">
      <c r="C8532" s="1" t="n"/>
    </row>
    <row r="8533">
      <c r="C8533" s="1" t="n"/>
    </row>
    <row r="8534">
      <c r="C8534" s="1" t="n"/>
    </row>
    <row r="8535">
      <c r="C8535" s="1" t="n"/>
    </row>
    <row r="8536">
      <c r="C8536" s="1" t="n"/>
    </row>
    <row r="8537">
      <c r="C8537" s="1" t="n"/>
    </row>
    <row r="8538">
      <c r="C8538" s="1" t="n"/>
    </row>
    <row r="8539">
      <c r="C8539" s="1" t="n"/>
    </row>
    <row r="8540">
      <c r="C8540" s="1" t="n"/>
    </row>
    <row r="8541">
      <c r="C8541" s="1" t="n"/>
    </row>
    <row r="8542">
      <c r="C8542" s="1" t="n"/>
    </row>
    <row r="8543">
      <c r="C8543" s="1" t="n"/>
    </row>
    <row r="8544">
      <c r="C8544" s="1" t="n"/>
    </row>
    <row r="8545">
      <c r="C8545" s="1" t="n"/>
    </row>
    <row r="8546">
      <c r="C8546" s="1" t="n"/>
    </row>
    <row r="8547">
      <c r="C8547" s="1" t="n"/>
    </row>
    <row r="8548">
      <c r="C8548" s="1" t="n"/>
    </row>
    <row r="8549">
      <c r="C8549" s="1" t="n"/>
    </row>
    <row r="8550">
      <c r="C8550" s="1" t="n"/>
    </row>
    <row r="8551">
      <c r="C8551" s="1" t="n"/>
    </row>
    <row r="8552">
      <c r="C8552" s="1" t="n"/>
    </row>
    <row r="8553">
      <c r="C8553" s="1" t="n"/>
    </row>
    <row r="8554">
      <c r="C8554" s="1" t="n"/>
    </row>
    <row r="8555">
      <c r="C8555" s="1" t="n"/>
    </row>
    <row r="8556">
      <c r="C8556" s="1" t="n"/>
    </row>
    <row r="8557">
      <c r="C8557" s="1" t="n"/>
    </row>
    <row r="8558">
      <c r="C8558" s="1" t="n"/>
    </row>
    <row r="8559">
      <c r="C8559" s="1" t="n"/>
    </row>
    <row r="8560">
      <c r="C8560" s="1" t="n"/>
    </row>
    <row r="8561">
      <c r="C8561" s="1" t="n"/>
    </row>
    <row r="8562">
      <c r="C8562" s="1" t="n"/>
    </row>
    <row r="8563">
      <c r="C8563" s="1" t="n"/>
    </row>
    <row r="8564">
      <c r="C8564" s="1" t="n"/>
    </row>
    <row r="8565">
      <c r="C8565" s="1" t="n"/>
    </row>
    <row r="8566">
      <c r="C8566" s="1" t="n"/>
    </row>
    <row r="8567">
      <c r="C8567" s="1" t="n"/>
    </row>
    <row r="8568">
      <c r="C8568" s="1" t="n"/>
    </row>
    <row r="8569">
      <c r="C8569" s="1" t="n"/>
    </row>
    <row r="8570">
      <c r="C8570" s="1" t="n"/>
    </row>
    <row r="8571">
      <c r="C8571" s="1" t="n"/>
    </row>
    <row r="8572">
      <c r="C8572" s="1" t="n"/>
    </row>
    <row r="8573">
      <c r="C8573" s="1" t="n"/>
    </row>
    <row r="8574">
      <c r="C8574" s="1" t="n"/>
    </row>
    <row r="8575">
      <c r="C8575" s="1" t="n"/>
    </row>
    <row r="8576">
      <c r="C8576" s="1" t="n"/>
    </row>
    <row r="8577">
      <c r="C8577" s="1" t="n"/>
    </row>
    <row r="8578">
      <c r="C8578" s="1" t="n"/>
    </row>
    <row r="8579">
      <c r="C8579" s="1" t="n"/>
    </row>
    <row r="8580">
      <c r="C8580" s="1" t="n"/>
    </row>
    <row r="8581">
      <c r="C8581" s="1" t="n"/>
    </row>
    <row r="8582">
      <c r="C8582" s="1" t="n"/>
    </row>
    <row r="8583">
      <c r="C8583" s="1" t="n"/>
    </row>
    <row r="8584">
      <c r="C8584" s="1" t="n"/>
    </row>
    <row r="8585">
      <c r="C8585" s="1" t="n"/>
    </row>
    <row r="8586">
      <c r="C8586" s="1" t="n"/>
    </row>
    <row r="8587">
      <c r="C8587" s="1" t="n"/>
    </row>
    <row r="8588">
      <c r="C8588" s="1" t="n"/>
    </row>
    <row r="8589">
      <c r="C8589" s="1" t="n"/>
    </row>
    <row r="8590">
      <c r="C8590" s="1" t="n"/>
    </row>
    <row r="8591">
      <c r="C8591" s="1" t="n"/>
    </row>
    <row r="8592">
      <c r="C8592" s="1" t="n"/>
    </row>
    <row r="8593">
      <c r="C8593" s="1" t="n"/>
    </row>
    <row r="8594">
      <c r="C8594" s="1" t="n"/>
    </row>
    <row r="8595">
      <c r="C8595" s="1" t="n"/>
    </row>
    <row r="8596">
      <c r="C8596" s="1" t="n"/>
    </row>
    <row r="8597">
      <c r="C8597" s="1" t="n"/>
    </row>
    <row r="8598">
      <c r="C8598" s="1" t="n"/>
    </row>
    <row r="8599">
      <c r="C8599" s="1" t="n"/>
    </row>
    <row r="8600">
      <c r="C8600" s="1" t="n"/>
    </row>
    <row r="8601">
      <c r="C8601" s="1" t="n"/>
    </row>
    <row r="8602">
      <c r="C8602" s="1" t="n"/>
    </row>
    <row r="8603">
      <c r="C8603" s="1" t="n"/>
    </row>
    <row r="8604">
      <c r="C8604" s="1" t="n"/>
    </row>
    <row r="8605">
      <c r="C8605" s="1" t="n"/>
    </row>
    <row r="8606">
      <c r="C8606" s="1" t="n"/>
    </row>
    <row r="8607">
      <c r="C8607" s="1" t="n"/>
    </row>
    <row r="8608">
      <c r="C8608" s="1" t="n"/>
    </row>
    <row r="8609">
      <c r="C8609" s="1" t="n"/>
    </row>
    <row r="8610">
      <c r="C8610" s="1" t="n"/>
    </row>
    <row r="8611">
      <c r="C8611" s="1" t="n"/>
    </row>
    <row r="8612">
      <c r="C8612" s="1" t="n"/>
    </row>
    <row r="8613">
      <c r="C8613" s="1" t="n"/>
    </row>
    <row r="8614">
      <c r="C8614" s="1" t="n"/>
    </row>
    <row r="8615">
      <c r="C8615" s="1" t="n"/>
    </row>
    <row r="8616">
      <c r="C8616" s="1" t="n"/>
    </row>
    <row r="8617">
      <c r="C8617" s="1" t="n"/>
    </row>
    <row r="8618">
      <c r="C8618" s="1" t="n"/>
    </row>
    <row r="8619">
      <c r="C8619" s="1" t="n"/>
    </row>
    <row r="8620">
      <c r="C8620" s="1" t="n"/>
    </row>
    <row r="8621">
      <c r="C8621" s="1" t="n"/>
    </row>
    <row r="8622">
      <c r="C8622" s="1" t="n"/>
    </row>
    <row r="8623">
      <c r="C8623" s="1" t="n"/>
    </row>
    <row r="8624">
      <c r="C8624" s="1" t="n"/>
    </row>
    <row r="8625">
      <c r="C8625" s="1" t="n"/>
    </row>
    <row r="8626">
      <c r="C8626" s="1" t="n"/>
    </row>
    <row r="8627">
      <c r="C8627" s="1" t="n"/>
    </row>
    <row r="8628">
      <c r="C8628" s="1" t="n"/>
    </row>
    <row r="8629">
      <c r="C8629" s="1" t="n"/>
    </row>
    <row r="8630">
      <c r="C8630" s="1" t="n"/>
    </row>
    <row r="8631">
      <c r="C8631" s="1" t="n"/>
    </row>
    <row r="8632">
      <c r="C8632" s="1" t="n"/>
    </row>
    <row r="8633">
      <c r="C8633" s="1" t="n"/>
    </row>
    <row r="8634">
      <c r="C8634" s="1" t="n"/>
    </row>
    <row r="8635">
      <c r="C8635" s="1" t="n"/>
    </row>
    <row r="8636">
      <c r="C8636" s="1" t="n"/>
    </row>
    <row r="8637">
      <c r="C8637" s="1" t="n"/>
    </row>
    <row r="8638">
      <c r="C8638" s="1" t="n"/>
    </row>
    <row r="8639">
      <c r="C8639" s="1" t="n"/>
    </row>
    <row r="8640">
      <c r="C8640" s="1" t="n"/>
    </row>
    <row r="8641">
      <c r="C8641" s="1" t="n"/>
    </row>
    <row r="8642">
      <c r="C8642" s="1" t="n"/>
    </row>
    <row r="8643">
      <c r="C8643" s="1" t="n"/>
    </row>
    <row r="8644">
      <c r="C8644" s="1" t="n"/>
    </row>
    <row r="8645">
      <c r="C8645" s="1" t="n"/>
    </row>
    <row r="8646">
      <c r="C8646" s="1" t="n"/>
    </row>
    <row r="8647">
      <c r="C8647" s="1" t="n"/>
    </row>
    <row r="8648">
      <c r="C8648" s="1" t="n"/>
    </row>
    <row r="8649">
      <c r="C8649" s="1" t="n"/>
    </row>
    <row r="8650">
      <c r="C8650" s="1" t="n"/>
    </row>
    <row r="8651">
      <c r="C8651" s="1" t="n"/>
    </row>
    <row r="8652">
      <c r="C8652" s="1" t="n"/>
    </row>
    <row r="8653">
      <c r="C8653" s="1" t="n"/>
    </row>
    <row r="8654">
      <c r="C8654" s="1" t="n"/>
    </row>
    <row r="8655">
      <c r="C8655" s="1" t="n"/>
    </row>
    <row r="8656">
      <c r="C8656" s="1" t="n"/>
    </row>
    <row r="8657">
      <c r="C8657" s="1" t="n"/>
    </row>
    <row r="8658">
      <c r="C8658" s="1" t="n"/>
    </row>
    <row r="8659">
      <c r="C8659" s="1" t="n"/>
    </row>
    <row r="8660">
      <c r="C8660" s="1" t="n"/>
    </row>
    <row r="8661">
      <c r="C8661" s="1" t="n"/>
    </row>
    <row r="8662">
      <c r="C8662" s="1" t="n"/>
    </row>
    <row r="8663">
      <c r="C8663" s="1" t="n"/>
    </row>
    <row r="8664">
      <c r="C8664" s="1" t="n"/>
    </row>
    <row r="8665">
      <c r="C8665" s="1" t="n"/>
    </row>
    <row r="8666">
      <c r="C8666" s="1" t="n"/>
    </row>
    <row r="8667">
      <c r="C8667" s="1" t="n"/>
    </row>
    <row r="8668">
      <c r="C8668" s="1" t="n"/>
    </row>
    <row r="8669">
      <c r="C8669" s="1" t="n"/>
    </row>
    <row r="8670">
      <c r="C8670" s="1" t="n"/>
    </row>
    <row r="8671">
      <c r="C8671" s="1" t="n"/>
    </row>
    <row r="8672">
      <c r="C8672" s="1" t="n"/>
    </row>
    <row r="8673">
      <c r="C8673" s="1" t="n"/>
    </row>
    <row r="8674">
      <c r="C8674" s="1" t="n"/>
    </row>
    <row r="8675">
      <c r="C8675" s="1" t="n"/>
    </row>
    <row r="8676">
      <c r="C8676" s="1" t="n"/>
    </row>
    <row r="8677">
      <c r="C8677" s="1" t="n"/>
    </row>
    <row r="8678">
      <c r="C8678" s="1" t="n"/>
    </row>
    <row r="8679">
      <c r="C8679" s="1" t="n"/>
    </row>
    <row r="8680">
      <c r="C8680" s="1" t="n"/>
    </row>
    <row r="8681">
      <c r="C8681" s="1" t="n"/>
    </row>
    <row r="8682">
      <c r="C8682" s="1" t="n"/>
    </row>
    <row r="8683">
      <c r="C8683" s="1" t="n"/>
    </row>
    <row r="8684">
      <c r="C8684" s="1" t="n"/>
    </row>
    <row r="8685">
      <c r="C8685" s="1" t="n"/>
    </row>
    <row r="8686">
      <c r="C8686" s="1" t="n"/>
    </row>
    <row r="8687">
      <c r="C8687" s="1" t="n"/>
    </row>
    <row r="8688">
      <c r="C8688" s="1" t="n"/>
    </row>
    <row r="8689">
      <c r="C8689" s="1" t="n"/>
    </row>
    <row r="8690">
      <c r="C8690" s="1" t="n"/>
    </row>
    <row r="8691">
      <c r="C8691" s="1" t="n"/>
    </row>
    <row r="8692">
      <c r="C8692" s="1" t="n"/>
    </row>
    <row r="8693">
      <c r="C8693" s="1" t="n"/>
    </row>
    <row r="8694">
      <c r="C8694" s="1" t="n"/>
    </row>
    <row r="8695">
      <c r="C8695" s="1" t="n"/>
    </row>
    <row r="8696">
      <c r="C8696" s="1" t="n"/>
    </row>
    <row r="8697">
      <c r="C8697" s="1" t="n"/>
    </row>
    <row r="8698">
      <c r="C8698" s="1" t="n"/>
    </row>
    <row r="8699">
      <c r="C8699" s="1" t="n"/>
    </row>
    <row r="8700">
      <c r="C8700" s="1" t="n"/>
    </row>
    <row r="8701">
      <c r="C8701" s="1" t="n"/>
    </row>
    <row r="8702">
      <c r="C8702" s="1" t="n"/>
    </row>
    <row r="8703">
      <c r="C8703" s="1" t="n"/>
    </row>
    <row r="8704">
      <c r="C8704" s="1" t="n"/>
    </row>
    <row r="8705">
      <c r="C8705" s="1" t="n"/>
    </row>
    <row r="8706">
      <c r="C8706" s="1" t="n"/>
    </row>
    <row r="8707">
      <c r="C8707" s="1" t="n"/>
    </row>
    <row r="8708">
      <c r="C8708" s="1" t="n"/>
    </row>
    <row r="8709">
      <c r="C8709" s="1" t="n"/>
    </row>
    <row r="8710">
      <c r="C8710" s="1" t="n"/>
    </row>
    <row r="8711">
      <c r="C8711" s="1" t="n"/>
    </row>
    <row r="8712">
      <c r="C8712" s="1" t="n"/>
    </row>
    <row r="8713">
      <c r="C8713" s="1" t="n"/>
    </row>
    <row r="8714">
      <c r="C8714" s="1" t="n"/>
    </row>
    <row r="8715">
      <c r="C8715" s="1" t="n"/>
    </row>
    <row r="8716">
      <c r="C8716" s="1" t="n"/>
    </row>
    <row r="8717">
      <c r="C8717" s="1" t="n"/>
    </row>
    <row r="8718">
      <c r="C8718" s="1" t="n"/>
    </row>
    <row r="8719">
      <c r="C8719" s="1" t="n"/>
    </row>
    <row r="8720">
      <c r="C8720" s="1" t="n"/>
    </row>
    <row r="8721">
      <c r="C8721" s="1" t="n"/>
    </row>
    <row r="8722">
      <c r="C8722" s="1" t="n"/>
    </row>
    <row r="8723">
      <c r="C8723" s="1" t="n"/>
    </row>
    <row r="8724">
      <c r="C8724" s="1" t="n"/>
    </row>
    <row r="8725">
      <c r="C8725" s="1" t="n"/>
    </row>
    <row r="8726">
      <c r="C8726" s="1" t="n"/>
    </row>
    <row r="8727">
      <c r="C8727" s="1" t="n"/>
    </row>
    <row r="8728">
      <c r="C8728" s="1" t="n"/>
    </row>
    <row r="8729">
      <c r="C8729" s="1" t="n"/>
    </row>
    <row r="8730">
      <c r="C8730" s="1" t="n"/>
    </row>
    <row r="8731">
      <c r="C8731" s="1" t="n"/>
    </row>
    <row r="8732">
      <c r="C8732" s="1" t="n"/>
    </row>
    <row r="8733">
      <c r="C8733" s="1" t="n"/>
    </row>
  </sheetData>
  <autoFilter ref="A1:DV8733"/>
  <pageMargins left="0.7" right="0.7" top="0.75" bottom="0.75" header="0.3" footer="0.3"/>
</worksheet>
</file>

<file path=xl/worksheets/sheet3.xml><?xml version="1.0" encoding="utf-8"?>
<worksheet xmlns="http://schemas.openxmlformats.org/spreadsheetml/2006/main">
  <sheetPr>
    <tabColor theme="2" tint="-0.09997863704336681"/>
    <outlinePr summaryBelow="1" summaryRight="1"/>
    <pageSetUpPr/>
  </sheetPr>
  <dimension ref="A1:L1581"/>
  <sheetViews>
    <sheetView tabSelected="1" zoomScale="170" zoomScaleNormal="170" workbookViewId="0">
      <pane ySplit="1" topLeftCell="A1563" activePane="bottomLeft" state="frozen"/>
      <selection activeCell="D1587" sqref="D1587"/>
      <selection pane="bottomLeft" activeCell="D1587" sqref="D1587"/>
    </sheetView>
  </sheetViews>
  <sheetFormatPr baseColWidth="8" defaultColWidth="10.90625" defaultRowHeight="14.5"/>
  <cols>
    <col width="10.81640625" customWidth="1" min="1" max="1"/>
  </cols>
  <sheetData>
    <row r="1">
      <c r="A1" t="inlineStr">
        <is>
          <t>DATE</t>
        </is>
      </c>
      <c r="B1" t="inlineStr">
        <is>
          <t>AUD</t>
        </is>
      </c>
      <c r="C1" t="inlineStr">
        <is>
          <t>BRL</t>
        </is>
      </c>
      <c r="D1" t="inlineStr">
        <is>
          <t>CAD</t>
        </is>
      </c>
      <c r="E1" t="inlineStr">
        <is>
          <t>CHF</t>
        </is>
      </c>
      <c r="F1" t="inlineStr">
        <is>
          <t>EUR</t>
        </is>
      </c>
      <c r="G1" t="inlineStr">
        <is>
          <t>GBP</t>
        </is>
      </c>
      <c r="H1" t="inlineStr">
        <is>
          <t>JPY</t>
        </is>
      </c>
      <c r="I1" t="inlineStr">
        <is>
          <t>MEX</t>
        </is>
      </c>
      <c r="J1" t="inlineStr">
        <is>
          <t>NZD</t>
        </is>
      </c>
      <c r="K1" t="inlineStr">
        <is>
          <t>RUB</t>
        </is>
      </c>
      <c r="L1" t="inlineStr">
        <is>
          <t>ZAR</t>
        </is>
      </c>
    </row>
    <row r="2">
      <c r="A2" s="64" t="n">
        <v>33883</v>
      </c>
      <c r="B2" t="n">
        <v/>
      </c>
      <c r="C2" t="n">
        <v/>
      </c>
      <c r="D2" t="n">
        <v/>
      </c>
      <c r="E2" t="n">
        <v>-72</v>
      </c>
      <c r="F2" t="n">
        <v/>
      </c>
      <c r="G2" t="n">
        <v>-7651</v>
      </c>
      <c r="H2" t="n">
        <v>6900</v>
      </c>
      <c r="I2" t="n">
        <v/>
      </c>
      <c r="J2" t="n">
        <v/>
      </c>
      <c r="K2" t="n">
        <v/>
      </c>
      <c r="L2" t="n">
        <v/>
      </c>
    </row>
    <row r="3">
      <c r="A3" s="64" t="n">
        <v>33890</v>
      </c>
      <c r="B3" t="n">
        <v/>
      </c>
      <c r="C3" t="n">
        <v/>
      </c>
      <c r="D3" t="n">
        <v/>
      </c>
      <c r="E3" t="n">
        <v>-6304</v>
      </c>
      <c r="F3" t="n">
        <v/>
      </c>
      <c r="G3" t="n">
        <v>-7228</v>
      </c>
      <c r="H3" t="n">
        <v>3655</v>
      </c>
      <c r="I3" t="n">
        <v/>
      </c>
      <c r="J3" t="n">
        <v/>
      </c>
      <c r="K3" t="n">
        <v/>
      </c>
      <c r="L3" t="n">
        <v/>
      </c>
    </row>
    <row r="4">
      <c r="A4" s="64" t="n">
        <v>33897</v>
      </c>
      <c r="B4" t="n">
        <v/>
      </c>
      <c r="C4" t="n">
        <v/>
      </c>
      <c r="D4" t="n">
        <v/>
      </c>
      <c r="E4" t="n">
        <v>-12656</v>
      </c>
      <c r="F4" t="n">
        <v/>
      </c>
      <c r="G4" t="n">
        <v>-6089</v>
      </c>
      <c r="H4" t="n">
        <v>5811</v>
      </c>
      <c r="I4" t="n">
        <v/>
      </c>
      <c r="J4" t="n">
        <v/>
      </c>
      <c r="K4" t="n">
        <v/>
      </c>
      <c r="L4" t="n">
        <v/>
      </c>
    </row>
    <row r="5">
      <c r="A5" s="64" t="n">
        <v>33904</v>
      </c>
      <c r="B5" t="n">
        <v/>
      </c>
      <c r="C5" t="n">
        <v/>
      </c>
      <c r="D5" t="n">
        <v/>
      </c>
      <c r="E5" t="n">
        <v>-9248</v>
      </c>
      <c r="F5" t="n">
        <v/>
      </c>
      <c r="G5" t="n">
        <v>-7853</v>
      </c>
      <c r="H5" t="n">
        <v>4608</v>
      </c>
      <c r="I5" t="n">
        <v/>
      </c>
      <c r="J5" t="n">
        <v/>
      </c>
      <c r="K5" t="n">
        <v/>
      </c>
      <c r="L5" t="n">
        <v/>
      </c>
    </row>
    <row r="6">
      <c r="A6" s="64" t="n">
        <v>33911</v>
      </c>
      <c r="B6" t="n">
        <v/>
      </c>
      <c r="C6" t="n">
        <v/>
      </c>
      <c r="D6" t="n">
        <v/>
      </c>
      <c r="E6" t="n">
        <v>-9248</v>
      </c>
      <c r="F6" t="n">
        <v/>
      </c>
      <c r="G6" t="n">
        <v>-8347</v>
      </c>
      <c r="H6" t="n">
        <v>1625</v>
      </c>
      <c r="I6" t="n">
        <v/>
      </c>
      <c r="J6" t="n">
        <v/>
      </c>
      <c r="K6" t="n">
        <v/>
      </c>
      <c r="L6" t="n">
        <v/>
      </c>
    </row>
    <row r="7">
      <c r="A7" s="64" t="n">
        <v>33918</v>
      </c>
      <c r="B7" t="n">
        <v/>
      </c>
      <c r="C7" t="n">
        <v/>
      </c>
      <c r="D7" t="n">
        <v/>
      </c>
      <c r="E7" t="n">
        <v>-9216</v>
      </c>
      <c r="F7" t="n">
        <v/>
      </c>
      <c r="G7" t="n">
        <v>-7677</v>
      </c>
      <c r="H7" t="n">
        <v>-1800</v>
      </c>
      <c r="I7" t="n">
        <v/>
      </c>
      <c r="J7" t="n">
        <v/>
      </c>
      <c r="K7" t="n">
        <v/>
      </c>
      <c r="L7" t="n">
        <v/>
      </c>
    </row>
    <row r="8">
      <c r="A8" s="64" t="n">
        <v>33925</v>
      </c>
      <c r="B8" t="n">
        <v/>
      </c>
      <c r="C8" t="n">
        <v/>
      </c>
      <c r="D8" t="n">
        <v/>
      </c>
      <c r="E8" t="n">
        <v>-11016</v>
      </c>
      <c r="F8" t="n">
        <v/>
      </c>
      <c r="G8" t="n">
        <v>-8216</v>
      </c>
      <c r="H8" t="n">
        <v>-4807</v>
      </c>
      <c r="I8" t="n">
        <v/>
      </c>
      <c r="J8" t="n">
        <v/>
      </c>
      <c r="K8" t="n">
        <v/>
      </c>
      <c r="L8" t="n">
        <v/>
      </c>
    </row>
    <row r="9">
      <c r="A9" s="64" t="n">
        <v>33932</v>
      </c>
      <c r="B9" t="n">
        <v/>
      </c>
      <c r="C9" t="n">
        <v/>
      </c>
      <c r="D9" t="n">
        <v/>
      </c>
      <c r="E9" t="n">
        <v>-11353</v>
      </c>
      <c r="F9" t="n">
        <v/>
      </c>
      <c r="G9" t="n">
        <v>-8827</v>
      </c>
      <c r="H9" t="n">
        <v>-4451</v>
      </c>
      <c r="I9" t="n">
        <v/>
      </c>
      <c r="J9" t="n">
        <v/>
      </c>
      <c r="K9" t="n">
        <v/>
      </c>
      <c r="L9" t="n">
        <v/>
      </c>
    </row>
    <row r="10">
      <c r="A10" s="64" t="n">
        <v>33939</v>
      </c>
      <c r="B10" t="n">
        <v/>
      </c>
      <c r="C10" t="n">
        <v/>
      </c>
      <c r="D10" t="n">
        <v/>
      </c>
      <c r="E10" t="n">
        <v>-11464</v>
      </c>
      <c r="F10" t="n">
        <v/>
      </c>
      <c r="G10" t="n">
        <v>-6178</v>
      </c>
      <c r="H10" t="n">
        <v>-3976</v>
      </c>
      <c r="I10" t="n">
        <v/>
      </c>
      <c r="J10" t="n">
        <v/>
      </c>
      <c r="K10" t="n">
        <v/>
      </c>
      <c r="L10" t="n">
        <v/>
      </c>
    </row>
    <row r="11">
      <c r="A11" s="64" t="n">
        <v>33946</v>
      </c>
      <c r="B11" t="n">
        <v/>
      </c>
      <c r="C11" t="n">
        <v/>
      </c>
      <c r="D11" t="n">
        <v/>
      </c>
      <c r="E11" t="n">
        <v>-11494</v>
      </c>
      <c r="F11" t="n">
        <v/>
      </c>
      <c r="G11" t="n">
        <v>-1986</v>
      </c>
      <c r="H11" t="n">
        <v>-5789</v>
      </c>
      <c r="I11" t="n">
        <v/>
      </c>
      <c r="J11" t="n">
        <v/>
      </c>
      <c r="K11" t="n">
        <v/>
      </c>
      <c r="L11" t="n">
        <v/>
      </c>
    </row>
    <row r="12">
      <c r="A12" s="64" t="n">
        <v>33953</v>
      </c>
      <c r="B12" t="n">
        <v/>
      </c>
      <c r="C12" t="n">
        <v/>
      </c>
      <c r="D12" t="n">
        <v/>
      </c>
      <c r="E12" t="n">
        <v>-10676</v>
      </c>
      <c r="F12" t="n">
        <v/>
      </c>
      <c r="G12" t="n">
        <v>-1762</v>
      </c>
      <c r="H12" t="n">
        <v>-2827</v>
      </c>
      <c r="I12" t="n">
        <v/>
      </c>
      <c r="J12" t="n">
        <v/>
      </c>
      <c r="K12" t="n">
        <v/>
      </c>
      <c r="L12" t="n">
        <v/>
      </c>
    </row>
    <row r="13">
      <c r="A13" s="64" t="n">
        <v>33960</v>
      </c>
      <c r="B13" t="n">
        <v/>
      </c>
      <c r="C13" t="n">
        <v/>
      </c>
      <c r="D13" t="n">
        <v/>
      </c>
      <c r="E13" t="n">
        <v>-11316</v>
      </c>
      <c r="F13" t="n">
        <v/>
      </c>
      <c r="G13" t="n">
        <v>-4274</v>
      </c>
      <c r="H13" t="n">
        <v>41</v>
      </c>
      <c r="I13" t="n">
        <v/>
      </c>
      <c r="J13" t="n">
        <v/>
      </c>
      <c r="K13" t="n">
        <v/>
      </c>
      <c r="L13" t="n">
        <v/>
      </c>
    </row>
    <row r="14">
      <c r="A14" s="64" t="n">
        <v>33967</v>
      </c>
      <c r="B14" t="n">
        <v/>
      </c>
      <c r="C14" t="n">
        <v/>
      </c>
      <c r="D14" t="n">
        <v/>
      </c>
      <c r="E14" t="n">
        <v>-16649</v>
      </c>
      <c r="F14" t="n">
        <v/>
      </c>
      <c r="G14" t="n">
        <v>-10404</v>
      </c>
      <c r="H14" t="n">
        <v>-9125</v>
      </c>
      <c r="I14" t="n">
        <v/>
      </c>
      <c r="J14" t="n">
        <v/>
      </c>
      <c r="K14" t="n">
        <v/>
      </c>
      <c r="L14" t="n">
        <v/>
      </c>
    </row>
    <row r="15">
      <c r="A15" s="64" t="n">
        <v>33974</v>
      </c>
      <c r="B15" t="n">
        <v>-1326</v>
      </c>
      <c r="C15" t="n">
        <v/>
      </c>
      <c r="D15" t="n">
        <v>758</v>
      </c>
      <c r="E15" t="n">
        <v>-17130</v>
      </c>
      <c r="F15" t="n">
        <v/>
      </c>
      <c r="G15" t="n">
        <v>-8878</v>
      </c>
      <c r="H15" t="n">
        <v>-11350</v>
      </c>
      <c r="I15" t="n">
        <v/>
      </c>
      <c r="J15" t="n">
        <v/>
      </c>
      <c r="K15" t="n">
        <v/>
      </c>
      <c r="L15" t="n">
        <v/>
      </c>
    </row>
    <row r="16">
      <c r="A16" s="64" t="n">
        <v>33981</v>
      </c>
      <c r="B16" t="n">
        <v>-1626</v>
      </c>
      <c r="C16" t="n">
        <v/>
      </c>
      <c r="D16" t="n">
        <v>-6</v>
      </c>
      <c r="E16" t="n">
        <v>-22604</v>
      </c>
      <c r="F16" t="n">
        <v/>
      </c>
      <c r="G16" t="n">
        <v>-2051</v>
      </c>
      <c r="H16" t="n">
        <v>-12893</v>
      </c>
      <c r="I16" t="n">
        <v/>
      </c>
      <c r="J16" t="n">
        <v/>
      </c>
      <c r="K16" t="n">
        <v/>
      </c>
      <c r="L16" t="n">
        <v/>
      </c>
    </row>
    <row r="17">
      <c r="A17" s="64" t="n">
        <v>33988</v>
      </c>
      <c r="B17" t="n">
        <v>-1626</v>
      </c>
      <c r="C17" t="n">
        <v/>
      </c>
      <c r="D17" t="n">
        <v>-359</v>
      </c>
      <c r="E17" t="n">
        <v>-18510</v>
      </c>
      <c r="F17" t="n">
        <v/>
      </c>
      <c r="G17" t="n">
        <v>-1152</v>
      </c>
      <c r="H17" t="n">
        <v>-17700</v>
      </c>
      <c r="I17" t="n">
        <v/>
      </c>
      <c r="J17" t="n">
        <v/>
      </c>
      <c r="K17" t="n">
        <v/>
      </c>
      <c r="L17" t="n">
        <v/>
      </c>
    </row>
    <row r="18">
      <c r="A18" s="64" t="n">
        <v>33995</v>
      </c>
      <c r="B18" t="n">
        <v>-1417</v>
      </c>
      <c r="C18" t="n">
        <v/>
      </c>
      <c r="D18" t="n">
        <v>-1147</v>
      </c>
      <c r="E18" t="n">
        <v>-12713</v>
      </c>
      <c r="F18" t="n">
        <v/>
      </c>
      <c r="G18" t="n">
        <v>-1603</v>
      </c>
      <c r="H18" t="n">
        <v>-6056</v>
      </c>
      <c r="I18" t="n">
        <v/>
      </c>
      <c r="J18" t="n">
        <v/>
      </c>
      <c r="K18" t="n">
        <v/>
      </c>
      <c r="L18" t="n">
        <v/>
      </c>
    </row>
    <row r="19">
      <c r="A19" s="64" t="n">
        <v>34002</v>
      </c>
      <c r="B19" t="n">
        <v>-1619</v>
      </c>
      <c r="C19" t="n">
        <v/>
      </c>
      <c r="D19" t="n">
        <v>3878</v>
      </c>
      <c r="E19" t="n">
        <v>-16727</v>
      </c>
      <c r="F19" t="n">
        <v/>
      </c>
      <c r="G19" t="n">
        <v>-8951</v>
      </c>
      <c r="H19" t="n">
        <v>-4169</v>
      </c>
      <c r="I19" t="n">
        <v/>
      </c>
      <c r="J19" t="n">
        <v/>
      </c>
      <c r="K19" t="n">
        <v/>
      </c>
      <c r="L19" t="n">
        <v/>
      </c>
    </row>
    <row r="20">
      <c r="A20" s="64" t="n">
        <v>34009</v>
      </c>
      <c r="B20" t="n">
        <v>-1252</v>
      </c>
      <c r="C20" t="n">
        <v/>
      </c>
      <c r="D20" t="n">
        <v>4504</v>
      </c>
      <c r="E20" t="n">
        <v>-13134</v>
      </c>
      <c r="F20" t="n">
        <v/>
      </c>
      <c r="G20" t="n">
        <v>-11824</v>
      </c>
      <c r="H20" t="n">
        <v>8417</v>
      </c>
      <c r="I20" t="n">
        <v/>
      </c>
      <c r="J20" t="n">
        <v/>
      </c>
      <c r="K20" t="n">
        <v/>
      </c>
      <c r="L20" t="n">
        <v/>
      </c>
    </row>
    <row r="21">
      <c r="A21" s="64" t="n">
        <v>34016</v>
      </c>
      <c r="B21" t="n">
        <v>-851</v>
      </c>
      <c r="C21" t="n">
        <v/>
      </c>
      <c r="D21" t="n">
        <v>4939</v>
      </c>
      <c r="E21" t="n">
        <v>-13710</v>
      </c>
      <c r="F21" t="n">
        <v/>
      </c>
      <c r="G21" t="n">
        <v>-13191</v>
      </c>
      <c r="H21" t="n">
        <v>16697</v>
      </c>
      <c r="I21" t="n">
        <v/>
      </c>
      <c r="J21" t="n">
        <v/>
      </c>
      <c r="K21" t="n">
        <v/>
      </c>
      <c r="L21" t="n">
        <v/>
      </c>
    </row>
    <row r="22">
      <c r="A22" s="64" t="n">
        <v>34023</v>
      </c>
      <c r="B22" t="n">
        <v>-25</v>
      </c>
      <c r="C22" t="n">
        <v/>
      </c>
      <c r="D22" t="n">
        <v>6167</v>
      </c>
      <c r="E22" t="n">
        <v>-10511</v>
      </c>
      <c r="F22" t="n">
        <v/>
      </c>
      <c r="G22" t="n">
        <v>-13425</v>
      </c>
      <c r="H22" t="n">
        <v>20356</v>
      </c>
      <c r="I22" t="n">
        <v/>
      </c>
      <c r="J22" t="n">
        <v/>
      </c>
      <c r="K22" t="n">
        <v/>
      </c>
      <c r="L22" t="n">
        <v/>
      </c>
    </row>
    <row r="23">
      <c r="A23" s="64" t="n">
        <v>34030</v>
      </c>
      <c r="B23" t="n">
        <v>738</v>
      </c>
      <c r="C23" t="n">
        <v/>
      </c>
      <c r="D23" t="n">
        <v>7565</v>
      </c>
      <c r="E23" t="n">
        <v>-14431</v>
      </c>
      <c r="F23" t="n">
        <v/>
      </c>
      <c r="G23" t="n">
        <v>-13284</v>
      </c>
      <c r="H23" t="n">
        <v>18963</v>
      </c>
      <c r="I23" t="n">
        <v/>
      </c>
      <c r="J23" t="n">
        <v/>
      </c>
      <c r="K23" t="n">
        <v/>
      </c>
      <c r="L23" t="n">
        <v/>
      </c>
    </row>
    <row r="24">
      <c r="A24" s="64" t="n">
        <v>34037</v>
      </c>
      <c r="B24" t="n">
        <v>738</v>
      </c>
      <c r="C24" t="n">
        <v/>
      </c>
      <c r="D24" t="n">
        <v>6708</v>
      </c>
      <c r="E24" t="n">
        <v>-12979</v>
      </c>
      <c r="F24" t="n">
        <v/>
      </c>
      <c r="G24" t="n">
        <v>-11891</v>
      </c>
      <c r="H24" t="n">
        <v>17362</v>
      </c>
      <c r="I24" t="n">
        <v/>
      </c>
      <c r="J24" t="n">
        <v/>
      </c>
      <c r="K24" t="n">
        <v/>
      </c>
      <c r="L24" t="n">
        <v/>
      </c>
    </row>
    <row r="25">
      <c r="A25" s="64" t="n">
        <v>34044</v>
      </c>
      <c r="B25" t="n">
        <v>872</v>
      </c>
      <c r="C25" t="n">
        <v/>
      </c>
      <c r="D25" t="n">
        <v>7529</v>
      </c>
      <c r="E25" t="n">
        <v>-7386</v>
      </c>
      <c r="F25" t="n">
        <v/>
      </c>
      <c r="G25" t="n">
        <v>-9627</v>
      </c>
      <c r="H25" t="n">
        <v>12526</v>
      </c>
      <c r="I25" t="n">
        <v/>
      </c>
      <c r="J25" t="n">
        <v/>
      </c>
      <c r="K25" t="n">
        <v/>
      </c>
      <c r="L25" t="n">
        <v/>
      </c>
    </row>
    <row r="26">
      <c r="A26" s="64" t="n">
        <v>34051</v>
      </c>
      <c r="B26" t="n">
        <v>1059</v>
      </c>
      <c r="C26" t="n">
        <v/>
      </c>
      <c r="D26" t="n">
        <v>5126</v>
      </c>
      <c r="E26" t="n">
        <v>-12764</v>
      </c>
      <c r="F26" t="n">
        <v/>
      </c>
      <c r="G26" t="n">
        <v>2004</v>
      </c>
      <c r="H26" t="n">
        <v>17056</v>
      </c>
      <c r="I26" t="n">
        <v/>
      </c>
      <c r="J26" t="n">
        <v/>
      </c>
      <c r="K26" t="n">
        <v/>
      </c>
      <c r="L26" t="n">
        <v/>
      </c>
    </row>
    <row r="27">
      <c r="A27" s="64" t="n">
        <v>34058</v>
      </c>
      <c r="B27" t="n">
        <v>1059</v>
      </c>
      <c r="C27" t="n">
        <v/>
      </c>
      <c r="D27" t="n">
        <v>1794</v>
      </c>
      <c r="E27" t="n">
        <v>-11478</v>
      </c>
      <c r="F27" t="n">
        <v/>
      </c>
      <c r="G27" t="n">
        <v>1635</v>
      </c>
      <c r="H27" t="n">
        <v>9928</v>
      </c>
      <c r="I27" t="n">
        <v/>
      </c>
      <c r="J27" t="n">
        <v/>
      </c>
      <c r="K27" t="n">
        <v/>
      </c>
      <c r="L27" t="n">
        <v/>
      </c>
    </row>
    <row r="28">
      <c r="A28" s="64" t="n">
        <v>34065</v>
      </c>
      <c r="B28" t="n">
        <v>327</v>
      </c>
      <c r="C28" t="n">
        <v/>
      </c>
      <c r="D28" t="n">
        <v>306</v>
      </c>
      <c r="E28" t="n">
        <v>-5027</v>
      </c>
      <c r="F28" t="n">
        <v/>
      </c>
      <c r="G28" t="n">
        <v>4165</v>
      </c>
      <c r="H28" t="n">
        <v>13184</v>
      </c>
      <c r="I28" t="n">
        <v/>
      </c>
      <c r="J28" t="n">
        <v/>
      </c>
      <c r="K28" t="n">
        <v/>
      </c>
      <c r="L28" t="n">
        <v/>
      </c>
    </row>
    <row r="29">
      <c r="A29" s="64" t="n">
        <v>34072</v>
      </c>
      <c r="B29" t="n">
        <v>548</v>
      </c>
      <c r="C29" t="n">
        <v/>
      </c>
      <c r="D29" t="n">
        <v>-526</v>
      </c>
      <c r="E29" t="n">
        <v>3023</v>
      </c>
      <c r="F29" t="n">
        <v/>
      </c>
      <c r="G29" t="n">
        <v>5694</v>
      </c>
      <c r="H29" t="n">
        <v>22368</v>
      </c>
      <c r="I29" t="n">
        <v/>
      </c>
      <c r="J29" t="n">
        <v/>
      </c>
      <c r="K29" t="n">
        <v/>
      </c>
      <c r="L29" t="n">
        <v/>
      </c>
    </row>
    <row r="30">
      <c r="A30" s="64" t="n">
        <v>34079</v>
      </c>
      <c r="B30" t="n">
        <v>656</v>
      </c>
      <c r="C30" t="n">
        <v/>
      </c>
      <c r="D30" t="n">
        <v>-2348</v>
      </c>
      <c r="E30" t="n">
        <v>1632</v>
      </c>
      <c r="F30" t="n">
        <v/>
      </c>
      <c r="G30" t="n">
        <v>6731</v>
      </c>
      <c r="H30" t="n">
        <v>22530</v>
      </c>
      <c r="I30" t="n">
        <v/>
      </c>
      <c r="J30" t="n">
        <v/>
      </c>
      <c r="K30" t="n">
        <v/>
      </c>
      <c r="L30" t="n">
        <v/>
      </c>
    </row>
    <row r="31">
      <c r="A31" s="64" t="n">
        <v>34086</v>
      </c>
      <c r="B31" t="n">
        <v>650</v>
      </c>
      <c r="C31" t="n">
        <v/>
      </c>
      <c r="D31" t="n">
        <v>-5515</v>
      </c>
      <c r="E31" t="n">
        <v>4837</v>
      </c>
      <c r="F31" t="n">
        <v/>
      </c>
      <c r="G31" t="n">
        <v>10617</v>
      </c>
      <c r="H31" t="n">
        <v>18877</v>
      </c>
      <c r="I31" t="n">
        <v/>
      </c>
      <c r="J31" t="n">
        <v/>
      </c>
      <c r="K31" t="n">
        <v/>
      </c>
      <c r="L31" t="n">
        <v/>
      </c>
    </row>
    <row r="32">
      <c r="A32" s="64" t="n">
        <v>34093</v>
      </c>
      <c r="B32" t="n">
        <v>319</v>
      </c>
      <c r="C32" t="n">
        <v/>
      </c>
      <c r="D32" t="n">
        <v>-6440</v>
      </c>
      <c r="E32" t="n">
        <v>9030</v>
      </c>
      <c r="F32" t="n">
        <v/>
      </c>
      <c r="G32" t="n">
        <v>10445</v>
      </c>
      <c r="H32" t="n">
        <v>19533</v>
      </c>
      <c r="I32" t="n">
        <v/>
      </c>
      <c r="J32" t="n">
        <v/>
      </c>
      <c r="K32" t="n">
        <v/>
      </c>
      <c r="L32" t="n">
        <v/>
      </c>
    </row>
    <row r="33">
      <c r="A33" s="64" t="n">
        <v>34100</v>
      </c>
      <c r="B33" t="n">
        <v>319</v>
      </c>
      <c r="C33" t="n">
        <v/>
      </c>
      <c r="D33" t="n">
        <v>-7287</v>
      </c>
      <c r="E33" t="n">
        <v>4876</v>
      </c>
      <c r="F33" t="n">
        <v/>
      </c>
      <c r="G33" t="n">
        <v>8956</v>
      </c>
      <c r="H33" t="n">
        <v>17386</v>
      </c>
      <c r="I33" t="n">
        <v/>
      </c>
      <c r="J33" t="n">
        <v/>
      </c>
      <c r="K33" t="n">
        <v/>
      </c>
      <c r="L33" t="n">
        <v/>
      </c>
    </row>
    <row r="34">
      <c r="A34" s="64" t="n">
        <v>34107</v>
      </c>
      <c r="B34" t="n">
        <v>25</v>
      </c>
      <c r="C34" t="n">
        <v/>
      </c>
      <c r="D34" t="n">
        <v>-5530</v>
      </c>
      <c r="E34" t="n">
        <v>359</v>
      </c>
      <c r="F34" t="n">
        <v/>
      </c>
      <c r="G34" t="n">
        <v>5980</v>
      </c>
      <c r="H34" t="n">
        <v>21047</v>
      </c>
      <c r="I34" t="n">
        <v/>
      </c>
      <c r="J34" t="n">
        <v/>
      </c>
      <c r="K34" t="n">
        <v/>
      </c>
      <c r="L34" t="n">
        <v/>
      </c>
    </row>
    <row r="35">
      <c r="A35" s="64" t="n">
        <v>34114</v>
      </c>
      <c r="B35" t="n">
        <v>-60</v>
      </c>
      <c r="C35" t="n">
        <v/>
      </c>
      <c r="D35" t="n">
        <v>-113</v>
      </c>
      <c r="E35" t="n">
        <v>2401</v>
      </c>
      <c r="F35" t="n">
        <v/>
      </c>
      <c r="G35" t="n">
        <v>5837</v>
      </c>
      <c r="H35" t="n">
        <v>26486</v>
      </c>
      <c r="I35" t="n">
        <v/>
      </c>
      <c r="J35" t="n">
        <v/>
      </c>
      <c r="K35" t="n">
        <v/>
      </c>
      <c r="L35" t="n">
        <v/>
      </c>
    </row>
    <row r="36">
      <c r="A36" s="64" t="n">
        <v>34121</v>
      </c>
      <c r="B36" t="n">
        <v>-459</v>
      </c>
      <c r="C36" t="n">
        <v/>
      </c>
      <c r="D36" t="n">
        <v>-1087</v>
      </c>
      <c r="E36" t="n">
        <v>4090</v>
      </c>
      <c r="F36" t="n">
        <v/>
      </c>
      <c r="G36" t="n">
        <v>3025</v>
      </c>
      <c r="H36" t="n">
        <v>25759</v>
      </c>
      <c r="I36" t="n">
        <v/>
      </c>
      <c r="J36" t="n">
        <v/>
      </c>
      <c r="K36" t="n">
        <v/>
      </c>
      <c r="L36" t="n">
        <v/>
      </c>
    </row>
    <row r="37">
      <c r="A37" s="64" t="n">
        <v>34128</v>
      </c>
      <c r="B37" t="n">
        <v>-533</v>
      </c>
      <c r="C37" t="n">
        <v/>
      </c>
      <c r="D37" t="n">
        <v>-6437</v>
      </c>
      <c r="E37" t="n">
        <v>832</v>
      </c>
      <c r="F37" t="n">
        <v/>
      </c>
      <c r="G37" t="n">
        <v>-3849</v>
      </c>
      <c r="H37" t="n">
        <v>26461</v>
      </c>
      <c r="I37" t="n">
        <v/>
      </c>
      <c r="J37" t="n">
        <v/>
      </c>
      <c r="K37" t="n">
        <v/>
      </c>
      <c r="L37" t="n">
        <v/>
      </c>
    </row>
    <row r="38">
      <c r="A38" s="64" t="n">
        <v>34135</v>
      </c>
      <c r="B38" t="n">
        <v>-588</v>
      </c>
      <c r="C38" t="n">
        <v/>
      </c>
      <c r="D38" t="n">
        <v>-7068</v>
      </c>
      <c r="E38" t="n">
        <v>-1095</v>
      </c>
      <c r="F38" t="n">
        <v/>
      </c>
      <c r="G38" t="n">
        <v>-4875</v>
      </c>
      <c r="H38" t="n">
        <v>29193</v>
      </c>
      <c r="I38" t="n">
        <v/>
      </c>
      <c r="J38" t="n">
        <v/>
      </c>
      <c r="K38" t="n">
        <v/>
      </c>
      <c r="L38" t="n">
        <v/>
      </c>
    </row>
    <row r="39">
      <c r="A39" s="64" t="n">
        <v>34142</v>
      </c>
      <c r="B39" t="n">
        <v>-877</v>
      </c>
      <c r="C39" t="n">
        <v/>
      </c>
      <c r="D39" t="n">
        <v>-2428</v>
      </c>
      <c r="E39" t="n">
        <v>-7828</v>
      </c>
      <c r="F39" t="n">
        <v/>
      </c>
      <c r="G39" t="n">
        <v>-9290</v>
      </c>
      <c r="H39" t="n">
        <v>13911</v>
      </c>
      <c r="I39" t="n">
        <v/>
      </c>
      <c r="J39" t="n">
        <v/>
      </c>
      <c r="K39" t="n">
        <v/>
      </c>
      <c r="L39" t="n">
        <v/>
      </c>
    </row>
    <row r="40">
      <c r="A40" s="64" t="n">
        <v>34149</v>
      </c>
      <c r="B40" t="n">
        <v>-981</v>
      </c>
      <c r="C40" t="n">
        <v/>
      </c>
      <c r="D40" t="n">
        <v>-2898</v>
      </c>
      <c r="E40" t="n">
        <v>-8680</v>
      </c>
      <c r="F40" t="n">
        <v/>
      </c>
      <c r="G40" t="n">
        <v>-4874</v>
      </c>
      <c r="H40" t="n">
        <v>16504</v>
      </c>
      <c r="I40" t="n">
        <v/>
      </c>
      <c r="J40" t="n">
        <v/>
      </c>
      <c r="K40" t="n">
        <v/>
      </c>
      <c r="L40" t="n">
        <v/>
      </c>
    </row>
    <row r="41">
      <c r="A41" s="64" t="n">
        <v>34156</v>
      </c>
      <c r="B41" t="n">
        <v>-781</v>
      </c>
      <c r="C41" t="n">
        <v/>
      </c>
      <c r="D41" t="n">
        <v>-5661</v>
      </c>
      <c r="E41" t="n">
        <v>-8132</v>
      </c>
      <c r="F41" t="n">
        <v/>
      </c>
      <c r="G41" t="n">
        <v>-4241</v>
      </c>
      <c r="H41" t="n">
        <v>13785</v>
      </c>
      <c r="I41" t="n">
        <v/>
      </c>
      <c r="J41" t="n">
        <v/>
      </c>
      <c r="K41" t="n">
        <v/>
      </c>
      <c r="L41" t="n">
        <v/>
      </c>
    </row>
    <row r="42">
      <c r="A42" s="64" t="n">
        <v>34163</v>
      </c>
      <c r="B42" t="n">
        <v>-708</v>
      </c>
      <c r="C42" t="n">
        <v/>
      </c>
      <c r="D42" t="n">
        <v>-2209</v>
      </c>
      <c r="E42" t="n">
        <v>-13313</v>
      </c>
      <c r="F42" t="n">
        <v/>
      </c>
      <c r="G42" t="n">
        <v>-3908</v>
      </c>
      <c r="H42" t="n">
        <v>12080</v>
      </c>
      <c r="I42" t="n">
        <v/>
      </c>
      <c r="J42" t="n">
        <v/>
      </c>
      <c r="K42" t="n">
        <v/>
      </c>
      <c r="L42" t="n">
        <v/>
      </c>
    </row>
    <row r="43">
      <c r="A43" s="64" t="n">
        <v>34170</v>
      </c>
      <c r="B43" t="n">
        <v>-940</v>
      </c>
      <c r="C43" t="n">
        <v/>
      </c>
      <c r="D43" t="n">
        <v>414</v>
      </c>
      <c r="E43" t="n">
        <v>-8339</v>
      </c>
      <c r="F43" t="n">
        <v/>
      </c>
      <c r="G43" t="n">
        <v>-3444</v>
      </c>
      <c r="H43" t="n">
        <v>10736</v>
      </c>
      <c r="I43" t="n">
        <v/>
      </c>
      <c r="J43" t="n">
        <v/>
      </c>
      <c r="K43" t="n">
        <v/>
      </c>
      <c r="L43" t="n">
        <v/>
      </c>
    </row>
    <row r="44">
      <c r="A44" s="64" t="n">
        <v>34177</v>
      </c>
      <c r="B44" t="n">
        <v>-953</v>
      </c>
      <c r="C44" t="n">
        <v/>
      </c>
      <c r="D44" t="n">
        <v>-1996</v>
      </c>
      <c r="E44" t="n">
        <v>-10695</v>
      </c>
      <c r="F44" t="n">
        <v/>
      </c>
      <c r="G44" t="n">
        <v>-3079</v>
      </c>
      <c r="H44" t="n">
        <v>20910</v>
      </c>
      <c r="I44" t="n">
        <v/>
      </c>
      <c r="J44" t="n">
        <v/>
      </c>
      <c r="K44" t="n">
        <v/>
      </c>
      <c r="L44" t="n">
        <v/>
      </c>
    </row>
    <row r="45">
      <c r="A45" s="64" t="n">
        <v>34184</v>
      </c>
      <c r="B45" t="n">
        <v>-420</v>
      </c>
      <c r="C45" t="n">
        <v/>
      </c>
      <c r="D45" t="n">
        <v>-10779</v>
      </c>
      <c r="E45" t="n">
        <v>-6998</v>
      </c>
      <c r="F45" t="n">
        <v/>
      </c>
      <c r="G45" t="n">
        <v>-4100</v>
      </c>
      <c r="H45" t="n">
        <v>25585</v>
      </c>
      <c r="I45" t="n">
        <v/>
      </c>
      <c r="J45" t="n">
        <v/>
      </c>
      <c r="K45" t="n">
        <v/>
      </c>
      <c r="L45" t="n">
        <v/>
      </c>
    </row>
    <row r="46">
      <c r="A46" s="64" t="n">
        <v>34191</v>
      </c>
      <c r="B46" t="n">
        <v>704</v>
      </c>
      <c r="C46" t="n">
        <v/>
      </c>
      <c r="D46" t="n">
        <v>-12884</v>
      </c>
      <c r="E46" t="n">
        <v>-9385</v>
      </c>
      <c r="F46" t="n">
        <v/>
      </c>
      <c r="G46" t="n">
        <v>-9654</v>
      </c>
      <c r="H46" t="n">
        <v>20211</v>
      </c>
      <c r="I46" t="n">
        <v/>
      </c>
      <c r="J46" t="n">
        <v/>
      </c>
      <c r="K46" t="n">
        <v/>
      </c>
      <c r="L46" t="n">
        <v/>
      </c>
    </row>
    <row r="47">
      <c r="A47" s="64" t="n">
        <v>34198</v>
      </c>
      <c r="B47" t="n">
        <v>2115</v>
      </c>
      <c r="C47" t="n">
        <v/>
      </c>
      <c r="D47" t="n">
        <v>-18602</v>
      </c>
      <c r="E47" t="n">
        <v>-9343</v>
      </c>
      <c r="F47" t="n">
        <v/>
      </c>
      <c r="G47" t="n">
        <v>-10024</v>
      </c>
      <c r="H47" t="n">
        <v>24637</v>
      </c>
      <c r="I47" t="n">
        <v/>
      </c>
      <c r="J47" t="n">
        <v/>
      </c>
      <c r="K47" t="n">
        <v/>
      </c>
      <c r="L47" t="n">
        <v/>
      </c>
    </row>
    <row r="48">
      <c r="A48" s="64" t="n">
        <v>34205</v>
      </c>
      <c r="B48" t="n">
        <v>1102</v>
      </c>
      <c r="C48" t="n">
        <v/>
      </c>
      <c r="D48" t="n">
        <v>-18328</v>
      </c>
      <c r="E48" t="n">
        <v>84</v>
      </c>
      <c r="F48" t="n">
        <v/>
      </c>
      <c r="G48" t="n">
        <v>626</v>
      </c>
      <c r="H48" t="n">
        <v>17802</v>
      </c>
      <c r="I48" t="n">
        <v/>
      </c>
      <c r="J48" t="n">
        <v/>
      </c>
      <c r="K48" t="n">
        <v/>
      </c>
      <c r="L48" t="n">
        <v/>
      </c>
    </row>
    <row r="49">
      <c r="A49" s="64" t="n">
        <v>34212</v>
      </c>
      <c r="B49" t="n">
        <v>964</v>
      </c>
      <c r="C49" t="n">
        <v/>
      </c>
      <c r="D49" t="n">
        <v>-15844</v>
      </c>
      <c r="E49" t="n">
        <v>2924</v>
      </c>
      <c r="F49" t="n">
        <v/>
      </c>
      <c r="G49" t="n">
        <v>-5909</v>
      </c>
      <c r="H49" t="n">
        <v>15127</v>
      </c>
      <c r="I49" t="n">
        <v/>
      </c>
      <c r="J49" t="n">
        <v/>
      </c>
      <c r="K49" t="n">
        <v/>
      </c>
      <c r="L49" t="n">
        <v/>
      </c>
    </row>
    <row r="50">
      <c r="A50" s="64" t="n">
        <v>34219</v>
      </c>
      <c r="B50" t="n">
        <v>-1775</v>
      </c>
      <c r="C50" t="n">
        <v/>
      </c>
      <c r="D50" t="n">
        <v>-15482</v>
      </c>
      <c r="E50" t="n">
        <v>13572</v>
      </c>
      <c r="F50" t="n">
        <v/>
      </c>
      <c r="G50" t="n">
        <v>6555</v>
      </c>
      <c r="H50" t="n">
        <v>5292</v>
      </c>
      <c r="I50" t="n">
        <v/>
      </c>
      <c r="J50" t="n">
        <v/>
      </c>
      <c r="K50" t="n">
        <v/>
      </c>
      <c r="L50" t="n">
        <v/>
      </c>
    </row>
    <row r="51">
      <c r="A51" s="64" t="n">
        <v>34226</v>
      </c>
      <c r="B51" t="n">
        <v>-2131</v>
      </c>
      <c r="C51" t="n">
        <v/>
      </c>
      <c r="D51" t="n">
        <v>-10328</v>
      </c>
      <c r="E51" t="n">
        <v>22446</v>
      </c>
      <c r="F51" t="n">
        <v/>
      </c>
      <c r="G51" t="n">
        <v>7333</v>
      </c>
      <c r="H51" t="n">
        <v>-7820</v>
      </c>
      <c r="I51" t="n">
        <v/>
      </c>
      <c r="J51" t="n">
        <v/>
      </c>
      <c r="K51" t="n">
        <v/>
      </c>
      <c r="L51" t="n">
        <v/>
      </c>
    </row>
    <row r="52">
      <c r="A52" s="64" t="n">
        <v>34233</v>
      </c>
      <c r="B52" t="n">
        <v>-2201</v>
      </c>
      <c r="C52" t="n">
        <v/>
      </c>
      <c r="D52" t="n">
        <v>-6499</v>
      </c>
      <c r="E52" t="n">
        <v>23259</v>
      </c>
      <c r="F52" t="n">
        <v/>
      </c>
      <c r="G52" t="n">
        <v>4459</v>
      </c>
      <c r="H52" t="n">
        <v>-13672</v>
      </c>
      <c r="I52" t="n">
        <v/>
      </c>
      <c r="J52" t="n">
        <v/>
      </c>
      <c r="K52" t="n">
        <v/>
      </c>
      <c r="L52" t="n">
        <v/>
      </c>
    </row>
    <row r="53">
      <c r="A53" s="64" t="n">
        <v>34240</v>
      </c>
      <c r="B53" t="n">
        <v>-2201</v>
      </c>
      <c r="C53" t="n">
        <v/>
      </c>
      <c r="D53" t="n">
        <v>-8246</v>
      </c>
      <c r="E53" t="n">
        <v>24365</v>
      </c>
      <c r="F53" t="n">
        <v/>
      </c>
      <c r="G53" t="n">
        <v>2797</v>
      </c>
      <c r="H53" t="n">
        <v>-9553</v>
      </c>
      <c r="I53" t="n">
        <v/>
      </c>
      <c r="J53" t="n">
        <v/>
      </c>
      <c r="K53" t="n">
        <v/>
      </c>
      <c r="L53" t="n">
        <v/>
      </c>
    </row>
    <row r="54">
      <c r="A54" s="64" t="n">
        <v>34247</v>
      </c>
      <c r="B54" t="n">
        <v>-2630</v>
      </c>
      <c r="C54" t="n">
        <v/>
      </c>
      <c r="D54" t="n">
        <v>-16540</v>
      </c>
      <c r="E54" t="n">
        <v>24771</v>
      </c>
      <c r="F54" t="n">
        <v/>
      </c>
      <c r="G54" t="n">
        <v>1442</v>
      </c>
      <c r="H54" t="n">
        <v>-12979</v>
      </c>
      <c r="I54" t="n">
        <v/>
      </c>
      <c r="J54" t="n">
        <v/>
      </c>
      <c r="K54" t="n">
        <v/>
      </c>
      <c r="L54" t="n">
        <v/>
      </c>
    </row>
    <row r="55">
      <c r="A55" s="64" t="n">
        <v>34254</v>
      </c>
      <c r="B55" t="n">
        <v>-1735</v>
      </c>
      <c r="C55" t="n">
        <v/>
      </c>
      <c r="D55" t="n">
        <v>-14494</v>
      </c>
      <c r="E55" t="n">
        <v>29561</v>
      </c>
      <c r="F55" t="n">
        <v/>
      </c>
      <c r="G55" t="n">
        <v>1081</v>
      </c>
      <c r="H55" t="n">
        <v>-13249</v>
      </c>
      <c r="I55" t="n">
        <v/>
      </c>
      <c r="J55" t="n">
        <v/>
      </c>
      <c r="K55" t="n">
        <v/>
      </c>
      <c r="L55" t="n">
        <v/>
      </c>
    </row>
    <row r="56">
      <c r="A56" s="64" t="n">
        <v>34261</v>
      </c>
      <c r="B56" t="n">
        <v>-1265</v>
      </c>
      <c r="C56" t="n">
        <v/>
      </c>
      <c r="D56" t="n">
        <v>-10891</v>
      </c>
      <c r="E56" t="n">
        <v>14207</v>
      </c>
      <c r="F56" t="n">
        <v/>
      </c>
      <c r="G56" t="n">
        <v>-4785</v>
      </c>
      <c r="H56" t="n">
        <v>-33048</v>
      </c>
      <c r="I56" t="n">
        <v/>
      </c>
      <c r="J56" t="n">
        <v/>
      </c>
      <c r="K56" t="n">
        <v/>
      </c>
      <c r="L56" t="n">
        <v/>
      </c>
    </row>
    <row r="57">
      <c r="A57" s="64" t="n">
        <v>34268</v>
      </c>
      <c r="B57" t="n">
        <v>-1149</v>
      </c>
      <c r="C57" t="n">
        <v/>
      </c>
      <c r="D57" t="n">
        <v>4078</v>
      </c>
      <c r="E57" t="n">
        <v>-1208</v>
      </c>
      <c r="F57" t="n">
        <v/>
      </c>
      <c r="G57" t="n">
        <v>-7490</v>
      </c>
      <c r="H57" t="n">
        <v>-40094</v>
      </c>
      <c r="I57" t="n">
        <v/>
      </c>
      <c r="J57" t="n">
        <v/>
      </c>
      <c r="K57" t="n">
        <v/>
      </c>
      <c r="L57" t="n">
        <v/>
      </c>
    </row>
    <row r="58">
      <c r="A58" s="64" t="n">
        <v>34275</v>
      </c>
      <c r="B58" t="n">
        <v>-145</v>
      </c>
      <c r="C58" t="n">
        <v/>
      </c>
      <c r="D58" t="n">
        <v>4970</v>
      </c>
      <c r="E58" t="n">
        <v>-13168</v>
      </c>
      <c r="F58" t="n">
        <v/>
      </c>
      <c r="G58" t="n">
        <v>-7598</v>
      </c>
      <c r="H58" t="n">
        <v>-32794</v>
      </c>
      <c r="I58" t="n">
        <v/>
      </c>
      <c r="J58" t="n">
        <v/>
      </c>
      <c r="K58" t="n">
        <v/>
      </c>
      <c r="L58" t="n">
        <v/>
      </c>
    </row>
    <row r="59">
      <c r="A59" s="64" t="n">
        <v>34282</v>
      </c>
      <c r="B59" t="n">
        <v>428</v>
      </c>
      <c r="C59" t="n">
        <v/>
      </c>
      <c r="D59" t="n">
        <v>5445</v>
      </c>
      <c r="E59" t="n">
        <v>-13334</v>
      </c>
      <c r="F59" t="n">
        <v/>
      </c>
      <c r="G59" t="n">
        <v>-10135</v>
      </c>
      <c r="H59" t="n">
        <v>-30580</v>
      </c>
      <c r="I59" t="n">
        <v/>
      </c>
      <c r="J59" t="n">
        <v/>
      </c>
      <c r="K59" t="n">
        <v/>
      </c>
      <c r="L59" t="n">
        <v/>
      </c>
    </row>
    <row r="60">
      <c r="A60" s="64" t="n">
        <v>34289</v>
      </c>
      <c r="B60" t="n">
        <v>-413</v>
      </c>
      <c r="C60" t="n">
        <v/>
      </c>
      <c r="D60" t="n">
        <v>-1487</v>
      </c>
      <c r="E60" t="n">
        <v>-26453</v>
      </c>
      <c r="F60" t="n">
        <v/>
      </c>
      <c r="G60" t="n">
        <v>-9187</v>
      </c>
      <c r="H60" t="n">
        <v>-10055</v>
      </c>
      <c r="I60" t="n">
        <v/>
      </c>
      <c r="J60" t="n">
        <v/>
      </c>
      <c r="K60" t="n">
        <v/>
      </c>
      <c r="L60" t="n">
        <v/>
      </c>
    </row>
    <row r="61">
      <c r="A61" s="64" t="n">
        <v>34296</v>
      </c>
      <c r="B61" t="n">
        <v>-413</v>
      </c>
      <c r="C61" t="n">
        <v/>
      </c>
      <c r="D61" t="n">
        <v>1089</v>
      </c>
      <c r="E61" t="n">
        <v>-22372</v>
      </c>
      <c r="F61" t="n">
        <v/>
      </c>
      <c r="G61" t="n">
        <v>-6968</v>
      </c>
      <c r="H61" t="n">
        <v>-14803</v>
      </c>
      <c r="I61" t="n">
        <v/>
      </c>
      <c r="J61" t="n">
        <v/>
      </c>
      <c r="K61" t="n">
        <v/>
      </c>
      <c r="L61" t="n">
        <v/>
      </c>
    </row>
    <row r="62">
      <c r="A62" s="64" t="n">
        <v>34303</v>
      </c>
      <c r="B62" t="n">
        <v>-413</v>
      </c>
      <c r="C62" t="n">
        <v/>
      </c>
      <c r="D62" t="n">
        <v>-838</v>
      </c>
      <c r="E62" t="n">
        <v>-18454</v>
      </c>
      <c r="F62" t="n">
        <v/>
      </c>
      <c r="G62" t="n">
        <v>-3152</v>
      </c>
      <c r="H62" t="n">
        <v>-22632</v>
      </c>
      <c r="I62" t="n">
        <v/>
      </c>
      <c r="J62" t="n">
        <v/>
      </c>
      <c r="K62" t="n">
        <v/>
      </c>
      <c r="L62" t="n">
        <v/>
      </c>
    </row>
    <row r="63">
      <c r="A63" s="64" t="n">
        <v>34310</v>
      </c>
      <c r="B63" t="n">
        <v>-308</v>
      </c>
      <c r="C63" t="n">
        <v/>
      </c>
      <c r="D63" t="n">
        <v>782</v>
      </c>
      <c r="E63" t="n">
        <v>-3911</v>
      </c>
      <c r="F63" t="n">
        <v/>
      </c>
      <c r="G63" t="n">
        <v>3076</v>
      </c>
      <c r="H63" t="n">
        <v>-19772</v>
      </c>
      <c r="I63" t="n">
        <v/>
      </c>
      <c r="J63" t="n">
        <v/>
      </c>
      <c r="K63" t="n">
        <v/>
      </c>
      <c r="L63" t="n">
        <v/>
      </c>
    </row>
    <row r="64">
      <c r="A64" s="64" t="n">
        <v>34317</v>
      </c>
      <c r="B64" t="n">
        <v>-9</v>
      </c>
      <c r="C64" t="n">
        <v/>
      </c>
      <c r="D64" t="n">
        <v>-1136</v>
      </c>
      <c r="E64" t="n">
        <v>-3340</v>
      </c>
      <c r="F64" t="n">
        <v/>
      </c>
      <c r="G64" t="n">
        <v>5052</v>
      </c>
      <c r="H64" t="n">
        <v>-25864</v>
      </c>
      <c r="I64" t="n">
        <v/>
      </c>
      <c r="J64" t="n">
        <v/>
      </c>
      <c r="K64" t="n">
        <v/>
      </c>
      <c r="L64" t="n">
        <v/>
      </c>
    </row>
    <row r="65">
      <c r="A65" s="64" t="n">
        <v>34324</v>
      </c>
      <c r="B65" t="n">
        <v>1328</v>
      </c>
      <c r="C65" t="n">
        <v/>
      </c>
      <c r="D65" t="n">
        <v>-2089</v>
      </c>
      <c r="E65" t="n">
        <v>815</v>
      </c>
      <c r="F65" t="n">
        <v/>
      </c>
      <c r="G65" t="n">
        <v>-838</v>
      </c>
      <c r="H65" t="n">
        <v>-42727</v>
      </c>
      <c r="I65" t="n">
        <v/>
      </c>
      <c r="J65" t="n">
        <v/>
      </c>
      <c r="K65" t="n">
        <v/>
      </c>
      <c r="L65" t="n">
        <v/>
      </c>
    </row>
    <row r="66">
      <c r="A66" s="64" t="n">
        <v>34331</v>
      </c>
      <c r="B66" t="n">
        <v>1560</v>
      </c>
      <c r="C66" t="n">
        <v/>
      </c>
      <c r="D66" t="n">
        <v>702</v>
      </c>
      <c r="E66" t="n">
        <v>14188</v>
      </c>
      <c r="F66" t="n">
        <v/>
      </c>
      <c r="G66" t="n">
        <v>7980</v>
      </c>
      <c r="H66" t="n">
        <v>-43099</v>
      </c>
      <c r="I66" t="n">
        <v/>
      </c>
      <c r="J66" t="n">
        <v/>
      </c>
      <c r="K66" t="n">
        <v/>
      </c>
      <c r="L66" t="n">
        <v/>
      </c>
    </row>
    <row r="67">
      <c r="A67" s="64" t="n">
        <v>34338</v>
      </c>
      <c r="B67" t="n">
        <v>2242</v>
      </c>
      <c r="C67" t="n">
        <v/>
      </c>
      <c r="D67" t="n">
        <v>7372</v>
      </c>
      <c r="E67" t="n">
        <v>9440</v>
      </c>
      <c r="F67" t="n">
        <v/>
      </c>
      <c r="G67" t="n">
        <v>-2472</v>
      </c>
      <c r="H67" t="n">
        <v>-22270</v>
      </c>
      <c r="I67" t="n">
        <v/>
      </c>
      <c r="J67" t="n">
        <v/>
      </c>
      <c r="K67" t="n">
        <v/>
      </c>
      <c r="L67" t="n">
        <v/>
      </c>
    </row>
    <row r="68">
      <c r="A68" s="64" t="n">
        <v>34345</v>
      </c>
      <c r="B68" t="n">
        <v>2499</v>
      </c>
      <c r="C68" t="n">
        <v/>
      </c>
      <c r="D68" t="n">
        <v>5829</v>
      </c>
      <c r="E68" t="n">
        <v>9594</v>
      </c>
      <c r="F68" t="n">
        <v/>
      </c>
      <c r="G68" t="n">
        <v>-1471</v>
      </c>
      <c r="H68" t="n">
        <v>-20591</v>
      </c>
      <c r="I68" t="n">
        <v/>
      </c>
      <c r="J68" t="n">
        <v/>
      </c>
      <c r="K68" t="n">
        <v/>
      </c>
      <c r="L68" t="n">
        <v/>
      </c>
    </row>
    <row r="69">
      <c r="A69" s="64" t="n">
        <v>34352</v>
      </c>
      <c r="B69" t="n">
        <v>3051</v>
      </c>
      <c r="C69" t="n">
        <v/>
      </c>
      <c r="D69" t="n">
        <v>4678</v>
      </c>
      <c r="E69" t="n">
        <v>-1930</v>
      </c>
      <c r="F69" t="n">
        <v/>
      </c>
      <c r="G69" t="n">
        <v>8819</v>
      </c>
      <c r="H69" t="n">
        <v>-18610</v>
      </c>
      <c r="I69" t="n">
        <v/>
      </c>
      <c r="J69" t="n">
        <v/>
      </c>
      <c r="K69" t="n">
        <v/>
      </c>
      <c r="L69" t="n">
        <v/>
      </c>
    </row>
    <row r="70">
      <c r="A70" s="64" t="n">
        <v>34359</v>
      </c>
      <c r="B70" t="n">
        <v>4590</v>
      </c>
      <c r="C70" t="n">
        <v/>
      </c>
      <c r="D70" t="n">
        <v>6951</v>
      </c>
      <c r="E70" t="n">
        <v>-5741</v>
      </c>
      <c r="F70" t="n">
        <v/>
      </c>
      <c r="G70" t="n">
        <v>13027</v>
      </c>
      <c r="H70" t="n">
        <v>-32963</v>
      </c>
      <c r="I70" t="n">
        <v/>
      </c>
      <c r="J70" t="n">
        <v/>
      </c>
      <c r="K70" t="n">
        <v/>
      </c>
      <c r="L70" t="n">
        <v/>
      </c>
    </row>
    <row r="71">
      <c r="A71" s="64" t="n">
        <v>34366</v>
      </c>
      <c r="B71" t="n">
        <v>3474</v>
      </c>
      <c r="C71" t="n">
        <v/>
      </c>
      <c r="D71" t="n">
        <v>3854</v>
      </c>
      <c r="E71" t="n">
        <v>427</v>
      </c>
      <c r="F71" t="n">
        <v/>
      </c>
      <c r="G71" t="n">
        <v>19052</v>
      </c>
      <c r="H71" t="n">
        <v>-9519</v>
      </c>
      <c r="I71" t="n">
        <v/>
      </c>
      <c r="J71" t="n">
        <v/>
      </c>
      <c r="K71" t="n">
        <v/>
      </c>
      <c r="L71" t="n">
        <v/>
      </c>
    </row>
    <row r="72">
      <c r="A72" s="64" t="n">
        <v>34373</v>
      </c>
      <c r="B72" t="n">
        <v>3467</v>
      </c>
      <c r="C72" t="n">
        <v/>
      </c>
      <c r="D72" t="n">
        <v>-1477</v>
      </c>
      <c r="E72" t="n">
        <v>4645</v>
      </c>
      <c r="F72" t="n">
        <v/>
      </c>
      <c r="G72" t="n">
        <v>-6666</v>
      </c>
      <c r="H72" t="n">
        <v>-6366</v>
      </c>
      <c r="I72" t="n">
        <v/>
      </c>
      <c r="J72" t="n">
        <v/>
      </c>
      <c r="K72" t="n">
        <v/>
      </c>
      <c r="L72" t="n">
        <v/>
      </c>
    </row>
    <row r="73">
      <c r="A73" s="64" t="n">
        <v>34380</v>
      </c>
      <c r="B73" t="n">
        <v>3159</v>
      </c>
      <c r="C73" t="n">
        <v/>
      </c>
      <c r="D73" t="n">
        <v>-5197</v>
      </c>
      <c r="E73" t="n">
        <v>1215</v>
      </c>
      <c r="F73" t="n">
        <v/>
      </c>
      <c r="G73" t="n">
        <v>-8238</v>
      </c>
      <c r="H73" t="n">
        <v>11167</v>
      </c>
      <c r="I73" t="n">
        <v/>
      </c>
      <c r="J73" t="n">
        <v/>
      </c>
      <c r="K73" t="n">
        <v/>
      </c>
      <c r="L73" t="n">
        <v/>
      </c>
    </row>
    <row r="74">
      <c r="A74" s="64" t="n">
        <v>34387</v>
      </c>
      <c r="B74" t="n">
        <v>3545</v>
      </c>
      <c r="C74" t="n">
        <v/>
      </c>
      <c r="D74" t="n">
        <v>-4246</v>
      </c>
      <c r="E74" t="n">
        <v>3601</v>
      </c>
      <c r="F74" t="n">
        <v/>
      </c>
      <c r="G74" t="n">
        <v>-9865</v>
      </c>
      <c r="H74" t="n">
        <v>13200</v>
      </c>
      <c r="I74" t="n">
        <v/>
      </c>
      <c r="J74" t="n">
        <v/>
      </c>
      <c r="K74" t="n">
        <v/>
      </c>
      <c r="L74" t="n">
        <v/>
      </c>
    </row>
    <row r="75">
      <c r="A75" s="64" t="n">
        <v>34394</v>
      </c>
      <c r="B75" t="n">
        <v>3708</v>
      </c>
      <c r="C75" t="n">
        <v/>
      </c>
      <c r="D75" t="n">
        <v>-6991</v>
      </c>
      <c r="E75" t="n">
        <v>5409</v>
      </c>
      <c r="F75" t="n">
        <v/>
      </c>
      <c r="G75" t="n">
        <v>-12226</v>
      </c>
      <c r="H75" t="n">
        <v>8528</v>
      </c>
      <c r="I75" t="n">
        <v/>
      </c>
      <c r="J75" t="n">
        <v/>
      </c>
      <c r="K75" t="n">
        <v/>
      </c>
      <c r="L75" t="n">
        <v/>
      </c>
    </row>
    <row r="76">
      <c r="A76" s="64" t="n">
        <v>34401</v>
      </c>
      <c r="B76" t="n">
        <v>2640</v>
      </c>
      <c r="C76" t="n">
        <v/>
      </c>
      <c r="D76" t="n">
        <v>-9400</v>
      </c>
      <c r="E76" t="n">
        <v>5335</v>
      </c>
      <c r="F76" t="n">
        <v/>
      </c>
      <c r="G76" t="n">
        <v>-1897</v>
      </c>
      <c r="H76" t="n">
        <v>3134</v>
      </c>
      <c r="I76" t="n">
        <v/>
      </c>
      <c r="J76" t="n">
        <v/>
      </c>
      <c r="K76" t="n">
        <v/>
      </c>
      <c r="L76" t="n">
        <v/>
      </c>
    </row>
    <row r="77">
      <c r="A77" s="64" t="n">
        <v>34408</v>
      </c>
      <c r="B77" t="n">
        <v>1285</v>
      </c>
      <c r="C77" t="n">
        <v/>
      </c>
      <c r="D77" t="n">
        <v>-9547</v>
      </c>
      <c r="E77" t="n">
        <v>4478</v>
      </c>
      <c r="F77" t="n">
        <v/>
      </c>
      <c r="G77" t="n">
        <v>612</v>
      </c>
      <c r="H77" t="n">
        <v>-1969</v>
      </c>
      <c r="I77" t="n">
        <v/>
      </c>
      <c r="J77" t="n">
        <v/>
      </c>
      <c r="K77" t="n">
        <v/>
      </c>
      <c r="L77" t="n">
        <v/>
      </c>
    </row>
    <row r="78">
      <c r="A78" s="64" t="n">
        <v>34415</v>
      </c>
      <c r="B78" t="n">
        <v>1478</v>
      </c>
      <c r="C78" t="n">
        <v/>
      </c>
      <c r="D78" t="n">
        <v>-8132</v>
      </c>
      <c r="E78" t="n">
        <v>5369</v>
      </c>
      <c r="F78" t="n">
        <v/>
      </c>
      <c r="G78" t="n">
        <v>-958</v>
      </c>
      <c r="H78" t="n">
        <v>-8979</v>
      </c>
      <c r="I78" t="n">
        <v/>
      </c>
      <c r="J78" t="n">
        <v/>
      </c>
      <c r="K78" t="n">
        <v/>
      </c>
      <c r="L78" t="n">
        <v/>
      </c>
    </row>
    <row r="79">
      <c r="A79" s="64" t="n">
        <v>34422</v>
      </c>
      <c r="B79" t="n">
        <v>830</v>
      </c>
      <c r="C79" t="n">
        <v/>
      </c>
      <c r="D79" t="n">
        <v>-10015</v>
      </c>
      <c r="E79" t="n">
        <v>5865</v>
      </c>
      <c r="F79" t="n">
        <v/>
      </c>
      <c r="G79" t="n">
        <v>-5129</v>
      </c>
      <c r="H79" t="n">
        <v>-6055</v>
      </c>
      <c r="I79" t="n">
        <v/>
      </c>
      <c r="J79" t="n">
        <v/>
      </c>
      <c r="K79" t="n">
        <v/>
      </c>
      <c r="L79" t="n">
        <v/>
      </c>
    </row>
    <row r="80">
      <c r="A80" s="64" t="n">
        <v>34429</v>
      </c>
      <c r="B80" t="n">
        <v>-400</v>
      </c>
      <c r="C80" t="n">
        <v/>
      </c>
      <c r="D80" t="n">
        <v>-11630</v>
      </c>
      <c r="E80" t="n">
        <v>1383</v>
      </c>
      <c r="F80" t="n">
        <v/>
      </c>
      <c r="G80" t="n">
        <v>-17834</v>
      </c>
      <c r="H80" t="n">
        <v>-407</v>
      </c>
      <c r="I80" t="n">
        <v/>
      </c>
      <c r="J80" t="n">
        <v/>
      </c>
      <c r="K80" t="n">
        <v/>
      </c>
      <c r="L80" t="n">
        <v/>
      </c>
    </row>
    <row r="81">
      <c r="A81" s="64" t="n">
        <v>34436</v>
      </c>
      <c r="B81" t="n">
        <v>1226</v>
      </c>
      <c r="C81" t="n">
        <v/>
      </c>
      <c r="D81" t="n">
        <v>-8967</v>
      </c>
      <c r="E81" t="n">
        <v>371</v>
      </c>
      <c r="F81" t="n">
        <v/>
      </c>
      <c r="G81" t="n">
        <v>-18420</v>
      </c>
      <c r="H81" t="n">
        <v>-3126</v>
      </c>
      <c r="I81" t="n">
        <v/>
      </c>
      <c r="J81" t="n">
        <v/>
      </c>
      <c r="K81" t="n">
        <v/>
      </c>
      <c r="L81" t="n">
        <v/>
      </c>
    </row>
    <row r="82">
      <c r="A82" s="64" t="n">
        <v>34443</v>
      </c>
      <c r="B82" t="n">
        <v>1461</v>
      </c>
      <c r="C82" t="n">
        <v/>
      </c>
      <c r="D82" t="n">
        <v>-6361</v>
      </c>
      <c r="E82" t="n">
        <v>-5580</v>
      </c>
      <c r="F82" t="n">
        <v/>
      </c>
      <c r="G82" t="n">
        <v>-14981</v>
      </c>
      <c r="H82" t="n">
        <v>-2468</v>
      </c>
      <c r="I82" t="n">
        <v/>
      </c>
      <c r="J82" t="n">
        <v/>
      </c>
      <c r="K82" t="n">
        <v/>
      </c>
      <c r="L82" t="n">
        <v/>
      </c>
    </row>
    <row r="83">
      <c r="A83" s="64" t="n">
        <v>34450</v>
      </c>
      <c r="B83" t="n">
        <v>1379</v>
      </c>
      <c r="C83" t="n">
        <v/>
      </c>
      <c r="D83" t="n">
        <v>-4437</v>
      </c>
      <c r="E83" t="n">
        <v>-394</v>
      </c>
      <c r="F83" t="n">
        <v/>
      </c>
      <c r="G83" t="n">
        <v>6241</v>
      </c>
      <c r="H83" t="n">
        <v>-311</v>
      </c>
      <c r="I83" t="n">
        <v/>
      </c>
      <c r="J83" t="n">
        <v/>
      </c>
      <c r="K83" t="n">
        <v/>
      </c>
      <c r="L83" t="n">
        <v/>
      </c>
    </row>
    <row r="84">
      <c r="A84" s="64" t="n">
        <v>34457</v>
      </c>
      <c r="B84" t="n">
        <v>1490</v>
      </c>
      <c r="C84" t="n">
        <v/>
      </c>
      <c r="D84" t="n">
        <v>-6427</v>
      </c>
      <c r="E84" t="n">
        <v>12317</v>
      </c>
      <c r="F84" t="n">
        <v/>
      </c>
      <c r="G84" t="n">
        <v>12382</v>
      </c>
      <c r="H84" t="n">
        <v>1352</v>
      </c>
      <c r="I84" t="n">
        <v/>
      </c>
      <c r="J84" t="n">
        <v/>
      </c>
      <c r="K84" t="n">
        <v/>
      </c>
      <c r="L84" t="n">
        <v/>
      </c>
    </row>
    <row r="85">
      <c r="A85" s="64" t="n">
        <v>34464</v>
      </c>
      <c r="B85" t="n">
        <v>1077</v>
      </c>
      <c r="C85" t="n">
        <v/>
      </c>
      <c r="D85" t="n">
        <v>-2405</v>
      </c>
      <c r="E85" t="n">
        <v>6240</v>
      </c>
      <c r="F85" t="n">
        <v/>
      </c>
      <c r="G85" t="n">
        <v>6704</v>
      </c>
      <c r="H85" t="n">
        <v>-8747</v>
      </c>
      <c r="I85" t="n">
        <v/>
      </c>
      <c r="J85" t="n">
        <v/>
      </c>
      <c r="K85" t="n">
        <v/>
      </c>
      <c r="L85" t="n">
        <v/>
      </c>
    </row>
    <row r="86">
      <c r="A86" s="64" t="n">
        <v>34471</v>
      </c>
      <c r="B86" t="n">
        <v>1709</v>
      </c>
      <c r="C86" t="n">
        <v/>
      </c>
      <c r="D86" t="n">
        <v>-4139</v>
      </c>
      <c r="E86" t="n">
        <v>8542</v>
      </c>
      <c r="F86" t="n">
        <v/>
      </c>
      <c r="G86" t="n">
        <v>7531</v>
      </c>
      <c r="H86" t="n">
        <v>-10603</v>
      </c>
      <c r="I86" t="n">
        <v/>
      </c>
      <c r="J86" t="n">
        <v/>
      </c>
      <c r="K86" t="n">
        <v/>
      </c>
      <c r="L86" t="n">
        <v/>
      </c>
    </row>
    <row r="87">
      <c r="A87" s="64" t="n">
        <v>34478</v>
      </c>
      <c r="B87" t="n">
        <v>2883</v>
      </c>
      <c r="C87" t="n">
        <v/>
      </c>
      <c r="D87" t="n">
        <v>-7335</v>
      </c>
      <c r="E87" t="n">
        <v>7852</v>
      </c>
      <c r="F87" t="n">
        <v/>
      </c>
      <c r="G87" t="n">
        <v>6780</v>
      </c>
      <c r="H87" t="n">
        <v>-14274</v>
      </c>
      <c r="I87" t="n">
        <v/>
      </c>
      <c r="J87" t="n">
        <v/>
      </c>
      <c r="K87" t="n">
        <v/>
      </c>
      <c r="L87" t="n">
        <v/>
      </c>
    </row>
    <row r="88">
      <c r="A88" s="64" t="n">
        <v>34485</v>
      </c>
      <c r="B88" t="n">
        <v>2924</v>
      </c>
      <c r="C88" t="n">
        <v/>
      </c>
      <c r="D88" t="n">
        <v>-5900</v>
      </c>
      <c r="E88" t="n">
        <v>8478</v>
      </c>
      <c r="F88" t="n">
        <v/>
      </c>
      <c r="G88" t="n">
        <v>6394</v>
      </c>
      <c r="H88" t="n">
        <v>-14113</v>
      </c>
      <c r="I88" t="n">
        <v/>
      </c>
      <c r="J88" t="n">
        <v/>
      </c>
      <c r="K88" t="n">
        <v/>
      </c>
      <c r="L88" t="n">
        <v/>
      </c>
    </row>
    <row r="89">
      <c r="A89" s="64" t="n">
        <v>34492</v>
      </c>
      <c r="B89" t="n">
        <v>2647</v>
      </c>
      <c r="C89" t="n">
        <v/>
      </c>
      <c r="D89" t="n">
        <v>2168</v>
      </c>
      <c r="E89" t="n">
        <v>5973</v>
      </c>
      <c r="F89" t="n">
        <v/>
      </c>
      <c r="G89" t="n">
        <v>5521</v>
      </c>
      <c r="H89" t="n">
        <v>-18003</v>
      </c>
      <c r="I89" t="n">
        <v/>
      </c>
      <c r="J89" t="n">
        <v/>
      </c>
      <c r="K89" t="n">
        <v/>
      </c>
      <c r="L89" t="n">
        <v/>
      </c>
    </row>
    <row r="90">
      <c r="A90" s="64" t="n">
        <v>34499</v>
      </c>
      <c r="B90" t="n">
        <v>2589</v>
      </c>
      <c r="C90" t="n">
        <v/>
      </c>
      <c r="D90" t="n">
        <v>386</v>
      </c>
      <c r="E90" t="n">
        <v>15458</v>
      </c>
      <c r="F90" t="n">
        <v/>
      </c>
      <c r="G90" t="n">
        <v>11692</v>
      </c>
      <c r="H90" t="n">
        <v>-9464</v>
      </c>
      <c r="I90" t="n">
        <v/>
      </c>
      <c r="J90" t="n">
        <v/>
      </c>
      <c r="K90" t="n">
        <v/>
      </c>
      <c r="L90" t="n">
        <v/>
      </c>
    </row>
    <row r="91">
      <c r="A91" s="64" t="n">
        <v>34506</v>
      </c>
      <c r="B91" t="n">
        <v>2967</v>
      </c>
      <c r="C91" t="n">
        <v/>
      </c>
      <c r="D91" t="n">
        <v>-4817</v>
      </c>
      <c r="E91" t="n">
        <v>21074</v>
      </c>
      <c r="F91" t="n">
        <v/>
      </c>
      <c r="G91" t="n">
        <v>16953</v>
      </c>
      <c r="H91" t="n">
        <v>-3330</v>
      </c>
      <c r="I91" t="n">
        <v/>
      </c>
      <c r="J91" t="n">
        <v/>
      </c>
      <c r="K91" t="n">
        <v/>
      </c>
      <c r="L91" t="n">
        <v/>
      </c>
    </row>
    <row r="92">
      <c r="A92" s="64" t="n">
        <v>34513</v>
      </c>
      <c r="B92" t="n">
        <v>178</v>
      </c>
      <c r="C92" t="n">
        <v/>
      </c>
      <c r="D92" t="n">
        <v>-3945</v>
      </c>
      <c r="E92" t="n">
        <v>20849</v>
      </c>
      <c r="F92" t="n">
        <v/>
      </c>
      <c r="G92" t="n">
        <v>16197</v>
      </c>
      <c r="H92" t="n">
        <v>-3797</v>
      </c>
      <c r="I92" t="n">
        <v/>
      </c>
      <c r="J92" t="n">
        <v/>
      </c>
      <c r="K92" t="n">
        <v/>
      </c>
      <c r="L92" t="n">
        <v/>
      </c>
    </row>
    <row r="93">
      <c r="A93" s="64" t="n">
        <v>34520</v>
      </c>
      <c r="B93" t="n">
        <v>396</v>
      </c>
      <c r="C93" t="n">
        <v/>
      </c>
      <c r="D93" t="n">
        <v>2447</v>
      </c>
      <c r="E93" t="n">
        <v>21634</v>
      </c>
      <c r="F93" t="n">
        <v/>
      </c>
      <c r="G93" t="n">
        <v>15147</v>
      </c>
      <c r="H93" t="n">
        <v>2183</v>
      </c>
      <c r="I93" t="n">
        <v/>
      </c>
      <c r="J93" t="n">
        <v/>
      </c>
      <c r="K93" t="n">
        <v/>
      </c>
      <c r="L93" t="n">
        <v/>
      </c>
    </row>
    <row r="94">
      <c r="A94" s="64" t="n">
        <v>34527</v>
      </c>
      <c r="B94" t="n">
        <v>1302</v>
      </c>
      <c r="C94" t="n">
        <v/>
      </c>
      <c r="D94" t="n">
        <v>452</v>
      </c>
      <c r="E94" t="n">
        <v>20502</v>
      </c>
      <c r="F94" t="n">
        <v/>
      </c>
      <c r="G94" t="n">
        <v>12338</v>
      </c>
      <c r="H94" t="n">
        <v>716</v>
      </c>
      <c r="I94" t="n">
        <v/>
      </c>
      <c r="J94" t="n">
        <v/>
      </c>
      <c r="K94" t="n">
        <v/>
      </c>
      <c r="L94" t="n">
        <v/>
      </c>
    </row>
    <row r="95">
      <c r="A95" s="64" t="n">
        <v>34534</v>
      </c>
      <c r="B95" t="n">
        <v>1484</v>
      </c>
      <c r="C95" t="n">
        <v/>
      </c>
      <c r="D95" t="n">
        <v>5649</v>
      </c>
      <c r="E95" t="n">
        <v>14894</v>
      </c>
      <c r="F95" t="n">
        <v/>
      </c>
      <c r="G95" t="n">
        <v>9275</v>
      </c>
      <c r="H95" t="n">
        <v>-4079</v>
      </c>
      <c r="I95" t="n">
        <v/>
      </c>
      <c r="J95" t="n">
        <v/>
      </c>
      <c r="K95" t="n">
        <v/>
      </c>
      <c r="L95" t="n">
        <v/>
      </c>
    </row>
    <row r="96">
      <c r="A96" s="64" t="n">
        <v>34541</v>
      </c>
      <c r="B96" t="n">
        <v>2235</v>
      </c>
      <c r="C96" t="n">
        <v/>
      </c>
      <c r="D96" t="n">
        <v>6988</v>
      </c>
      <c r="E96" t="n">
        <v>11484</v>
      </c>
      <c r="F96" t="n">
        <v/>
      </c>
      <c r="G96" t="n">
        <v>-4269</v>
      </c>
      <c r="H96" t="n">
        <v>-3506</v>
      </c>
      <c r="I96" t="n">
        <v/>
      </c>
      <c r="J96" t="n">
        <v/>
      </c>
      <c r="K96" t="n">
        <v/>
      </c>
      <c r="L96" t="n">
        <v/>
      </c>
    </row>
    <row r="97">
      <c r="A97" s="64" t="n">
        <v>34548</v>
      </c>
      <c r="B97" t="n">
        <v>2524</v>
      </c>
      <c r="C97" t="n">
        <v/>
      </c>
      <c r="D97" t="n">
        <v>-2124</v>
      </c>
      <c r="E97" t="n">
        <v>11954</v>
      </c>
      <c r="F97" t="n">
        <v/>
      </c>
      <c r="G97" t="n">
        <v>-4972</v>
      </c>
      <c r="H97" t="n">
        <v>-8981</v>
      </c>
      <c r="I97" t="n">
        <v/>
      </c>
      <c r="J97" t="n">
        <v/>
      </c>
      <c r="K97" t="n">
        <v/>
      </c>
      <c r="L97" t="n">
        <v/>
      </c>
    </row>
    <row r="98">
      <c r="A98" s="64" t="n">
        <v>34555</v>
      </c>
      <c r="B98" t="n">
        <v>3113</v>
      </c>
      <c r="C98" t="n">
        <v/>
      </c>
      <c r="D98" t="n">
        <v>8935</v>
      </c>
      <c r="E98" t="n">
        <v>15105</v>
      </c>
      <c r="F98" t="n">
        <v/>
      </c>
      <c r="G98" t="n">
        <v>-4426</v>
      </c>
      <c r="H98" t="n">
        <v>-13317</v>
      </c>
      <c r="I98" t="n">
        <v/>
      </c>
      <c r="J98" t="n">
        <v/>
      </c>
      <c r="K98" t="n">
        <v/>
      </c>
      <c r="L98" t="n">
        <v/>
      </c>
    </row>
    <row r="99">
      <c r="A99" s="64" t="n">
        <v>34562</v>
      </c>
      <c r="B99" t="n">
        <v>3177</v>
      </c>
      <c r="C99" t="n">
        <v/>
      </c>
      <c r="D99" t="n">
        <v>8472</v>
      </c>
      <c r="E99" t="n">
        <v>19039</v>
      </c>
      <c r="F99" t="n">
        <v/>
      </c>
      <c r="G99" t="n">
        <v>-3044</v>
      </c>
      <c r="H99" t="n">
        <v>-11654</v>
      </c>
      <c r="I99" t="n">
        <v/>
      </c>
      <c r="J99" t="n">
        <v/>
      </c>
      <c r="K99" t="n">
        <v/>
      </c>
      <c r="L99" t="n">
        <v/>
      </c>
    </row>
    <row r="100">
      <c r="A100" s="64" t="n">
        <v>34569</v>
      </c>
      <c r="B100" t="n">
        <v>1670</v>
      </c>
      <c r="C100" t="n">
        <v/>
      </c>
      <c r="D100" t="n">
        <v>6255</v>
      </c>
      <c r="E100" t="n">
        <v>20365</v>
      </c>
      <c r="F100" t="n">
        <v/>
      </c>
      <c r="G100" t="n">
        <v>38</v>
      </c>
      <c r="H100" t="n">
        <v>-8683</v>
      </c>
      <c r="I100" t="n">
        <v/>
      </c>
      <c r="J100" t="n">
        <v/>
      </c>
      <c r="K100" t="n">
        <v/>
      </c>
      <c r="L100" t="n">
        <v/>
      </c>
    </row>
    <row r="101">
      <c r="A101" s="64" t="n">
        <v>34576</v>
      </c>
      <c r="B101" t="n">
        <v>2227</v>
      </c>
      <c r="C101" t="n">
        <v/>
      </c>
      <c r="D101" t="n">
        <v>8277</v>
      </c>
      <c r="E101" t="n">
        <v>9802</v>
      </c>
      <c r="F101" t="n">
        <v/>
      </c>
      <c r="G101" t="n">
        <v>-6618</v>
      </c>
      <c r="H101" t="n">
        <v>-11226</v>
      </c>
      <c r="I101" t="n">
        <v/>
      </c>
      <c r="J101" t="n">
        <v/>
      </c>
      <c r="K101" t="n">
        <v/>
      </c>
      <c r="L101" t="n">
        <v/>
      </c>
    </row>
    <row r="102">
      <c r="A102" s="64" t="n">
        <v>34583</v>
      </c>
      <c r="B102" t="n">
        <v>2190</v>
      </c>
      <c r="C102" t="n">
        <v/>
      </c>
      <c r="D102" t="n">
        <v>6541</v>
      </c>
      <c r="E102" t="n">
        <v>14397</v>
      </c>
      <c r="F102" t="n">
        <v/>
      </c>
      <c r="G102" t="n">
        <v>-4327</v>
      </c>
      <c r="H102" t="n">
        <v>-10599</v>
      </c>
      <c r="I102" t="n">
        <v/>
      </c>
      <c r="J102" t="n">
        <v/>
      </c>
      <c r="K102" t="n">
        <v/>
      </c>
      <c r="L102" t="n">
        <v/>
      </c>
    </row>
    <row r="103">
      <c r="A103" s="64" t="n">
        <v>34590</v>
      </c>
      <c r="B103" t="n">
        <v>1933</v>
      </c>
      <c r="C103" t="n">
        <v/>
      </c>
      <c r="D103" t="n">
        <v>16032</v>
      </c>
      <c r="E103" t="n">
        <v>13630</v>
      </c>
      <c r="F103" t="n">
        <v/>
      </c>
      <c r="G103" t="n">
        <v>4164</v>
      </c>
      <c r="H103" t="n">
        <v>-10096</v>
      </c>
      <c r="I103" t="n">
        <v/>
      </c>
      <c r="J103" t="n">
        <v/>
      </c>
      <c r="K103" t="n">
        <v/>
      </c>
      <c r="L103" t="n">
        <v/>
      </c>
    </row>
    <row r="104">
      <c r="A104" s="64" t="n">
        <v>34597</v>
      </c>
      <c r="B104" t="n">
        <v>1300</v>
      </c>
      <c r="C104" t="n">
        <v/>
      </c>
      <c r="D104" t="n">
        <v>21018</v>
      </c>
      <c r="E104" t="n">
        <v>13286</v>
      </c>
      <c r="F104" t="n">
        <v/>
      </c>
      <c r="G104" t="n">
        <v>10314</v>
      </c>
      <c r="H104" t="n">
        <v>-1452</v>
      </c>
      <c r="I104" t="n">
        <v/>
      </c>
      <c r="J104" t="n">
        <v/>
      </c>
      <c r="K104" t="n">
        <v/>
      </c>
      <c r="L104" t="n">
        <v/>
      </c>
    </row>
    <row r="105">
      <c r="A105" s="64" t="n">
        <v>34604</v>
      </c>
      <c r="B105" t="n">
        <v>1306</v>
      </c>
      <c r="C105" t="n">
        <v/>
      </c>
      <c r="D105" t="n">
        <v>20149</v>
      </c>
      <c r="E105" t="n">
        <v>12150</v>
      </c>
      <c r="F105" t="n">
        <v/>
      </c>
      <c r="G105" t="n">
        <v>11875</v>
      </c>
      <c r="H105" t="n">
        <v>-2596</v>
      </c>
      <c r="I105" t="n">
        <v/>
      </c>
      <c r="J105" t="n">
        <v/>
      </c>
      <c r="K105" t="n">
        <v/>
      </c>
      <c r="L105" t="n">
        <v/>
      </c>
    </row>
    <row r="106">
      <c r="A106" s="64" t="n">
        <v>34611</v>
      </c>
      <c r="B106" t="n">
        <v>1296</v>
      </c>
      <c r="C106" t="n">
        <v/>
      </c>
      <c r="D106" t="n">
        <v>19723</v>
      </c>
      <c r="E106" t="n">
        <v>9213</v>
      </c>
      <c r="F106" t="n">
        <v/>
      </c>
      <c r="G106" t="n">
        <v>12819</v>
      </c>
      <c r="H106" t="n">
        <v>-7539</v>
      </c>
      <c r="I106" t="n">
        <v/>
      </c>
      <c r="J106" t="n">
        <v/>
      </c>
      <c r="K106" t="n">
        <v/>
      </c>
      <c r="L106" t="n">
        <v/>
      </c>
    </row>
    <row r="107">
      <c r="A107" s="64" t="n">
        <v>34618</v>
      </c>
      <c r="B107" t="n">
        <v>1259</v>
      </c>
      <c r="C107" t="n">
        <v/>
      </c>
      <c r="D107" t="n">
        <v>18385</v>
      </c>
      <c r="E107" t="n">
        <v>9080</v>
      </c>
      <c r="F107" t="n">
        <v/>
      </c>
      <c r="G107" t="n">
        <v>12949</v>
      </c>
      <c r="H107" t="n">
        <v>-13419</v>
      </c>
      <c r="I107" t="n">
        <v/>
      </c>
      <c r="J107" t="n">
        <v/>
      </c>
      <c r="K107" t="n">
        <v/>
      </c>
      <c r="L107" t="n">
        <v/>
      </c>
    </row>
    <row r="108">
      <c r="A108" s="64" t="n">
        <v>34625</v>
      </c>
      <c r="B108" t="n">
        <v>1010</v>
      </c>
      <c r="C108" t="n">
        <v/>
      </c>
      <c r="D108" t="n">
        <v>1015</v>
      </c>
      <c r="E108" t="n">
        <v>15850</v>
      </c>
      <c r="F108" t="n">
        <v/>
      </c>
      <c r="G108" t="n">
        <v>13420</v>
      </c>
      <c r="H108" t="n">
        <v>-7555</v>
      </c>
      <c r="I108" t="n">
        <v/>
      </c>
      <c r="J108" t="n">
        <v/>
      </c>
      <c r="K108" t="n">
        <v/>
      </c>
      <c r="L108" t="n">
        <v/>
      </c>
    </row>
    <row r="109">
      <c r="A109" s="64" t="n">
        <v>34632</v>
      </c>
      <c r="B109" t="n">
        <v>-2683</v>
      </c>
      <c r="C109" t="n">
        <v/>
      </c>
      <c r="D109" t="n">
        <v>3593</v>
      </c>
      <c r="E109" t="n">
        <v>14295</v>
      </c>
      <c r="F109" t="n">
        <v/>
      </c>
      <c r="G109" t="n">
        <v>14715</v>
      </c>
      <c r="H109" t="n">
        <v>-3429</v>
      </c>
      <c r="I109" t="n">
        <v/>
      </c>
      <c r="J109" t="n">
        <v/>
      </c>
      <c r="K109" t="n">
        <v/>
      </c>
      <c r="L109" t="n">
        <v/>
      </c>
    </row>
    <row r="110">
      <c r="A110" s="64" t="n">
        <v>34639</v>
      </c>
      <c r="B110" t="n">
        <v>513</v>
      </c>
      <c r="C110" t="n">
        <v/>
      </c>
      <c r="D110" t="n">
        <v>380</v>
      </c>
      <c r="E110" t="n">
        <v>11391</v>
      </c>
      <c r="F110" t="n">
        <v/>
      </c>
      <c r="G110" t="n">
        <v>12479</v>
      </c>
      <c r="H110" t="n">
        <v>-5109</v>
      </c>
      <c r="I110" t="n">
        <v/>
      </c>
      <c r="J110" t="n">
        <v/>
      </c>
      <c r="K110" t="n">
        <v/>
      </c>
      <c r="L110" t="n">
        <v/>
      </c>
    </row>
    <row r="111">
      <c r="A111" s="64" t="n">
        <v>34646</v>
      </c>
      <c r="B111" t="n">
        <v>6538</v>
      </c>
      <c r="C111" t="n">
        <v/>
      </c>
      <c r="D111" t="n">
        <v>-3834</v>
      </c>
      <c r="E111" t="n">
        <v>3809</v>
      </c>
      <c r="F111" t="n">
        <v/>
      </c>
      <c r="G111" t="n">
        <v>7350</v>
      </c>
      <c r="H111" t="n">
        <v>-10265</v>
      </c>
      <c r="I111" t="n">
        <v/>
      </c>
      <c r="J111" t="n">
        <v/>
      </c>
      <c r="K111" t="n">
        <v/>
      </c>
      <c r="L111" t="n">
        <v/>
      </c>
    </row>
    <row r="112">
      <c r="A112" s="64" t="n">
        <v>34653</v>
      </c>
      <c r="B112" t="n">
        <v>7392</v>
      </c>
      <c r="C112" t="n">
        <v/>
      </c>
      <c r="D112" t="n">
        <v>-7652</v>
      </c>
      <c r="E112" t="n">
        <v>-15532</v>
      </c>
      <c r="F112" t="n">
        <v/>
      </c>
      <c r="G112" t="n">
        <v>-3720</v>
      </c>
      <c r="H112" t="n">
        <v>-17414</v>
      </c>
      <c r="I112" t="n">
        <v/>
      </c>
      <c r="J112" t="n">
        <v/>
      </c>
      <c r="K112" t="n">
        <v/>
      </c>
      <c r="L112" t="n">
        <v/>
      </c>
    </row>
    <row r="113">
      <c r="A113" s="64" t="n">
        <v>34660</v>
      </c>
      <c r="B113" t="n">
        <v>9051</v>
      </c>
      <c r="C113" t="n">
        <v/>
      </c>
      <c r="D113" t="n">
        <v>-17033</v>
      </c>
      <c r="E113" t="n">
        <v>-22154</v>
      </c>
      <c r="F113" t="n">
        <v/>
      </c>
      <c r="G113" t="n">
        <v>-17046</v>
      </c>
      <c r="H113" t="n">
        <v>-23805</v>
      </c>
      <c r="I113" t="n">
        <v/>
      </c>
      <c r="J113" t="n">
        <v/>
      </c>
      <c r="K113" t="n">
        <v/>
      </c>
      <c r="L113" t="n">
        <v/>
      </c>
    </row>
    <row r="114">
      <c r="A114" s="64" t="n">
        <v>34667</v>
      </c>
      <c r="B114" t="n">
        <v>6828</v>
      </c>
      <c r="C114" t="n">
        <v/>
      </c>
      <c r="D114" t="n">
        <v>-20226</v>
      </c>
      <c r="E114" t="n">
        <v>-22990</v>
      </c>
      <c r="F114" t="n">
        <v/>
      </c>
      <c r="G114" t="n">
        <v>-18669</v>
      </c>
      <c r="H114" t="n">
        <v>-25277</v>
      </c>
      <c r="I114" t="n">
        <v/>
      </c>
      <c r="J114" t="n">
        <v/>
      </c>
      <c r="K114" t="n">
        <v/>
      </c>
      <c r="L114" t="n">
        <v/>
      </c>
    </row>
    <row r="115">
      <c r="A115" s="64" t="n">
        <v>34674</v>
      </c>
      <c r="B115" t="n">
        <v>6766</v>
      </c>
      <c r="C115" t="n">
        <v/>
      </c>
      <c r="D115" t="n">
        <v>-17574</v>
      </c>
      <c r="E115" t="n">
        <v>-24470</v>
      </c>
      <c r="F115" t="n">
        <v/>
      </c>
      <c r="G115" t="n">
        <v>-17712</v>
      </c>
      <c r="H115" t="n">
        <v>-35724</v>
      </c>
      <c r="I115" t="n">
        <v/>
      </c>
      <c r="J115" t="n">
        <v/>
      </c>
      <c r="K115" t="n">
        <v/>
      </c>
      <c r="L115" t="n">
        <v/>
      </c>
    </row>
    <row r="116">
      <c r="A116" s="64" t="n">
        <v>34681</v>
      </c>
      <c r="B116" t="n">
        <v>7049</v>
      </c>
      <c r="C116" t="n">
        <v/>
      </c>
      <c r="D116" t="n">
        <v>-22865</v>
      </c>
      <c r="E116" t="n">
        <v>-23288</v>
      </c>
      <c r="F116" t="n">
        <v/>
      </c>
      <c r="G116" t="n">
        <v>-19438</v>
      </c>
      <c r="H116" t="n">
        <v>-37538</v>
      </c>
      <c r="I116" t="n">
        <v/>
      </c>
      <c r="J116" t="n">
        <v/>
      </c>
      <c r="K116" t="n">
        <v/>
      </c>
      <c r="L116" t="n">
        <v/>
      </c>
    </row>
    <row r="117">
      <c r="A117" s="64" t="n">
        <v>34688</v>
      </c>
      <c r="B117" t="n">
        <v>8570</v>
      </c>
      <c r="C117" t="n">
        <v/>
      </c>
      <c r="D117" t="n">
        <v>-24444</v>
      </c>
      <c r="E117" t="n">
        <v>-15415</v>
      </c>
      <c r="F117" t="n">
        <v/>
      </c>
      <c r="G117" t="n">
        <v>-11336</v>
      </c>
      <c r="H117" t="n">
        <v>-30500</v>
      </c>
      <c r="I117" t="n">
        <v/>
      </c>
      <c r="J117" t="n">
        <v/>
      </c>
      <c r="K117" t="n">
        <v/>
      </c>
      <c r="L117" t="n">
        <v/>
      </c>
    </row>
    <row r="118">
      <c r="A118" s="64" t="n">
        <v>34695</v>
      </c>
      <c r="B118" t="n">
        <v>8825</v>
      </c>
      <c r="C118" t="n">
        <v/>
      </c>
      <c r="D118" t="n">
        <v>-24857</v>
      </c>
      <c r="E118" t="n">
        <v>-16071</v>
      </c>
      <c r="F118" t="n">
        <v/>
      </c>
      <c r="G118" t="n">
        <v>-23164</v>
      </c>
      <c r="H118" t="n">
        <v>-30649</v>
      </c>
      <c r="I118" t="n">
        <v/>
      </c>
      <c r="J118" t="n">
        <v/>
      </c>
      <c r="K118" t="n">
        <v/>
      </c>
      <c r="L118" t="n">
        <v/>
      </c>
    </row>
    <row r="119">
      <c r="A119" s="64" t="n">
        <v>34702</v>
      </c>
      <c r="B119" t="n">
        <v>7941</v>
      </c>
      <c r="C119" t="n">
        <v/>
      </c>
      <c r="D119" t="n">
        <v>-27195</v>
      </c>
      <c r="E119" t="n">
        <v>-10337</v>
      </c>
      <c r="F119" t="n">
        <v/>
      </c>
      <c r="G119" t="n">
        <v>-15443</v>
      </c>
      <c r="H119" t="n">
        <v>-33724</v>
      </c>
      <c r="I119" t="n">
        <v/>
      </c>
      <c r="J119" t="n">
        <v/>
      </c>
      <c r="K119" t="n">
        <v/>
      </c>
      <c r="L119" t="n">
        <v/>
      </c>
    </row>
    <row r="120">
      <c r="A120" s="64" t="n">
        <v>34709</v>
      </c>
      <c r="B120" t="n">
        <v>6114</v>
      </c>
      <c r="C120" t="n">
        <v/>
      </c>
      <c r="D120" t="n">
        <v>-26749</v>
      </c>
      <c r="E120" t="n">
        <v>-3419</v>
      </c>
      <c r="F120" t="n">
        <v/>
      </c>
      <c r="G120" t="n">
        <v>-15891</v>
      </c>
      <c r="H120" t="n">
        <v>-40300</v>
      </c>
      <c r="I120" t="n">
        <v/>
      </c>
      <c r="J120" t="n">
        <v/>
      </c>
      <c r="K120" t="n">
        <v/>
      </c>
      <c r="L120" t="n">
        <v/>
      </c>
    </row>
    <row r="121">
      <c r="A121" s="64" t="n">
        <v>34716</v>
      </c>
      <c r="B121" t="n">
        <v>2127</v>
      </c>
      <c r="C121" t="n">
        <v/>
      </c>
      <c r="D121" t="n">
        <v>-24149</v>
      </c>
      <c r="E121" t="n">
        <v>-2908</v>
      </c>
      <c r="F121" t="n">
        <v/>
      </c>
      <c r="G121" t="n">
        <v>-12897</v>
      </c>
      <c r="H121" t="n">
        <v>-24181</v>
      </c>
      <c r="I121" t="n">
        <v/>
      </c>
      <c r="J121" t="n">
        <v/>
      </c>
      <c r="K121" t="n">
        <v/>
      </c>
      <c r="L121" t="n">
        <v/>
      </c>
    </row>
    <row r="122">
      <c r="A122" s="64" t="n">
        <v>34723</v>
      </c>
      <c r="B122" t="n">
        <v>2657</v>
      </c>
      <c r="C122" t="n">
        <v/>
      </c>
      <c r="D122" t="n">
        <v>-22638</v>
      </c>
      <c r="E122" t="n">
        <v>-1689</v>
      </c>
      <c r="F122" t="n">
        <v/>
      </c>
      <c r="G122" t="n">
        <v>-3868</v>
      </c>
      <c r="H122" t="n">
        <v>-24894</v>
      </c>
      <c r="I122" t="n">
        <v/>
      </c>
      <c r="J122" t="n">
        <v/>
      </c>
      <c r="K122" t="n">
        <v/>
      </c>
      <c r="L122" t="n">
        <v/>
      </c>
    </row>
    <row r="123">
      <c r="A123" s="64" t="n">
        <v>34730</v>
      </c>
      <c r="B123" t="n">
        <v>1381</v>
      </c>
      <c r="C123" t="n">
        <v/>
      </c>
      <c r="D123" t="n">
        <v>-17701</v>
      </c>
      <c r="E123" t="n">
        <v>-4290</v>
      </c>
      <c r="F123" t="n">
        <v/>
      </c>
      <c r="G123" t="n">
        <v>-4700</v>
      </c>
      <c r="H123" t="n">
        <v>-26239</v>
      </c>
      <c r="I123" t="n">
        <v/>
      </c>
      <c r="J123" t="n">
        <v/>
      </c>
      <c r="K123" t="n">
        <v/>
      </c>
      <c r="L123" t="n">
        <v/>
      </c>
    </row>
    <row r="124">
      <c r="A124" s="64" t="n">
        <v>34737</v>
      </c>
      <c r="B124" t="n">
        <v>-1920</v>
      </c>
      <c r="C124" t="n">
        <v/>
      </c>
      <c r="D124" t="n">
        <v>-5438</v>
      </c>
      <c r="E124" t="n">
        <v>-8773</v>
      </c>
      <c r="F124" t="n">
        <v/>
      </c>
      <c r="G124" t="n">
        <v>-11909</v>
      </c>
      <c r="H124" t="n">
        <v>-27510</v>
      </c>
      <c r="I124" t="n">
        <v/>
      </c>
      <c r="J124" t="n">
        <v/>
      </c>
      <c r="K124" t="n">
        <v/>
      </c>
      <c r="L124" t="n">
        <v/>
      </c>
    </row>
    <row r="125">
      <c r="A125" s="64" t="n">
        <v>34744</v>
      </c>
      <c r="B125" t="n">
        <v>-2651</v>
      </c>
      <c r="C125" t="n">
        <v/>
      </c>
      <c r="D125" t="n">
        <v>-232</v>
      </c>
      <c r="E125" t="n">
        <v>-9026</v>
      </c>
      <c r="F125" t="n">
        <v/>
      </c>
      <c r="G125" t="n">
        <v>-9662</v>
      </c>
      <c r="H125" t="n">
        <v>-23663</v>
      </c>
      <c r="I125" t="n">
        <v/>
      </c>
      <c r="J125" t="n">
        <v/>
      </c>
      <c r="K125" t="n">
        <v/>
      </c>
      <c r="L125" t="n">
        <v/>
      </c>
    </row>
    <row r="126">
      <c r="A126" s="64" t="n">
        <v>34751</v>
      </c>
      <c r="B126" t="n">
        <v>-3216</v>
      </c>
      <c r="C126" t="n">
        <v/>
      </c>
      <c r="D126" t="n">
        <v>890</v>
      </c>
      <c r="E126" t="n">
        <v>-6304</v>
      </c>
      <c r="F126" t="n">
        <v/>
      </c>
      <c r="G126" t="n">
        <v>-8124</v>
      </c>
      <c r="H126" t="n">
        <v>-3808</v>
      </c>
      <c r="I126" t="n">
        <v/>
      </c>
      <c r="J126" t="n">
        <v/>
      </c>
      <c r="K126" t="n">
        <v/>
      </c>
      <c r="L126" t="n">
        <v/>
      </c>
    </row>
    <row r="127">
      <c r="A127" s="64" t="n">
        <v>34758</v>
      </c>
      <c r="B127" t="n">
        <v>-3173</v>
      </c>
      <c r="C127" t="n">
        <v/>
      </c>
      <c r="D127" t="n">
        <v>688</v>
      </c>
      <c r="E127" t="n">
        <v>-6747</v>
      </c>
      <c r="F127" t="n">
        <v/>
      </c>
      <c r="G127" t="n">
        <v>-4596</v>
      </c>
      <c r="H127" t="n">
        <v>-870</v>
      </c>
      <c r="I127" t="n">
        <v/>
      </c>
      <c r="J127" t="n">
        <v/>
      </c>
      <c r="K127" t="n">
        <v/>
      </c>
      <c r="L127" t="n">
        <v/>
      </c>
    </row>
    <row r="128">
      <c r="A128" s="64" t="n">
        <v>34765</v>
      </c>
      <c r="B128" t="n">
        <v>-1948</v>
      </c>
      <c r="C128" t="n">
        <v/>
      </c>
      <c r="D128" t="n">
        <v>-620</v>
      </c>
      <c r="E128" t="n">
        <v>5988</v>
      </c>
      <c r="F128" t="n">
        <v/>
      </c>
      <c r="G128" t="n">
        <v>8661</v>
      </c>
      <c r="H128" t="n">
        <v>2196</v>
      </c>
      <c r="I128" t="n">
        <v/>
      </c>
      <c r="J128" t="n">
        <v/>
      </c>
      <c r="K128" t="n">
        <v/>
      </c>
      <c r="L128" t="n">
        <v/>
      </c>
    </row>
    <row r="129">
      <c r="A129" s="64" t="n">
        <v>34772</v>
      </c>
      <c r="B129" t="n">
        <v>-1561</v>
      </c>
      <c r="C129" t="n">
        <v/>
      </c>
      <c r="D129" t="n">
        <v>-2049</v>
      </c>
      <c r="E129" t="n">
        <v>8460</v>
      </c>
      <c r="F129" t="n">
        <v/>
      </c>
      <c r="G129" t="n">
        <v>4108</v>
      </c>
      <c r="H129" t="n">
        <v>5165</v>
      </c>
      <c r="I129" t="n">
        <v/>
      </c>
      <c r="J129" t="n">
        <v/>
      </c>
      <c r="K129" t="n">
        <v/>
      </c>
      <c r="L129" t="n">
        <v/>
      </c>
    </row>
    <row r="130">
      <c r="A130" s="64" t="n">
        <v>34779</v>
      </c>
      <c r="B130" t="n">
        <v>-3962</v>
      </c>
      <c r="C130" t="n">
        <v/>
      </c>
      <c r="D130" t="n">
        <v>1318</v>
      </c>
      <c r="E130" t="n">
        <v>8087</v>
      </c>
      <c r="F130" t="n">
        <v/>
      </c>
      <c r="G130" t="n">
        <v>3477</v>
      </c>
      <c r="H130" t="n">
        <v>7276</v>
      </c>
      <c r="I130" t="n">
        <v/>
      </c>
      <c r="J130" t="n">
        <v/>
      </c>
      <c r="K130" t="n">
        <v/>
      </c>
      <c r="L130" t="n">
        <v/>
      </c>
    </row>
    <row r="131">
      <c r="A131" s="64" t="n">
        <v>34786</v>
      </c>
      <c r="B131" t="n">
        <v>-3961</v>
      </c>
      <c r="C131" t="n">
        <v/>
      </c>
      <c r="D131" t="n">
        <v>1987</v>
      </c>
      <c r="E131" t="n">
        <v>7849</v>
      </c>
      <c r="F131" t="n">
        <v/>
      </c>
      <c r="G131" t="n">
        <v>3815</v>
      </c>
      <c r="H131" t="n">
        <v>4997</v>
      </c>
      <c r="I131" t="n">
        <v/>
      </c>
      <c r="J131" t="n">
        <v/>
      </c>
      <c r="K131" t="n">
        <v/>
      </c>
      <c r="L131" t="n">
        <v/>
      </c>
    </row>
    <row r="132">
      <c r="A132" s="64" t="n">
        <v>34793</v>
      </c>
      <c r="B132" t="n">
        <v>-2702</v>
      </c>
      <c r="C132" t="n">
        <v/>
      </c>
      <c r="D132" t="n">
        <v>6371</v>
      </c>
      <c r="E132" t="n">
        <v>6931</v>
      </c>
      <c r="F132" t="n">
        <v/>
      </c>
      <c r="G132" t="n">
        <v>3732</v>
      </c>
      <c r="H132" t="n">
        <v>5627</v>
      </c>
      <c r="I132" t="n">
        <v/>
      </c>
      <c r="J132" t="n">
        <v/>
      </c>
      <c r="K132" t="n">
        <v/>
      </c>
      <c r="L132" t="n">
        <v/>
      </c>
    </row>
    <row r="133">
      <c r="A133" s="64" t="n">
        <v>34800</v>
      </c>
      <c r="B133" t="n">
        <v>-1593</v>
      </c>
      <c r="C133" t="n">
        <v/>
      </c>
      <c r="D133" t="n">
        <v>14413</v>
      </c>
      <c r="E133" t="n">
        <v>6414</v>
      </c>
      <c r="F133" t="n">
        <v/>
      </c>
      <c r="G133" t="n">
        <v>2786</v>
      </c>
      <c r="H133" t="n">
        <v>4767</v>
      </c>
      <c r="I133" t="n">
        <v/>
      </c>
      <c r="J133" t="n">
        <v/>
      </c>
      <c r="K133" t="n">
        <v/>
      </c>
      <c r="L133" t="n">
        <v/>
      </c>
    </row>
    <row r="134">
      <c r="A134" s="64" t="n">
        <v>34807</v>
      </c>
      <c r="B134" t="n">
        <v>-1509</v>
      </c>
      <c r="C134" t="n">
        <v/>
      </c>
      <c r="D134" t="n">
        <v>16433</v>
      </c>
      <c r="E134" t="n">
        <v>6508</v>
      </c>
      <c r="F134" t="n">
        <v/>
      </c>
      <c r="G134" t="n">
        <v>3473</v>
      </c>
      <c r="H134" t="n">
        <v>5150</v>
      </c>
      <c r="I134" t="n">
        <v/>
      </c>
      <c r="J134" t="n">
        <v/>
      </c>
      <c r="K134" t="n">
        <v/>
      </c>
      <c r="L134" t="n">
        <v/>
      </c>
    </row>
    <row r="135">
      <c r="A135" s="64" t="n">
        <v>34814</v>
      </c>
      <c r="B135" t="n">
        <v>-1832</v>
      </c>
      <c r="C135" t="n">
        <v/>
      </c>
      <c r="D135" t="n">
        <v>16548</v>
      </c>
      <c r="E135" t="n">
        <v>6152</v>
      </c>
      <c r="F135" t="n">
        <v/>
      </c>
      <c r="G135" t="n">
        <v>2821</v>
      </c>
      <c r="H135" t="n">
        <v>4805</v>
      </c>
      <c r="I135" t="n">
        <v/>
      </c>
      <c r="J135" t="n">
        <v/>
      </c>
      <c r="K135" t="n">
        <v/>
      </c>
      <c r="L135" t="n">
        <v/>
      </c>
    </row>
    <row r="136">
      <c r="A136" s="64" t="n">
        <v>34821</v>
      </c>
      <c r="B136" t="n">
        <v>-1696</v>
      </c>
      <c r="C136" t="n">
        <v/>
      </c>
      <c r="D136" t="n">
        <v>17147</v>
      </c>
      <c r="E136" t="n">
        <v>5880</v>
      </c>
      <c r="F136" t="n">
        <v/>
      </c>
      <c r="G136" t="n">
        <v>2427</v>
      </c>
      <c r="H136" t="n">
        <v>3673</v>
      </c>
      <c r="I136" t="n">
        <v/>
      </c>
      <c r="J136" t="n">
        <v/>
      </c>
      <c r="K136" t="n">
        <v/>
      </c>
      <c r="L136" t="n">
        <v/>
      </c>
    </row>
    <row r="137">
      <c r="A137" s="64" t="n">
        <v>34828</v>
      </c>
      <c r="B137" t="n">
        <v>-784</v>
      </c>
      <c r="C137" t="n">
        <v/>
      </c>
      <c r="D137" t="n">
        <v>16780</v>
      </c>
      <c r="E137" t="n">
        <v>5887</v>
      </c>
      <c r="F137" t="n">
        <v/>
      </c>
      <c r="G137" t="n">
        <v>1383</v>
      </c>
      <c r="H137" t="n">
        <v>768</v>
      </c>
      <c r="I137" t="n">
        <v/>
      </c>
      <c r="J137" t="n">
        <v/>
      </c>
      <c r="K137" t="n">
        <v/>
      </c>
      <c r="L137" t="n">
        <v/>
      </c>
    </row>
    <row r="138">
      <c r="A138" s="64" t="n">
        <v>34835</v>
      </c>
      <c r="B138" t="n">
        <v>-877</v>
      </c>
      <c r="C138" t="n">
        <v/>
      </c>
      <c r="D138" t="n">
        <v>15673</v>
      </c>
      <c r="E138" t="n">
        <v>-5105</v>
      </c>
      <c r="F138" t="n">
        <v/>
      </c>
      <c r="G138" t="n">
        <v>-10645</v>
      </c>
      <c r="H138" t="n">
        <v>-3939</v>
      </c>
      <c r="I138" t="n">
        <v/>
      </c>
      <c r="J138" t="n">
        <v/>
      </c>
      <c r="K138" t="n">
        <v/>
      </c>
      <c r="L138" t="n">
        <v/>
      </c>
    </row>
    <row r="139">
      <c r="A139" s="64" t="n">
        <v>34842</v>
      </c>
      <c r="B139" t="n">
        <v>-1962</v>
      </c>
      <c r="C139" t="n">
        <v/>
      </c>
      <c r="D139" t="n">
        <v>13255</v>
      </c>
      <c r="E139" t="n">
        <v>-6378</v>
      </c>
      <c r="F139" t="n">
        <v/>
      </c>
      <c r="G139" t="n">
        <v>-10827</v>
      </c>
      <c r="H139" t="n">
        <v>-7684</v>
      </c>
      <c r="I139" t="n">
        <v>679</v>
      </c>
      <c r="J139" t="n">
        <v/>
      </c>
      <c r="K139" t="n">
        <v/>
      </c>
      <c r="L139" t="n">
        <v/>
      </c>
    </row>
    <row r="140">
      <c r="A140" s="64" t="n">
        <v>34849</v>
      </c>
      <c r="B140" t="n">
        <v>-1822</v>
      </c>
      <c r="C140" t="n">
        <v/>
      </c>
      <c r="D140" t="n">
        <v>8040</v>
      </c>
      <c r="E140" t="n">
        <v>-2821</v>
      </c>
      <c r="F140" t="n">
        <v/>
      </c>
      <c r="G140" t="n">
        <v>-6663</v>
      </c>
      <c r="H140" t="n">
        <v>-2379</v>
      </c>
      <c r="I140" t="n">
        <v>1162</v>
      </c>
      <c r="J140" t="n">
        <v/>
      </c>
      <c r="K140" t="n">
        <v/>
      </c>
      <c r="L140" t="n">
        <v/>
      </c>
    </row>
    <row r="141">
      <c r="A141" s="64" t="n">
        <v>34856</v>
      </c>
      <c r="B141" t="n">
        <v>-2027</v>
      </c>
      <c r="C141" t="n">
        <v/>
      </c>
      <c r="D141" t="n">
        <v>4727</v>
      </c>
      <c r="E141" t="n">
        <v>-3081</v>
      </c>
      <c r="F141" t="n">
        <v/>
      </c>
      <c r="G141" t="n">
        <v>-6315</v>
      </c>
      <c r="H141" t="n">
        <v>-3774</v>
      </c>
      <c r="I141" t="n">
        <v>579</v>
      </c>
      <c r="J141" t="n">
        <v/>
      </c>
      <c r="K141" t="n">
        <v/>
      </c>
      <c r="L141" t="n">
        <v/>
      </c>
    </row>
    <row r="142">
      <c r="A142" s="64" t="n">
        <v>34863</v>
      </c>
      <c r="B142" t="n">
        <v>-1906</v>
      </c>
      <c r="C142" t="n">
        <v/>
      </c>
      <c r="D142" t="n">
        <v>1955</v>
      </c>
      <c r="E142" t="n">
        <v>-3063</v>
      </c>
      <c r="F142" t="n">
        <v/>
      </c>
      <c r="G142" t="n">
        <v>-6676</v>
      </c>
      <c r="H142" t="n">
        <v>-4820</v>
      </c>
      <c r="I142" t="n">
        <v>1287</v>
      </c>
      <c r="J142" t="n">
        <v/>
      </c>
      <c r="K142" t="n">
        <v/>
      </c>
      <c r="L142" t="n">
        <v/>
      </c>
    </row>
    <row r="143">
      <c r="A143" s="64" t="n">
        <v>34870</v>
      </c>
      <c r="B143" t="n">
        <v>-647</v>
      </c>
      <c r="C143" t="n">
        <v/>
      </c>
      <c r="D143" t="n">
        <v>4353</v>
      </c>
      <c r="E143" t="n">
        <v>-3316</v>
      </c>
      <c r="F143" t="n">
        <v/>
      </c>
      <c r="G143" t="n">
        <v>-2426</v>
      </c>
      <c r="H143" t="n">
        <v>-5517</v>
      </c>
      <c r="I143" t="n">
        <v>1754</v>
      </c>
      <c r="J143" t="n">
        <v/>
      </c>
      <c r="K143" t="n">
        <v/>
      </c>
      <c r="L143" t="n">
        <v/>
      </c>
    </row>
    <row r="144">
      <c r="A144" s="64" t="n">
        <v>34877</v>
      </c>
      <c r="B144" t="n">
        <v>-1326</v>
      </c>
      <c r="C144" t="n">
        <v/>
      </c>
      <c r="D144" t="n">
        <v>6117</v>
      </c>
      <c r="E144" t="n">
        <v>-2145</v>
      </c>
      <c r="F144" t="n">
        <v/>
      </c>
      <c r="G144" t="n">
        <v>-4841</v>
      </c>
      <c r="H144" t="n">
        <v>-3876</v>
      </c>
      <c r="I144" t="n">
        <v>2683</v>
      </c>
      <c r="J144" t="n">
        <v/>
      </c>
      <c r="K144" t="n">
        <v/>
      </c>
      <c r="L144" t="n">
        <v/>
      </c>
    </row>
    <row r="145">
      <c r="A145" s="64" t="n">
        <v>34884</v>
      </c>
      <c r="B145" t="n">
        <v>-1550</v>
      </c>
      <c r="C145" t="n">
        <v/>
      </c>
      <c r="D145" t="n">
        <v>6628</v>
      </c>
      <c r="E145" t="n">
        <v>-2800</v>
      </c>
      <c r="F145" t="n">
        <v/>
      </c>
      <c r="G145" t="n">
        <v>-5011</v>
      </c>
      <c r="H145" t="n">
        <v>-9046</v>
      </c>
      <c r="I145" t="n">
        <v>2628</v>
      </c>
      <c r="J145" t="n">
        <v/>
      </c>
      <c r="K145" t="n">
        <v/>
      </c>
      <c r="L145" t="n">
        <v/>
      </c>
    </row>
    <row r="146">
      <c r="A146" s="64" t="n">
        <v>34891</v>
      </c>
      <c r="B146" t="n">
        <v>-1316</v>
      </c>
      <c r="C146" t="n">
        <v/>
      </c>
      <c r="D146" t="n">
        <v>17139</v>
      </c>
      <c r="E146" t="n">
        <v>-3727</v>
      </c>
      <c r="F146" t="n">
        <v/>
      </c>
      <c r="G146" t="n">
        <v>-5727</v>
      </c>
      <c r="H146" t="n">
        <v>-10926</v>
      </c>
      <c r="I146" t="n">
        <v>2944</v>
      </c>
      <c r="J146" t="n">
        <v/>
      </c>
      <c r="K146" t="n">
        <v/>
      </c>
      <c r="L146" t="n">
        <v/>
      </c>
    </row>
    <row r="147">
      <c r="A147" s="64" t="n">
        <v>34898</v>
      </c>
      <c r="B147" t="n">
        <v>1227</v>
      </c>
      <c r="C147" t="n">
        <v/>
      </c>
      <c r="D147" t="n">
        <v>16720</v>
      </c>
      <c r="E147" t="n">
        <v>-4807</v>
      </c>
      <c r="F147" t="n">
        <v/>
      </c>
      <c r="G147" t="n">
        <v>-5096</v>
      </c>
      <c r="H147" t="n">
        <v>-12258</v>
      </c>
      <c r="I147" t="n">
        <v>2471</v>
      </c>
      <c r="J147" t="n">
        <v/>
      </c>
      <c r="K147" t="n">
        <v/>
      </c>
      <c r="L147" t="n">
        <v/>
      </c>
    </row>
    <row r="148">
      <c r="A148" s="64" t="n">
        <v>34905</v>
      </c>
      <c r="B148" t="n">
        <v>1671</v>
      </c>
      <c r="C148" t="n">
        <v/>
      </c>
      <c r="D148" t="n">
        <v>16394</v>
      </c>
      <c r="E148" t="n">
        <v>-4077</v>
      </c>
      <c r="F148" t="n">
        <v/>
      </c>
      <c r="G148" t="n">
        <v>-6953</v>
      </c>
      <c r="H148" t="n">
        <v>-13666</v>
      </c>
      <c r="I148" t="n">
        <v>2338</v>
      </c>
      <c r="J148" t="n">
        <v/>
      </c>
      <c r="K148" t="n">
        <v/>
      </c>
      <c r="L148" t="n">
        <v/>
      </c>
    </row>
    <row r="149">
      <c r="A149" s="64" t="n">
        <v>34912</v>
      </c>
      <c r="B149" t="n">
        <v>1833</v>
      </c>
      <c r="C149" t="n">
        <v/>
      </c>
      <c r="D149" t="n">
        <v>11119</v>
      </c>
      <c r="E149" t="n">
        <v>-152</v>
      </c>
      <c r="F149" t="n">
        <v/>
      </c>
      <c r="G149" t="n">
        <v>-1985</v>
      </c>
      <c r="H149" t="n">
        <v>-12959</v>
      </c>
      <c r="I149" t="n">
        <v>2685</v>
      </c>
      <c r="J149" t="n">
        <v/>
      </c>
      <c r="K149" t="n">
        <v/>
      </c>
      <c r="L149" t="n">
        <v/>
      </c>
    </row>
    <row r="150">
      <c r="A150" s="64" t="n">
        <v>34919</v>
      </c>
      <c r="B150" t="n">
        <v>2797</v>
      </c>
      <c r="C150" t="n">
        <v/>
      </c>
      <c r="D150" t="n">
        <v>11699</v>
      </c>
      <c r="E150" t="n">
        <v>-2680</v>
      </c>
      <c r="F150" t="n">
        <v/>
      </c>
      <c r="G150" t="n">
        <v>2824</v>
      </c>
      <c r="H150" t="n">
        <v>-14584</v>
      </c>
      <c r="I150" t="n">
        <v>2328</v>
      </c>
      <c r="J150" t="n">
        <v/>
      </c>
      <c r="K150" t="n">
        <v/>
      </c>
      <c r="L150" t="n">
        <v/>
      </c>
    </row>
    <row r="151">
      <c r="A151" s="64" t="n">
        <v>34926</v>
      </c>
      <c r="B151" t="n">
        <v>1903</v>
      </c>
      <c r="C151" t="n">
        <v/>
      </c>
      <c r="D151" t="n">
        <v>10476</v>
      </c>
      <c r="E151" t="n">
        <v>-6773</v>
      </c>
      <c r="F151" t="n">
        <v/>
      </c>
      <c r="G151" t="n">
        <v>-10450</v>
      </c>
      <c r="H151" t="n">
        <v>-16718</v>
      </c>
      <c r="I151" t="n">
        <v>53</v>
      </c>
      <c r="J151" t="n">
        <v/>
      </c>
      <c r="K151" t="n">
        <v/>
      </c>
      <c r="L151" t="n">
        <v/>
      </c>
    </row>
    <row r="152">
      <c r="A152" s="64" t="n">
        <v>34933</v>
      </c>
      <c r="B152" t="n">
        <v>673</v>
      </c>
      <c r="C152" t="n">
        <v/>
      </c>
      <c r="D152" t="n">
        <v>11930</v>
      </c>
      <c r="E152" t="n">
        <v>-6874</v>
      </c>
      <c r="F152" t="n">
        <v/>
      </c>
      <c r="G152" t="n">
        <v>-14645</v>
      </c>
      <c r="H152" t="n">
        <v>-15549</v>
      </c>
      <c r="I152" t="n">
        <v>288</v>
      </c>
      <c r="J152" t="n">
        <v/>
      </c>
      <c r="K152" t="n">
        <v/>
      </c>
      <c r="L152" t="n">
        <v/>
      </c>
    </row>
    <row r="153">
      <c r="A153" s="64" t="n">
        <v>34940</v>
      </c>
      <c r="B153" t="n">
        <v>3719</v>
      </c>
      <c r="C153" t="n">
        <v/>
      </c>
      <c r="D153" t="n">
        <v>24193</v>
      </c>
      <c r="E153" t="n">
        <v>-6857</v>
      </c>
      <c r="F153" t="n">
        <v/>
      </c>
      <c r="G153" t="n">
        <v>-12982</v>
      </c>
      <c r="H153" t="n">
        <v>-14134</v>
      </c>
      <c r="I153" t="n">
        <v>497</v>
      </c>
      <c r="J153" t="n">
        <v/>
      </c>
      <c r="K153" t="n">
        <v/>
      </c>
      <c r="L153" t="n">
        <v/>
      </c>
    </row>
    <row r="154">
      <c r="A154" s="64" t="n">
        <v>34947</v>
      </c>
      <c r="B154" t="n">
        <v>4443</v>
      </c>
      <c r="C154" t="n">
        <v/>
      </c>
      <c r="D154" t="n">
        <v>25699</v>
      </c>
      <c r="E154" t="n">
        <v>-5964</v>
      </c>
      <c r="F154" t="n">
        <v/>
      </c>
      <c r="G154" t="n">
        <v>-11932</v>
      </c>
      <c r="H154" t="n">
        <v>-15342</v>
      </c>
      <c r="I154" t="n">
        <v>225</v>
      </c>
      <c r="J154" t="n">
        <v/>
      </c>
      <c r="K154" t="n">
        <v/>
      </c>
      <c r="L154" t="n">
        <v/>
      </c>
    </row>
    <row r="155">
      <c r="A155" s="64" t="n">
        <v>34954</v>
      </c>
      <c r="B155" t="n">
        <v>5067</v>
      </c>
      <c r="C155" t="n">
        <v/>
      </c>
      <c r="D155" t="n">
        <v>23619</v>
      </c>
      <c r="E155" t="n">
        <v>-8453</v>
      </c>
      <c r="F155" t="n">
        <v/>
      </c>
      <c r="G155" t="n">
        <v>-13621</v>
      </c>
      <c r="H155" t="n">
        <v>-18439</v>
      </c>
      <c r="I155" t="n">
        <v>225</v>
      </c>
      <c r="J155" t="n">
        <v/>
      </c>
      <c r="K155" t="n">
        <v/>
      </c>
      <c r="L155" t="n">
        <v/>
      </c>
    </row>
    <row r="156">
      <c r="A156" s="64" t="n">
        <v>34961</v>
      </c>
      <c r="B156" t="n">
        <v>6974</v>
      </c>
      <c r="C156" t="n">
        <v/>
      </c>
      <c r="D156" t="n">
        <v>1674</v>
      </c>
      <c r="E156" t="n">
        <v>-8048</v>
      </c>
      <c r="F156" t="n">
        <v/>
      </c>
      <c r="G156" t="n">
        <v>-13549</v>
      </c>
      <c r="H156" t="n">
        <v>-18410</v>
      </c>
      <c r="I156" t="n">
        <v>225</v>
      </c>
      <c r="J156" t="n">
        <v/>
      </c>
      <c r="K156" t="n">
        <v/>
      </c>
      <c r="L156" t="n">
        <v/>
      </c>
    </row>
    <row r="157">
      <c r="A157" s="64" t="n">
        <v>34968</v>
      </c>
      <c r="B157" t="n">
        <v>1955</v>
      </c>
      <c r="C157" t="n">
        <v/>
      </c>
      <c r="D157" t="n">
        <v>2674</v>
      </c>
      <c r="E157" t="n">
        <v>3586</v>
      </c>
      <c r="F157" t="n">
        <v/>
      </c>
      <c r="G157" t="n">
        <v>6465</v>
      </c>
      <c r="H157" t="n">
        <v>-20211</v>
      </c>
      <c r="I157" t="n">
        <v>448</v>
      </c>
      <c r="J157" t="n">
        <v/>
      </c>
      <c r="K157" t="n">
        <v/>
      </c>
      <c r="L157" t="n">
        <v/>
      </c>
    </row>
    <row r="158">
      <c r="A158" s="64" t="n">
        <v>34975</v>
      </c>
      <c r="B158" t="n">
        <v>3185</v>
      </c>
      <c r="C158" t="n">
        <v/>
      </c>
      <c r="D158" t="n">
        <v>9148</v>
      </c>
      <c r="E158" t="n">
        <v>3250</v>
      </c>
      <c r="F158" t="n">
        <v/>
      </c>
      <c r="G158" t="n">
        <v>6050</v>
      </c>
      <c r="H158" t="n">
        <v>-20961</v>
      </c>
      <c r="I158" t="n">
        <v>1029</v>
      </c>
      <c r="J158" t="n">
        <v/>
      </c>
      <c r="K158" t="n">
        <v/>
      </c>
      <c r="L158" t="n">
        <v/>
      </c>
    </row>
    <row r="159">
      <c r="A159" s="64" t="n">
        <v>34982</v>
      </c>
      <c r="B159" t="n">
        <v>3148</v>
      </c>
      <c r="C159" t="n">
        <v/>
      </c>
      <c r="D159" t="n">
        <v>10566</v>
      </c>
      <c r="E159" t="n">
        <v>3265</v>
      </c>
      <c r="F159" t="n">
        <v/>
      </c>
      <c r="G159" t="n">
        <v>7967</v>
      </c>
      <c r="H159" t="n">
        <v>-20783</v>
      </c>
      <c r="I159" t="n">
        <v>948</v>
      </c>
      <c r="J159" t="n">
        <v/>
      </c>
      <c r="K159" t="n">
        <v/>
      </c>
      <c r="L159" t="n">
        <v/>
      </c>
    </row>
    <row r="160">
      <c r="A160" s="64" t="n">
        <v>34989</v>
      </c>
      <c r="B160" t="n">
        <v>2838</v>
      </c>
      <c r="C160" t="n">
        <v/>
      </c>
      <c r="D160" t="n">
        <v>10324</v>
      </c>
      <c r="E160" t="n">
        <v>2990</v>
      </c>
      <c r="F160" t="n">
        <v/>
      </c>
      <c r="G160" t="n">
        <v>8494</v>
      </c>
      <c r="H160" t="n">
        <v>-21164</v>
      </c>
      <c r="I160" t="n">
        <v>963</v>
      </c>
      <c r="J160" t="n">
        <v/>
      </c>
      <c r="K160" t="n">
        <v/>
      </c>
      <c r="L160" t="n">
        <v/>
      </c>
    </row>
    <row r="161">
      <c r="A161" s="64" t="n">
        <v>34996</v>
      </c>
      <c r="B161" t="n">
        <v>1200</v>
      </c>
      <c r="C161" t="n">
        <v/>
      </c>
      <c r="D161" t="n">
        <v>1125</v>
      </c>
      <c r="E161" t="n">
        <v>4090</v>
      </c>
      <c r="F161" t="n">
        <v/>
      </c>
      <c r="G161" t="n">
        <v>8801</v>
      </c>
      <c r="H161" t="n">
        <v>-20047</v>
      </c>
      <c r="I161" t="n">
        <v>917</v>
      </c>
      <c r="J161" t="n">
        <v/>
      </c>
      <c r="K161" t="n">
        <v/>
      </c>
      <c r="L161" t="n">
        <v/>
      </c>
    </row>
    <row r="162">
      <c r="A162" s="64" t="n">
        <v>35003</v>
      </c>
      <c r="B162" t="n">
        <v>1666</v>
      </c>
      <c r="C162" t="n">
        <v/>
      </c>
      <c r="D162" t="n">
        <v>3819</v>
      </c>
      <c r="E162" t="n">
        <v>3422</v>
      </c>
      <c r="F162" t="n">
        <v/>
      </c>
      <c r="G162" t="n">
        <v>8387</v>
      </c>
      <c r="H162" t="n">
        <v>-22212</v>
      </c>
      <c r="I162" t="n">
        <v>1076</v>
      </c>
      <c r="J162" t="n">
        <v/>
      </c>
      <c r="K162" t="n">
        <v/>
      </c>
      <c r="L162" t="n">
        <v/>
      </c>
    </row>
    <row r="163">
      <c r="A163" s="64" t="n">
        <v>35010</v>
      </c>
      <c r="B163" t="n">
        <v>1702</v>
      </c>
      <c r="C163" t="n">
        <v/>
      </c>
      <c r="D163" t="n">
        <v>4669</v>
      </c>
      <c r="E163" t="n">
        <v>2805</v>
      </c>
      <c r="F163" t="n">
        <v/>
      </c>
      <c r="G163" t="n">
        <v>8996</v>
      </c>
      <c r="H163" t="n">
        <v>-25063</v>
      </c>
      <c r="I163" t="n">
        <v>1214</v>
      </c>
      <c r="J163" t="n">
        <v/>
      </c>
      <c r="K163" t="n">
        <v/>
      </c>
      <c r="L163" t="n">
        <v/>
      </c>
    </row>
    <row r="164">
      <c r="A164" s="64" t="n">
        <v>35017</v>
      </c>
      <c r="B164" t="n">
        <v>-208</v>
      </c>
      <c r="C164" t="n">
        <v/>
      </c>
      <c r="D164" t="n">
        <v>3872</v>
      </c>
      <c r="E164" t="n">
        <v>2312</v>
      </c>
      <c r="F164" t="n">
        <v/>
      </c>
      <c r="G164" t="n">
        <v>-9594</v>
      </c>
      <c r="H164" t="n">
        <v>-23049</v>
      </c>
      <c r="I164" t="n">
        <v>1132</v>
      </c>
      <c r="J164" t="n">
        <v/>
      </c>
      <c r="K164" t="n">
        <v/>
      </c>
      <c r="L164" t="n">
        <v/>
      </c>
    </row>
    <row r="165">
      <c r="A165" s="64" t="n">
        <v>35024</v>
      </c>
      <c r="B165" t="n">
        <v>-520</v>
      </c>
      <c r="C165" t="n">
        <v/>
      </c>
      <c r="D165" t="n">
        <v>3943</v>
      </c>
      <c r="E165" t="n">
        <v>2762</v>
      </c>
      <c r="F165" t="n">
        <v/>
      </c>
      <c r="G165" t="n">
        <v>-18344</v>
      </c>
      <c r="H165" t="n">
        <v>-20664</v>
      </c>
      <c r="I165" t="n">
        <v>752</v>
      </c>
      <c r="J165" t="n">
        <v/>
      </c>
      <c r="K165" t="n">
        <v/>
      </c>
      <c r="L165" t="n">
        <v/>
      </c>
    </row>
    <row r="166">
      <c r="A166" s="64" t="n">
        <v>35031</v>
      </c>
      <c r="B166" t="n">
        <v>-28</v>
      </c>
      <c r="C166" t="n">
        <v/>
      </c>
      <c r="D166" t="n">
        <v>4281</v>
      </c>
      <c r="E166" t="n">
        <v>1782</v>
      </c>
      <c r="F166" t="n">
        <v/>
      </c>
      <c r="G166" t="n">
        <v>-15378</v>
      </c>
      <c r="H166" t="n">
        <v>-19132</v>
      </c>
      <c r="I166" t="n">
        <v>612</v>
      </c>
      <c r="J166" t="n">
        <v/>
      </c>
      <c r="K166" t="n">
        <v/>
      </c>
      <c r="L166" t="n">
        <v/>
      </c>
    </row>
    <row r="167">
      <c r="A167" s="64" t="n">
        <v>35038</v>
      </c>
      <c r="B167" t="n">
        <v>-305</v>
      </c>
      <c r="C167" t="n">
        <v/>
      </c>
      <c r="D167" t="n">
        <v>654</v>
      </c>
      <c r="E167" t="n">
        <v>-11859</v>
      </c>
      <c r="F167" t="n">
        <v/>
      </c>
      <c r="G167" t="n">
        <v>-16525</v>
      </c>
      <c r="H167" t="n">
        <v>-18764</v>
      </c>
      <c r="I167" t="n">
        <v>751</v>
      </c>
      <c r="J167" t="n">
        <v/>
      </c>
      <c r="K167" t="n">
        <v/>
      </c>
      <c r="L167" t="n">
        <v/>
      </c>
    </row>
    <row r="168">
      <c r="A168" s="64" t="n">
        <v>35045</v>
      </c>
      <c r="B168" t="n">
        <v>-148</v>
      </c>
      <c r="C168" t="n">
        <v/>
      </c>
      <c r="D168" t="n">
        <v>-8677</v>
      </c>
      <c r="E168" t="n">
        <v>-11813</v>
      </c>
      <c r="F168" t="n">
        <v/>
      </c>
      <c r="G168" t="n">
        <v>-14101</v>
      </c>
      <c r="H168" t="n">
        <v>-19274</v>
      </c>
      <c r="I168" t="n">
        <v>277</v>
      </c>
      <c r="J168" t="n">
        <v/>
      </c>
      <c r="K168" t="n">
        <v/>
      </c>
      <c r="L168" t="n">
        <v/>
      </c>
    </row>
    <row r="169">
      <c r="A169" s="64" t="n">
        <v>35052</v>
      </c>
      <c r="B169" t="n">
        <v>0</v>
      </c>
      <c r="C169" t="n">
        <v/>
      </c>
      <c r="D169" t="n">
        <v>-8324</v>
      </c>
      <c r="E169" t="n">
        <v>-10885</v>
      </c>
      <c r="F169" t="n">
        <v/>
      </c>
      <c r="G169" t="n">
        <v>-12295</v>
      </c>
      <c r="H169" t="n">
        <v>-23044</v>
      </c>
      <c r="I169" t="n">
        <v>-1844</v>
      </c>
      <c r="J169" t="n">
        <v/>
      </c>
      <c r="K169" t="n">
        <v/>
      </c>
      <c r="L169" t="n">
        <v/>
      </c>
    </row>
    <row r="170">
      <c r="A170" s="64" t="n">
        <v>35059</v>
      </c>
      <c r="B170" t="n">
        <v>0</v>
      </c>
      <c r="C170" t="n">
        <v/>
      </c>
      <c r="D170" t="n">
        <v>1291</v>
      </c>
      <c r="E170" t="n">
        <v>-10567</v>
      </c>
      <c r="F170" t="n">
        <v/>
      </c>
      <c r="G170" t="n">
        <v>-1927</v>
      </c>
      <c r="H170" t="n">
        <v>-28074</v>
      </c>
      <c r="I170" t="n">
        <v>-1859</v>
      </c>
      <c r="J170" t="n">
        <v/>
      </c>
      <c r="K170" t="n">
        <v/>
      </c>
      <c r="L170" t="n">
        <v/>
      </c>
    </row>
    <row r="171">
      <c r="A171" s="64" t="n">
        <v>35066</v>
      </c>
      <c r="B171" t="n">
        <v>-230</v>
      </c>
      <c r="C171" t="n">
        <v/>
      </c>
      <c r="D171" t="n">
        <v>1548</v>
      </c>
      <c r="E171" t="n">
        <v>-9228</v>
      </c>
      <c r="F171" t="n">
        <v/>
      </c>
      <c r="G171" t="n">
        <v>4562</v>
      </c>
      <c r="H171" t="n">
        <v>-32299</v>
      </c>
      <c r="I171" t="n">
        <v>-1859</v>
      </c>
      <c r="J171" t="n">
        <v/>
      </c>
      <c r="K171" t="n">
        <v/>
      </c>
      <c r="L171" t="n">
        <v/>
      </c>
    </row>
    <row r="172">
      <c r="A172" s="64" t="n">
        <v>35073</v>
      </c>
      <c r="B172" t="n">
        <v>-253</v>
      </c>
      <c r="C172" t="n">
        <v/>
      </c>
      <c r="D172" t="n">
        <v>2333</v>
      </c>
      <c r="E172" t="n">
        <v>-11134</v>
      </c>
      <c r="F172" t="n">
        <v/>
      </c>
      <c r="G172" t="n">
        <v>7619</v>
      </c>
      <c r="H172" t="n">
        <v>-33256</v>
      </c>
      <c r="I172" t="n">
        <v>-2096</v>
      </c>
      <c r="J172" t="n">
        <v/>
      </c>
      <c r="K172" t="n">
        <v/>
      </c>
      <c r="L172" t="n">
        <v/>
      </c>
    </row>
    <row r="173">
      <c r="A173" s="64" t="n">
        <v>35080</v>
      </c>
      <c r="B173" t="n">
        <v>0</v>
      </c>
      <c r="C173" t="n">
        <v/>
      </c>
      <c r="D173" t="n">
        <v>2074</v>
      </c>
      <c r="E173" t="n">
        <v>-11507</v>
      </c>
      <c r="F173" t="n">
        <v/>
      </c>
      <c r="G173" t="n">
        <v>4971</v>
      </c>
      <c r="H173" t="n">
        <v>-36988</v>
      </c>
      <c r="I173" t="n">
        <v>-2139</v>
      </c>
      <c r="J173" t="n">
        <v/>
      </c>
      <c r="K173" t="n">
        <v/>
      </c>
      <c r="L173" t="n">
        <v/>
      </c>
    </row>
    <row r="174">
      <c r="A174" s="64" t="n">
        <v>35087</v>
      </c>
      <c r="B174" t="n">
        <v>-1588</v>
      </c>
      <c r="C174" t="n">
        <v/>
      </c>
      <c r="D174" t="n">
        <v>385</v>
      </c>
      <c r="E174" t="n">
        <v>-13691</v>
      </c>
      <c r="F174" t="n">
        <v/>
      </c>
      <c r="G174" t="n">
        <v>-16895</v>
      </c>
      <c r="H174" t="n">
        <v>-35798</v>
      </c>
      <c r="I174" t="n">
        <v>-2367</v>
      </c>
      <c r="J174" t="n">
        <v/>
      </c>
      <c r="K174" t="n">
        <v/>
      </c>
      <c r="L174" t="n">
        <v/>
      </c>
    </row>
    <row r="175">
      <c r="A175" s="64" t="n">
        <v>35094</v>
      </c>
      <c r="B175" t="n">
        <v>-823</v>
      </c>
      <c r="C175" t="n">
        <v/>
      </c>
      <c r="D175" t="n">
        <v>-11492</v>
      </c>
      <c r="E175" t="n">
        <v>-14208</v>
      </c>
      <c r="F175" t="n">
        <v/>
      </c>
      <c r="G175" t="n">
        <v>-20841</v>
      </c>
      <c r="H175" t="n">
        <v>-37035</v>
      </c>
      <c r="I175" t="n">
        <v>-3481</v>
      </c>
      <c r="J175" t="n">
        <v/>
      </c>
      <c r="K175" t="n">
        <v/>
      </c>
      <c r="L175" t="n">
        <v/>
      </c>
    </row>
    <row r="176">
      <c r="A176" s="64" t="n">
        <v>35101</v>
      </c>
      <c r="B176" t="n">
        <v>2268</v>
      </c>
      <c r="C176" t="n">
        <v/>
      </c>
      <c r="D176" t="n">
        <v>-9728</v>
      </c>
      <c r="E176" t="n">
        <v>-14261</v>
      </c>
      <c r="F176" t="n">
        <v/>
      </c>
      <c r="G176" t="n">
        <v>-1863</v>
      </c>
      <c r="H176" t="n">
        <v>-30935</v>
      </c>
      <c r="I176" t="n">
        <v>-2962</v>
      </c>
      <c r="J176" t="n">
        <v/>
      </c>
      <c r="K176" t="n">
        <v/>
      </c>
      <c r="L176" t="n">
        <v/>
      </c>
    </row>
    <row r="177">
      <c r="A177" s="64" t="n">
        <v>35108</v>
      </c>
      <c r="B177" t="n">
        <v>2637</v>
      </c>
      <c r="C177" t="n">
        <v/>
      </c>
      <c r="D177" t="n">
        <v>-222</v>
      </c>
      <c r="E177" t="n">
        <v>-13735</v>
      </c>
      <c r="F177" t="n">
        <v/>
      </c>
      <c r="G177" t="n">
        <v>1285</v>
      </c>
      <c r="H177" t="n">
        <v>-30578</v>
      </c>
      <c r="I177" t="n">
        <v>-2420</v>
      </c>
      <c r="J177" t="n">
        <v/>
      </c>
      <c r="K177" t="n">
        <v/>
      </c>
      <c r="L177" t="n">
        <v/>
      </c>
    </row>
    <row r="178">
      <c r="A178" s="64" t="n">
        <v>35115</v>
      </c>
      <c r="B178" t="n">
        <v>2532</v>
      </c>
      <c r="C178" t="n">
        <v/>
      </c>
      <c r="D178" t="n">
        <v>-5355</v>
      </c>
      <c r="E178" t="n">
        <v>-10167</v>
      </c>
      <c r="F178" t="n">
        <v/>
      </c>
      <c r="G178" t="n">
        <v>5746</v>
      </c>
      <c r="H178" t="n">
        <v>-28625</v>
      </c>
      <c r="I178" t="n">
        <v>-1676</v>
      </c>
      <c r="J178" t="n">
        <v/>
      </c>
      <c r="K178" t="n">
        <v/>
      </c>
      <c r="L178" t="n">
        <v/>
      </c>
    </row>
    <row r="179">
      <c r="A179" s="64" t="n">
        <v>35122</v>
      </c>
      <c r="B179" t="n">
        <v>2797</v>
      </c>
      <c r="C179" t="n">
        <v/>
      </c>
      <c r="D179" t="n">
        <v>-3733</v>
      </c>
      <c r="E179" t="n">
        <v>-8506</v>
      </c>
      <c r="F179" t="n">
        <v/>
      </c>
      <c r="G179" t="n">
        <v>2172</v>
      </c>
      <c r="H179" t="n">
        <v>-20669</v>
      </c>
      <c r="I179" t="n">
        <v>-2218</v>
      </c>
      <c r="J179" t="n">
        <v/>
      </c>
      <c r="K179" t="n">
        <v/>
      </c>
      <c r="L179" t="n">
        <v/>
      </c>
    </row>
    <row r="180">
      <c r="A180" s="64" t="n">
        <v>35129</v>
      </c>
      <c r="B180" t="n">
        <v>3706</v>
      </c>
      <c r="C180" t="n">
        <v/>
      </c>
      <c r="D180" t="n">
        <v>43</v>
      </c>
      <c r="E180" t="n">
        <v>-6787</v>
      </c>
      <c r="F180" t="n">
        <v/>
      </c>
      <c r="G180" t="n">
        <v>-508</v>
      </c>
      <c r="H180" t="n">
        <v>-19845</v>
      </c>
      <c r="I180" t="n">
        <v>-2642</v>
      </c>
      <c r="J180" t="n">
        <v/>
      </c>
      <c r="K180" t="n">
        <v/>
      </c>
      <c r="L180" t="n">
        <v/>
      </c>
    </row>
    <row r="181">
      <c r="A181" s="64" t="n">
        <v>35136</v>
      </c>
      <c r="B181" t="n">
        <v>4890</v>
      </c>
      <c r="C181" t="n">
        <v/>
      </c>
      <c r="D181" t="n">
        <v>3373</v>
      </c>
      <c r="E181" t="n">
        <v>-6635</v>
      </c>
      <c r="F181" t="n">
        <v/>
      </c>
      <c r="G181" t="n">
        <v>-9455</v>
      </c>
      <c r="H181" t="n">
        <v>-19712</v>
      </c>
      <c r="I181" t="n">
        <v>-1429</v>
      </c>
      <c r="J181" t="n">
        <v/>
      </c>
      <c r="K181" t="n">
        <v/>
      </c>
      <c r="L181" t="n">
        <v/>
      </c>
    </row>
    <row r="182">
      <c r="A182" s="64" t="n">
        <v>35143</v>
      </c>
      <c r="B182" t="n">
        <v>5679</v>
      </c>
      <c r="C182" t="n">
        <v/>
      </c>
      <c r="D182" t="n">
        <v>14241</v>
      </c>
      <c r="E182" t="n">
        <v>-6777</v>
      </c>
      <c r="F182" t="n">
        <v/>
      </c>
      <c r="G182" t="n">
        <v>-6106</v>
      </c>
      <c r="H182" t="n">
        <v>-24358</v>
      </c>
      <c r="I182" t="n">
        <v>18</v>
      </c>
      <c r="J182" t="n">
        <v/>
      </c>
      <c r="K182" t="n">
        <v/>
      </c>
      <c r="L182" t="n">
        <v/>
      </c>
    </row>
    <row r="183">
      <c r="A183" s="64" t="n">
        <v>35150</v>
      </c>
      <c r="B183" t="n">
        <v>5403</v>
      </c>
      <c r="C183" t="n">
        <v/>
      </c>
      <c r="D183" t="n">
        <v>13452</v>
      </c>
      <c r="E183" t="n">
        <v>-6539</v>
      </c>
      <c r="F183" t="n">
        <v/>
      </c>
      <c r="G183" t="n">
        <v>-5152</v>
      </c>
      <c r="H183" t="n">
        <v>-29664</v>
      </c>
      <c r="I183" t="n">
        <v>-87</v>
      </c>
      <c r="J183" t="n">
        <v/>
      </c>
      <c r="K183" t="n">
        <v/>
      </c>
      <c r="L183" t="n">
        <v/>
      </c>
    </row>
    <row r="184">
      <c r="A184" s="64" t="n">
        <v>35157</v>
      </c>
      <c r="B184" t="n">
        <v>6926</v>
      </c>
      <c r="C184" t="n">
        <v/>
      </c>
      <c r="D184" t="n">
        <v>18679</v>
      </c>
      <c r="E184" t="n">
        <v>-5489</v>
      </c>
      <c r="F184" t="n">
        <v/>
      </c>
      <c r="G184" t="n">
        <v>-8841</v>
      </c>
      <c r="H184" t="n">
        <v>-33900</v>
      </c>
      <c r="I184" t="n">
        <v>173</v>
      </c>
      <c r="J184" t="n">
        <v/>
      </c>
      <c r="K184" t="n">
        <v/>
      </c>
      <c r="L184" t="n">
        <v/>
      </c>
    </row>
    <row r="185">
      <c r="A185" s="64" t="n">
        <v>35164</v>
      </c>
      <c r="B185" t="n">
        <v>5403</v>
      </c>
      <c r="C185" t="n">
        <v/>
      </c>
      <c r="D185" t="n">
        <v>15126</v>
      </c>
      <c r="E185" t="n">
        <v>-8027</v>
      </c>
      <c r="F185" t="n">
        <v/>
      </c>
      <c r="G185" t="n">
        <v>-9214</v>
      </c>
      <c r="H185" t="n">
        <v>-35695</v>
      </c>
      <c r="I185" t="n">
        <v>-228</v>
      </c>
      <c r="J185" t="n">
        <v/>
      </c>
      <c r="K185" t="n">
        <v/>
      </c>
      <c r="L185" t="n">
        <v/>
      </c>
    </row>
    <row r="186">
      <c r="A186" s="64" t="n">
        <v>35171</v>
      </c>
      <c r="B186" t="n">
        <v>4649</v>
      </c>
      <c r="C186" t="n">
        <v/>
      </c>
      <c r="D186" t="n">
        <v>13763</v>
      </c>
      <c r="E186" t="n">
        <v>-13312</v>
      </c>
      <c r="F186" t="n">
        <v/>
      </c>
      <c r="G186" t="n">
        <v>-17699</v>
      </c>
      <c r="H186" t="n">
        <v>-32574</v>
      </c>
      <c r="I186" t="n">
        <v>-348</v>
      </c>
      <c r="J186" t="n">
        <v/>
      </c>
      <c r="K186" t="n">
        <v/>
      </c>
      <c r="L186" t="n">
        <v/>
      </c>
    </row>
    <row r="187">
      <c r="A187" s="64" t="n">
        <v>35178</v>
      </c>
      <c r="B187" t="n">
        <v>4889</v>
      </c>
      <c r="C187" t="n">
        <v/>
      </c>
      <c r="D187" t="n">
        <v>9827</v>
      </c>
      <c r="E187" t="n">
        <v>-12744</v>
      </c>
      <c r="F187" t="n">
        <v/>
      </c>
      <c r="G187" t="n">
        <v>-10531</v>
      </c>
      <c r="H187" t="n">
        <v>-21926</v>
      </c>
      <c r="I187" t="n">
        <v>-1293</v>
      </c>
      <c r="J187" t="n">
        <v/>
      </c>
      <c r="K187" t="n">
        <v/>
      </c>
      <c r="L187" t="n">
        <v/>
      </c>
    </row>
    <row r="188">
      <c r="A188" s="64" t="n">
        <v>35185</v>
      </c>
      <c r="B188" t="n">
        <v>4808</v>
      </c>
      <c r="C188" t="n">
        <v/>
      </c>
      <c r="D188" t="n">
        <v>6656</v>
      </c>
      <c r="E188" t="n">
        <v>-14952</v>
      </c>
      <c r="F188" t="n">
        <v/>
      </c>
      <c r="G188" t="n">
        <v>-11113</v>
      </c>
      <c r="H188" t="n">
        <v>-9187</v>
      </c>
      <c r="I188" t="n">
        <v>-1144</v>
      </c>
      <c r="J188" t="n">
        <v/>
      </c>
      <c r="K188" t="n">
        <v/>
      </c>
      <c r="L188" t="n">
        <v/>
      </c>
    </row>
    <row r="189">
      <c r="A189" s="64" t="n">
        <v>35192</v>
      </c>
      <c r="B189" t="n">
        <v>5581</v>
      </c>
      <c r="C189" t="n">
        <v/>
      </c>
      <c r="D189" t="n">
        <v>5741</v>
      </c>
      <c r="E189" t="n">
        <v>-15083</v>
      </c>
      <c r="F189" t="n">
        <v/>
      </c>
      <c r="G189" t="n">
        <v>-10506</v>
      </c>
      <c r="H189" t="n">
        <v>-8511</v>
      </c>
      <c r="I189" t="n">
        <v>-1012</v>
      </c>
      <c r="J189" t="n">
        <v/>
      </c>
      <c r="K189" t="n">
        <v/>
      </c>
      <c r="L189" t="n">
        <v/>
      </c>
    </row>
    <row r="190">
      <c r="A190" s="64" t="n">
        <v>35199</v>
      </c>
      <c r="B190" t="n">
        <v>6106</v>
      </c>
      <c r="C190" t="n">
        <v/>
      </c>
      <c r="D190" t="n">
        <v>689</v>
      </c>
      <c r="E190" t="n">
        <v>-14604</v>
      </c>
      <c r="F190" t="n">
        <v/>
      </c>
      <c r="G190" t="n">
        <v>-438</v>
      </c>
      <c r="H190" t="n">
        <v>-10024</v>
      </c>
      <c r="I190" t="n">
        <v>-852</v>
      </c>
      <c r="J190" t="n">
        <v/>
      </c>
      <c r="K190" t="n">
        <v/>
      </c>
      <c r="L190" t="n">
        <v/>
      </c>
    </row>
    <row r="191">
      <c r="A191" s="64" t="n">
        <v>35206</v>
      </c>
      <c r="B191" t="n">
        <v>5514</v>
      </c>
      <c r="C191" t="n">
        <v/>
      </c>
      <c r="D191" t="n">
        <v>-10879</v>
      </c>
      <c r="E191" t="n">
        <v>-15131</v>
      </c>
      <c r="F191" t="n">
        <v/>
      </c>
      <c r="G191" t="n">
        <v>-852</v>
      </c>
      <c r="H191" t="n">
        <v>-15506</v>
      </c>
      <c r="I191" t="n">
        <v>-667</v>
      </c>
      <c r="J191" t="n">
        <v/>
      </c>
      <c r="K191" t="n">
        <v/>
      </c>
      <c r="L191" t="n">
        <v/>
      </c>
    </row>
    <row r="192">
      <c r="A192" s="64" t="n">
        <v>35213</v>
      </c>
      <c r="B192" t="n">
        <v>5620</v>
      </c>
      <c r="C192" t="n">
        <v/>
      </c>
      <c r="D192" t="n">
        <v>-14179</v>
      </c>
      <c r="E192" t="n">
        <v>-15545</v>
      </c>
      <c r="F192" t="n">
        <v/>
      </c>
      <c r="G192" t="n">
        <v>44</v>
      </c>
      <c r="H192" t="n">
        <v>-23871</v>
      </c>
      <c r="I192" t="n">
        <v>-955</v>
      </c>
      <c r="J192" t="n">
        <v/>
      </c>
      <c r="K192" t="n">
        <v/>
      </c>
      <c r="L192" t="n">
        <v/>
      </c>
    </row>
    <row r="193">
      <c r="A193" s="64" t="n">
        <v>35220</v>
      </c>
      <c r="B193" t="n">
        <v>5198</v>
      </c>
      <c r="C193" t="n">
        <v/>
      </c>
      <c r="D193" t="n">
        <v>-2432</v>
      </c>
      <c r="E193" t="n">
        <v>-13653</v>
      </c>
      <c r="F193" t="n">
        <v/>
      </c>
      <c r="G193" t="n">
        <v>25205</v>
      </c>
      <c r="H193" t="n">
        <v>-30082</v>
      </c>
      <c r="I193" t="n">
        <v>-1196</v>
      </c>
      <c r="J193" t="n">
        <v/>
      </c>
      <c r="K193" t="n">
        <v/>
      </c>
      <c r="L193" t="n">
        <v/>
      </c>
    </row>
    <row r="194">
      <c r="A194" s="64" t="n">
        <v>35227</v>
      </c>
      <c r="B194" t="n">
        <v>3425</v>
      </c>
      <c r="C194" t="n">
        <v/>
      </c>
      <c r="D194" t="n">
        <v>2216</v>
      </c>
      <c r="E194" t="n">
        <v>-14577</v>
      </c>
      <c r="F194" t="n">
        <v/>
      </c>
      <c r="G194" t="n">
        <v>22915</v>
      </c>
      <c r="H194" t="n">
        <v>-30748</v>
      </c>
      <c r="I194" t="n">
        <v>-669</v>
      </c>
      <c r="J194" t="n">
        <v/>
      </c>
      <c r="K194" t="n">
        <v/>
      </c>
      <c r="L194" t="n">
        <v/>
      </c>
    </row>
    <row r="195">
      <c r="A195" s="64" t="n">
        <v>35234</v>
      </c>
      <c r="B195" t="n">
        <v>2491</v>
      </c>
      <c r="C195" t="n">
        <v/>
      </c>
      <c r="D195" t="n">
        <v>1528</v>
      </c>
      <c r="E195" t="n">
        <v>-11059</v>
      </c>
      <c r="F195" t="n">
        <v/>
      </c>
      <c r="G195" t="n">
        <v>15193</v>
      </c>
      <c r="H195" t="n">
        <v>-29185</v>
      </c>
      <c r="I195" t="n">
        <v>171</v>
      </c>
      <c r="J195" t="n">
        <v/>
      </c>
      <c r="K195" t="n">
        <v/>
      </c>
      <c r="L195" t="n">
        <v/>
      </c>
    </row>
    <row r="196">
      <c r="A196" s="64" t="n">
        <v>35241</v>
      </c>
      <c r="B196" t="n">
        <v>2999</v>
      </c>
      <c r="C196" t="n">
        <v/>
      </c>
      <c r="D196" t="n">
        <v>8276</v>
      </c>
      <c r="E196" t="n">
        <v>-12876</v>
      </c>
      <c r="F196" t="n">
        <v/>
      </c>
      <c r="G196" t="n">
        <v>14530</v>
      </c>
      <c r="H196" t="n">
        <v>-28056</v>
      </c>
      <c r="I196" t="n">
        <v>208</v>
      </c>
      <c r="J196" t="n">
        <v/>
      </c>
      <c r="K196" t="n">
        <v/>
      </c>
      <c r="L196" t="n">
        <v/>
      </c>
    </row>
    <row r="197">
      <c r="A197" s="64" t="n">
        <v>35248</v>
      </c>
      <c r="B197" t="n">
        <v>202</v>
      </c>
      <c r="C197" t="n">
        <v/>
      </c>
      <c r="D197" t="n">
        <v>7489</v>
      </c>
      <c r="E197" t="n">
        <v>-13144</v>
      </c>
      <c r="F197" t="n">
        <v/>
      </c>
      <c r="G197" t="n">
        <v>16187</v>
      </c>
      <c r="H197" t="n">
        <v>-34188</v>
      </c>
      <c r="I197" t="n">
        <v>477</v>
      </c>
      <c r="J197" t="n">
        <v/>
      </c>
      <c r="K197" t="n">
        <v/>
      </c>
      <c r="L197" t="n">
        <v/>
      </c>
    </row>
    <row r="198">
      <c r="A198" s="64" t="n">
        <v>35255</v>
      </c>
      <c r="B198" t="n">
        <v>417</v>
      </c>
      <c r="C198" t="n">
        <v/>
      </c>
      <c r="D198" t="n">
        <v>306</v>
      </c>
      <c r="E198" t="n">
        <v>-12174</v>
      </c>
      <c r="F198" t="n">
        <v/>
      </c>
      <c r="G198" t="n">
        <v>20190</v>
      </c>
      <c r="H198" t="n">
        <v>-34251</v>
      </c>
      <c r="I198" t="n">
        <v>263</v>
      </c>
      <c r="J198" t="n">
        <v/>
      </c>
      <c r="K198" t="n">
        <v/>
      </c>
      <c r="L198" t="n">
        <v/>
      </c>
    </row>
    <row r="199">
      <c r="A199" s="64" t="n">
        <v>35262</v>
      </c>
      <c r="B199" t="n">
        <v>1260</v>
      </c>
      <c r="C199" t="n">
        <v/>
      </c>
      <c r="D199" t="n">
        <v>-132</v>
      </c>
      <c r="E199" t="n">
        <v>1954</v>
      </c>
      <c r="F199" t="n">
        <v/>
      </c>
      <c r="G199" t="n">
        <v>19641</v>
      </c>
      <c r="H199" t="n">
        <v>-30346</v>
      </c>
      <c r="I199" t="n">
        <v>2613</v>
      </c>
      <c r="J199" t="n">
        <v/>
      </c>
      <c r="K199" t="n">
        <v/>
      </c>
      <c r="L199" t="n">
        <v/>
      </c>
    </row>
    <row r="200">
      <c r="A200" s="64" t="n">
        <v>35269</v>
      </c>
      <c r="B200" t="n">
        <v>127</v>
      </c>
      <c r="C200" t="n">
        <v/>
      </c>
      <c r="D200" t="n">
        <v>-779</v>
      </c>
      <c r="E200" t="n">
        <v>5686</v>
      </c>
      <c r="F200" t="n">
        <v/>
      </c>
      <c r="G200" t="n">
        <v>13522</v>
      </c>
      <c r="H200" t="n">
        <v>-23681</v>
      </c>
      <c r="I200" t="n">
        <v>561</v>
      </c>
      <c r="J200" t="n">
        <v/>
      </c>
      <c r="K200" t="n">
        <v/>
      </c>
      <c r="L200" t="n">
        <v/>
      </c>
    </row>
    <row r="201">
      <c r="A201" s="64" t="n">
        <v>35276</v>
      </c>
      <c r="B201" t="n">
        <v>-1358</v>
      </c>
      <c r="C201" t="n">
        <v/>
      </c>
      <c r="D201" t="n">
        <v>-4596</v>
      </c>
      <c r="E201" t="n">
        <v>5952</v>
      </c>
      <c r="F201" t="n">
        <v/>
      </c>
      <c r="G201" t="n">
        <v>13676</v>
      </c>
      <c r="H201" t="n">
        <v>-24368</v>
      </c>
      <c r="I201" t="n">
        <v>1030</v>
      </c>
      <c r="J201" t="n">
        <v/>
      </c>
      <c r="K201" t="n">
        <v/>
      </c>
      <c r="L201" t="n">
        <v/>
      </c>
    </row>
    <row r="202">
      <c r="A202" s="64" t="n">
        <v>35283</v>
      </c>
      <c r="B202" t="n">
        <v>-2190</v>
      </c>
      <c r="C202" t="n">
        <v/>
      </c>
      <c r="D202" t="n">
        <v>-4457</v>
      </c>
      <c r="E202" t="n">
        <v>7744</v>
      </c>
      <c r="F202" t="n">
        <v/>
      </c>
      <c r="G202" t="n">
        <v>5934</v>
      </c>
      <c r="H202" t="n">
        <v>-9298</v>
      </c>
      <c r="I202" t="n">
        <v>381</v>
      </c>
      <c r="J202" t="n">
        <v/>
      </c>
      <c r="K202" t="n">
        <v/>
      </c>
      <c r="L202" t="n">
        <v/>
      </c>
    </row>
    <row r="203">
      <c r="A203" s="64" t="n">
        <v>35290</v>
      </c>
      <c r="B203" t="n">
        <v>-1919</v>
      </c>
      <c r="C203" t="n">
        <v/>
      </c>
      <c r="D203" t="n">
        <v>-4255</v>
      </c>
      <c r="E203" t="n">
        <v>6853</v>
      </c>
      <c r="F203" t="n">
        <v/>
      </c>
      <c r="G203" t="n">
        <v>4663</v>
      </c>
      <c r="H203" t="n">
        <v>-12136</v>
      </c>
      <c r="I203" t="n">
        <v>118</v>
      </c>
      <c r="J203" t="n">
        <v/>
      </c>
      <c r="K203" t="n">
        <v/>
      </c>
      <c r="L203" t="n">
        <v/>
      </c>
    </row>
    <row r="204">
      <c r="A204" s="64" t="n">
        <v>35297</v>
      </c>
      <c r="B204" t="n">
        <v>-313</v>
      </c>
      <c r="C204" t="n">
        <v/>
      </c>
      <c r="D204" t="n">
        <v>-2504</v>
      </c>
      <c r="E204" t="n">
        <v>7352</v>
      </c>
      <c r="F204" t="n">
        <v/>
      </c>
      <c r="G204" t="n">
        <v>5440</v>
      </c>
      <c r="H204" t="n">
        <v>-12895</v>
      </c>
      <c r="I204" t="n">
        <v>241</v>
      </c>
      <c r="J204" t="n">
        <v/>
      </c>
      <c r="K204" t="n">
        <v/>
      </c>
      <c r="L204" t="n">
        <v/>
      </c>
    </row>
    <row r="205">
      <c r="A205" s="64" t="n">
        <v>35304</v>
      </c>
      <c r="B205" t="n">
        <v>0</v>
      </c>
      <c r="C205" t="n">
        <v/>
      </c>
      <c r="D205" t="n">
        <v>4653</v>
      </c>
      <c r="E205" t="n">
        <v>8276</v>
      </c>
      <c r="F205" t="n">
        <v/>
      </c>
      <c r="G205" t="n">
        <v>8753</v>
      </c>
      <c r="H205" t="n">
        <v>-17125</v>
      </c>
      <c r="I205" t="n">
        <v>684</v>
      </c>
      <c r="J205" t="n">
        <v/>
      </c>
      <c r="K205" t="n">
        <v/>
      </c>
      <c r="L205" t="n">
        <v/>
      </c>
    </row>
    <row r="206">
      <c r="A206" s="64" t="n">
        <v>35311</v>
      </c>
      <c r="B206" t="n">
        <v>223</v>
      </c>
      <c r="C206" t="n">
        <v/>
      </c>
      <c r="D206" t="n">
        <v>8448</v>
      </c>
      <c r="E206" t="n">
        <v>7016</v>
      </c>
      <c r="F206" t="n">
        <v/>
      </c>
      <c r="G206" t="n">
        <v>18934</v>
      </c>
      <c r="H206" t="n">
        <v>-18494</v>
      </c>
      <c r="I206" t="n">
        <v>187</v>
      </c>
      <c r="J206" t="n">
        <v/>
      </c>
      <c r="K206" t="n">
        <v/>
      </c>
      <c r="L206" t="n">
        <v/>
      </c>
    </row>
    <row r="207">
      <c r="A207" s="64" t="n">
        <v>35318</v>
      </c>
      <c r="B207" t="n">
        <v>3593</v>
      </c>
      <c r="C207" t="n">
        <v/>
      </c>
      <c r="D207" t="n">
        <v>-2226</v>
      </c>
      <c r="E207" t="n">
        <v>-7135</v>
      </c>
      <c r="F207" t="n">
        <v/>
      </c>
      <c r="G207" t="n">
        <v>18027</v>
      </c>
      <c r="H207" t="n">
        <v>-31523</v>
      </c>
      <c r="I207" t="n">
        <v>1171</v>
      </c>
      <c r="J207" t="n">
        <v/>
      </c>
      <c r="K207" t="n">
        <v/>
      </c>
      <c r="L207" t="n">
        <v/>
      </c>
    </row>
    <row r="208">
      <c r="A208" s="64" t="n">
        <v>35325</v>
      </c>
      <c r="B208" t="n">
        <v>764</v>
      </c>
      <c r="C208" t="n">
        <v/>
      </c>
      <c r="D208" t="n">
        <v>-981</v>
      </c>
      <c r="E208" t="n">
        <v>-12174</v>
      </c>
      <c r="F208" t="n">
        <v/>
      </c>
      <c r="G208" t="n">
        <v>17847</v>
      </c>
      <c r="H208" t="n">
        <v>-37684</v>
      </c>
      <c r="I208" t="n">
        <v>900</v>
      </c>
      <c r="J208" t="n">
        <v/>
      </c>
      <c r="K208" t="n">
        <v/>
      </c>
      <c r="L208" t="n">
        <v/>
      </c>
    </row>
    <row r="209">
      <c r="A209" s="64" t="n">
        <v>35332</v>
      </c>
      <c r="B209" t="n">
        <v>-200</v>
      </c>
      <c r="C209" t="n">
        <v/>
      </c>
      <c r="D209" t="n">
        <v>6144</v>
      </c>
      <c r="E209" t="n">
        <v>-12773</v>
      </c>
      <c r="F209" t="n">
        <v/>
      </c>
      <c r="G209" t="n">
        <v>16694</v>
      </c>
      <c r="H209" t="n">
        <v>-30333</v>
      </c>
      <c r="I209" t="n">
        <v>1064</v>
      </c>
      <c r="J209" t="n">
        <v/>
      </c>
      <c r="K209" t="n">
        <v/>
      </c>
      <c r="L209" t="n">
        <v/>
      </c>
    </row>
    <row r="210">
      <c r="A210" s="64" t="n">
        <v>35339</v>
      </c>
      <c r="B210" t="n">
        <v>-322</v>
      </c>
      <c r="C210" t="n">
        <v/>
      </c>
      <c r="D210" t="n">
        <v>11509</v>
      </c>
      <c r="E210" t="n">
        <v>-13030</v>
      </c>
      <c r="F210" t="n">
        <v/>
      </c>
      <c r="G210" t="n">
        <v>17986</v>
      </c>
      <c r="H210" t="n">
        <v>-32598</v>
      </c>
      <c r="I210" t="n">
        <v>1065</v>
      </c>
      <c r="J210" t="n">
        <v/>
      </c>
      <c r="K210" t="n">
        <v/>
      </c>
      <c r="L210" t="n">
        <v/>
      </c>
    </row>
    <row r="211">
      <c r="A211" s="64" t="n">
        <v>35346</v>
      </c>
      <c r="B211" t="n">
        <v>-322</v>
      </c>
      <c r="C211" t="n">
        <v/>
      </c>
      <c r="D211" t="n">
        <v>27983</v>
      </c>
      <c r="E211" t="n">
        <v>-12622</v>
      </c>
      <c r="F211" t="n">
        <v/>
      </c>
      <c r="G211" t="n">
        <v>16022</v>
      </c>
      <c r="H211" t="n">
        <v>-31300</v>
      </c>
      <c r="I211" t="n">
        <v>962</v>
      </c>
      <c r="J211" t="n">
        <v/>
      </c>
      <c r="K211" t="n">
        <v/>
      </c>
      <c r="L211" t="n">
        <v/>
      </c>
    </row>
    <row r="212">
      <c r="A212" s="64" t="n">
        <v>35353</v>
      </c>
      <c r="B212" t="n">
        <v>284</v>
      </c>
      <c r="C212" t="n">
        <v/>
      </c>
      <c r="D212" t="n">
        <v>28668</v>
      </c>
      <c r="E212" t="n">
        <v>-14429</v>
      </c>
      <c r="F212" t="n">
        <v/>
      </c>
      <c r="G212" t="n">
        <v>22679</v>
      </c>
      <c r="H212" t="n">
        <v>-30802</v>
      </c>
      <c r="I212" t="n">
        <v>1199</v>
      </c>
      <c r="J212" t="n">
        <v/>
      </c>
      <c r="K212" t="n">
        <v/>
      </c>
      <c r="L212" t="n">
        <v/>
      </c>
    </row>
    <row r="213">
      <c r="A213" s="64" t="n">
        <v>35360</v>
      </c>
      <c r="B213" t="n">
        <v>1496</v>
      </c>
      <c r="C213" t="n">
        <v/>
      </c>
      <c r="D213" t="n">
        <v>31017</v>
      </c>
      <c r="E213" t="n">
        <v>-15797</v>
      </c>
      <c r="F213" t="n">
        <v/>
      </c>
      <c r="G213" t="n">
        <v>23331</v>
      </c>
      <c r="H213" t="n">
        <v>-30035</v>
      </c>
      <c r="I213" t="n">
        <v>1444</v>
      </c>
      <c r="J213" t="n">
        <v/>
      </c>
      <c r="K213" t="n">
        <v/>
      </c>
      <c r="L213" t="n">
        <v/>
      </c>
    </row>
    <row r="214">
      <c r="A214" s="64" t="n">
        <v>35367</v>
      </c>
      <c r="B214" t="n">
        <v>284</v>
      </c>
      <c r="C214" t="n">
        <v/>
      </c>
      <c r="D214" t="n">
        <v>37902</v>
      </c>
      <c r="E214" t="n">
        <v>-13407</v>
      </c>
      <c r="F214" t="n">
        <v/>
      </c>
      <c r="G214" t="n">
        <v>23706</v>
      </c>
      <c r="H214" t="n">
        <v>-31551</v>
      </c>
      <c r="I214" t="n">
        <v>1002</v>
      </c>
      <c r="J214" t="n">
        <v/>
      </c>
      <c r="K214" t="n">
        <v/>
      </c>
      <c r="L214" t="n">
        <v/>
      </c>
    </row>
    <row r="215">
      <c r="A215" s="64" t="n">
        <v>35374</v>
      </c>
      <c r="B215" t="n">
        <v>64</v>
      </c>
      <c r="C215" t="n">
        <v/>
      </c>
      <c r="D215" t="n">
        <v>41530</v>
      </c>
      <c r="E215" t="n">
        <v>-15608</v>
      </c>
      <c r="F215" t="n">
        <v/>
      </c>
      <c r="G215" t="n">
        <v>22910</v>
      </c>
      <c r="H215" t="n">
        <v>-29522</v>
      </c>
      <c r="I215" t="n">
        <v>53</v>
      </c>
      <c r="J215" t="n">
        <v/>
      </c>
      <c r="K215" t="n">
        <v/>
      </c>
      <c r="L215" t="n">
        <v/>
      </c>
    </row>
    <row r="216">
      <c r="A216" s="64" t="n">
        <v>35381</v>
      </c>
      <c r="B216" t="n">
        <v>-740</v>
      </c>
      <c r="C216" t="n">
        <v/>
      </c>
      <c r="D216" t="n">
        <v>45809</v>
      </c>
      <c r="E216" t="n">
        <v>-14680</v>
      </c>
      <c r="F216" t="n">
        <v/>
      </c>
      <c r="G216" t="n">
        <v>22791</v>
      </c>
      <c r="H216" t="n">
        <v>-21177</v>
      </c>
      <c r="I216" t="n">
        <v>746</v>
      </c>
      <c r="J216" t="n">
        <v/>
      </c>
      <c r="K216" t="n">
        <v/>
      </c>
      <c r="L216" t="n">
        <v/>
      </c>
    </row>
    <row r="217">
      <c r="A217" s="64" t="n">
        <v>35388</v>
      </c>
      <c r="B217" t="n">
        <v>924</v>
      </c>
      <c r="C217" t="n">
        <v/>
      </c>
      <c r="D217" t="n">
        <v>30578</v>
      </c>
      <c r="E217" t="n">
        <v>-15838</v>
      </c>
      <c r="F217" t="n">
        <v/>
      </c>
      <c r="G217" t="n">
        <v>21750</v>
      </c>
      <c r="H217" t="n">
        <v>-18693</v>
      </c>
      <c r="I217" t="n">
        <v>1104</v>
      </c>
      <c r="J217" t="n">
        <v/>
      </c>
      <c r="K217" t="n">
        <v/>
      </c>
      <c r="L217" t="n">
        <v/>
      </c>
    </row>
    <row r="218">
      <c r="A218" s="64" t="n">
        <v>35395</v>
      </c>
      <c r="B218" t="n">
        <v>6004</v>
      </c>
      <c r="C218" t="n">
        <v/>
      </c>
      <c r="D218" t="n">
        <v>27776</v>
      </c>
      <c r="E218" t="n">
        <v>-17233</v>
      </c>
      <c r="F218" t="n">
        <v/>
      </c>
      <c r="G218" t="n">
        <v>20397</v>
      </c>
      <c r="H218" t="n">
        <v>-19003</v>
      </c>
      <c r="I218" t="n">
        <v>21</v>
      </c>
      <c r="J218" t="n">
        <v/>
      </c>
      <c r="K218" t="n">
        <v/>
      </c>
      <c r="L218" t="n">
        <v/>
      </c>
    </row>
    <row r="219">
      <c r="A219" s="64" t="n">
        <v>35402</v>
      </c>
      <c r="B219" t="n">
        <v>1930</v>
      </c>
      <c r="C219" t="n">
        <v/>
      </c>
      <c r="D219" t="n">
        <v>14976</v>
      </c>
      <c r="E219" t="n">
        <v>-15660</v>
      </c>
      <c r="F219" t="n">
        <v/>
      </c>
      <c r="G219" t="n">
        <v>3519</v>
      </c>
      <c r="H219" t="n">
        <v>-24590</v>
      </c>
      <c r="I219" t="n">
        <v>1285</v>
      </c>
      <c r="J219" t="n">
        <v/>
      </c>
      <c r="K219" t="n">
        <v/>
      </c>
      <c r="L219" t="n">
        <v/>
      </c>
    </row>
    <row r="220">
      <c r="A220" s="64" t="n">
        <v>35409</v>
      </c>
      <c r="B220" t="n">
        <v>997</v>
      </c>
      <c r="C220" t="n">
        <v/>
      </c>
      <c r="D220" t="n">
        <v>1905</v>
      </c>
      <c r="E220" t="n">
        <v>-16822</v>
      </c>
      <c r="F220" t="n">
        <v/>
      </c>
      <c r="G220" t="n">
        <v>350</v>
      </c>
      <c r="H220" t="n">
        <v>-22744</v>
      </c>
      <c r="I220" t="n">
        <v>1496</v>
      </c>
      <c r="J220" t="n">
        <v/>
      </c>
      <c r="K220" t="n">
        <v/>
      </c>
      <c r="L220" t="n">
        <v/>
      </c>
    </row>
    <row r="221">
      <c r="A221" s="64" t="n">
        <v>35416</v>
      </c>
      <c r="B221" t="n">
        <v>211</v>
      </c>
      <c r="C221" t="n">
        <v/>
      </c>
      <c r="D221" t="n">
        <v>4299</v>
      </c>
      <c r="E221" t="n">
        <v>-15564</v>
      </c>
      <c r="F221" t="n">
        <v/>
      </c>
      <c r="G221" t="n">
        <v>1278</v>
      </c>
      <c r="H221" t="n">
        <v>-23708</v>
      </c>
      <c r="I221" t="n">
        <v>1814</v>
      </c>
      <c r="J221" t="n">
        <v/>
      </c>
      <c r="K221" t="n">
        <v/>
      </c>
      <c r="L221" t="n">
        <v/>
      </c>
    </row>
    <row r="222">
      <c r="A222" s="64" t="n">
        <v>35423</v>
      </c>
      <c r="B222" t="n">
        <v>171</v>
      </c>
      <c r="C222" t="n">
        <v/>
      </c>
      <c r="D222" t="n">
        <v>2914</v>
      </c>
      <c r="E222" t="n">
        <v>-17914</v>
      </c>
      <c r="F222" t="n">
        <v/>
      </c>
      <c r="G222" t="n">
        <v>1208</v>
      </c>
      <c r="H222" t="n">
        <v>-25100</v>
      </c>
      <c r="I222" t="n">
        <v>2094</v>
      </c>
      <c r="J222" t="n">
        <v/>
      </c>
      <c r="K222" t="n">
        <v/>
      </c>
      <c r="L222" t="n">
        <v/>
      </c>
    </row>
    <row r="223">
      <c r="A223" s="64" t="n">
        <v>35430</v>
      </c>
      <c r="B223" t="n">
        <v>171</v>
      </c>
      <c r="C223" t="n">
        <v/>
      </c>
      <c r="D223" t="n">
        <v>717</v>
      </c>
      <c r="E223" t="n">
        <v>-16032</v>
      </c>
      <c r="F223" t="n">
        <v/>
      </c>
      <c r="G223" t="n">
        <v>16631</v>
      </c>
      <c r="H223" t="n">
        <v>-26475</v>
      </c>
      <c r="I223" t="n">
        <v>2091</v>
      </c>
      <c r="J223" t="n">
        <v/>
      </c>
      <c r="K223" t="n">
        <v/>
      </c>
      <c r="L223" t="n">
        <v/>
      </c>
    </row>
    <row r="224">
      <c r="A224" s="64" t="n">
        <v>35437</v>
      </c>
      <c r="B224" t="n">
        <v>-20</v>
      </c>
      <c r="C224" t="n">
        <v/>
      </c>
      <c r="D224" t="n">
        <v>-4230</v>
      </c>
      <c r="E224" t="n">
        <v>-17254</v>
      </c>
      <c r="F224" t="n">
        <v/>
      </c>
      <c r="G224" t="n">
        <v>14728</v>
      </c>
      <c r="H224" t="n">
        <v>-31304</v>
      </c>
      <c r="I224" t="n">
        <v>3335</v>
      </c>
      <c r="J224" t="n">
        <v/>
      </c>
      <c r="K224" t="n">
        <v/>
      </c>
      <c r="L224" t="n">
        <v/>
      </c>
    </row>
    <row r="225">
      <c r="A225" s="64" t="n">
        <v>35444</v>
      </c>
      <c r="B225" t="n">
        <v>-3796</v>
      </c>
      <c r="C225" t="n">
        <v/>
      </c>
      <c r="D225" t="n">
        <v>1801</v>
      </c>
      <c r="E225" t="n">
        <v>-20090</v>
      </c>
      <c r="F225" t="n">
        <v/>
      </c>
      <c r="G225" t="n">
        <v>10728</v>
      </c>
      <c r="H225" t="n">
        <v>-32607</v>
      </c>
      <c r="I225" t="n">
        <v>3963</v>
      </c>
      <c r="J225" t="n">
        <v/>
      </c>
      <c r="K225" t="n">
        <v/>
      </c>
      <c r="L225" t="n">
        <v/>
      </c>
    </row>
    <row r="226">
      <c r="A226" s="64" t="n">
        <v>35451</v>
      </c>
      <c r="B226" t="n">
        <v>-3806</v>
      </c>
      <c r="C226" t="n">
        <v/>
      </c>
      <c r="D226" t="n">
        <v>3742</v>
      </c>
      <c r="E226" t="n">
        <v>-19464</v>
      </c>
      <c r="F226" t="n">
        <v/>
      </c>
      <c r="G226" t="n">
        <v>10151</v>
      </c>
      <c r="H226" t="n">
        <v>-32385</v>
      </c>
      <c r="I226" t="n">
        <v>4152</v>
      </c>
      <c r="J226" t="n">
        <v/>
      </c>
      <c r="K226" t="n">
        <v/>
      </c>
      <c r="L226" t="n">
        <v/>
      </c>
    </row>
    <row r="227">
      <c r="A227" s="64" t="n">
        <v>35458</v>
      </c>
      <c r="B227" t="n">
        <v>-4293</v>
      </c>
      <c r="C227" t="n">
        <v/>
      </c>
      <c r="D227" t="n">
        <v>3383</v>
      </c>
      <c r="E227" t="n">
        <v>-18487</v>
      </c>
      <c r="F227" t="n">
        <v/>
      </c>
      <c r="G227" t="n">
        <v>-7411</v>
      </c>
      <c r="H227" t="n">
        <v>-33226</v>
      </c>
      <c r="I227" t="n">
        <v>3979</v>
      </c>
      <c r="J227" t="n">
        <v/>
      </c>
      <c r="K227" t="n">
        <v/>
      </c>
      <c r="L227" t="n">
        <v/>
      </c>
    </row>
    <row r="228">
      <c r="A228" s="64" t="n">
        <v>35465</v>
      </c>
      <c r="B228" t="n">
        <v>-5296</v>
      </c>
      <c r="C228" t="n">
        <v/>
      </c>
      <c r="D228" t="n">
        <v>1965</v>
      </c>
      <c r="E228" t="n">
        <v>-18362</v>
      </c>
      <c r="F228" t="n">
        <v/>
      </c>
      <c r="G228" t="n">
        <v>-11716</v>
      </c>
      <c r="H228" t="n">
        <v>-32803</v>
      </c>
      <c r="I228" t="n">
        <v>4142</v>
      </c>
      <c r="J228" t="n">
        <v/>
      </c>
      <c r="K228" t="n">
        <v/>
      </c>
      <c r="L228" t="n">
        <v/>
      </c>
    </row>
    <row r="229">
      <c r="A229" s="64" t="n">
        <v>35472</v>
      </c>
      <c r="B229" t="n">
        <v>-5872</v>
      </c>
      <c r="C229" t="n">
        <v/>
      </c>
      <c r="D229" t="n">
        <v>-73</v>
      </c>
      <c r="E229" t="n">
        <v>-17959</v>
      </c>
      <c r="F229" t="n">
        <v/>
      </c>
      <c r="G229" t="n">
        <v>-8660</v>
      </c>
      <c r="H229" t="n">
        <v>-34709</v>
      </c>
      <c r="I229" t="n">
        <v>3986</v>
      </c>
      <c r="J229" t="n">
        <v/>
      </c>
      <c r="K229" t="n">
        <v/>
      </c>
      <c r="L229" t="n">
        <v/>
      </c>
    </row>
    <row r="230">
      <c r="A230" s="64" t="n">
        <v>35479</v>
      </c>
      <c r="B230" t="n">
        <v>-5608</v>
      </c>
      <c r="C230" t="n">
        <v/>
      </c>
      <c r="D230" t="n">
        <v>1165</v>
      </c>
      <c r="E230" t="n">
        <v>-18869</v>
      </c>
      <c r="F230" t="n">
        <v/>
      </c>
      <c r="G230" t="n">
        <v>-9489</v>
      </c>
      <c r="H230" t="n">
        <v>-33148</v>
      </c>
      <c r="I230" t="n">
        <v>3807</v>
      </c>
      <c r="J230" t="n">
        <v/>
      </c>
      <c r="K230" t="n">
        <v/>
      </c>
      <c r="L230" t="n">
        <v/>
      </c>
    </row>
    <row r="231">
      <c r="A231" s="64" t="n">
        <v>35486</v>
      </c>
      <c r="B231" t="n">
        <v>-2134</v>
      </c>
      <c r="C231" t="n">
        <v/>
      </c>
      <c r="D231" t="n">
        <v>-3054</v>
      </c>
      <c r="E231" t="n">
        <v>-19291</v>
      </c>
      <c r="F231" t="n">
        <v/>
      </c>
      <c r="G231" t="n">
        <v>-8113</v>
      </c>
      <c r="H231" t="n">
        <v>-27251</v>
      </c>
      <c r="I231" t="n">
        <v>5328</v>
      </c>
      <c r="J231" t="n">
        <v/>
      </c>
      <c r="K231" t="n">
        <v/>
      </c>
      <c r="L231" t="n">
        <v/>
      </c>
    </row>
    <row r="232">
      <c r="A232" s="64" t="n">
        <v>35493</v>
      </c>
      <c r="B232" t="n">
        <v>351</v>
      </c>
      <c r="C232" t="n">
        <v/>
      </c>
      <c r="D232" t="n">
        <v>-10706</v>
      </c>
      <c r="E232" t="n">
        <v>-18795</v>
      </c>
      <c r="F232" t="n">
        <v/>
      </c>
      <c r="G232" t="n">
        <v>-7687</v>
      </c>
      <c r="H232" t="n">
        <v>-25085</v>
      </c>
      <c r="I232" t="n">
        <v>1215</v>
      </c>
      <c r="J232" t="n">
        <v/>
      </c>
      <c r="K232" t="n">
        <v/>
      </c>
      <c r="L232" t="n">
        <v/>
      </c>
    </row>
    <row r="233">
      <c r="A233" s="64" t="n">
        <v>35500</v>
      </c>
      <c r="B233" t="n">
        <v>1198</v>
      </c>
      <c r="C233" t="n">
        <v/>
      </c>
      <c r="D233" t="n">
        <v>-9735</v>
      </c>
      <c r="E233" t="n">
        <v>-17078</v>
      </c>
      <c r="F233" t="n">
        <v/>
      </c>
      <c r="G233" t="n">
        <v>-12367</v>
      </c>
      <c r="H233" t="n">
        <v>-24227</v>
      </c>
      <c r="I233" t="n">
        <v>704</v>
      </c>
      <c r="J233" t="n">
        <v/>
      </c>
      <c r="K233" t="n">
        <v/>
      </c>
      <c r="L233" t="n">
        <v/>
      </c>
    </row>
    <row r="234">
      <c r="A234" s="64" t="n">
        <v>35507</v>
      </c>
      <c r="B234" t="n">
        <v>1569</v>
      </c>
      <c r="C234" t="n">
        <v/>
      </c>
      <c r="D234" t="n">
        <v>-11987</v>
      </c>
      <c r="E234" t="n">
        <v>-14934</v>
      </c>
      <c r="F234" t="n">
        <v/>
      </c>
      <c r="G234" t="n">
        <v>-13989</v>
      </c>
      <c r="H234" t="n">
        <v>-25670</v>
      </c>
      <c r="I234" t="n">
        <v>0</v>
      </c>
      <c r="J234" t="n">
        <v/>
      </c>
      <c r="K234" t="n">
        <v/>
      </c>
      <c r="L234" t="n">
        <v/>
      </c>
    </row>
    <row r="235">
      <c r="A235" s="64" t="n">
        <v>35514</v>
      </c>
      <c r="B235" t="n">
        <v>895</v>
      </c>
      <c r="C235" t="n">
        <v/>
      </c>
      <c r="D235" t="n">
        <v>-14532</v>
      </c>
      <c r="E235" t="n">
        <v>-14738</v>
      </c>
      <c r="F235" t="n">
        <v/>
      </c>
      <c r="G235" t="n">
        <v>-10923</v>
      </c>
      <c r="H235" t="n">
        <v>-27027</v>
      </c>
      <c r="I235" t="n">
        <v>200</v>
      </c>
      <c r="J235" t="n">
        <v/>
      </c>
      <c r="K235" t="n">
        <v/>
      </c>
      <c r="L235" t="n">
        <v/>
      </c>
    </row>
    <row r="236">
      <c r="A236" s="64" t="n">
        <v>35521</v>
      </c>
      <c r="B236" t="n">
        <v>254</v>
      </c>
      <c r="C236" t="n">
        <v/>
      </c>
      <c r="D236" t="n">
        <v>-14733</v>
      </c>
      <c r="E236" t="n">
        <v>-15126</v>
      </c>
      <c r="F236" t="n">
        <v/>
      </c>
      <c r="G236" t="n">
        <v>8318</v>
      </c>
      <c r="H236" t="n">
        <v>-23733</v>
      </c>
      <c r="I236" t="n">
        <v>1266</v>
      </c>
      <c r="J236" t="n">
        <v/>
      </c>
      <c r="K236" t="n">
        <v/>
      </c>
      <c r="L236" t="n">
        <v/>
      </c>
    </row>
    <row r="237">
      <c r="A237" s="64" t="n">
        <v>35528</v>
      </c>
      <c r="B237" t="n">
        <v>-745</v>
      </c>
      <c r="C237" t="n">
        <v/>
      </c>
      <c r="D237" t="n">
        <v>-17249</v>
      </c>
      <c r="E237" t="n">
        <v>-16664</v>
      </c>
      <c r="F237" t="n">
        <v/>
      </c>
      <c r="G237" t="n">
        <v>8987</v>
      </c>
      <c r="H237" t="n">
        <v>-30640</v>
      </c>
      <c r="I237" t="n">
        <v>415</v>
      </c>
      <c r="J237" t="n">
        <v/>
      </c>
      <c r="K237" t="n">
        <v/>
      </c>
      <c r="L237" t="n">
        <v/>
      </c>
    </row>
    <row r="238">
      <c r="A238" s="64" t="n">
        <v>35535</v>
      </c>
      <c r="B238" t="n">
        <v>-488</v>
      </c>
      <c r="C238" t="n">
        <v/>
      </c>
      <c r="D238" t="n">
        <v>-16240</v>
      </c>
      <c r="E238" t="n">
        <v>-16791</v>
      </c>
      <c r="F238" t="n">
        <v/>
      </c>
      <c r="G238" t="n">
        <v>8513</v>
      </c>
      <c r="H238" t="n">
        <v>-33614</v>
      </c>
      <c r="I238" t="n">
        <v>1764</v>
      </c>
      <c r="J238" t="n">
        <v/>
      </c>
      <c r="K238" t="n">
        <v/>
      </c>
      <c r="L238" t="n">
        <v/>
      </c>
    </row>
    <row r="239">
      <c r="A239" s="64" t="n">
        <v>35542</v>
      </c>
      <c r="B239" t="n">
        <v>-489</v>
      </c>
      <c r="C239" t="n">
        <v/>
      </c>
      <c r="D239" t="n">
        <v>-16178</v>
      </c>
      <c r="E239" t="n">
        <v>-16579</v>
      </c>
      <c r="F239" t="n">
        <v/>
      </c>
      <c r="G239" t="n">
        <v>9534</v>
      </c>
      <c r="H239" t="n">
        <v>-33594</v>
      </c>
      <c r="I239" t="n">
        <v>2438</v>
      </c>
      <c r="J239" t="n">
        <v/>
      </c>
      <c r="K239" t="n">
        <v/>
      </c>
      <c r="L239" t="n">
        <v/>
      </c>
    </row>
    <row r="240">
      <c r="A240" s="64" t="n">
        <v>35549</v>
      </c>
      <c r="B240" t="n">
        <v>-703</v>
      </c>
      <c r="C240" t="n">
        <v/>
      </c>
      <c r="D240" t="n">
        <v>-14470</v>
      </c>
      <c r="E240" t="n">
        <v>-16923</v>
      </c>
      <c r="F240" t="n">
        <v/>
      </c>
      <c r="G240" t="n">
        <v>12230</v>
      </c>
      <c r="H240" t="n">
        <v>-35863</v>
      </c>
      <c r="I240" t="n">
        <v>1121</v>
      </c>
      <c r="J240" t="n">
        <v/>
      </c>
      <c r="K240" t="n">
        <v/>
      </c>
      <c r="L240" t="n">
        <v/>
      </c>
    </row>
    <row r="241">
      <c r="A241" s="64" t="n">
        <v>35556</v>
      </c>
      <c r="B241" t="n">
        <v>-57</v>
      </c>
      <c r="C241" t="n">
        <v/>
      </c>
      <c r="D241" t="n">
        <v>-8540</v>
      </c>
      <c r="E241" t="n">
        <v>-12280</v>
      </c>
      <c r="F241" t="n">
        <v/>
      </c>
      <c r="G241" t="n">
        <v>8171</v>
      </c>
      <c r="H241" t="n">
        <v>-29805</v>
      </c>
      <c r="I241" t="n">
        <v>1372</v>
      </c>
      <c r="J241" t="n">
        <v/>
      </c>
      <c r="K241" t="n">
        <v/>
      </c>
      <c r="L241" t="n">
        <v/>
      </c>
    </row>
    <row r="242">
      <c r="A242" s="64" t="n">
        <v>35563</v>
      </c>
      <c r="B242" t="n">
        <v>-490</v>
      </c>
      <c r="C242" t="n">
        <v/>
      </c>
      <c r="D242" t="n">
        <v>-10082</v>
      </c>
      <c r="E242" t="n">
        <v>9949</v>
      </c>
      <c r="F242" t="n">
        <v/>
      </c>
      <c r="G242" t="n">
        <v>7370</v>
      </c>
      <c r="H242" t="n">
        <v>6971</v>
      </c>
      <c r="I242" t="n">
        <v>42</v>
      </c>
      <c r="J242" t="n">
        <v/>
      </c>
      <c r="K242" t="n">
        <v/>
      </c>
      <c r="L242" t="n">
        <v/>
      </c>
    </row>
    <row r="243">
      <c r="A243" s="64" t="n">
        <v>35570</v>
      </c>
      <c r="B243" t="n">
        <v>-662</v>
      </c>
      <c r="C243" t="n">
        <v/>
      </c>
      <c r="D243" t="n">
        <v>-3263</v>
      </c>
      <c r="E243" t="n">
        <v>14379</v>
      </c>
      <c r="F243" t="n">
        <v/>
      </c>
      <c r="G243" t="n">
        <v>11111</v>
      </c>
      <c r="H243" t="n">
        <v>13580</v>
      </c>
      <c r="I243" t="n">
        <v>655</v>
      </c>
      <c r="J243" t="n">
        <v/>
      </c>
      <c r="K243" t="n">
        <v/>
      </c>
      <c r="L243" t="n">
        <v/>
      </c>
    </row>
    <row r="244">
      <c r="A244" s="64" t="n">
        <v>35577</v>
      </c>
      <c r="B244" t="n">
        <v>-5078</v>
      </c>
      <c r="C244" t="n">
        <v/>
      </c>
      <c r="D244" t="n">
        <v>461</v>
      </c>
      <c r="E244" t="n">
        <v>15318</v>
      </c>
      <c r="F244" t="n">
        <v/>
      </c>
      <c r="G244" t="n">
        <v>10967</v>
      </c>
      <c r="H244" t="n">
        <v>9947</v>
      </c>
      <c r="I244" t="n">
        <v>504</v>
      </c>
      <c r="J244" t="n">
        <v/>
      </c>
      <c r="K244" t="n">
        <v/>
      </c>
      <c r="L244" t="n">
        <v/>
      </c>
    </row>
    <row r="245">
      <c r="A245" s="64" t="n">
        <v>35584</v>
      </c>
      <c r="B245" t="n">
        <v>-6631</v>
      </c>
      <c r="C245" t="n">
        <v/>
      </c>
      <c r="D245" t="n">
        <v>-33</v>
      </c>
      <c r="E245" t="n">
        <v>11525</v>
      </c>
      <c r="F245" t="n">
        <v/>
      </c>
      <c r="G245" t="n">
        <v>11174</v>
      </c>
      <c r="H245" t="n">
        <v>10839</v>
      </c>
      <c r="I245" t="n">
        <v>820</v>
      </c>
      <c r="J245" t="n">
        <v/>
      </c>
      <c r="K245" t="n">
        <v/>
      </c>
      <c r="L245" t="n">
        <v/>
      </c>
    </row>
    <row r="246">
      <c r="A246" s="64" t="n">
        <v>35591</v>
      </c>
      <c r="B246" t="n">
        <v>-6048</v>
      </c>
      <c r="C246" t="n">
        <v/>
      </c>
      <c r="D246" t="n">
        <v>-3014</v>
      </c>
      <c r="E246" t="n">
        <v>-9946</v>
      </c>
      <c r="F246" t="n">
        <v/>
      </c>
      <c r="G246" t="n">
        <v>10422</v>
      </c>
      <c r="H246" t="n">
        <v>10305</v>
      </c>
      <c r="I246" t="n">
        <v>634</v>
      </c>
      <c r="J246" t="n">
        <v/>
      </c>
      <c r="K246" t="n">
        <v/>
      </c>
      <c r="L246" t="n">
        <v/>
      </c>
    </row>
    <row r="247">
      <c r="A247" s="64" t="n">
        <v>35598</v>
      </c>
      <c r="B247" t="n">
        <v>-7466</v>
      </c>
      <c r="C247" t="n">
        <v/>
      </c>
      <c r="D247" t="n">
        <v>-1745</v>
      </c>
      <c r="E247" t="n">
        <v>-9745</v>
      </c>
      <c r="F247" t="n">
        <v/>
      </c>
      <c r="G247" t="n">
        <v>12199</v>
      </c>
      <c r="H247" t="n">
        <v>4461</v>
      </c>
      <c r="I247" t="n">
        <v>272</v>
      </c>
      <c r="J247" t="n">
        <v/>
      </c>
      <c r="K247" t="n">
        <v/>
      </c>
      <c r="L247" t="n">
        <v/>
      </c>
    </row>
    <row r="248">
      <c r="A248" s="64" t="n">
        <v>35605</v>
      </c>
      <c r="B248" t="n">
        <v>-6826</v>
      </c>
      <c r="C248" t="n">
        <v/>
      </c>
      <c r="D248" t="n">
        <v>-3653</v>
      </c>
      <c r="E248" t="n">
        <v>-4970</v>
      </c>
      <c r="F248" t="n">
        <v/>
      </c>
      <c r="G248" t="n">
        <v>24302</v>
      </c>
      <c r="H248" t="n">
        <v>1138</v>
      </c>
      <c r="I248" t="n">
        <v>-1896</v>
      </c>
      <c r="J248" t="n">
        <v/>
      </c>
      <c r="K248" t="n">
        <v/>
      </c>
      <c r="L248" t="n">
        <v/>
      </c>
    </row>
    <row r="249">
      <c r="A249" s="64" t="n">
        <v>35612</v>
      </c>
      <c r="B249" t="n">
        <v>-7144</v>
      </c>
      <c r="C249" t="n">
        <v/>
      </c>
      <c r="D249" t="n">
        <v>-3605</v>
      </c>
      <c r="E249" t="n">
        <v>-12855</v>
      </c>
      <c r="F249" t="n">
        <v/>
      </c>
      <c r="G249" t="n">
        <v>21986</v>
      </c>
      <c r="H249" t="n">
        <v>2468</v>
      </c>
      <c r="I249" t="n">
        <v>-1185</v>
      </c>
      <c r="J249" t="n">
        <v/>
      </c>
      <c r="K249" t="n">
        <v/>
      </c>
      <c r="L249" t="n">
        <v/>
      </c>
    </row>
    <row r="250">
      <c r="A250" s="64" t="n">
        <v>35619</v>
      </c>
      <c r="B250" t="n">
        <v>-8099</v>
      </c>
      <c r="C250" t="n">
        <v/>
      </c>
      <c r="D250" t="n">
        <v>-1096</v>
      </c>
      <c r="E250" t="n">
        <v>-20293</v>
      </c>
      <c r="F250" t="n">
        <v/>
      </c>
      <c r="G250" t="n">
        <v>27277</v>
      </c>
      <c r="H250" t="n">
        <v>8191</v>
      </c>
      <c r="I250" t="n">
        <v>259</v>
      </c>
      <c r="J250" t="n">
        <v/>
      </c>
      <c r="K250" t="n">
        <v/>
      </c>
      <c r="L250" t="n">
        <v/>
      </c>
    </row>
    <row r="251">
      <c r="A251" s="64" t="n">
        <v>35626</v>
      </c>
      <c r="B251" t="n">
        <v>-8703</v>
      </c>
      <c r="C251" t="n">
        <v/>
      </c>
      <c r="D251" t="n">
        <v>-2548</v>
      </c>
      <c r="E251" t="n">
        <v>-16728</v>
      </c>
      <c r="F251" t="n">
        <v/>
      </c>
      <c r="G251" t="n">
        <v>26956</v>
      </c>
      <c r="H251" t="n">
        <v>-1594</v>
      </c>
      <c r="I251" t="n">
        <v>663</v>
      </c>
      <c r="J251" t="n">
        <v/>
      </c>
      <c r="K251" t="n">
        <v/>
      </c>
      <c r="L251" t="n">
        <v/>
      </c>
    </row>
    <row r="252">
      <c r="A252" s="64" t="n">
        <v>35633</v>
      </c>
      <c r="B252" t="n">
        <v>-8461</v>
      </c>
      <c r="C252" t="n">
        <v/>
      </c>
      <c r="D252" t="n">
        <v>-1074</v>
      </c>
      <c r="E252" t="n">
        <v>-17755</v>
      </c>
      <c r="F252" t="n">
        <v/>
      </c>
      <c r="G252" t="n">
        <v>26094</v>
      </c>
      <c r="H252" t="n">
        <v>-2617</v>
      </c>
      <c r="I252" t="n">
        <v>1286</v>
      </c>
      <c r="J252" t="n">
        <v/>
      </c>
      <c r="K252" t="n">
        <v/>
      </c>
      <c r="L252" t="n">
        <v/>
      </c>
    </row>
    <row r="253">
      <c r="A253" s="64" t="n">
        <v>35640</v>
      </c>
      <c r="B253" t="n">
        <v>-7270</v>
      </c>
      <c r="C253" t="n">
        <v/>
      </c>
      <c r="D253" t="n">
        <v>-4934</v>
      </c>
      <c r="E253" t="n">
        <v>-21234</v>
      </c>
      <c r="F253" t="n">
        <v/>
      </c>
      <c r="G253" t="n">
        <v>-830</v>
      </c>
      <c r="H253" t="n">
        <v>-22087</v>
      </c>
      <c r="I253" t="n">
        <v>453</v>
      </c>
      <c r="J253" t="n">
        <v/>
      </c>
      <c r="K253" t="n">
        <v/>
      </c>
      <c r="L253" t="n">
        <v/>
      </c>
    </row>
    <row r="254">
      <c r="A254" s="64" t="n">
        <v>35647</v>
      </c>
      <c r="B254" t="n">
        <v>-5599</v>
      </c>
      <c r="C254" t="n">
        <v/>
      </c>
      <c r="D254" t="n">
        <v>-4163</v>
      </c>
      <c r="E254" t="n">
        <v>-22222</v>
      </c>
      <c r="F254" t="n">
        <v/>
      </c>
      <c r="G254" t="n">
        <v>-5168</v>
      </c>
      <c r="H254" t="n">
        <v>-29326</v>
      </c>
      <c r="I254" t="n">
        <v>2772</v>
      </c>
      <c r="J254" t="n">
        <v/>
      </c>
      <c r="K254" t="n">
        <v/>
      </c>
      <c r="L254" t="n">
        <v/>
      </c>
    </row>
    <row r="255">
      <c r="A255" s="64" t="n">
        <v>35654</v>
      </c>
      <c r="B255" t="n">
        <v>-6017</v>
      </c>
      <c r="C255" t="n">
        <v/>
      </c>
      <c r="D255" t="n">
        <v>-8948</v>
      </c>
      <c r="E255" t="n">
        <v>-17201</v>
      </c>
      <c r="F255" t="n">
        <v/>
      </c>
      <c r="G255" t="n">
        <v>-12770</v>
      </c>
      <c r="H255" t="n">
        <v>-24325</v>
      </c>
      <c r="I255" t="n">
        <v>3304</v>
      </c>
      <c r="J255" t="n">
        <v/>
      </c>
      <c r="K255" t="n">
        <v/>
      </c>
      <c r="L255" t="n">
        <v/>
      </c>
    </row>
    <row r="256">
      <c r="A256" s="64" t="n">
        <v>35661</v>
      </c>
      <c r="B256" t="n">
        <v>-5457</v>
      </c>
      <c r="C256" t="n">
        <v/>
      </c>
      <c r="D256" t="n">
        <v>-14432</v>
      </c>
      <c r="E256" t="n">
        <v>-15168</v>
      </c>
      <c r="F256" t="n">
        <v/>
      </c>
      <c r="G256" t="n">
        <v>-13339</v>
      </c>
      <c r="H256" t="n">
        <v>-26730</v>
      </c>
      <c r="I256" t="n">
        <v>3850</v>
      </c>
      <c r="J256" t="n">
        <v/>
      </c>
      <c r="K256" t="n">
        <v/>
      </c>
      <c r="L256" t="n">
        <v/>
      </c>
    </row>
    <row r="257">
      <c r="A257" s="64" t="n">
        <v>35668</v>
      </c>
      <c r="B257" t="n">
        <v>-4392</v>
      </c>
      <c r="C257" t="n">
        <v/>
      </c>
      <c r="D257" t="n">
        <v>-15188</v>
      </c>
      <c r="E257" t="n">
        <v>-10555</v>
      </c>
      <c r="F257" t="n">
        <v/>
      </c>
      <c r="G257" t="n">
        <v>-11955</v>
      </c>
      <c r="H257" t="n">
        <v>-22748</v>
      </c>
      <c r="I257" t="n">
        <v>5237</v>
      </c>
      <c r="J257" t="n">
        <v/>
      </c>
      <c r="K257" t="n">
        <v/>
      </c>
      <c r="L257" t="n">
        <v/>
      </c>
    </row>
    <row r="258">
      <c r="A258" s="64" t="n">
        <v>35675</v>
      </c>
      <c r="B258" t="n">
        <v>-5734</v>
      </c>
      <c r="C258" t="n">
        <v/>
      </c>
      <c r="D258" t="n">
        <v>-5755</v>
      </c>
      <c r="E258" t="n">
        <v>-11054</v>
      </c>
      <c r="F258" t="n">
        <v/>
      </c>
      <c r="G258" t="n">
        <v>-11481</v>
      </c>
      <c r="H258" t="n">
        <v>-29314</v>
      </c>
      <c r="I258" t="n">
        <v>5131</v>
      </c>
      <c r="J258" t="n">
        <v/>
      </c>
      <c r="K258" t="n">
        <v/>
      </c>
      <c r="L258" t="n">
        <v/>
      </c>
    </row>
    <row r="259">
      <c r="A259" s="64" t="n">
        <v>35682</v>
      </c>
      <c r="B259" t="n">
        <v>-6658</v>
      </c>
      <c r="C259" t="n">
        <v/>
      </c>
      <c r="D259" t="n">
        <v>-2913</v>
      </c>
      <c r="E259" t="n">
        <v>-8767</v>
      </c>
      <c r="F259" t="n">
        <v/>
      </c>
      <c r="G259" t="n">
        <v>-10321</v>
      </c>
      <c r="H259" t="n">
        <v>-20403</v>
      </c>
      <c r="I259" t="n">
        <v>5497</v>
      </c>
      <c r="J259" t="n">
        <v/>
      </c>
      <c r="K259" t="n">
        <v/>
      </c>
      <c r="L259" t="n">
        <v/>
      </c>
    </row>
    <row r="260">
      <c r="A260" s="64" t="n">
        <v>35689</v>
      </c>
      <c r="B260" t="n">
        <v>-8604</v>
      </c>
      <c r="C260" t="n">
        <v/>
      </c>
      <c r="D260" t="n">
        <v>-9130</v>
      </c>
      <c r="E260" t="n">
        <v>8239</v>
      </c>
      <c r="F260" t="n">
        <v/>
      </c>
      <c r="G260" t="n">
        <v>-11260</v>
      </c>
      <c r="H260" t="n">
        <v>-23221</v>
      </c>
      <c r="I260" t="n">
        <v>7475</v>
      </c>
      <c r="J260" t="n">
        <v/>
      </c>
      <c r="K260" t="n">
        <v/>
      </c>
      <c r="L260" t="n">
        <v/>
      </c>
    </row>
    <row r="261">
      <c r="A261" s="64" t="n">
        <v>35696</v>
      </c>
      <c r="B261" t="n">
        <v>-8868</v>
      </c>
      <c r="C261" t="n">
        <v/>
      </c>
      <c r="D261" t="n">
        <v>-10071</v>
      </c>
      <c r="E261" t="n">
        <v>8471</v>
      </c>
      <c r="F261" t="n">
        <v/>
      </c>
      <c r="G261" t="n">
        <v>-9706</v>
      </c>
      <c r="H261" t="n">
        <v>-25155</v>
      </c>
      <c r="I261" t="n">
        <v>7071</v>
      </c>
      <c r="J261" t="n">
        <v/>
      </c>
      <c r="K261" t="n">
        <v/>
      </c>
      <c r="L261" t="n">
        <v/>
      </c>
    </row>
    <row r="262">
      <c r="A262" s="64" t="n">
        <v>35703</v>
      </c>
      <c r="B262" t="n">
        <v>-8828</v>
      </c>
      <c r="C262" t="n">
        <v/>
      </c>
      <c r="D262" t="n">
        <v>-1729</v>
      </c>
      <c r="E262" t="n">
        <v>10791</v>
      </c>
      <c r="F262" t="n">
        <v/>
      </c>
      <c r="G262" t="n">
        <v>-7307</v>
      </c>
      <c r="H262" t="n">
        <v>-26133</v>
      </c>
      <c r="I262" t="n">
        <v>6263</v>
      </c>
      <c r="J262" t="n">
        <v/>
      </c>
      <c r="K262" t="n">
        <v/>
      </c>
      <c r="L262" t="n">
        <v/>
      </c>
    </row>
    <row r="263">
      <c r="A263" s="64" t="n">
        <v>35710</v>
      </c>
      <c r="B263" t="n">
        <v>-7774</v>
      </c>
      <c r="C263" t="n">
        <v/>
      </c>
      <c r="D263" t="n">
        <v>10291</v>
      </c>
      <c r="E263" t="n">
        <v>15987</v>
      </c>
      <c r="F263" t="n">
        <v/>
      </c>
      <c r="G263" t="n">
        <v>-5777</v>
      </c>
      <c r="H263" t="n">
        <v>-33002</v>
      </c>
      <c r="I263" t="n">
        <v>5383</v>
      </c>
      <c r="J263" t="n">
        <v/>
      </c>
      <c r="K263" t="n">
        <v/>
      </c>
      <c r="L263" t="n">
        <v/>
      </c>
    </row>
    <row r="264">
      <c r="A264" s="64" t="n">
        <v>35717</v>
      </c>
      <c r="B264" t="n">
        <v>-5369</v>
      </c>
      <c r="C264" t="n">
        <v/>
      </c>
      <c r="D264" t="n">
        <v>2040</v>
      </c>
      <c r="E264" t="n">
        <v>13583</v>
      </c>
      <c r="F264" t="n">
        <v/>
      </c>
      <c r="G264" t="n">
        <v>-6012</v>
      </c>
      <c r="H264" t="n">
        <v>-18769</v>
      </c>
      <c r="I264" t="n">
        <v>7344</v>
      </c>
      <c r="J264" t="n">
        <v/>
      </c>
      <c r="K264" t="n">
        <v/>
      </c>
      <c r="L264" t="n">
        <v/>
      </c>
    </row>
    <row r="265">
      <c r="A265" s="64" t="n">
        <v>35724</v>
      </c>
      <c r="B265" t="n">
        <v>-6200</v>
      </c>
      <c r="C265" t="n">
        <v/>
      </c>
      <c r="D265" t="n">
        <v>-8155</v>
      </c>
      <c r="E265" t="n">
        <v>1646</v>
      </c>
      <c r="F265" t="n">
        <v/>
      </c>
      <c r="G265" t="n">
        <v>-111</v>
      </c>
      <c r="H265" t="n">
        <v>-10907</v>
      </c>
      <c r="I265" t="n">
        <v>7260</v>
      </c>
      <c r="J265" t="n">
        <v/>
      </c>
      <c r="K265" t="n">
        <v/>
      </c>
      <c r="L265" t="n">
        <v/>
      </c>
    </row>
    <row r="266">
      <c r="A266" s="64" t="n">
        <v>35731</v>
      </c>
      <c r="B266" t="n">
        <v>-9175</v>
      </c>
      <c r="C266" t="n">
        <v/>
      </c>
      <c r="D266" t="n">
        <v>-26066</v>
      </c>
      <c r="E266" t="n">
        <v>10176</v>
      </c>
      <c r="F266" t="n">
        <v/>
      </c>
      <c r="G266" t="n">
        <v>20105</v>
      </c>
      <c r="H266" t="n">
        <v>-16255</v>
      </c>
      <c r="I266" t="n">
        <v>4063</v>
      </c>
      <c r="J266" t="n">
        <v/>
      </c>
      <c r="K266" t="n">
        <v/>
      </c>
      <c r="L266" t="n">
        <v/>
      </c>
    </row>
    <row r="267">
      <c r="A267" s="64" t="n">
        <v>35738</v>
      </c>
      <c r="B267" t="n">
        <v>-8508</v>
      </c>
      <c r="C267" t="n">
        <v/>
      </c>
      <c r="D267" t="n">
        <v>-25503</v>
      </c>
      <c r="E267" t="n">
        <v>12113</v>
      </c>
      <c r="F267" t="n">
        <v/>
      </c>
      <c r="G267" t="n">
        <v>19482</v>
      </c>
      <c r="H267" t="n">
        <v>-20842</v>
      </c>
      <c r="I267" t="n">
        <v>1550</v>
      </c>
      <c r="J267" t="n">
        <v/>
      </c>
      <c r="K267" t="n">
        <v/>
      </c>
      <c r="L267" t="n">
        <v/>
      </c>
    </row>
    <row r="268">
      <c r="A268" s="64" t="n">
        <v>35745</v>
      </c>
      <c r="B268" t="n">
        <v>-8162</v>
      </c>
      <c r="C268" t="n">
        <v/>
      </c>
      <c r="D268" t="n">
        <v>-22096</v>
      </c>
      <c r="E268" t="n">
        <v>16168</v>
      </c>
      <c r="F268" t="n">
        <v/>
      </c>
      <c r="G268" t="n">
        <v>24809</v>
      </c>
      <c r="H268" t="n">
        <v>-34135</v>
      </c>
      <c r="I268" t="n">
        <v>638</v>
      </c>
      <c r="J268" t="n">
        <v/>
      </c>
      <c r="K268" t="n">
        <v/>
      </c>
      <c r="L268" t="n">
        <v/>
      </c>
    </row>
    <row r="269">
      <c r="A269" s="64" t="n">
        <v>35752</v>
      </c>
      <c r="B269" t="n">
        <v>-7924</v>
      </c>
      <c r="C269" t="n">
        <v/>
      </c>
      <c r="D269" t="n">
        <v>-21731</v>
      </c>
      <c r="E269" t="n">
        <v>17238</v>
      </c>
      <c r="F269" t="n">
        <v/>
      </c>
      <c r="G269" t="n">
        <v>28441</v>
      </c>
      <c r="H269" t="n">
        <v>-37522</v>
      </c>
      <c r="I269" t="n">
        <v>204</v>
      </c>
      <c r="J269" t="n">
        <v/>
      </c>
      <c r="K269" t="n">
        <v/>
      </c>
      <c r="L269" t="n">
        <v/>
      </c>
    </row>
    <row r="270">
      <c r="A270" s="64" t="n">
        <v>35759</v>
      </c>
      <c r="B270" t="n">
        <v>-7752</v>
      </c>
      <c r="C270" t="n">
        <v/>
      </c>
      <c r="D270" t="n">
        <v>-20917</v>
      </c>
      <c r="E270" t="n">
        <v>16984</v>
      </c>
      <c r="F270" t="n">
        <v/>
      </c>
      <c r="G270" t="n">
        <v>24303</v>
      </c>
      <c r="H270" t="n">
        <v>-40207</v>
      </c>
      <c r="I270" t="n">
        <v>-798</v>
      </c>
      <c r="J270" t="n">
        <v/>
      </c>
      <c r="K270" t="n">
        <v/>
      </c>
      <c r="L270" t="n">
        <v/>
      </c>
    </row>
    <row r="271">
      <c r="A271" s="64" t="n">
        <v>35766</v>
      </c>
      <c r="B271" t="n">
        <v>-7837</v>
      </c>
      <c r="C271" t="n">
        <v/>
      </c>
      <c r="D271" t="n">
        <v>-19508</v>
      </c>
      <c r="E271" t="n">
        <v>11123</v>
      </c>
      <c r="F271" t="n">
        <v/>
      </c>
      <c r="G271" t="n">
        <v>24343</v>
      </c>
      <c r="H271" t="n">
        <v>-43148</v>
      </c>
      <c r="I271" t="n">
        <v>-683</v>
      </c>
      <c r="J271" t="n">
        <v/>
      </c>
      <c r="K271" t="n">
        <v/>
      </c>
      <c r="L271" t="n">
        <v/>
      </c>
    </row>
    <row r="272">
      <c r="A272" s="64" t="n">
        <v>35773</v>
      </c>
      <c r="B272" t="n">
        <v>-8075</v>
      </c>
      <c r="C272" t="n">
        <v/>
      </c>
      <c r="D272" t="n">
        <v>-18778</v>
      </c>
      <c r="E272" t="n">
        <v>-17831</v>
      </c>
      <c r="F272" t="n">
        <v/>
      </c>
      <c r="G272" t="n">
        <v>5967</v>
      </c>
      <c r="H272" t="n">
        <v>-43600</v>
      </c>
      <c r="I272" t="n">
        <v>2728</v>
      </c>
      <c r="J272" t="n">
        <v/>
      </c>
      <c r="K272" t="n">
        <v/>
      </c>
      <c r="L272" t="n">
        <v/>
      </c>
    </row>
    <row r="273">
      <c r="A273" s="64" t="n">
        <v>35780</v>
      </c>
      <c r="B273" t="n">
        <v>-8604</v>
      </c>
      <c r="C273" t="n">
        <v/>
      </c>
      <c r="D273" t="n">
        <v>-16209</v>
      </c>
      <c r="E273" t="n">
        <v>-13437</v>
      </c>
      <c r="F273" t="n">
        <v/>
      </c>
      <c r="G273" t="n">
        <v>-1656</v>
      </c>
      <c r="H273" t="n">
        <v>-43086</v>
      </c>
      <c r="I273" t="n">
        <v>1521</v>
      </c>
      <c r="J273" t="n">
        <v/>
      </c>
      <c r="K273" t="n">
        <v/>
      </c>
      <c r="L273" t="n">
        <v/>
      </c>
    </row>
    <row r="274">
      <c r="A274" s="64" t="n">
        <v>35787</v>
      </c>
      <c r="B274" t="n">
        <v>-7966</v>
      </c>
      <c r="C274" t="n">
        <v/>
      </c>
      <c r="D274" t="n">
        <v>-20384</v>
      </c>
      <c r="E274" t="n">
        <v>-12562</v>
      </c>
      <c r="F274" t="n">
        <v/>
      </c>
      <c r="G274" t="n">
        <v>-1503</v>
      </c>
      <c r="H274" t="n">
        <v>-35407</v>
      </c>
      <c r="I274" t="n">
        <v>-412</v>
      </c>
      <c r="J274" t="n">
        <v/>
      </c>
      <c r="K274" t="n">
        <v/>
      </c>
      <c r="L274" t="n">
        <v/>
      </c>
    </row>
    <row r="275">
      <c r="A275" s="64" t="n">
        <v>35794</v>
      </c>
      <c r="B275" t="n">
        <v>-7956</v>
      </c>
      <c r="C275" t="n">
        <v/>
      </c>
      <c r="D275" t="n">
        <v>-21397</v>
      </c>
      <c r="E275" t="n">
        <v>-15883</v>
      </c>
      <c r="F275" t="n">
        <v/>
      </c>
      <c r="G275" t="n">
        <v>-381</v>
      </c>
      <c r="H275" t="n">
        <v>-33958</v>
      </c>
      <c r="I275" t="n">
        <v>-490</v>
      </c>
      <c r="J275" t="n">
        <v/>
      </c>
      <c r="K275" t="n">
        <v/>
      </c>
      <c r="L275" t="n">
        <v/>
      </c>
    </row>
    <row r="276">
      <c r="A276" s="64" t="n">
        <v>35801</v>
      </c>
      <c r="B276" t="n">
        <v>-8833</v>
      </c>
      <c r="C276" t="n">
        <v/>
      </c>
      <c r="D276" t="n">
        <v>-19269</v>
      </c>
      <c r="E276" t="n">
        <v>-20783</v>
      </c>
      <c r="F276" t="n">
        <v/>
      </c>
      <c r="G276" t="n">
        <v>-3620</v>
      </c>
      <c r="H276" t="n">
        <v>-42053</v>
      </c>
      <c r="I276" t="n">
        <v>-252</v>
      </c>
      <c r="J276" t="n">
        <v/>
      </c>
      <c r="K276" t="n">
        <v/>
      </c>
      <c r="L276" t="n">
        <v/>
      </c>
    </row>
    <row r="277">
      <c r="A277" s="64" t="n">
        <v>35808</v>
      </c>
      <c r="B277" t="n">
        <v>-8868</v>
      </c>
      <c r="C277" t="n">
        <v/>
      </c>
      <c r="D277" t="n">
        <v>-14732</v>
      </c>
      <c r="E277" t="n">
        <v>-22275</v>
      </c>
      <c r="F277" t="n">
        <v/>
      </c>
      <c r="G277" t="n">
        <v>-4560</v>
      </c>
      <c r="H277" t="n">
        <v>-37612</v>
      </c>
      <c r="I277" t="n">
        <v>764</v>
      </c>
      <c r="J277" t="n">
        <v/>
      </c>
      <c r="K277" t="n">
        <v/>
      </c>
      <c r="L277" t="n">
        <v/>
      </c>
    </row>
    <row r="278">
      <c r="A278" s="64" t="n">
        <v>35815</v>
      </c>
      <c r="B278" t="n">
        <v>-6204</v>
      </c>
      <c r="C278" t="n">
        <v/>
      </c>
      <c r="D278" t="n">
        <v>-13732</v>
      </c>
      <c r="E278" t="n">
        <v>-28458</v>
      </c>
      <c r="F278" t="n">
        <v/>
      </c>
      <c r="G278" t="n">
        <v>-4240</v>
      </c>
      <c r="H278" t="n">
        <v>-30261</v>
      </c>
      <c r="I278" t="n">
        <v>58</v>
      </c>
      <c r="J278" t="n">
        <v/>
      </c>
      <c r="K278" t="n">
        <v/>
      </c>
      <c r="L278" t="n">
        <v/>
      </c>
    </row>
    <row r="279">
      <c r="A279" s="64" t="n">
        <v>35822</v>
      </c>
      <c r="B279" t="n">
        <v>-3862</v>
      </c>
      <c r="C279" t="n">
        <v/>
      </c>
      <c r="D279" t="n">
        <v>-16912</v>
      </c>
      <c r="E279" t="n">
        <v>-14522</v>
      </c>
      <c r="F279" t="n">
        <v/>
      </c>
      <c r="G279" t="n">
        <v>3276</v>
      </c>
      <c r="H279" t="n">
        <v>-22630</v>
      </c>
      <c r="I279" t="n">
        <v>2513</v>
      </c>
      <c r="J279" t="n">
        <v/>
      </c>
      <c r="K279" t="n">
        <v/>
      </c>
      <c r="L279" t="n">
        <v/>
      </c>
    </row>
    <row r="280">
      <c r="A280" s="64" t="n">
        <v>35829</v>
      </c>
      <c r="B280" t="n">
        <v>-1017</v>
      </c>
      <c r="C280" t="n">
        <v/>
      </c>
      <c r="D280" t="n">
        <v>-15670</v>
      </c>
      <c r="E280" t="n">
        <v>-12809</v>
      </c>
      <c r="F280" t="n">
        <v/>
      </c>
      <c r="G280" t="n">
        <v>2687</v>
      </c>
      <c r="H280" t="n">
        <v>-24272</v>
      </c>
      <c r="I280" t="n">
        <v>3039</v>
      </c>
      <c r="J280" t="n">
        <v/>
      </c>
      <c r="K280" t="n">
        <v/>
      </c>
      <c r="L280" t="n">
        <v/>
      </c>
    </row>
    <row r="281">
      <c r="A281" s="64" t="n">
        <v>35836</v>
      </c>
      <c r="B281" t="n">
        <v>-1795</v>
      </c>
      <c r="C281" t="n">
        <v/>
      </c>
      <c r="D281" t="n">
        <v>-7988</v>
      </c>
      <c r="E281" t="n">
        <v>-13343</v>
      </c>
      <c r="F281" t="n">
        <v/>
      </c>
      <c r="G281" t="n">
        <v>1838</v>
      </c>
      <c r="H281" t="n">
        <v>-877</v>
      </c>
      <c r="I281" t="n">
        <v>3188</v>
      </c>
      <c r="J281" t="n">
        <v/>
      </c>
      <c r="K281" t="n">
        <v/>
      </c>
      <c r="L281" t="n">
        <v/>
      </c>
    </row>
    <row r="282">
      <c r="A282" s="64" t="n">
        <v>35843</v>
      </c>
      <c r="B282" t="n">
        <v>-2179</v>
      </c>
      <c r="C282" t="n">
        <v/>
      </c>
      <c r="D282" t="n">
        <v>-9049</v>
      </c>
      <c r="E282" t="n">
        <v>-14222</v>
      </c>
      <c r="F282" t="n">
        <v/>
      </c>
      <c r="G282" t="n">
        <v>1615</v>
      </c>
      <c r="H282" t="n">
        <v>-6623</v>
      </c>
      <c r="I282" t="n">
        <v>3332</v>
      </c>
      <c r="J282" t="n">
        <v/>
      </c>
      <c r="K282" t="n">
        <v/>
      </c>
      <c r="L282" t="n">
        <v/>
      </c>
    </row>
    <row r="283">
      <c r="A283" s="64" t="n">
        <v>35850</v>
      </c>
      <c r="B283" t="n">
        <v>-1884</v>
      </c>
      <c r="C283" t="n">
        <v/>
      </c>
      <c r="D283" t="n">
        <v>-3731</v>
      </c>
      <c r="E283" t="n">
        <v>-12255</v>
      </c>
      <c r="F283" t="n">
        <v/>
      </c>
      <c r="G283" t="n">
        <v>3668</v>
      </c>
      <c r="H283" t="n">
        <v>-9248</v>
      </c>
      <c r="I283" t="n">
        <v>254</v>
      </c>
      <c r="J283" t="n">
        <v/>
      </c>
      <c r="K283" t="n">
        <v/>
      </c>
      <c r="L283" t="n">
        <v/>
      </c>
    </row>
    <row r="284">
      <c r="A284" s="64" t="n">
        <v>35857</v>
      </c>
      <c r="B284" t="n">
        <v>-1173</v>
      </c>
      <c r="C284" t="n">
        <v/>
      </c>
      <c r="D284" t="n">
        <v>-4000</v>
      </c>
      <c r="E284" t="n">
        <v>-13317</v>
      </c>
      <c r="F284" t="n">
        <v/>
      </c>
      <c r="G284" t="n">
        <v>5309</v>
      </c>
      <c r="H284" t="n">
        <v>-8939</v>
      </c>
      <c r="I284" t="n">
        <v>2464</v>
      </c>
      <c r="J284" t="n">
        <v/>
      </c>
      <c r="K284" t="n">
        <v/>
      </c>
      <c r="L284" t="n">
        <v/>
      </c>
    </row>
    <row r="285">
      <c r="A285" s="64" t="n">
        <v>35864</v>
      </c>
      <c r="B285" t="n">
        <v>-3270</v>
      </c>
      <c r="C285" t="n">
        <v/>
      </c>
      <c r="D285" t="n">
        <v>3194</v>
      </c>
      <c r="E285" t="n">
        <v>-22605</v>
      </c>
      <c r="F285" t="n">
        <v/>
      </c>
      <c r="G285" t="n">
        <v>-249</v>
      </c>
      <c r="H285" t="n">
        <v>-14117</v>
      </c>
      <c r="I285" t="n">
        <v>3397</v>
      </c>
      <c r="J285" t="n">
        <v/>
      </c>
      <c r="K285" t="n">
        <v/>
      </c>
      <c r="L285" t="n">
        <v/>
      </c>
    </row>
    <row r="286">
      <c r="A286" s="64" t="n">
        <v>35871</v>
      </c>
      <c r="B286" t="n">
        <v>-3482</v>
      </c>
      <c r="C286" t="n">
        <v/>
      </c>
      <c r="D286" t="n">
        <v>4887</v>
      </c>
      <c r="E286" t="n">
        <v>-18025</v>
      </c>
      <c r="F286" t="n">
        <v/>
      </c>
      <c r="G286" t="n">
        <v>10879</v>
      </c>
      <c r="H286" t="n">
        <v>-21116</v>
      </c>
      <c r="I286" t="n">
        <v>3230</v>
      </c>
      <c r="J286" t="n">
        <v/>
      </c>
      <c r="K286" t="n">
        <v/>
      </c>
      <c r="L286" t="n">
        <v/>
      </c>
    </row>
    <row r="287">
      <c r="A287" s="64" t="n">
        <v>35878</v>
      </c>
      <c r="B287" t="n">
        <v>-3270</v>
      </c>
      <c r="C287" t="n">
        <v/>
      </c>
      <c r="D287" t="n">
        <v>4074</v>
      </c>
      <c r="E287" t="n">
        <v>-23731</v>
      </c>
      <c r="F287" t="n">
        <v/>
      </c>
      <c r="G287" t="n">
        <v>13076</v>
      </c>
      <c r="H287" t="n">
        <v>-32105</v>
      </c>
      <c r="I287" t="n">
        <v>4865</v>
      </c>
      <c r="J287" t="n">
        <v/>
      </c>
      <c r="K287" t="n">
        <v/>
      </c>
      <c r="L287" t="n">
        <v/>
      </c>
    </row>
    <row r="288">
      <c r="A288" s="64" t="n">
        <v>35885</v>
      </c>
      <c r="B288" t="n">
        <v>-2764</v>
      </c>
      <c r="C288" t="n">
        <v/>
      </c>
      <c r="D288" t="n">
        <v>4118</v>
      </c>
      <c r="E288" t="n">
        <v>-27004</v>
      </c>
      <c r="F288" t="n">
        <v/>
      </c>
      <c r="G288" t="n">
        <v>13590</v>
      </c>
      <c r="H288" t="n">
        <v>-42798</v>
      </c>
      <c r="I288" t="n">
        <v>1943</v>
      </c>
      <c r="J288" t="n">
        <v/>
      </c>
      <c r="K288" t="n">
        <v/>
      </c>
      <c r="L288" t="n">
        <v/>
      </c>
    </row>
    <row r="289">
      <c r="A289" s="64" t="n">
        <v>35892</v>
      </c>
      <c r="B289" t="n">
        <v>-3332</v>
      </c>
      <c r="C289" t="n">
        <v/>
      </c>
      <c r="D289" t="n">
        <v>2768</v>
      </c>
      <c r="E289" t="n">
        <v>-30014</v>
      </c>
      <c r="F289" t="n">
        <v/>
      </c>
      <c r="G289" t="n">
        <v>11810</v>
      </c>
      <c r="H289" t="n">
        <v>-55925</v>
      </c>
      <c r="I289" t="n">
        <v>813</v>
      </c>
      <c r="J289" t="n">
        <v/>
      </c>
      <c r="K289" t="n">
        <v/>
      </c>
      <c r="L289" t="n">
        <v/>
      </c>
    </row>
    <row r="290">
      <c r="A290" s="64" t="n">
        <v>35899</v>
      </c>
      <c r="B290" t="n">
        <v>-6050</v>
      </c>
      <c r="C290" t="n">
        <v/>
      </c>
      <c r="D290" t="n">
        <v>-3614</v>
      </c>
      <c r="E290" t="n">
        <v>-19237</v>
      </c>
      <c r="F290" t="n">
        <v/>
      </c>
      <c r="G290" t="n">
        <v>13358</v>
      </c>
      <c r="H290" t="n">
        <v>-37264</v>
      </c>
      <c r="I290" t="n">
        <v>2454</v>
      </c>
      <c r="J290" t="n">
        <v/>
      </c>
      <c r="K290" t="n">
        <v/>
      </c>
      <c r="L290" t="n">
        <v/>
      </c>
    </row>
    <row r="291">
      <c r="A291" s="64" t="n">
        <v>35906</v>
      </c>
      <c r="B291" t="n">
        <v>-6814</v>
      </c>
      <c r="C291" t="n">
        <v/>
      </c>
      <c r="D291" t="n">
        <v>-7390</v>
      </c>
      <c r="E291" t="n">
        <v>-14866</v>
      </c>
      <c r="F291" t="n">
        <v/>
      </c>
      <c r="G291" t="n">
        <v>17797</v>
      </c>
      <c r="H291" t="n">
        <v>-39323</v>
      </c>
      <c r="I291" t="n">
        <v>3981</v>
      </c>
      <c r="J291" t="n">
        <v/>
      </c>
      <c r="K291" t="n">
        <v/>
      </c>
      <c r="L291" t="n">
        <v/>
      </c>
    </row>
    <row r="292">
      <c r="A292" s="64" t="n">
        <v>35913</v>
      </c>
      <c r="B292" t="n">
        <v>-7053</v>
      </c>
      <c r="C292" t="n">
        <v/>
      </c>
      <c r="D292" t="n">
        <v>-8879</v>
      </c>
      <c r="E292" t="n">
        <v>-14322</v>
      </c>
      <c r="F292" t="n">
        <v/>
      </c>
      <c r="G292" t="n">
        <v>10518</v>
      </c>
      <c r="H292" t="n">
        <v>-30425</v>
      </c>
      <c r="I292" t="n">
        <v>2542</v>
      </c>
      <c r="J292" t="n">
        <v/>
      </c>
      <c r="K292" t="n">
        <v/>
      </c>
      <c r="L292" t="n">
        <v/>
      </c>
    </row>
    <row r="293">
      <c r="A293" s="64" t="n">
        <v>35920</v>
      </c>
      <c r="B293" t="n">
        <v>-7405</v>
      </c>
      <c r="C293" t="n">
        <v/>
      </c>
      <c r="D293" t="n">
        <v>-9320</v>
      </c>
      <c r="E293" t="n">
        <v>-12672</v>
      </c>
      <c r="F293" t="n">
        <v/>
      </c>
      <c r="G293" t="n">
        <v>6131</v>
      </c>
      <c r="H293" t="n">
        <v>-26741</v>
      </c>
      <c r="I293" t="n">
        <v>5208</v>
      </c>
      <c r="J293" t="n">
        <v/>
      </c>
      <c r="K293" t="n">
        <v/>
      </c>
      <c r="L293" t="n">
        <v/>
      </c>
    </row>
    <row r="294">
      <c r="A294" s="64" t="n">
        <v>35927</v>
      </c>
      <c r="B294" t="n">
        <v>-7771</v>
      </c>
      <c r="C294" t="n">
        <v/>
      </c>
      <c r="D294" t="n">
        <v>-9503</v>
      </c>
      <c r="E294" t="n">
        <v>-7291</v>
      </c>
      <c r="F294" t="n">
        <v/>
      </c>
      <c r="G294" t="n">
        <v>-12075</v>
      </c>
      <c r="H294" t="n">
        <v>-31922</v>
      </c>
      <c r="I294" t="n">
        <v>4297</v>
      </c>
      <c r="J294" t="n">
        <v/>
      </c>
      <c r="K294" t="n">
        <v/>
      </c>
      <c r="L294" t="n">
        <v/>
      </c>
    </row>
    <row r="295">
      <c r="A295" s="64" t="n">
        <v>35934</v>
      </c>
      <c r="B295" t="n">
        <v>-8906</v>
      </c>
      <c r="C295" t="n">
        <v/>
      </c>
      <c r="D295" t="n">
        <v>-19175</v>
      </c>
      <c r="E295" t="n">
        <v>-8494</v>
      </c>
      <c r="F295" t="n">
        <v/>
      </c>
      <c r="G295" t="n">
        <v>-19157</v>
      </c>
      <c r="H295" t="n">
        <v>-53426</v>
      </c>
      <c r="I295" t="n">
        <v>2440</v>
      </c>
      <c r="J295" t="n">
        <v/>
      </c>
      <c r="K295" t="n">
        <v/>
      </c>
      <c r="L295" t="n">
        <v/>
      </c>
    </row>
    <row r="296">
      <c r="A296" s="64" t="n">
        <v>35941</v>
      </c>
      <c r="B296" t="n">
        <v>-8319</v>
      </c>
      <c r="C296" t="n">
        <v/>
      </c>
      <c r="D296" t="n">
        <v>-18768</v>
      </c>
      <c r="E296" t="n">
        <v>11107</v>
      </c>
      <c r="F296" t="n">
        <v/>
      </c>
      <c r="G296" t="n">
        <v>-16913</v>
      </c>
      <c r="H296" t="n">
        <v>-63478</v>
      </c>
      <c r="I296" t="n">
        <v>-672</v>
      </c>
      <c r="J296" t="n">
        <v/>
      </c>
      <c r="K296" t="n">
        <v/>
      </c>
      <c r="L296" t="n">
        <v/>
      </c>
    </row>
    <row r="297">
      <c r="A297" s="64" t="n">
        <v>35948</v>
      </c>
      <c r="B297" t="n">
        <v>-8628</v>
      </c>
      <c r="C297" t="n">
        <v/>
      </c>
      <c r="D297" t="n">
        <v>-19285</v>
      </c>
      <c r="E297" t="n">
        <v>6273</v>
      </c>
      <c r="F297" t="n">
        <v/>
      </c>
      <c r="G297" t="n">
        <v>-18164</v>
      </c>
      <c r="H297" t="n">
        <v>-58207</v>
      </c>
      <c r="I297" t="n">
        <v>-2020</v>
      </c>
      <c r="J297" t="n">
        <v/>
      </c>
      <c r="K297" t="n">
        <v/>
      </c>
      <c r="L297" t="n">
        <v/>
      </c>
    </row>
    <row r="298">
      <c r="A298" s="64" t="n">
        <v>35955</v>
      </c>
      <c r="B298" t="n">
        <v>-7939</v>
      </c>
      <c r="C298" t="n">
        <v/>
      </c>
      <c r="D298" t="n">
        <v>-19367</v>
      </c>
      <c r="E298" t="n">
        <v>6531</v>
      </c>
      <c r="F298" t="n">
        <v/>
      </c>
      <c r="G298" t="n">
        <v>-16877</v>
      </c>
      <c r="H298" t="n">
        <v>-60795</v>
      </c>
      <c r="I298" t="n">
        <v>-1069</v>
      </c>
      <c r="J298" t="n">
        <v/>
      </c>
      <c r="K298" t="n">
        <v/>
      </c>
      <c r="L298" t="n">
        <v/>
      </c>
    </row>
    <row r="299">
      <c r="A299" s="64" t="n">
        <v>35962</v>
      </c>
      <c r="B299" t="n">
        <v>-9109</v>
      </c>
      <c r="C299" t="n">
        <v/>
      </c>
      <c r="D299" t="n">
        <v>-24781</v>
      </c>
      <c r="E299" t="n">
        <v>-22981</v>
      </c>
      <c r="F299" t="n">
        <v/>
      </c>
      <c r="G299" t="n">
        <v>-11925</v>
      </c>
      <c r="H299" t="n">
        <v>-46747</v>
      </c>
      <c r="I299" t="n">
        <v>-1611</v>
      </c>
      <c r="J299" t="n">
        <v/>
      </c>
      <c r="K299" t="n">
        <v/>
      </c>
      <c r="L299" t="n">
        <v/>
      </c>
    </row>
    <row r="300">
      <c r="A300" s="64" t="n">
        <v>35969</v>
      </c>
      <c r="B300" t="n">
        <v>-5707</v>
      </c>
      <c r="C300" t="n">
        <v/>
      </c>
      <c r="D300" t="n">
        <v>-21656</v>
      </c>
      <c r="E300" t="n">
        <v>-25380</v>
      </c>
      <c r="F300" t="n">
        <v/>
      </c>
      <c r="G300" t="n">
        <v>17132</v>
      </c>
      <c r="H300" t="n">
        <v>-28871</v>
      </c>
      <c r="I300" t="n">
        <v>-78</v>
      </c>
      <c r="J300" t="n">
        <v/>
      </c>
      <c r="K300" t="n">
        <v/>
      </c>
      <c r="L300" t="n">
        <v/>
      </c>
    </row>
    <row r="301">
      <c r="A301" s="64" t="n">
        <v>35976</v>
      </c>
      <c r="B301" t="n">
        <v>-4680</v>
      </c>
      <c r="C301" t="n">
        <v/>
      </c>
      <c r="D301" t="n">
        <v>-22497</v>
      </c>
      <c r="E301" t="n">
        <v>-34301</v>
      </c>
      <c r="F301" t="n">
        <v/>
      </c>
      <c r="G301" t="n">
        <v>17799</v>
      </c>
      <c r="H301" t="n">
        <v>-28973</v>
      </c>
      <c r="I301" t="n">
        <v>-47</v>
      </c>
      <c r="J301" t="n">
        <v/>
      </c>
      <c r="K301" t="n">
        <v/>
      </c>
      <c r="L301" t="n">
        <v/>
      </c>
    </row>
    <row r="302">
      <c r="A302" s="64" t="n">
        <v>35983</v>
      </c>
      <c r="B302" t="n">
        <v>-3920</v>
      </c>
      <c r="C302" t="n">
        <v/>
      </c>
      <c r="D302" t="n">
        <v>-21148</v>
      </c>
      <c r="E302" t="n">
        <v>-36438</v>
      </c>
      <c r="F302" t="n">
        <v/>
      </c>
      <c r="G302" t="n">
        <v>4208</v>
      </c>
      <c r="H302" t="n">
        <v>-30045</v>
      </c>
      <c r="I302" t="n">
        <v>1073</v>
      </c>
      <c r="J302" t="n">
        <v/>
      </c>
      <c r="K302" t="n">
        <v/>
      </c>
      <c r="L302" t="n">
        <v/>
      </c>
    </row>
    <row r="303">
      <c r="A303" s="64" t="n">
        <v>35990</v>
      </c>
      <c r="B303" t="n">
        <v>-3381</v>
      </c>
      <c r="C303" t="n">
        <v/>
      </c>
      <c r="D303" t="n">
        <v>-18804</v>
      </c>
      <c r="E303" t="n">
        <v>-32851</v>
      </c>
      <c r="F303" t="n">
        <v/>
      </c>
      <c r="G303" t="n">
        <v>-1095</v>
      </c>
      <c r="H303" t="n">
        <v>-33107</v>
      </c>
      <c r="I303" t="n">
        <v>2730</v>
      </c>
      <c r="J303" t="n">
        <v/>
      </c>
      <c r="K303" t="n">
        <v/>
      </c>
      <c r="L303" t="n">
        <v/>
      </c>
    </row>
    <row r="304">
      <c r="A304" s="64" t="n">
        <v>35997</v>
      </c>
      <c r="B304" t="n">
        <v>-1946</v>
      </c>
      <c r="C304" t="n">
        <v/>
      </c>
      <c r="D304" t="n">
        <v>-20194</v>
      </c>
      <c r="E304" t="n">
        <v>-29060</v>
      </c>
      <c r="F304" t="n">
        <v/>
      </c>
      <c r="G304" t="n">
        <v>-2511</v>
      </c>
      <c r="H304" t="n">
        <v>-32202</v>
      </c>
      <c r="I304" t="n">
        <v>4453</v>
      </c>
      <c r="J304" t="n">
        <v/>
      </c>
      <c r="K304" t="n">
        <v/>
      </c>
      <c r="L304" t="n">
        <v/>
      </c>
    </row>
    <row r="305">
      <c r="A305" s="64" t="n">
        <v>36004</v>
      </c>
      <c r="B305" t="n">
        <v>-2408</v>
      </c>
      <c r="C305" t="n">
        <v/>
      </c>
      <c r="D305" t="n">
        <v>-22338</v>
      </c>
      <c r="E305" t="n">
        <v>-20028</v>
      </c>
      <c r="F305" t="n">
        <v/>
      </c>
      <c r="G305" t="n">
        <v>4731</v>
      </c>
      <c r="H305" t="n">
        <v>-37924</v>
      </c>
      <c r="I305" t="n">
        <v>3696</v>
      </c>
      <c r="J305" t="n">
        <v/>
      </c>
      <c r="K305" t="n">
        <v/>
      </c>
      <c r="L305" t="n">
        <v/>
      </c>
    </row>
    <row r="306">
      <c r="A306" s="64" t="n">
        <v>36011</v>
      </c>
      <c r="B306" t="n">
        <v>-2384</v>
      </c>
      <c r="C306" t="n">
        <v/>
      </c>
      <c r="D306" t="n">
        <v>-23332</v>
      </c>
      <c r="E306" t="n">
        <v>-8641</v>
      </c>
      <c r="F306" t="n">
        <v/>
      </c>
      <c r="G306" t="n">
        <v>-2628</v>
      </c>
      <c r="H306" t="n">
        <v>-45708</v>
      </c>
      <c r="I306" t="n">
        <v>3265</v>
      </c>
      <c r="J306" t="n">
        <v/>
      </c>
      <c r="K306" t="n">
        <v/>
      </c>
      <c r="L306" t="n">
        <v/>
      </c>
    </row>
    <row r="307">
      <c r="A307" s="64" t="n">
        <v>36018</v>
      </c>
      <c r="B307" t="n">
        <v>-2830</v>
      </c>
      <c r="C307" t="n">
        <v/>
      </c>
      <c r="D307" t="n">
        <v>-21831</v>
      </c>
      <c r="E307" t="n">
        <v>-6189</v>
      </c>
      <c r="F307" t="n">
        <v/>
      </c>
      <c r="G307" t="n">
        <v>-4266</v>
      </c>
      <c r="H307" t="n">
        <v>-54698</v>
      </c>
      <c r="I307" t="n">
        <v>787</v>
      </c>
      <c r="J307" t="n">
        <v/>
      </c>
      <c r="K307" t="n">
        <v/>
      </c>
      <c r="L307" t="n">
        <v/>
      </c>
    </row>
    <row r="308">
      <c r="A308" s="64" t="n">
        <v>36025</v>
      </c>
      <c r="B308" t="n">
        <v>-2995</v>
      </c>
      <c r="C308" t="n">
        <v/>
      </c>
      <c r="D308" t="n">
        <v>-22653</v>
      </c>
      <c r="E308" t="n">
        <v>-6146</v>
      </c>
      <c r="F308" t="n">
        <v/>
      </c>
      <c r="G308" t="n">
        <v>-26591</v>
      </c>
      <c r="H308" t="n">
        <v>-43425</v>
      </c>
      <c r="I308" t="n">
        <v>-819</v>
      </c>
      <c r="J308" t="n">
        <v/>
      </c>
      <c r="K308" t="n">
        <v/>
      </c>
      <c r="L308" t="n">
        <v/>
      </c>
    </row>
    <row r="309">
      <c r="A309" s="64" t="n">
        <v>36032</v>
      </c>
      <c r="B309" t="n">
        <v>-6413</v>
      </c>
      <c r="C309" t="n">
        <v/>
      </c>
      <c r="D309" t="n">
        <v>-22301</v>
      </c>
      <c r="E309" t="n">
        <v>-4850</v>
      </c>
      <c r="F309" t="n">
        <v/>
      </c>
      <c r="G309" t="n">
        <v>-13352</v>
      </c>
      <c r="H309" t="n">
        <v>-41682</v>
      </c>
      <c r="I309" t="n">
        <v>-2178</v>
      </c>
      <c r="J309" t="n">
        <v/>
      </c>
      <c r="K309" t="n">
        <v/>
      </c>
      <c r="L309" t="n">
        <v/>
      </c>
    </row>
    <row r="310">
      <c r="A310" s="64" t="n">
        <v>36039</v>
      </c>
      <c r="B310" t="n">
        <v>-8624</v>
      </c>
      <c r="C310" t="n">
        <v/>
      </c>
      <c r="D310" t="n">
        <v>-11021</v>
      </c>
      <c r="E310" t="n">
        <v>26604</v>
      </c>
      <c r="F310" t="n">
        <v/>
      </c>
      <c r="G310" t="n">
        <v>21739</v>
      </c>
      <c r="H310" t="n">
        <v>-15317</v>
      </c>
      <c r="I310" t="n">
        <v>-2247</v>
      </c>
      <c r="J310" t="n">
        <v/>
      </c>
      <c r="K310" t="n">
        <v/>
      </c>
      <c r="L310" t="n">
        <v/>
      </c>
    </row>
    <row r="311">
      <c r="A311" s="64" t="n">
        <v>36046</v>
      </c>
      <c r="B311" t="n">
        <v>-8168</v>
      </c>
      <c r="C311" t="n">
        <v/>
      </c>
      <c r="D311" t="n">
        <v>-7682</v>
      </c>
      <c r="E311" t="n">
        <v>27678</v>
      </c>
      <c r="F311" t="n">
        <v/>
      </c>
      <c r="G311" t="n">
        <v>22054</v>
      </c>
      <c r="H311" t="n">
        <v>8430</v>
      </c>
      <c r="I311" t="n">
        <v>-2283</v>
      </c>
      <c r="J311" t="n">
        <v/>
      </c>
      <c r="K311" t="n">
        <v/>
      </c>
      <c r="L311" t="n">
        <v/>
      </c>
    </row>
    <row r="312">
      <c r="A312" s="64" t="n">
        <v>36053</v>
      </c>
      <c r="B312" t="n">
        <v>-7236</v>
      </c>
      <c r="C312" t="n">
        <v/>
      </c>
      <c r="D312" t="n">
        <v>-6228</v>
      </c>
      <c r="E312" t="n">
        <v>25201</v>
      </c>
      <c r="F312" t="n">
        <v/>
      </c>
      <c r="G312" t="n">
        <v>16856</v>
      </c>
      <c r="H312" t="n">
        <v>5823</v>
      </c>
      <c r="I312" t="n">
        <v>-1062</v>
      </c>
      <c r="J312" t="n">
        <v/>
      </c>
      <c r="K312" t="n">
        <v/>
      </c>
      <c r="L312" t="n">
        <v/>
      </c>
    </row>
    <row r="313">
      <c r="A313" s="64" t="n">
        <v>36060</v>
      </c>
      <c r="B313" t="n">
        <v>-6232</v>
      </c>
      <c r="C313" t="n">
        <v/>
      </c>
      <c r="D313" t="n">
        <v>-5433</v>
      </c>
      <c r="E313" t="n">
        <v>27309</v>
      </c>
      <c r="F313" t="n">
        <v/>
      </c>
      <c r="G313" t="n">
        <v>18226</v>
      </c>
      <c r="H313" t="n">
        <v>2063</v>
      </c>
      <c r="I313" t="n">
        <v>-299</v>
      </c>
      <c r="J313" t="n">
        <v/>
      </c>
      <c r="K313" t="n">
        <v/>
      </c>
      <c r="L313" t="n">
        <v/>
      </c>
    </row>
    <row r="314">
      <c r="A314" s="64" t="n">
        <v>36067</v>
      </c>
      <c r="B314" t="n">
        <v>-4034</v>
      </c>
      <c r="C314" t="n">
        <v/>
      </c>
      <c r="D314" t="n">
        <v>-3423</v>
      </c>
      <c r="E314" t="n">
        <v>26069</v>
      </c>
      <c r="F314" t="n">
        <v/>
      </c>
      <c r="G314" t="n">
        <v>22791</v>
      </c>
      <c r="H314" t="n">
        <v>862</v>
      </c>
      <c r="I314" t="n">
        <v>219</v>
      </c>
      <c r="J314" t="n">
        <v/>
      </c>
      <c r="K314" t="n">
        <v/>
      </c>
      <c r="L314" t="n">
        <v/>
      </c>
    </row>
    <row r="315">
      <c r="A315" s="64" t="n">
        <v>36074</v>
      </c>
      <c r="B315" t="n">
        <v>-3827</v>
      </c>
      <c r="C315" t="n">
        <v/>
      </c>
      <c r="D315" t="n">
        <v>-4299</v>
      </c>
      <c r="E315" t="n">
        <v>26625</v>
      </c>
      <c r="F315" t="n">
        <v/>
      </c>
      <c r="G315" t="n">
        <v>17909</v>
      </c>
      <c r="H315" t="n">
        <v>7826</v>
      </c>
      <c r="I315" t="n">
        <v>-331</v>
      </c>
      <c r="J315" t="n">
        <v/>
      </c>
      <c r="K315" t="n">
        <v/>
      </c>
      <c r="L315" t="n">
        <v/>
      </c>
    </row>
    <row r="316">
      <c r="A316" s="64" t="n">
        <v>36081</v>
      </c>
      <c r="B316" t="n">
        <v>-842</v>
      </c>
      <c r="C316" t="n">
        <v/>
      </c>
      <c r="D316" t="n">
        <v>-3602</v>
      </c>
      <c r="E316" t="n">
        <v>25877</v>
      </c>
      <c r="F316" t="n">
        <v/>
      </c>
      <c r="G316" t="n">
        <v>18014</v>
      </c>
      <c r="H316" t="n">
        <v>6249</v>
      </c>
      <c r="I316" t="n">
        <v>-557</v>
      </c>
      <c r="J316" t="n">
        <v/>
      </c>
      <c r="K316" t="n">
        <v/>
      </c>
      <c r="L316" t="n">
        <v/>
      </c>
    </row>
    <row r="317">
      <c r="A317" s="64" t="n">
        <v>36088</v>
      </c>
      <c r="B317" t="n">
        <v>2671</v>
      </c>
      <c r="C317" t="n">
        <v/>
      </c>
      <c r="D317" t="n">
        <v>-2843</v>
      </c>
      <c r="E317" t="n">
        <v>24459</v>
      </c>
      <c r="F317" t="n">
        <v/>
      </c>
      <c r="G317" t="n">
        <v>16561</v>
      </c>
      <c r="H317" t="n">
        <v>8220</v>
      </c>
      <c r="I317" t="n">
        <v>827</v>
      </c>
      <c r="J317" t="n">
        <v/>
      </c>
      <c r="K317" t="n">
        <v/>
      </c>
      <c r="L317" t="n">
        <v/>
      </c>
    </row>
    <row r="318">
      <c r="A318" s="64" t="n">
        <v>36095</v>
      </c>
      <c r="B318" t="n">
        <v>2671</v>
      </c>
      <c r="C318" t="n">
        <v/>
      </c>
      <c r="D318" t="n">
        <v>-2984</v>
      </c>
      <c r="E318" t="n">
        <v>22836</v>
      </c>
      <c r="F318" t="n">
        <v/>
      </c>
      <c r="G318" t="n">
        <v>2108</v>
      </c>
      <c r="H318" t="n">
        <v>4490</v>
      </c>
      <c r="I318" t="n">
        <v>877</v>
      </c>
      <c r="J318" t="n">
        <v/>
      </c>
      <c r="K318" t="n">
        <v/>
      </c>
      <c r="L318" t="n">
        <v/>
      </c>
    </row>
    <row r="319">
      <c r="A319" s="64" t="n">
        <v>36102</v>
      </c>
      <c r="B319" t="n">
        <v>2402</v>
      </c>
      <c r="C319" t="n">
        <v/>
      </c>
      <c r="D319" t="n">
        <v>-1649</v>
      </c>
      <c r="E319" t="n">
        <v>17326</v>
      </c>
      <c r="F319" t="n">
        <v/>
      </c>
      <c r="G319" t="n">
        <v>-5703</v>
      </c>
      <c r="H319" t="n">
        <v>8705</v>
      </c>
      <c r="I319" t="n">
        <v>877</v>
      </c>
      <c r="J319" t="n">
        <v/>
      </c>
      <c r="K319" t="n">
        <v/>
      </c>
      <c r="L319" t="n">
        <v/>
      </c>
    </row>
    <row r="320">
      <c r="A320" s="64" t="n">
        <v>36109</v>
      </c>
      <c r="B320" t="n">
        <v>3214</v>
      </c>
      <c r="C320" t="n">
        <v/>
      </c>
      <c r="D320" t="n">
        <v>-1777</v>
      </c>
      <c r="E320" t="n">
        <v>-2954</v>
      </c>
      <c r="F320" t="n">
        <v/>
      </c>
      <c r="G320" t="n">
        <v>-4665</v>
      </c>
      <c r="H320" t="n">
        <v>1073</v>
      </c>
      <c r="I320" t="n">
        <v>1092</v>
      </c>
      <c r="J320" t="n">
        <v/>
      </c>
      <c r="K320" t="n">
        <v/>
      </c>
      <c r="L320" t="n">
        <v/>
      </c>
    </row>
    <row r="321">
      <c r="A321" s="64" t="n">
        <v>36116</v>
      </c>
      <c r="B321" t="n">
        <v>3812</v>
      </c>
      <c r="C321" t="n">
        <v/>
      </c>
      <c r="D321" t="n">
        <v>-5248</v>
      </c>
      <c r="E321" t="n">
        <v>938</v>
      </c>
      <c r="F321" t="n">
        <v/>
      </c>
      <c r="G321" t="n">
        <v>-7483</v>
      </c>
      <c r="H321" t="n">
        <v>2560</v>
      </c>
      <c r="I321" t="n">
        <v>1342</v>
      </c>
      <c r="J321" t="n">
        <v/>
      </c>
      <c r="K321" t="n">
        <v/>
      </c>
      <c r="L321" t="n">
        <v/>
      </c>
    </row>
    <row r="322">
      <c r="A322" s="64" t="n">
        <v>36123</v>
      </c>
      <c r="B322" t="n">
        <v>4377</v>
      </c>
      <c r="C322" t="n">
        <v/>
      </c>
      <c r="D322" t="n">
        <v>-6077</v>
      </c>
      <c r="E322" t="n">
        <v>-4278</v>
      </c>
      <c r="F322" t="n">
        <v/>
      </c>
      <c r="G322" t="n">
        <v>-9562</v>
      </c>
      <c r="H322" t="n">
        <v>929</v>
      </c>
      <c r="I322" t="n">
        <v>1842</v>
      </c>
      <c r="J322" t="n">
        <v/>
      </c>
      <c r="K322" t="n">
        <v/>
      </c>
      <c r="L322" t="n">
        <v/>
      </c>
    </row>
    <row r="323">
      <c r="A323" s="64" t="n">
        <v>36130</v>
      </c>
      <c r="B323" t="n">
        <v>3805</v>
      </c>
      <c r="C323" t="n">
        <v/>
      </c>
      <c r="D323" t="n">
        <v>-2762</v>
      </c>
      <c r="E323" t="n">
        <v>-12146</v>
      </c>
      <c r="F323" t="n">
        <v/>
      </c>
      <c r="G323" t="n">
        <v>-10428</v>
      </c>
      <c r="H323" t="n">
        <v>-2236</v>
      </c>
      <c r="I323" t="n">
        <v>1814</v>
      </c>
      <c r="J323" t="n">
        <v/>
      </c>
      <c r="K323" t="n">
        <v/>
      </c>
      <c r="L323" t="n">
        <v/>
      </c>
    </row>
    <row r="324">
      <c r="A324" s="64" t="n">
        <v>36137</v>
      </c>
      <c r="B324" t="n">
        <v>2846</v>
      </c>
      <c r="C324" t="n">
        <v/>
      </c>
      <c r="D324" t="n">
        <v>-5354</v>
      </c>
      <c r="E324" t="n">
        <v>-7366</v>
      </c>
      <c r="F324" t="n">
        <v/>
      </c>
      <c r="G324" t="n">
        <v>-10692</v>
      </c>
      <c r="H324" t="n">
        <v>2295</v>
      </c>
      <c r="I324" t="n">
        <v>3133</v>
      </c>
      <c r="J324" t="n">
        <v/>
      </c>
      <c r="K324" t="n">
        <v/>
      </c>
      <c r="L324" t="n">
        <v/>
      </c>
    </row>
    <row r="325">
      <c r="A325" s="64" t="n">
        <v>36144</v>
      </c>
      <c r="B325" t="n">
        <v>257</v>
      </c>
      <c r="C325" t="n">
        <v/>
      </c>
      <c r="D325" t="n">
        <v>-5538</v>
      </c>
      <c r="E325" t="n">
        <v>11231</v>
      </c>
      <c r="F325" t="n">
        <v/>
      </c>
      <c r="G325" t="n">
        <v>12972</v>
      </c>
      <c r="H325" t="n">
        <v>8166</v>
      </c>
      <c r="I325" t="n">
        <v>3661</v>
      </c>
      <c r="J325" t="n">
        <v/>
      </c>
      <c r="K325" t="n">
        <v/>
      </c>
      <c r="L325" t="n">
        <v/>
      </c>
    </row>
    <row r="326">
      <c r="A326" s="64" t="n">
        <v>36151</v>
      </c>
      <c r="B326" t="n">
        <v>758</v>
      </c>
      <c r="C326" t="n">
        <v/>
      </c>
      <c r="D326" t="n">
        <v>-8206</v>
      </c>
      <c r="E326" t="n">
        <v>8344</v>
      </c>
      <c r="F326" t="n">
        <v/>
      </c>
      <c r="G326" t="n">
        <v>9741</v>
      </c>
      <c r="H326" t="n">
        <v>7910</v>
      </c>
      <c r="I326" t="n">
        <v>4306</v>
      </c>
      <c r="J326" t="n">
        <v/>
      </c>
      <c r="K326" t="n">
        <v/>
      </c>
      <c r="L326" t="n">
        <v/>
      </c>
    </row>
    <row r="327">
      <c r="A327" s="64" t="n">
        <v>36158</v>
      </c>
      <c r="B327" t="n">
        <v>-779</v>
      </c>
      <c r="C327" t="n">
        <v/>
      </c>
      <c r="D327" t="n">
        <v>-8275</v>
      </c>
      <c r="E327" t="n">
        <v>7119</v>
      </c>
      <c r="F327" t="n">
        <v/>
      </c>
      <c r="G327" t="n">
        <v>12434</v>
      </c>
      <c r="H327" t="n">
        <v>9877</v>
      </c>
      <c r="I327" t="n">
        <v>4249</v>
      </c>
      <c r="J327" t="n">
        <v/>
      </c>
      <c r="K327" t="n">
        <v/>
      </c>
      <c r="L327" t="n">
        <v/>
      </c>
    </row>
    <row r="328">
      <c r="A328" s="64" t="n">
        <v>36165</v>
      </c>
      <c r="B328" t="n">
        <v>-591</v>
      </c>
      <c r="C328" t="n">
        <v/>
      </c>
      <c r="D328" t="n">
        <v>695</v>
      </c>
      <c r="E328" t="n">
        <v>3291</v>
      </c>
      <c r="F328" t="n">
        <v>-240</v>
      </c>
      <c r="G328" t="n">
        <v>4966</v>
      </c>
      <c r="H328" t="n">
        <v>22020</v>
      </c>
      <c r="I328" t="n">
        <v>4520</v>
      </c>
      <c r="J328" t="n">
        <v/>
      </c>
      <c r="K328" t="n">
        <v/>
      </c>
      <c r="L328" t="n">
        <v/>
      </c>
    </row>
    <row r="329">
      <c r="A329" s="64" t="n">
        <v>36172</v>
      </c>
      <c r="B329" t="n">
        <v>900</v>
      </c>
      <c r="C329" t="n">
        <v/>
      </c>
      <c r="D329" t="n">
        <v>8313</v>
      </c>
      <c r="E329" t="n">
        <v>-485</v>
      </c>
      <c r="F329" t="n">
        <v>440</v>
      </c>
      <c r="G329" t="n">
        <v>-16161</v>
      </c>
      <c r="H329" t="n">
        <v>16926</v>
      </c>
      <c r="I329" t="n">
        <v>1007</v>
      </c>
      <c r="J329" t="n">
        <v/>
      </c>
      <c r="K329" t="n">
        <v/>
      </c>
      <c r="L329" t="n">
        <v/>
      </c>
    </row>
    <row r="330">
      <c r="A330" s="64" t="n">
        <v>36179</v>
      </c>
      <c r="B330" t="n">
        <v>900</v>
      </c>
      <c r="C330" t="n">
        <v/>
      </c>
      <c r="D330" t="n">
        <v>3161</v>
      </c>
      <c r="E330" t="n">
        <v>4843</v>
      </c>
      <c r="F330" t="n">
        <v>973</v>
      </c>
      <c r="G330" t="n">
        <v>-7265</v>
      </c>
      <c r="H330" t="n">
        <v>4991</v>
      </c>
      <c r="I330" t="n">
        <v>0</v>
      </c>
      <c r="J330" t="n">
        <v/>
      </c>
      <c r="K330" t="n">
        <v/>
      </c>
      <c r="L330" t="n">
        <v/>
      </c>
    </row>
    <row r="331">
      <c r="A331" s="64" t="n">
        <v>36186</v>
      </c>
      <c r="B331" t="n">
        <v>900</v>
      </c>
      <c r="C331" t="n">
        <v/>
      </c>
      <c r="D331" t="n">
        <v>3347</v>
      </c>
      <c r="E331" t="n">
        <v>2119</v>
      </c>
      <c r="F331" t="n">
        <v>986</v>
      </c>
      <c r="G331" t="n">
        <v>-7263</v>
      </c>
      <c r="H331" t="n">
        <v>8568</v>
      </c>
      <c r="I331" t="n">
        <v>-200</v>
      </c>
      <c r="J331" t="n">
        <v/>
      </c>
      <c r="K331" t="n">
        <v/>
      </c>
      <c r="L331" t="n">
        <v/>
      </c>
    </row>
    <row r="332">
      <c r="A332" s="64" t="n">
        <v>36193</v>
      </c>
      <c r="B332" t="n">
        <v>419</v>
      </c>
      <c r="C332" t="n">
        <v/>
      </c>
      <c r="D332" t="n">
        <v>3346</v>
      </c>
      <c r="E332" t="n">
        <v>-15793</v>
      </c>
      <c r="F332" t="n">
        <v>-10354</v>
      </c>
      <c r="G332" t="n">
        <v>-14356</v>
      </c>
      <c r="H332" t="n">
        <v>6104</v>
      </c>
      <c r="I332" t="n">
        <v>412</v>
      </c>
      <c r="J332" t="n">
        <v/>
      </c>
      <c r="K332" t="n">
        <v/>
      </c>
      <c r="L332" t="n">
        <v/>
      </c>
    </row>
    <row r="333">
      <c r="A333" s="64" t="n">
        <v>36200</v>
      </c>
      <c r="B333" t="n">
        <v>8032</v>
      </c>
      <c r="C333" t="n">
        <v/>
      </c>
      <c r="D333" t="n">
        <v>14693</v>
      </c>
      <c r="E333" t="n">
        <v>-17539</v>
      </c>
      <c r="F333" t="n">
        <v>-13123</v>
      </c>
      <c r="G333" t="n">
        <v>-13656</v>
      </c>
      <c r="H333" t="n">
        <v>6189</v>
      </c>
      <c r="I333" t="n">
        <v>821</v>
      </c>
      <c r="J333" t="n">
        <v/>
      </c>
      <c r="K333" t="n">
        <v/>
      </c>
      <c r="L333" t="n">
        <v/>
      </c>
    </row>
    <row r="334">
      <c r="A334" s="64" t="n">
        <v>36207</v>
      </c>
      <c r="B334" t="n">
        <v>7102</v>
      </c>
      <c r="C334" t="n">
        <v/>
      </c>
      <c r="D334" t="n">
        <v>16047</v>
      </c>
      <c r="E334" t="n">
        <v>-18228</v>
      </c>
      <c r="F334" t="n">
        <v>-15031</v>
      </c>
      <c r="G334" t="n">
        <v>-14215</v>
      </c>
      <c r="H334" t="n">
        <v>-11116</v>
      </c>
      <c r="I334" t="n">
        <v>4352</v>
      </c>
      <c r="J334" t="n">
        <v/>
      </c>
      <c r="K334" t="n">
        <v/>
      </c>
      <c r="L334" t="n">
        <v/>
      </c>
    </row>
    <row r="335">
      <c r="A335" s="64" t="n">
        <v>36214</v>
      </c>
      <c r="B335" t="n">
        <v>5741</v>
      </c>
      <c r="C335" t="n">
        <v/>
      </c>
      <c r="D335" t="n">
        <v>15846</v>
      </c>
      <c r="E335" t="n">
        <v>-23542</v>
      </c>
      <c r="F335" t="n">
        <v>-17145</v>
      </c>
      <c r="G335" t="n">
        <v>-23784</v>
      </c>
      <c r="H335" t="n">
        <v>-34290</v>
      </c>
      <c r="I335" t="n">
        <v>4472</v>
      </c>
      <c r="J335" t="n">
        <v/>
      </c>
      <c r="K335" t="n">
        <v/>
      </c>
      <c r="L335" t="n">
        <v/>
      </c>
    </row>
    <row r="336">
      <c r="A336" s="64" t="n">
        <v>36221</v>
      </c>
      <c r="B336" t="n">
        <v>-128</v>
      </c>
      <c r="C336" t="n">
        <v/>
      </c>
      <c r="D336" t="n">
        <v>10266</v>
      </c>
      <c r="E336" t="n">
        <v>-27589</v>
      </c>
      <c r="F336" t="n">
        <v>-13574</v>
      </c>
      <c r="G336" t="n">
        <v>-27766</v>
      </c>
      <c r="H336" t="n">
        <v>-36211</v>
      </c>
      <c r="I336" t="n">
        <v>5984</v>
      </c>
      <c r="J336" t="n">
        <v/>
      </c>
      <c r="K336" t="n">
        <v/>
      </c>
      <c r="L336" t="n">
        <v/>
      </c>
    </row>
    <row r="337">
      <c r="A337" s="64" t="n">
        <v>36228</v>
      </c>
      <c r="B337" t="n">
        <v>898</v>
      </c>
      <c r="C337" t="n">
        <v/>
      </c>
      <c r="D337" t="n">
        <v>7752</v>
      </c>
      <c r="E337" t="n">
        <v>-28973</v>
      </c>
      <c r="F337" t="n">
        <v>-8944</v>
      </c>
      <c r="G337" t="n">
        <v>-27603</v>
      </c>
      <c r="H337" t="n">
        <v>-44258</v>
      </c>
      <c r="I337" t="n">
        <v>7670</v>
      </c>
      <c r="J337" t="n">
        <v/>
      </c>
      <c r="K337" t="n">
        <v/>
      </c>
      <c r="L337" t="n">
        <v/>
      </c>
    </row>
    <row r="338">
      <c r="A338" s="64" t="n">
        <v>36235</v>
      </c>
      <c r="B338" t="n">
        <v>1698</v>
      </c>
      <c r="C338" t="n">
        <v/>
      </c>
      <c r="D338" t="n">
        <v>6038</v>
      </c>
      <c r="E338" t="n">
        <v>-32087</v>
      </c>
      <c r="F338" t="n">
        <v>-12004</v>
      </c>
      <c r="G338" t="n">
        <v>-19133</v>
      </c>
      <c r="H338" t="n">
        <v>-31792</v>
      </c>
      <c r="I338" t="n">
        <v>7784</v>
      </c>
      <c r="J338" t="n">
        <v/>
      </c>
      <c r="K338" t="n">
        <v/>
      </c>
      <c r="L338" t="n">
        <v/>
      </c>
    </row>
    <row r="339">
      <c r="A339" s="64" t="n">
        <v>36242</v>
      </c>
      <c r="B339" t="n">
        <v>2622</v>
      </c>
      <c r="C339" t="n">
        <v/>
      </c>
      <c r="D339" t="n">
        <v>10203</v>
      </c>
      <c r="E339" t="n">
        <v>-32145</v>
      </c>
      <c r="F339" t="n">
        <v>-9129</v>
      </c>
      <c r="G339" t="n">
        <v>-11196</v>
      </c>
      <c r="H339" t="n">
        <v>-31730</v>
      </c>
      <c r="I339" t="n">
        <v>5809</v>
      </c>
      <c r="J339" t="n">
        <v/>
      </c>
      <c r="K339" t="n">
        <v/>
      </c>
      <c r="L339" t="n">
        <v/>
      </c>
    </row>
    <row r="340">
      <c r="A340" s="64" t="n">
        <v>36249</v>
      </c>
      <c r="B340" t="n">
        <v>1118</v>
      </c>
      <c r="C340" t="n">
        <v/>
      </c>
      <c r="D340" t="n">
        <v>6463</v>
      </c>
      <c r="E340" t="n">
        <v>-36330</v>
      </c>
      <c r="F340" t="n">
        <v>-17277</v>
      </c>
      <c r="G340" t="n">
        <v>-17021</v>
      </c>
      <c r="H340" t="n">
        <v>-38463</v>
      </c>
      <c r="I340" t="n">
        <v>6419</v>
      </c>
      <c r="J340" t="n">
        <v/>
      </c>
      <c r="K340" t="n">
        <v/>
      </c>
      <c r="L340" t="n">
        <v/>
      </c>
    </row>
    <row r="341">
      <c r="A341" s="64" t="n">
        <v>36256</v>
      </c>
      <c r="B341" t="n">
        <v>2565</v>
      </c>
      <c r="C341" t="n">
        <v/>
      </c>
      <c r="D341" t="n">
        <v>9693</v>
      </c>
      <c r="E341" t="n">
        <v>-34106</v>
      </c>
      <c r="F341" t="n">
        <v>-11042</v>
      </c>
      <c r="G341" t="n">
        <v>-27260</v>
      </c>
      <c r="H341" t="n">
        <v>-35697</v>
      </c>
      <c r="I341" t="n">
        <v>6116</v>
      </c>
      <c r="J341" t="n">
        <v/>
      </c>
      <c r="K341" t="n">
        <v/>
      </c>
      <c r="L341" t="n">
        <v/>
      </c>
    </row>
    <row r="342">
      <c r="A342" s="64" t="n">
        <v>36263</v>
      </c>
      <c r="B342" t="n">
        <v>1198</v>
      </c>
      <c r="C342" t="n">
        <v/>
      </c>
      <c r="D342" t="n">
        <v>19131</v>
      </c>
      <c r="E342" t="n">
        <v>-34487</v>
      </c>
      <c r="F342" t="n">
        <v>-14160</v>
      </c>
      <c r="G342" t="n">
        <v>-29132</v>
      </c>
      <c r="H342" t="n">
        <v>-36379</v>
      </c>
      <c r="I342" t="n">
        <v>6178</v>
      </c>
      <c r="J342" t="n">
        <v/>
      </c>
      <c r="K342" t="n">
        <v/>
      </c>
      <c r="L342" t="n">
        <v/>
      </c>
    </row>
    <row r="343">
      <c r="A343" s="64" t="n">
        <v>36270</v>
      </c>
      <c r="B343" t="n">
        <v>7666</v>
      </c>
      <c r="C343" t="n">
        <v/>
      </c>
      <c r="D343" t="n">
        <v>28655</v>
      </c>
      <c r="E343" t="n">
        <v>-39912</v>
      </c>
      <c r="F343" t="n">
        <v>-24502</v>
      </c>
      <c r="G343" t="n">
        <v>-32116</v>
      </c>
      <c r="H343" t="n">
        <v>-25677</v>
      </c>
      <c r="I343" t="n">
        <v>7342</v>
      </c>
      <c r="J343" t="n">
        <v/>
      </c>
      <c r="K343" t="n">
        <v/>
      </c>
      <c r="L343" t="n">
        <v/>
      </c>
    </row>
    <row r="344">
      <c r="A344" s="64" t="n">
        <v>36277</v>
      </c>
      <c r="B344" t="n">
        <v>15853</v>
      </c>
      <c r="C344" t="n">
        <v/>
      </c>
      <c r="D344" t="n">
        <v>32190</v>
      </c>
      <c r="E344" t="n">
        <v>-45337</v>
      </c>
      <c r="F344" t="n">
        <v>-18858</v>
      </c>
      <c r="G344" t="n">
        <v>-23495</v>
      </c>
      <c r="H344" t="n">
        <v>-35310</v>
      </c>
      <c r="I344" t="n">
        <v>6530</v>
      </c>
      <c r="J344" t="n">
        <v/>
      </c>
      <c r="K344" t="n">
        <v/>
      </c>
      <c r="L344" t="n">
        <v/>
      </c>
    </row>
    <row r="345">
      <c r="A345" s="64" t="n">
        <v>36284</v>
      </c>
      <c r="B345" t="n">
        <v>18553</v>
      </c>
      <c r="C345" t="n">
        <v/>
      </c>
      <c r="D345" t="n">
        <v>31764</v>
      </c>
      <c r="E345" t="n">
        <v>-52472</v>
      </c>
      <c r="F345" t="n">
        <v>-19180</v>
      </c>
      <c r="G345" t="n">
        <v>-15908</v>
      </c>
      <c r="H345" t="n">
        <v>-38438</v>
      </c>
      <c r="I345" t="n">
        <v>6593</v>
      </c>
      <c r="J345" t="n">
        <v/>
      </c>
      <c r="K345" t="n">
        <v/>
      </c>
      <c r="L345" t="n">
        <v/>
      </c>
    </row>
    <row r="346">
      <c r="A346" s="64" t="n">
        <v>36291</v>
      </c>
      <c r="B346" t="n">
        <v>20329</v>
      </c>
      <c r="C346" t="n">
        <v/>
      </c>
      <c r="D346" t="n">
        <v>31165</v>
      </c>
      <c r="E346" t="n">
        <v>-38187</v>
      </c>
      <c r="F346" t="n">
        <v>-10700</v>
      </c>
      <c r="G346" t="n">
        <v>14393</v>
      </c>
      <c r="H346" t="n">
        <v>-44065</v>
      </c>
      <c r="I346" t="n">
        <v>6429</v>
      </c>
      <c r="J346" t="n">
        <v/>
      </c>
      <c r="K346" t="n">
        <v/>
      </c>
      <c r="L346" t="n">
        <v/>
      </c>
    </row>
    <row r="347">
      <c r="A347" s="64" t="n">
        <v>36298</v>
      </c>
      <c r="B347" t="n">
        <v>19619</v>
      </c>
      <c r="C347" t="n">
        <v/>
      </c>
      <c r="D347" t="n">
        <v>30898</v>
      </c>
      <c r="E347" t="n">
        <v>-43350</v>
      </c>
      <c r="F347" t="n">
        <v>-10563</v>
      </c>
      <c r="G347" t="n">
        <v>14248</v>
      </c>
      <c r="H347" t="n">
        <v>-66697</v>
      </c>
      <c r="I347" t="n">
        <v>6546</v>
      </c>
      <c r="J347" t="n">
        <v/>
      </c>
      <c r="K347" t="n">
        <v/>
      </c>
      <c r="L347" t="n">
        <v/>
      </c>
    </row>
    <row r="348">
      <c r="A348" s="64" t="n">
        <v>36305</v>
      </c>
      <c r="B348" t="n">
        <v>14325</v>
      </c>
      <c r="C348" t="n">
        <v/>
      </c>
      <c r="D348" t="n">
        <v>28613</v>
      </c>
      <c r="E348" t="n">
        <v>-30615</v>
      </c>
      <c r="F348" t="n">
        <v>-9512</v>
      </c>
      <c r="G348" t="n">
        <v>-11749</v>
      </c>
      <c r="H348" t="n">
        <v>-62184</v>
      </c>
      <c r="I348" t="n">
        <v>1703</v>
      </c>
      <c r="J348" t="n">
        <v/>
      </c>
      <c r="K348" t="n">
        <v/>
      </c>
      <c r="L348" t="n">
        <v/>
      </c>
    </row>
    <row r="349">
      <c r="A349" s="64" t="n">
        <v>36312</v>
      </c>
      <c r="B349" t="n">
        <v>9210</v>
      </c>
      <c r="C349" t="n">
        <v/>
      </c>
      <c r="D349" t="n">
        <v>21820</v>
      </c>
      <c r="E349" t="n">
        <v>-33735</v>
      </c>
      <c r="F349" t="n">
        <v>-8008</v>
      </c>
      <c r="G349" t="n">
        <v>-20502</v>
      </c>
      <c r="H349" t="n">
        <v>-45923</v>
      </c>
      <c r="I349" t="n">
        <v>250</v>
      </c>
      <c r="J349" t="n">
        <v/>
      </c>
      <c r="K349" t="n">
        <v/>
      </c>
      <c r="L349" t="n">
        <v/>
      </c>
    </row>
    <row r="350">
      <c r="A350" s="64" t="n">
        <v>36319</v>
      </c>
      <c r="B350" t="n">
        <v>5673</v>
      </c>
      <c r="C350" t="n">
        <v/>
      </c>
      <c r="D350" t="n">
        <v>19517</v>
      </c>
      <c r="E350" t="n">
        <v>-35591</v>
      </c>
      <c r="F350" t="n">
        <v>-8974</v>
      </c>
      <c r="G350" t="n">
        <v>-18315</v>
      </c>
      <c r="H350" t="n">
        <v>-49002</v>
      </c>
      <c r="I350" t="n">
        <v>1013</v>
      </c>
      <c r="J350" t="n">
        <v/>
      </c>
      <c r="K350" t="n">
        <v/>
      </c>
      <c r="L350" t="n">
        <v/>
      </c>
    </row>
    <row r="351">
      <c r="A351" s="64" t="n">
        <v>36326</v>
      </c>
      <c r="B351" t="n">
        <v>7062</v>
      </c>
      <c r="C351" t="n">
        <v/>
      </c>
      <c r="D351" t="n">
        <v>20264</v>
      </c>
      <c r="E351" t="n">
        <v>-33492</v>
      </c>
      <c r="F351" t="n">
        <v>-8523</v>
      </c>
      <c r="G351" t="n">
        <v>-19010</v>
      </c>
      <c r="H351" t="n">
        <v>-40061</v>
      </c>
      <c r="I351" t="n">
        <v>1348</v>
      </c>
      <c r="J351" t="n">
        <v/>
      </c>
      <c r="K351" t="n">
        <v/>
      </c>
      <c r="L351" t="n">
        <v/>
      </c>
    </row>
    <row r="352">
      <c r="A352" s="64" t="n">
        <v>36333</v>
      </c>
      <c r="B352" t="n">
        <v>7244</v>
      </c>
      <c r="C352" t="n">
        <v/>
      </c>
      <c r="D352" t="n">
        <v>19208</v>
      </c>
      <c r="E352" t="n">
        <v>-34727</v>
      </c>
      <c r="F352" t="n">
        <v>-5322</v>
      </c>
      <c r="G352" t="n">
        <v>-22153</v>
      </c>
      <c r="H352" t="n">
        <v>-50843</v>
      </c>
      <c r="I352" t="n">
        <v>4284</v>
      </c>
      <c r="J352" t="n">
        <v/>
      </c>
      <c r="K352" t="n">
        <v/>
      </c>
      <c r="L352" t="n">
        <v/>
      </c>
    </row>
    <row r="353">
      <c r="A353" s="64" t="n">
        <v>36340</v>
      </c>
      <c r="B353" t="n">
        <v>7330</v>
      </c>
      <c r="C353" t="n">
        <v/>
      </c>
      <c r="D353" t="n">
        <v>19682</v>
      </c>
      <c r="E353" t="n">
        <v>-36883</v>
      </c>
      <c r="F353" t="n">
        <v>-3868</v>
      </c>
      <c r="G353" t="n">
        <v>-34422</v>
      </c>
      <c r="H353" t="n">
        <v>-49067</v>
      </c>
      <c r="I353" t="n">
        <v>4328</v>
      </c>
      <c r="J353" t="n">
        <v/>
      </c>
      <c r="K353" t="n">
        <v/>
      </c>
      <c r="L353" t="n">
        <v/>
      </c>
    </row>
    <row r="354">
      <c r="A354" s="64" t="n">
        <v>36347</v>
      </c>
      <c r="B354" t="n">
        <v>9659</v>
      </c>
      <c r="C354" t="n">
        <v/>
      </c>
      <c r="D354" t="n">
        <v>15129</v>
      </c>
      <c r="E354" t="n">
        <v>-40237</v>
      </c>
      <c r="F354" t="n">
        <v>-5711</v>
      </c>
      <c r="G354" t="n">
        <v>-38905</v>
      </c>
      <c r="H354" t="n">
        <v>-49976</v>
      </c>
      <c r="I354" t="n">
        <v>3722</v>
      </c>
      <c r="J354" t="n">
        <v/>
      </c>
      <c r="K354" t="n">
        <v/>
      </c>
      <c r="L354" t="n">
        <v/>
      </c>
    </row>
    <row r="355">
      <c r="A355" s="64" t="n">
        <v>36354</v>
      </c>
      <c r="B355" t="n">
        <v>11422</v>
      </c>
      <c r="C355" t="n">
        <v/>
      </c>
      <c r="D355" t="n">
        <v>8218</v>
      </c>
      <c r="E355" t="n">
        <v>-36684</v>
      </c>
      <c r="F355" t="n">
        <v>-5312</v>
      </c>
      <c r="G355" t="n">
        <v>-40297</v>
      </c>
      <c r="H355" t="n">
        <v>-53198</v>
      </c>
      <c r="I355" t="n">
        <v>3931</v>
      </c>
      <c r="J355" t="n">
        <v/>
      </c>
      <c r="K355" t="n">
        <v/>
      </c>
      <c r="L355" t="n">
        <v/>
      </c>
    </row>
    <row r="356">
      <c r="A356" s="64" t="n">
        <v>36361</v>
      </c>
      <c r="B356" t="n">
        <v>1474</v>
      </c>
      <c r="C356" t="n">
        <v/>
      </c>
      <c r="D356" t="n">
        <v>2444</v>
      </c>
      <c r="E356" t="n">
        <v>-33401</v>
      </c>
      <c r="F356" t="n">
        <v>-6007</v>
      </c>
      <c r="G356" t="n">
        <v>-31695</v>
      </c>
      <c r="H356" t="n">
        <v>-2710</v>
      </c>
      <c r="I356" t="n">
        <v>3407</v>
      </c>
      <c r="J356" t="n">
        <v/>
      </c>
      <c r="K356" t="n">
        <v/>
      </c>
      <c r="L356" t="n">
        <v/>
      </c>
    </row>
    <row r="357">
      <c r="A357" s="64" t="n">
        <v>36368</v>
      </c>
      <c r="B357" t="n">
        <v>-214</v>
      </c>
      <c r="C357" t="n">
        <v/>
      </c>
      <c r="D357" t="n">
        <v>-24931</v>
      </c>
      <c r="E357" t="n">
        <v>7496</v>
      </c>
      <c r="F357" t="n">
        <v>1803</v>
      </c>
      <c r="G357" t="n">
        <v>-26738</v>
      </c>
      <c r="H357" t="n">
        <v>24761</v>
      </c>
      <c r="I357" t="n">
        <v>3427</v>
      </c>
      <c r="J357" t="n">
        <v/>
      </c>
      <c r="K357" t="n">
        <v/>
      </c>
      <c r="L357" t="n">
        <v/>
      </c>
    </row>
    <row r="358">
      <c r="A358" s="64" t="n">
        <v>36375</v>
      </c>
      <c r="B358" t="n">
        <v>140</v>
      </c>
      <c r="C358" t="n">
        <v/>
      </c>
      <c r="D358" t="n">
        <v>-29215</v>
      </c>
      <c r="E358" t="n">
        <v>15138</v>
      </c>
      <c r="F358" t="n">
        <v>7453</v>
      </c>
      <c r="G358" t="n">
        <v>3544</v>
      </c>
      <c r="H358" t="n">
        <v>41869</v>
      </c>
      <c r="I358" t="n">
        <v>2953</v>
      </c>
      <c r="J358" t="n">
        <v/>
      </c>
      <c r="K358" t="n">
        <v/>
      </c>
      <c r="L358" t="n">
        <v/>
      </c>
    </row>
    <row r="359">
      <c r="A359" s="64" t="n">
        <v>36382</v>
      </c>
      <c r="B359" t="n">
        <v>-556</v>
      </c>
      <c r="C359" t="n">
        <v/>
      </c>
      <c r="D359" t="n">
        <v>-17570</v>
      </c>
      <c r="E359" t="n">
        <v>17095</v>
      </c>
      <c r="F359" t="n">
        <v>11901</v>
      </c>
      <c r="G359" t="n">
        <v>8285</v>
      </c>
      <c r="H359" t="n">
        <v>40077</v>
      </c>
      <c r="I359" t="n">
        <v>1521</v>
      </c>
      <c r="J359" t="n">
        <v/>
      </c>
      <c r="K359" t="n">
        <v/>
      </c>
      <c r="L359" t="n">
        <v/>
      </c>
    </row>
    <row r="360">
      <c r="A360" s="64" t="n">
        <v>36389</v>
      </c>
      <c r="B360" t="n">
        <v>-698</v>
      </c>
      <c r="C360" t="n">
        <v/>
      </c>
      <c r="D360" t="n">
        <v>-4821</v>
      </c>
      <c r="E360" t="n">
        <v>11555</v>
      </c>
      <c r="F360" t="n">
        <v>1243</v>
      </c>
      <c r="G360" t="n">
        <v>9438</v>
      </c>
      <c r="H360" t="n">
        <v>41312</v>
      </c>
      <c r="I360" t="n">
        <v>4769</v>
      </c>
      <c r="J360" t="n">
        <v/>
      </c>
      <c r="K360" t="n">
        <v/>
      </c>
      <c r="L360" t="n">
        <v/>
      </c>
    </row>
    <row r="361">
      <c r="A361" s="64" t="n">
        <v>36396</v>
      </c>
      <c r="B361" t="n">
        <v>-9578</v>
      </c>
      <c r="C361" t="n">
        <v/>
      </c>
      <c r="D361" t="n">
        <v>-6644</v>
      </c>
      <c r="E361" t="n">
        <v>9461</v>
      </c>
      <c r="F361" t="n">
        <v>605</v>
      </c>
      <c r="G361" t="n">
        <v>7311</v>
      </c>
      <c r="H361" t="n">
        <v>44431</v>
      </c>
      <c r="I361" t="n">
        <v>5041</v>
      </c>
      <c r="J361" t="n">
        <v/>
      </c>
      <c r="K361" t="n">
        <v/>
      </c>
      <c r="L361" t="n">
        <v/>
      </c>
    </row>
    <row r="362">
      <c r="A362" s="64" t="n">
        <v>36403</v>
      </c>
      <c r="B362" t="n">
        <v>-10202</v>
      </c>
      <c r="C362" t="n">
        <v/>
      </c>
      <c r="D362" t="n">
        <v>-5808</v>
      </c>
      <c r="E362" t="n">
        <v>7342</v>
      </c>
      <c r="F362" t="n">
        <v>3462</v>
      </c>
      <c r="G362" t="n">
        <v>10782</v>
      </c>
      <c r="H362" t="n">
        <v>53902</v>
      </c>
      <c r="I362" t="n">
        <v>5042</v>
      </c>
      <c r="J362" t="n">
        <v/>
      </c>
      <c r="K362" t="n">
        <v/>
      </c>
      <c r="L362" t="n">
        <v/>
      </c>
    </row>
    <row r="363">
      <c r="A363" s="64" t="n">
        <v>36410</v>
      </c>
      <c r="B363" t="n">
        <v>-8999</v>
      </c>
      <c r="C363" t="n">
        <v/>
      </c>
      <c r="D363" t="n">
        <v>-4142</v>
      </c>
      <c r="E363" t="n">
        <v>13062</v>
      </c>
      <c r="F363" t="n">
        <v>1844</v>
      </c>
      <c r="G363" t="n">
        <v>3943</v>
      </c>
      <c r="H363" t="n">
        <v>44633</v>
      </c>
      <c r="I363" t="n">
        <v>6691</v>
      </c>
      <c r="J363" t="n">
        <v/>
      </c>
      <c r="K363" t="n">
        <v/>
      </c>
      <c r="L363" t="n">
        <v/>
      </c>
    </row>
    <row r="364">
      <c r="A364" s="64" t="n">
        <v>36417</v>
      </c>
      <c r="B364" t="n">
        <v>-3909</v>
      </c>
      <c r="C364" t="n">
        <v/>
      </c>
      <c r="D364" t="n">
        <v>2058</v>
      </c>
      <c r="E364" t="n">
        <v>-3594</v>
      </c>
      <c r="F364" t="n">
        <v>-2563</v>
      </c>
      <c r="G364" t="n">
        <v>10331</v>
      </c>
      <c r="H364" t="n">
        <v>41124</v>
      </c>
      <c r="I364" t="n">
        <v>8634</v>
      </c>
      <c r="J364" t="n">
        <v/>
      </c>
      <c r="K364" t="n">
        <v/>
      </c>
      <c r="L364" t="n">
        <v/>
      </c>
    </row>
    <row r="365">
      <c r="A365" s="64" t="n">
        <v>36424</v>
      </c>
      <c r="B365" t="n">
        <v>-3727</v>
      </c>
      <c r="C365" t="n">
        <v/>
      </c>
      <c r="D365" t="n">
        <v>7402</v>
      </c>
      <c r="E365" t="n">
        <v>-10421</v>
      </c>
      <c r="F365" t="n">
        <v>-1560</v>
      </c>
      <c r="G365" t="n">
        <v>9016</v>
      </c>
      <c r="H365" t="n">
        <v>36899</v>
      </c>
      <c r="I365" t="n">
        <v>7061</v>
      </c>
      <c r="J365" t="n">
        <v/>
      </c>
      <c r="K365" t="n">
        <v/>
      </c>
      <c r="L365" t="n">
        <v/>
      </c>
    </row>
    <row r="366">
      <c r="A366" s="64" t="n">
        <v>36431</v>
      </c>
      <c r="B366" t="n">
        <v>-980</v>
      </c>
      <c r="C366" t="n">
        <v/>
      </c>
      <c r="D366" t="n">
        <v>12569</v>
      </c>
      <c r="E366" t="n">
        <v>-7584</v>
      </c>
      <c r="F366" t="n">
        <v>2233</v>
      </c>
      <c r="G366" t="n">
        <v>28282</v>
      </c>
      <c r="H366" t="n">
        <v>31285</v>
      </c>
      <c r="I366" t="n">
        <v>6585</v>
      </c>
      <c r="J366" t="n">
        <v/>
      </c>
      <c r="K366" t="n">
        <v/>
      </c>
      <c r="L366" t="n">
        <v/>
      </c>
    </row>
    <row r="367">
      <c r="A367" s="64" t="n">
        <v>36438</v>
      </c>
      <c r="B367" t="n">
        <v>1595</v>
      </c>
      <c r="C367" t="n">
        <v/>
      </c>
      <c r="D367" t="n">
        <v>15928</v>
      </c>
      <c r="E367" t="n">
        <v>10694</v>
      </c>
      <c r="F367" t="n">
        <v>12979</v>
      </c>
      <c r="G367" t="n">
        <v>36351</v>
      </c>
      <c r="H367" t="n">
        <v>26594</v>
      </c>
      <c r="I367" t="n">
        <v>3221</v>
      </c>
      <c r="J367" t="n">
        <v/>
      </c>
      <c r="K367" t="n">
        <v/>
      </c>
      <c r="L367" t="n">
        <v/>
      </c>
    </row>
    <row r="368">
      <c r="A368" s="64" t="n">
        <v>36445</v>
      </c>
      <c r="B368" t="n">
        <v>2067</v>
      </c>
      <c r="C368" t="n">
        <v/>
      </c>
      <c r="D368" t="n">
        <v>15523</v>
      </c>
      <c r="E368" t="n">
        <v>25331</v>
      </c>
      <c r="F368" t="n">
        <v>13099</v>
      </c>
      <c r="G368" t="n">
        <v>35585</v>
      </c>
      <c r="H368" t="n">
        <v>27170</v>
      </c>
      <c r="I368" t="n">
        <v>3054</v>
      </c>
      <c r="J368" t="n">
        <v/>
      </c>
      <c r="K368" t="n">
        <v/>
      </c>
      <c r="L368" t="n">
        <v/>
      </c>
    </row>
    <row r="369">
      <c r="A369" s="64" t="n">
        <v>36452</v>
      </c>
      <c r="B369" t="n">
        <v>-994</v>
      </c>
      <c r="C369" t="n">
        <v/>
      </c>
      <c r="D369" t="n">
        <v>-1275</v>
      </c>
      <c r="E369" t="n">
        <v>44644</v>
      </c>
      <c r="F369" t="n">
        <v>23385</v>
      </c>
      <c r="G369" t="n">
        <v>43779</v>
      </c>
      <c r="H369" t="n">
        <v>23378</v>
      </c>
      <c r="I369" t="n">
        <v>1976</v>
      </c>
      <c r="J369" t="n">
        <v/>
      </c>
      <c r="K369" t="n">
        <v/>
      </c>
      <c r="L369" t="n">
        <v/>
      </c>
    </row>
    <row r="370">
      <c r="A370" s="64" t="n">
        <v>36459</v>
      </c>
      <c r="B370" t="n">
        <v>1677</v>
      </c>
      <c r="C370" t="n">
        <v/>
      </c>
      <c r="D370" t="n">
        <v>3215</v>
      </c>
      <c r="E370" t="n">
        <v>33579</v>
      </c>
      <c r="F370" t="n">
        <v>10239</v>
      </c>
      <c r="G370" t="n">
        <v>34044</v>
      </c>
      <c r="H370" t="n">
        <v>27713</v>
      </c>
      <c r="I370" t="n">
        <v>1475</v>
      </c>
      <c r="J370" t="n">
        <v/>
      </c>
      <c r="K370" t="n">
        <v/>
      </c>
      <c r="L370" t="n">
        <v/>
      </c>
    </row>
    <row r="371">
      <c r="A371" s="64" t="n">
        <v>36466</v>
      </c>
      <c r="B371" t="n">
        <v>-1747</v>
      </c>
      <c r="C371" t="n">
        <v/>
      </c>
      <c r="D371" t="n">
        <v>6256</v>
      </c>
      <c r="E371" t="n">
        <v>11193</v>
      </c>
      <c r="F371" t="n">
        <v>-4593</v>
      </c>
      <c r="G371" t="n">
        <v>31156</v>
      </c>
      <c r="H371" t="n">
        <v>27807</v>
      </c>
      <c r="I371" t="n">
        <v>1929</v>
      </c>
      <c r="J371" t="n">
        <v/>
      </c>
      <c r="K371" t="n">
        <v/>
      </c>
      <c r="L371" t="n">
        <v/>
      </c>
    </row>
    <row r="372">
      <c r="A372" s="64" t="n">
        <v>36473</v>
      </c>
      <c r="B372" t="n">
        <v>-2886</v>
      </c>
      <c r="C372" t="n">
        <v/>
      </c>
      <c r="D372" t="n">
        <v>10363</v>
      </c>
      <c r="E372" t="n">
        <v>-16619</v>
      </c>
      <c r="F372" t="n">
        <v>-4890</v>
      </c>
      <c r="G372" t="n">
        <v>9653</v>
      </c>
      <c r="H372" t="n">
        <v>19152</v>
      </c>
      <c r="I372" t="n">
        <v>8603</v>
      </c>
      <c r="J372" t="n">
        <v/>
      </c>
      <c r="K372" t="n">
        <v/>
      </c>
      <c r="L372" t="n">
        <v/>
      </c>
    </row>
    <row r="373">
      <c r="A373" s="64" t="n">
        <v>36480</v>
      </c>
      <c r="B373" t="n">
        <v>-2011</v>
      </c>
      <c r="C373" t="n">
        <v/>
      </c>
      <c r="D373" t="n">
        <v>11516</v>
      </c>
      <c r="E373" t="n">
        <v>-19397</v>
      </c>
      <c r="F373" t="n">
        <v>-9009</v>
      </c>
      <c r="G373" t="n">
        <v>7208</v>
      </c>
      <c r="H373" t="n">
        <v>14998</v>
      </c>
      <c r="I373" t="n">
        <v>9444</v>
      </c>
      <c r="J373" t="n">
        <v/>
      </c>
      <c r="K373" t="n">
        <v/>
      </c>
      <c r="L373" t="n">
        <v/>
      </c>
    </row>
    <row r="374">
      <c r="A374" s="64" t="n">
        <v>36487</v>
      </c>
      <c r="B374" t="n">
        <v>-2920</v>
      </c>
      <c r="C374" t="n">
        <v/>
      </c>
      <c r="D374" t="n">
        <v>12540</v>
      </c>
      <c r="E374" t="n">
        <v>-20954</v>
      </c>
      <c r="F374" t="n">
        <v>-14345</v>
      </c>
      <c r="G374" t="n">
        <v>8488</v>
      </c>
      <c r="H374" t="n">
        <v>26711</v>
      </c>
      <c r="I374" t="n">
        <v>10170</v>
      </c>
      <c r="J374" t="n">
        <v/>
      </c>
      <c r="K374" t="n">
        <v/>
      </c>
      <c r="L374" t="n">
        <v/>
      </c>
    </row>
    <row r="375">
      <c r="A375" s="64" t="n">
        <v>36494</v>
      </c>
      <c r="B375" t="n">
        <v>-4723</v>
      </c>
      <c r="C375" t="n">
        <v/>
      </c>
      <c r="D375" t="n">
        <v>5193</v>
      </c>
      <c r="E375" t="n">
        <v>-22732</v>
      </c>
      <c r="F375" t="n">
        <v>-25051</v>
      </c>
      <c r="G375" t="n">
        <v>-1117</v>
      </c>
      <c r="H375" t="n">
        <v>37980</v>
      </c>
      <c r="I375" t="n">
        <v>9776</v>
      </c>
      <c r="J375" t="n">
        <v/>
      </c>
      <c r="K375" t="n">
        <v/>
      </c>
      <c r="L375" t="n">
        <v/>
      </c>
    </row>
    <row r="376">
      <c r="A376" s="64" t="n">
        <v>36501</v>
      </c>
      <c r="B376" t="n">
        <v>-7275</v>
      </c>
      <c r="C376" t="n">
        <v/>
      </c>
      <c r="D376" t="n">
        <v>-2655</v>
      </c>
      <c r="E376" t="n">
        <v>-18181</v>
      </c>
      <c r="F376" t="n">
        <v>-20738</v>
      </c>
      <c r="G376" t="n">
        <v>-3565</v>
      </c>
      <c r="H376" t="n">
        <v>30325</v>
      </c>
      <c r="I376" t="n">
        <v>5524</v>
      </c>
      <c r="J376" t="n">
        <v/>
      </c>
      <c r="K376" t="n">
        <v/>
      </c>
      <c r="L376" t="n">
        <v/>
      </c>
    </row>
    <row r="377">
      <c r="A377" s="64" t="n">
        <v>36508</v>
      </c>
      <c r="B377" t="n">
        <v>-7381</v>
      </c>
      <c r="C377" t="n">
        <v/>
      </c>
      <c r="D377" t="n">
        <v>-3618</v>
      </c>
      <c r="E377" t="n">
        <v>-12726</v>
      </c>
      <c r="F377" t="n">
        <v>-16856</v>
      </c>
      <c r="G377" t="n">
        <v>-3064</v>
      </c>
      <c r="H377" t="n">
        <v>9666</v>
      </c>
      <c r="I377" t="n">
        <v>5019</v>
      </c>
      <c r="J377" t="n">
        <v/>
      </c>
      <c r="K377" t="n">
        <v/>
      </c>
      <c r="L377" t="n">
        <v/>
      </c>
    </row>
    <row r="378">
      <c r="A378" s="64" t="n">
        <v>36515</v>
      </c>
      <c r="B378" t="n">
        <v>-5165</v>
      </c>
      <c r="C378" t="n">
        <v/>
      </c>
      <c r="D378" t="n">
        <v>-7101</v>
      </c>
      <c r="E378" t="n">
        <v>-11703</v>
      </c>
      <c r="F378" t="n">
        <v>-6949</v>
      </c>
      <c r="G378" t="n">
        <v>-3981</v>
      </c>
      <c r="H378" t="n">
        <v>17384</v>
      </c>
      <c r="I378" t="n">
        <v>5454</v>
      </c>
      <c r="J378" t="n">
        <v/>
      </c>
      <c r="K378" t="n">
        <v/>
      </c>
      <c r="L378" t="n">
        <v/>
      </c>
    </row>
    <row r="379">
      <c r="A379" s="64" t="n">
        <v>36522</v>
      </c>
      <c r="B379" t="n">
        <v>-4713</v>
      </c>
      <c r="C379" t="n">
        <v/>
      </c>
      <c r="D379" t="n">
        <v>6422</v>
      </c>
      <c r="E379" t="n">
        <v>-13233</v>
      </c>
      <c r="F379" t="n">
        <v>-12841</v>
      </c>
      <c r="G379" t="n">
        <v>-4587</v>
      </c>
      <c r="H379" t="n">
        <v>20392</v>
      </c>
      <c r="I379" t="n">
        <v>4874</v>
      </c>
      <c r="J379" t="n">
        <v/>
      </c>
      <c r="K379" t="n">
        <v/>
      </c>
      <c r="L379" t="n">
        <v/>
      </c>
    </row>
    <row r="380">
      <c r="A380" s="64" t="n">
        <v>36529</v>
      </c>
      <c r="B380" t="n">
        <v>6279</v>
      </c>
      <c r="C380" t="n">
        <v/>
      </c>
      <c r="D380" t="n">
        <v>13425</v>
      </c>
      <c r="E380" t="n">
        <v>-9915</v>
      </c>
      <c r="F380" t="n">
        <v>-5189</v>
      </c>
      <c r="G380" t="n">
        <v>4043</v>
      </c>
      <c r="H380" t="n">
        <v>15475</v>
      </c>
      <c r="I380" t="n">
        <v>4950</v>
      </c>
      <c r="J380" t="n">
        <v/>
      </c>
      <c r="K380" t="n">
        <v/>
      </c>
      <c r="L380" t="n">
        <v/>
      </c>
    </row>
    <row r="381">
      <c r="A381" s="64" t="n">
        <v>36536</v>
      </c>
      <c r="B381" t="n">
        <v>9140</v>
      </c>
      <c r="C381" t="n">
        <v/>
      </c>
      <c r="D381" t="n">
        <v>10081</v>
      </c>
      <c r="E381" t="n">
        <v>-54</v>
      </c>
      <c r="F381" t="n">
        <v>8714</v>
      </c>
      <c r="G381" t="n">
        <v>14108</v>
      </c>
      <c r="H381" t="n">
        <v>-22753</v>
      </c>
      <c r="I381" t="n">
        <v>5863</v>
      </c>
      <c r="J381" t="n">
        <v/>
      </c>
      <c r="K381" t="n">
        <v/>
      </c>
      <c r="L381" t="n">
        <v/>
      </c>
    </row>
    <row r="382">
      <c r="A382" s="64" t="n">
        <v>36543</v>
      </c>
      <c r="B382" t="n">
        <v>17309</v>
      </c>
      <c r="C382" t="n">
        <v/>
      </c>
      <c r="D382" t="n">
        <v>19712</v>
      </c>
      <c r="E382" t="n">
        <v>-10007</v>
      </c>
      <c r="F382" t="n">
        <v>-8018</v>
      </c>
      <c r="G382" t="n">
        <v>14998</v>
      </c>
      <c r="H382" t="n">
        <v>-24831</v>
      </c>
      <c r="I382" t="n">
        <v>6167</v>
      </c>
      <c r="J382" t="n">
        <v/>
      </c>
      <c r="K382" t="n">
        <v/>
      </c>
      <c r="L382" t="n">
        <v/>
      </c>
    </row>
    <row r="383">
      <c r="A383" s="64" t="n">
        <v>36550</v>
      </c>
      <c r="B383" t="n">
        <v>15399</v>
      </c>
      <c r="C383" t="n">
        <v/>
      </c>
      <c r="D383" t="n">
        <v>27084</v>
      </c>
      <c r="E383" t="n">
        <v>-20511</v>
      </c>
      <c r="F383" t="n">
        <v>-13303</v>
      </c>
      <c r="G383" t="n">
        <v>20092</v>
      </c>
      <c r="H383" t="n">
        <v>-23778</v>
      </c>
      <c r="I383" t="n">
        <v>5746</v>
      </c>
      <c r="J383" t="n">
        <v/>
      </c>
      <c r="K383" t="n">
        <v/>
      </c>
      <c r="L383" t="n">
        <v/>
      </c>
    </row>
    <row r="384">
      <c r="A384" s="64" t="n">
        <v>36557</v>
      </c>
      <c r="B384" t="n">
        <v>-3012</v>
      </c>
      <c r="C384" t="n">
        <v/>
      </c>
      <c r="D384" t="n">
        <v>19494</v>
      </c>
      <c r="E384" t="n">
        <v>-32413</v>
      </c>
      <c r="F384" t="n">
        <v>-23010</v>
      </c>
      <c r="G384" t="n">
        <v>-201</v>
      </c>
      <c r="H384" t="n">
        <v>-37117</v>
      </c>
      <c r="I384" t="n">
        <v>3073</v>
      </c>
      <c r="J384" t="n">
        <v/>
      </c>
      <c r="K384" t="n">
        <v/>
      </c>
      <c r="L384" t="n">
        <v/>
      </c>
    </row>
    <row r="385">
      <c r="A385" s="64" t="n">
        <v>36564</v>
      </c>
      <c r="B385" t="n">
        <v>-3098</v>
      </c>
      <c r="C385" t="n">
        <v/>
      </c>
      <c r="D385" t="n">
        <v>20468</v>
      </c>
      <c r="E385" t="n">
        <v>-31526</v>
      </c>
      <c r="F385" t="n">
        <v>-16692</v>
      </c>
      <c r="G385" t="n">
        <v>-15910</v>
      </c>
      <c r="H385" t="n">
        <v>-43278</v>
      </c>
      <c r="I385" t="n">
        <v>7979</v>
      </c>
      <c r="J385" t="n">
        <v/>
      </c>
      <c r="K385" t="n">
        <v/>
      </c>
      <c r="L385" t="n">
        <v/>
      </c>
    </row>
    <row r="386">
      <c r="A386" s="64" t="n">
        <v>36571</v>
      </c>
      <c r="B386" t="n">
        <v>-4947</v>
      </c>
      <c r="C386" t="n">
        <v/>
      </c>
      <c r="D386" t="n">
        <v>12644</v>
      </c>
      <c r="E386" t="n">
        <v>-27587</v>
      </c>
      <c r="F386" t="n">
        <v>-5414</v>
      </c>
      <c r="G386" t="n">
        <v>-14138</v>
      </c>
      <c r="H386" t="n">
        <v>-47825</v>
      </c>
      <c r="I386" t="n">
        <v>9003</v>
      </c>
      <c r="J386" t="n">
        <v/>
      </c>
      <c r="K386" t="n">
        <v/>
      </c>
      <c r="L386" t="n">
        <v/>
      </c>
    </row>
    <row r="387">
      <c r="A387" s="64" t="n">
        <v>36578</v>
      </c>
      <c r="B387" t="n">
        <v>-5025</v>
      </c>
      <c r="C387" t="n">
        <v/>
      </c>
      <c r="D387" t="n">
        <v>4590</v>
      </c>
      <c r="E387" t="n">
        <v>-18737</v>
      </c>
      <c r="F387" t="n">
        <v>2644</v>
      </c>
      <c r="G387" t="n">
        <v>-10441</v>
      </c>
      <c r="H387" t="n">
        <v>-50356</v>
      </c>
      <c r="I387" t="n">
        <v>9151</v>
      </c>
      <c r="J387" t="n">
        <v/>
      </c>
      <c r="K387" t="n">
        <v/>
      </c>
      <c r="L387" t="n">
        <v/>
      </c>
    </row>
    <row r="388">
      <c r="A388" s="64" t="n">
        <v>36585</v>
      </c>
      <c r="B388" t="n">
        <v>-7213</v>
      </c>
      <c r="C388" t="n">
        <v/>
      </c>
      <c r="D388" t="n">
        <v>3629</v>
      </c>
      <c r="E388" t="n">
        <v>-26712</v>
      </c>
      <c r="F388" t="n">
        <v>-7591</v>
      </c>
      <c r="G388" t="n">
        <v>-14810</v>
      </c>
      <c r="H388" t="n">
        <v>-45394</v>
      </c>
      <c r="I388" t="n">
        <v>9609</v>
      </c>
      <c r="J388" t="n">
        <v/>
      </c>
      <c r="K388" t="n">
        <v/>
      </c>
      <c r="L388" t="n">
        <v/>
      </c>
    </row>
    <row r="389">
      <c r="A389" s="64" t="n">
        <v>36592</v>
      </c>
      <c r="B389" t="n">
        <v>-7703</v>
      </c>
      <c r="C389" t="n">
        <v/>
      </c>
      <c r="D389" t="n">
        <v>-885</v>
      </c>
      <c r="E389" t="n">
        <v>-26268</v>
      </c>
      <c r="F389" t="n">
        <v>-17953</v>
      </c>
      <c r="G389" t="n">
        <v>-12357</v>
      </c>
      <c r="H389" t="n">
        <v>-13688</v>
      </c>
      <c r="I389" t="n">
        <v>10442</v>
      </c>
      <c r="J389" t="n">
        <v/>
      </c>
      <c r="K389" t="n">
        <v/>
      </c>
      <c r="L389" t="n">
        <v/>
      </c>
    </row>
    <row r="390">
      <c r="A390" s="64" t="n">
        <v>36599</v>
      </c>
      <c r="B390" t="n">
        <v>-8421</v>
      </c>
      <c r="C390" t="n">
        <v/>
      </c>
      <c r="D390" t="n">
        <v>-1925</v>
      </c>
      <c r="E390" t="n">
        <v>-25074</v>
      </c>
      <c r="F390" t="n">
        <v>-13639</v>
      </c>
      <c r="G390" t="n">
        <v>-17790</v>
      </c>
      <c r="H390" t="n">
        <v>-18400</v>
      </c>
      <c r="I390" t="n">
        <v>9786</v>
      </c>
      <c r="J390" t="n">
        <v/>
      </c>
      <c r="K390" t="n">
        <v/>
      </c>
      <c r="L390" t="n">
        <v/>
      </c>
    </row>
    <row r="391">
      <c r="A391" s="64" t="n">
        <v>36606</v>
      </c>
      <c r="B391" t="n">
        <v>-8307</v>
      </c>
      <c r="C391" t="n">
        <v/>
      </c>
      <c r="D391" t="n">
        <v>-9242</v>
      </c>
      <c r="E391" t="n">
        <v>-27603</v>
      </c>
      <c r="F391" t="n">
        <v>-12025</v>
      </c>
      <c r="G391" t="n">
        <v>-17132</v>
      </c>
      <c r="H391" t="n">
        <v>-23971</v>
      </c>
      <c r="I391" t="n">
        <v>9436</v>
      </c>
      <c r="J391" t="n">
        <v/>
      </c>
      <c r="K391" t="n">
        <v/>
      </c>
      <c r="L391" t="n">
        <v/>
      </c>
    </row>
    <row r="392">
      <c r="A392" s="64" t="n">
        <v>36613</v>
      </c>
      <c r="B392" t="n">
        <v>-7848</v>
      </c>
      <c r="C392" t="n">
        <v/>
      </c>
      <c r="D392" t="n">
        <v>-2461</v>
      </c>
      <c r="E392" t="n">
        <v>-11566</v>
      </c>
      <c r="F392" t="n">
        <v>-11640</v>
      </c>
      <c r="G392" t="n">
        <v>-5674</v>
      </c>
      <c r="H392" t="n">
        <v>-22089</v>
      </c>
      <c r="I392" t="n">
        <v>10256</v>
      </c>
      <c r="J392" t="n">
        <v/>
      </c>
      <c r="K392" t="n">
        <v/>
      </c>
      <c r="L392" t="n">
        <v/>
      </c>
    </row>
    <row r="393">
      <c r="A393" s="64" t="n">
        <v>36620</v>
      </c>
      <c r="B393" t="n">
        <v>-7568</v>
      </c>
      <c r="C393" t="n">
        <v/>
      </c>
      <c r="D393" t="n">
        <v>-393</v>
      </c>
      <c r="E393" t="n">
        <v>-9675</v>
      </c>
      <c r="F393" t="n">
        <v>-8524</v>
      </c>
      <c r="G393" t="n">
        <v>-1120</v>
      </c>
      <c r="H393" t="n">
        <v>7315</v>
      </c>
      <c r="I393" t="n">
        <v>6601</v>
      </c>
      <c r="J393" t="n">
        <v/>
      </c>
      <c r="K393" t="n">
        <v/>
      </c>
      <c r="L393" t="n">
        <v/>
      </c>
    </row>
    <row r="394">
      <c r="A394" s="64" t="n">
        <v>36627</v>
      </c>
      <c r="B394" t="n">
        <v>-8015</v>
      </c>
      <c r="C394" t="n">
        <v/>
      </c>
      <c r="D394" t="n">
        <v>-4185</v>
      </c>
      <c r="E394" t="n">
        <v>-9628</v>
      </c>
      <c r="F394" t="n">
        <v>-4856</v>
      </c>
      <c r="G394" t="n">
        <v>-5762</v>
      </c>
      <c r="H394" t="n">
        <v>3926</v>
      </c>
      <c r="I394" t="n">
        <v>4431</v>
      </c>
      <c r="J394" t="n">
        <v/>
      </c>
      <c r="K394" t="n">
        <v/>
      </c>
      <c r="L394" t="n">
        <v/>
      </c>
    </row>
    <row r="395">
      <c r="A395" s="64" t="n">
        <v>36634</v>
      </c>
      <c r="B395" t="n">
        <v>-8965</v>
      </c>
      <c r="C395" t="n">
        <v/>
      </c>
      <c r="D395" t="n">
        <v>-11578</v>
      </c>
      <c r="E395" t="n">
        <v>-13474</v>
      </c>
      <c r="F395" t="n">
        <v>-1664</v>
      </c>
      <c r="G395" t="n">
        <v>-8699</v>
      </c>
      <c r="H395" t="n">
        <v>5614</v>
      </c>
      <c r="I395" t="n">
        <v>1516</v>
      </c>
      <c r="J395" t="n">
        <v/>
      </c>
      <c r="K395" t="n">
        <v/>
      </c>
      <c r="L395" t="n">
        <v/>
      </c>
    </row>
    <row r="396">
      <c r="A396" s="64" t="n">
        <v>36641</v>
      </c>
      <c r="B396" t="n">
        <v>-8292</v>
      </c>
      <c r="C396" t="n">
        <v/>
      </c>
      <c r="D396" t="n">
        <v>-11360</v>
      </c>
      <c r="E396" t="n">
        <v>-17619</v>
      </c>
      <c r="F396" t="n">
        <v>980</v>
      </c>
      <c r="G396" t="n">
        <v>-10669</v>
      </c>
      <c r="H396" t="n">
        <v>3573</v>
      </c>
      <c r="I396" t="n">
        <v>1791</v>
      </c>
      <c r="J396" t="n">
        <v/>
      </c>
      <c r="K396" t="n">
        <v/>
      </c>
      <c r="L396" t="n">
        <v/>
      </c>
    </row>
    <row r="397">
      <c r="A397" s="64" t="n">
        <v>36648</v>
      </c>
      <c r="B397" t="n">
        <v>-9583</v>
      </c>
      <c r="C397" t="n">
        <v/>
      </c>
      <c r="D397" t="n">
        <v>-12079</v>
      </c>
      <c r="E397" t="n">
        <v>-18673</v>
      </c>
      <c r="F397" t="n">
        <v>1649</v>
      </c>
      <c r="G397" t="n">
        <v>-18048</v>
      </c>
      <c r="H397" t="n">
        <v>-12850</v>
      </c>
      <c r="I397" t="n">
        <v>5542</v>
      </c>
      <c r="J397" t="n">
        <v/>
      </c>
      <c r="K397" t="n">
        <v/>
      </c>
      <c r="L397" t="n">
        <v/>
      </c>
    </row>
    <row r="398">
      <c r="A398" s="64" t="n">
        <v>36655</v>
      </c>
      <c r="B398" t="n">
        <v>-8048</v>
      </c>
      <c r="C398" t="n">
        <v/>
      </c>
      <c r="D398" t="n">
        <v>-13032</v>
      </c>
      <c r="E398" t="n">
        <v>-20739</v>
      </c>
      <c r="F398" t="n">
        <v>-2179</v>
      </c>
      <c r="G398" t="n">
        <v>-17943</v>
      </c>
      <c r="H398" t="n">
        <v>-19676</v>
      </c>
      <c r="I398" t="n">
        <v>1604</v>
      </c>
      <c r="J398" t="n">
        <v/>
      </c>
      <c r="K398" t="n">
        <v/>
      </c>
      <c r="L398" t="n">
        <v/>
      </c>
    </row>
    <row r="399">
      <c r="A399" s="64" t="n">
        <v>36662</v>
      </c>
      <c r="B399" t="n">
        <v>-5768</v>
      </c>
      <c r="C399" t="n">
        <v/>
      </c>
      <c r="D399" t="n">
        <v>-19834</v>
      </c>
      <c r="E399" t="n">
        <v>-19232</v>
      </c>
      <c r="F399" t="n">
        <v>536</v>
      </c>
      <c r="G399" t="n">
        <v>-13124</v>
      </c>
      <c r="H399" t="n">
        <v>-17382</v>
      </c>
      <c r="I399" t="n">
        <v>-68</v>
      </c>
      <c r="J399" t="n">
        <v/>
      </c>
      <c r="K399" t="n">
        <v/>
      </c>
      <c r="L399" t="n">
        <v/>
      </c>
    </row>
    <row r="400">
      <c r="A400" s="64" t="n">
        <v>36669</v>
      </c>
      <c r="B400" t="n">
        <v>-5283</v>
      </c>
      <c r="C400" t="n">
        <v/>
      </c>
      <c r="D400" t="n">
        <v>-25769</v>
      </c>
      <c r="E400" t="n">
        <v>-17985</v>
      </c>
      <c r="F400" t="n">
        <v>519</v>
      </c>
      <c r="G400" t="n">
        <v>-16389</v>
      </c>
      <c r="H400" t="n">
        <v>-13179</v>
      </c>
      <c r="I400" t="n">
        <v>517</v>
      </c>
      <c r="J400" t="n">
        <v/>
      </c>
      <c r="K400" t="n">
        <v/>
      </c>
      <c r="L400" t="n">
        <v/>
      </c>
    </row>
    <row r="401">
      <c r="A401" s="64" t="n">
        <v>36676</v>
      </c>
      <c r="B401" t="n">
        <v>-4782</v>
      </c>
      <c r="C401" t="n">
        <v/>
      </c>
      <c r="D401" t="n">
        <v>-31489</v>
      </c>
      <c r="E401" t="n">
        <v>-10276</v>
      </c>
      <c r="F401" t="n">
        <v>6509</v>
      </c>
      <c r="G401" t="n">
        <v>-12974</v>
      </c>
      <c r="H401" t="n">
        <v>-12465</v>
      </c>
      <c r="I401" t="n">
        <v>1945</v>
      </c>
      <c r="J401" t="n">
        <v/>
      </c>
      <c r="K401" t="n">
        <v/>
      </c>
      <c r="L401" t="n">
        <v/>
      </c>
    </row>
    <row r="402">
      <c r="A402" s="64" t="n">
        <v>36683</v>
      </c>
      <c r="B402" t="n">
        <v>-5438</v>
      </c>
      <c r="C402" t="n">
        <v/>
      </c>
      <c r="D402" t="n">
        <v>-18072</v>
      </c>
      <c r="E402" t="n">
        <v>-2424</v>
      </c>
      <c r="F402" t="n">
        <v>9951</v>
      </c>
      <c r="G402" t="n">
        <v>-8019</v>
      </c>
      <c r="H402" t="n">
        <v>-14810</v>
      </c>
      <c r="I402" t="n">
        <v>-1212</v>
      </c>
      <c r="J402" t="n">
        <v/>
      </c>
      <c r="K402" t="n">
        <v/>
      </c>
      <c r="L402" t="n">
        <v/>
      </c>
    </row>
    <row r="403">
      <c r="A403" s="64" t="n">
        <v>36690</v>
      </c>
      <c r="B403" t="n">
        <v>-3879</v>
      </c>
      <c r="C403" t="n">
        <v/>
      </c>
      <c r="D403" t="n">
        <v>-14917</v>
      </c>
      <c r="E403" t="n">
        <v>8945</v>
      </c>
      <c r="F403" t="n">
        <v>10332</v>
      </c>
      <c r="G403" t="n">
        <v>-8103</v>
      </c>
      <c r="H403" t="n">
        <v>-9938</v>
      </c>
      <c r="I403" t="n">
        <v>-1684</v>
      </c>
      <c r="J403" t="n">
        <v/>
      </c>
      <c r="K403" t="n">
        <v/>
      </c>
      <c r="L403" t="n">
        <v/>
      </c>
    </row>
    <row r="404">
      <c r="A404" s="64" t="n">
        <v>36697</v>
      </c>
      <c r="B404" t="n">
        <v/>
      </c>
      <c r="C404" t="n">
        <v/>
      </c>
      <c r="D404" t="n">
        <v>-14343</v>
      </c>
      <c r="E404" t="n">
        <v>10376</v>
      </c>
      <c r="F404" t="n">
        <v>9625</v>
      </c>
      <c r="G404" t="n">
        <v>-4660</v>
      </c>
      <c r="H404" t="n">
        <v>-7772</v>
      </c>
      <c r="I404" t="n">
        <v>-2172</v>
      </c>
      <c r="J404" t="n">
        <v/>
      </c>
      <c r="K404" t="n">
        <v/>
      </c>
      <c r="L404" t="n">
        <v/>
      </c>
    </row>
    <row r="405">
      <c r="A405" s="64" t="n">
        <v>36704</v>
      </c>
      <c r="B405" t="n">
        <v/>
      </c>
      <c r="C405" t="n">
        <v/>
      </c>
      <c r="D405" t="n">
        <v>-16298</v>
      </c>
      <c r="E405" t="n">
        <v>8015</v>
      </c>
      <c r="F405" t="n">
        <v>9061</v>
      </c>
      <c r="G405" t="n">
        <v>-4662</v>
      </c>
      <c r="H405" t="n">
        <v>1641</v>
      </c>
      <c r="I405" t="n">
        <v>-2613</v>
      </c>
      <c r="J405" t="n">
        <v/>
      </c>
      <c r="K405" t="n">
        <v/>
      </c>
      <c r="L405" t="n">
        <v/>
      </c>
    </row>
    <row r="406">
      <c r="A406" s="64" t="n">
        <v>36711</v>
      </c>
      <c r="B406" t="n">
        <v/>
      </c>
      <c r="C406" t="n">
        <v/>
      </c>
      <c r="D406" t="n">
        <v>-19794</v>
      </c>
      <c r="E406" t="n">
        <v>8702</v>
      </c>
      <c r="F406" t="n">
        <v>7450</v>
      </c>
      <c r="G406" t="n">
        <v>-2439</v>
      </c>
      <c r="H406" t="n">
        <v>-6070</v>
      </c>
      <c r="I406" t="n">
        <v>2400</v>
      </c>
      <c r="J406" t="n">
        <v/>
      </c>
      <c r="K406" t="n">
        <v/>
      </c>
      <c r="L406" t="n">
        <v/>
      </c>
    </row>
    <row r="407">
      <c r="A407" s="64" t="n">
        <v>36718</v>
      </c>
      <c r="B407" t="n">
        <v/>
      </c>
      <c r="C407" t="n">
        <v/>
      </c>
      <c r="D407" t="n">
        <v>-19674</v>
      </c>
      <c r="E407" t="n">
        <v>9460</v>
      </c>
      <c r="F407" t="n">
        <v>10130</v>
      </c>
      <c r="G407" t="n">
        <v>-3554</v>
      </c>
      <c r="H407" t="n">
        <v>-7789</v>
      </c>
      <c r="I407" t="n">
        <v>3104</v>
      </c>
      <c r="J407" t="n">
        <v/>
      </c>
      <c r="K407" t="n">
        <v/>
      </c>
      <c r="L407" t="n">
        <v/>
      </c>
    </row>
    <row r="408">
      <c r="A408" s="64" t="n">
        <v>36725</v>
      </c>
      <c r="B408" t="n">
        <v/>
      </c>
      <c r="C408" t="n">
        <v/>
      </c>
      <c r="D408" t="n">
        <v>-18534</v>
      </c>
      <c r="E408" t="n">
        <v>1386</v>
      </c>
      <c r="F408" t="n">
        <v>8045</v>
      </c>
      <c r="G408" t="n">
        <v>-5797</v>
      </c>
      <c r="H408" t="n">
        <v>-14486</v>
      </c>
      <c r="I408" t="n">
        <v>3910</v>
      </c>
      <c r="J408" t="n">
        <v/>
      </c>
      <c r="K408" t="n">
        <v/>
      </c>
      <c r="L408" t="n">
        <v/>
      </c>
    </row>
    <row r="409">
      <c r="A409" s="64" t="n">
        <v>36732</v>
      </c>
      <c r="B409" t="n">
        <v/>
      </c>
      <c r="C409" t="n">
        <v/>
      </c>
      <c r="D409" t="n">
        <v>-5242</v>
      </c>
      <c r="E409" t="n">
        <v>-2360</v>
      </c>
      <c r="F409" t="n">
        <v>12397</v>
      </c>
      <c r="G409" t="n">
        <v>-958</v>
      </c>
      <c r="H409" t="n">
        <v>-22229</v>
      </c>
      <c r="I409" t="n">
        <v>4167</v>
      </c>
      <c r="J409" t="n">
        <v/>
      </c>
      <c r="K409" t="n">
        <v/>
      </c>
      <c r="L409" t="n">
        <v/>
      </c>
    </row>
    <row r="410">
      <c r="A410" s="64" t="n">
        <v>36739</v>
      </c>
      <c r="B410" t="n">
        <v/>
      </c>
      <c r="C410" t="n">
        <v/>
      </c>
      <c r="D410" t="n">
        <v>-13002</v>
      </c>
      <c r="E410" t="n">
        <v>-2907</v>
      </c>
      <c r="F410" t="n">
        <v>10272</v>
      </c>
      <c r="G410" t="n">
        <v>-3629</v>
      </c>
      <c r="H410" t="n">
        <v>-24999</v>
      </c>
      <c r="I410" t="n">
        <v>4133</v>
      </c>
      <c r="J410" t="n">
        <v/>
      </c>
      <c r="K410" t="n">
        <v/>
      </c>
      <c r="L410" t="n">
        <v/>
      </c>
    </row>
    <row r="411">
      <c r="A411" s="64" t="n">
        <v>36746</v>
      </c>
      <c r="B411" t="n">
        <v/>
      </c>
      <c r="C411" t="n">
        <v/>
      </c>
      <c r="D411" t="n">
        <v>-12663</v>
      </c>
      <c r="E411" t="n">
        <v>-16995</v>
      </c>
      <c r="F411" t="n">
        <v>8362</v>
      </c>
      <c r="G411" t="n">
        <v>-5052</v>
      </c>
      <c r="H411" t="n">
        <v>-26752</v>
      </c>
      <c r="I411" t="n">
        <v>4082</v>
      </c>
      <c r="J411" t="n">
        <v/>
      </c>
      <c r="K411" t="n">
        <v/>
      </c>
      <c r="L411" t="n">
        <v/>
      </c>
    </row>
    <row r="412">
      <c r="A412" s="64" t="n">
        <v>36753</v>
      </c>
      <c r="B412" t="n">
        <v/>
      </c>
      <c r="C412" t="n">
        <v/>
      </c>
      <c r="D412" t="n">
        <v>-14278</v>
      </c>
      <c r="E412" t="n">
        <v>-16919</v>
      </c>
      <c r="F412" t="n">
        <v>7634</v>
      </c>
      <c r="G412" t="n">
        <v>-5224</v>
      </c>
      <c r="H412" t="n">
        <v>-28804</v>
      </c>
      <c r="I412" t="n">
        <v>6019</v>
      </c>
      <c r="J412" t="n">
        <v/>
      </c>
      <c r="K412" t="n">
        <v/>
      </c>
      <c r="L412" t="n">
        <v/>
      </c>
    </row>
    <row r="413">
      <c r="A413" s="64" t="n">
        <v>36760</v>
      </c>
      <c r="B413" t="n">
        <v/>
      </c>
      <c r="C413" t="n">
        <v/>
      </c>
      <c r="D413" t="n">
        <v>-12427</v>
      </c>
      <c r="E413" t="n">
        <v>-21490</v>
      </c>
      <c r="F413" t="n">
        <v>3360</v>
      </c>
      <c r="G413" t="n">
        <v>-14685</v>
      </c>
      <c r="H413" t="n">
        <v>-28479</v>
      </c>
      <c r="I413" t="n">
        <v>5009</v>
      </c>
      <c r="J413" t="n">
        <v/>
      </c>
      <c r="K413" t="n">
        <v/>
      </c>
      <c r="L413" t="n">
        <v/>
      </c>
    </row>
    <row r="414">
      <c r="A414" s="64" t="n">
        <v>36767</v>
      </c>
      <c r="B414" t="n">
        <v>-2507</v>
      </c>
      <c r="C414" t="n">
        <v/>
      </c>
      <c r="D414" t="n">
        <v>-13740</v>
      </c>
      <c r="E414" t="n">
        <v>-21678</v>
      </c>
      <c r="F414" t="n">
        <v>1206</v>
      </c>
      <c r="G414" t="n">
        <v>-16574</v>
      </c>
      <c r="H414" t="n">
        <v>-12975</v>
      </c>
      <c r="I414" t="n">
        <v>5274</v>
      </c>
      <c r="J414" t="n">
        <v/>
      </c>
      <c r="K414" t="n">
        <v/>
      </c>
      <c r="L414" t="n">
        <v/>
      </c>
    </row>
    <row r="415">
      <c r="A415" s="64" t="n">
        <v>36774</v>
      </c>
      <c r="B415" t="n">
        <v>-2722</v>
      </c>
      <c r="C415" t="n">
        <v/>
      </c>
      <c r="D415" t="n">
        <v>-8772</v>
      </c>
      <c r="E415" t="n">
        <v>-21864</v>
      </c>
      <c r="F415" t="n">
        <v>382</v>
      </c>
      <c r="G415" t="n">
        <v>-16174</v>
      </c>
      <c r="H415" t="n">
        <v>-7102</v>
      </c>
      <c r="I415" t="n">
        <v>5420</v>
      </c>
      <c r="J415" t="n">
        <v/>
      </c>
      <c r="K415" t="n">
        <v/>
      </c>
      <c r="L415" t="n">
        <v/>
      </c>
    </row>
    <row r="416">
      <c r="A416" s="64" t="n">
        <v>36781</v>
      </c>
      <c r="B416" t="n">
        <v>-3554</v>
      </c>
      <c r="C416" t="n">
        <v/>
      </c>
      <c r="D416" t="n">
        <v>-11975</v>
      </c>
      <c r="E416" t="n">
        <v>-22852</v>
      </c>
      <c r="F416" t="n">
        <v>1174</v>
      </c>
      <c r="G416" t="n">
        <v>-14785</v>
      </c>
      <c r="H416" t="n">
        <v>6334</v>
      </c>
      <c r="I416" t="n">
        <v>3462</v>
      </c>
      <c r="J416" t="n">
        <v/>
      </c>
      <c r="K416" t="n">
        <v/>
      </c>
      <c r="L416" t="n">
        <v/>
      </c>
    </row>
    <row r="417">
      <c r="A417" s="64" t="n">
        <v>36788</v>
      </c>
      <c r="B417" t="n">
        <v/>
      </c>
      <c r="C417" t="n">
        <v/>
      </c>
      <c r="D417" t="n">
        <v>-16783</v>
      </c>
      <c r="E417" t="n">
        <v>-22237</v>
      </c>
      <c r="F417" t="n">
        <v>-4237</v>
      </c>
      <c r="G417" t="n">
        <v>-14913</v>
      </c>
      <c r="H417" t="n">
        <v>-4083</v>
      </c>
      <c r="I417" t="n">
        <v>1037</v>
      </c>
      <c r="J417" t="n">
        <v/>
      </c>
      <c r="K417" t="n">
        <v/>
      </c>
      <c r="L417" t="n">
        <v/>
      </c>
    </row>
    <row r="418">
      <c r="A418" s="64" t="n">
        <v>36795</v>
      </c>
      <c r="B418" t="n">
        <v>-3422</v>
      </c>
      <c r="C418" t="n">
        <v/>
      </c>
      <c r="D418" t="n">
        <v>-22895</v>
      </c>
      <c r="E418" t="n">
        <v>-15777</v>
      </c>
      <c r="F418" t="n">
        <v>149</v>
      </c>
      <c r="G418" t="n">
        <v>-6907</v>
      </c>
      <c r="H418" t="n">
        <v>-4226</v>
      </c>
      <c r="I418" t="n">
        <v>611</v>
      </c>
      <c r="J418" t="n">
        <v/>
      </c>
      <c r="K418" t="n">
        <v/>
      </c>
      <c r="L418" t="n">
        <v/>
      </c>
    </row>
    <row r="419">
      <c r="A419" s="64" t="n">
        <v>36802</v>
      </c>
      <c r="B419" t="n">
        <v>-3613</v>
      </c>
      <c r="C419" t="n">
        <v/>
      </c>
      <c r="D419" t="n">
        <v>-35165</v>
      </c>
      <c r="E419" t="n">
        <v>-15332</v>
      </c>
      <c r="F419" t="n">
        <v>3393</v>
      </c>
      <c r="G419" t="n">
        <v>-5271</v>
      </c>
      <c r="H419" t="n">
        <v>-13767</v>
      </c>
      <c r="I419" t="n">
        <v>2719</v>
      </c>
      <c r="J419" t="n">
        <v/>
      </c>
      <c r="K419" t="n">
        <v/>
      </c>
      <c r="L419" t="n">
        <v/>
      </c>
    </row>
    <row r="420">
      <c r="A420" s="64" t="n">
        <v>36809</v>
      </c>
      <c r="B420" t="n">
        <v>-3490</v>
      </c>
      <c r="C420" t="n">
        <v/>
      </c>
      <c r="D420" t="n">
        <v>-34960</v>
      </c>
      <c r="E420" t="n">
        <v>-13893</v>
      </c>
      <c r="F420" t="n">
        <v>5403</v>
      </c>
      <c r="G420" t="n">
        <v>-4061</v>
      </c>
      <c r="H420" t="n">
        <v>-30088</v>
      </c>
      <c r="I420" t="n">
        <v>1417</v>
      </c>
      <c r="J420" t="n">
        <v/>
      </c>
      <c r="K420" t="n">
        <v/>
      </c>
      <c r="L420" t="n">
        <v/>
      </c>
    </row>
    <row r="421">
      <c r="A421" s="64" t="n">
        <v>36816</v>
      </c>
      <c r="B421" t="n">
        <v>-3201</v>
      </c>
      <c r="C421" t="n">
        <v/>
      </c>
      <c r="D421" t="n">
        <v>-37305</v>
      </c>
      <c r="E421" t="n">
        <v>-17512</v>
      </c>
      <c r="F421" t="n">
        <v>1720</v>
      </c>
      <c r="G421" t="n">
        <v>-4731</v>
      </c>
      <c r="H421" t="n">
        <v>-29327</v>
      </c>
      <c r="I421" t="n">
        <v>259</v>
      </c>
      <c r="J421" t="n">
        <v/>
      </c>
      <c r="K421" t="n">
        <v/>
      </c>
      <c r="L421" t="n">
        <v/>
      </c>
    </row>
    <row r="422">
      <c r="A422" s="64" t="n">
        <v>36823</v>
      </c>
      <c r="B422" t="n">
        <v>-1728</v>
      </c>
      <c r="C422" t="n">
        <v/>
      </c>
      <c r="D422" t="n">
        <v>-38022</v>
      </c>
      <c r="E422" t="n">
        <v>-18005</v>
      </c>
      <c r="F422" t="n">
        <v>1833</v>
      </c>
      <c r="G422" t="n">
        <v>-4213</v>
      </c>
      <c r="H422" t="n">
        <v>-27811</v>
      </c>
      <c r="I422" t="n">
        <v>-929</v>
      </c>
      <c r="J422" t="n">
        <v/>
      </c>
      <c r="K422" t="n">
        <v/>
      </c>
      <c r="L422" t="n">
        <v/>
      </c>
    </row>
    <row r="423">
      <c r="A423" s="64" t="n">
        <v>36830</v>
      </c>
      <c r="B423" t="n">
        <v>-2146</v>
      </c>
      <c r="C423" t="n">
        <v/>
      </c>
      <c r="D423" t="n">
        <v>-37105</v>
      </c>
      <c r="E423" t="n">
        <v>-17293</v>
      </c>
      <c r="F423" t="n">
        <v>2173</v>
      </c>
      <c r="G423" t="n">
        <v>-3425</v>
      </c>
      <c r="H423" t="n">
        <v>-27079</v>
      </c>
      <c r="I423" t="n">
        <v>-923</v>
      </c>
      <c r="J423" t="n">
        <v/>
      </c>
      <c r="K423" t="n">
        <v/>
      </c>
      <c r="L423" t="n">
        <v/>
      </c>
    </row>
    <row r="424">
      <c r="A424" s="64" t="n">
        <v>36837</v>
      </c>
      <c r="B424" t="n">
        <v>-2616</v>
      </c>
      <c r="C424" t="n">
        <v/>
      </c>
      <c r="D424" t="n">
        <v>-31595</v>
      </c>
      <c r="E424" t="n">
        <v>-13199</v>
      </c>
      <c r="F424" t="n">
        <v>3778</v>
      </c>
      <c r="G424" t="n">
        <v>-3768</v>
      </c>
      <c r="H424" t="n">
        <v>-23877</v>
      </c>
      <c r="I424" t="n">
        <v>-1583</v>
      </c>
      <c r="J424" t="n">
        <v/>
      </c>
      <c r="K424" t="n">
        <v/>
      </c>
      <c r="L424" t="n">
        <v/>
      </c>
    </row>
    <row r="425">
      <c r="A425" s="64" t="n">
        <v>36844</v>
      </c>
      <c r="B425" t="n">
        <v>-1741</v>
      </c>
      <c r="C425" t="n">
        <v/>
      </c>
      <c r="D425" t="n">
        <v>-29729</v>
      </c>
      <c r="E425" t="n">
        <v>-12417</v>
      </c>
      <c r="F425" t="n">
        <v>2735</v>
      </c>
      <c r="G425" t="n">
        <v>-4342</v>
      </c>
      <c r="H425" t="n">
        <v>-22570</v>
      </c>
      <c r="I425" t="n">
        <v>3988</v>
      </c>
      <c r="J425" t="n">
        <v/>
      </c>
      <c r="K425" t="n">
        <v/>
      </c>
      <c r="L425" t="n">
        <v/>
      </c>
    </row>
    <row r="426">
      <c r="A426" s="64" t="n">
        <v>36851</v>
      </c>
      <c r="B426" t="n">
        <v>-2270</v>
      </c>
      <c r="C426" t="n">
        <v/>
      </c>
      <c r="D426" t="n">
        <v>-27650</v>
      </c>
      <c r="E426" t="n">
        <v>-14700</v>
      </c>
      <c r="F426" t="n">
        <v>5908</v>
      </c>
      <c r="G426" t="n">
        <v>-5824</v>
      </c>
      <c r="H426" t="n">
        <v>-35072</v>
      </c>
      <c r="I426" t="n">
        <v>5421</v>
      </c>
      <c r="J426" t="n">
        <v/>
      </c>
      <c r="K426" t="n">
        <v/>
      </c>
      <c r="L426" t="n">
        <v/>
      </c>
    </row>
    <row r="427">
      <c r="A427" s="64" t="n">
        <v>36858</v>
      </c>
      <c r="B427" t="n">
        <v>-773</v>
      </c>
      <c r="C427" t="n">
        <v/>
      </c>
      <c r="D427" t="n">
        <v>-19181</v>
      </c>
      <c r="E427" t="n">
        <v>-11163</v>
      </c>
      <c r="F427" t="n">
        <v>6941</v>
      </c>
      <c r="G427" t="n">
        <v>-6969</v>
      </c>
      <c r="H427" t="n">
        <v>-33330</v>
      </c>
      <c r="I427" t="n">
        <v>7705</v>
      </c>
      <c r="J427" t="n">
        <v/>
      </c>
      <c r="K427" t="n">
        <v/>
      </c>
      <c r="L427" t="n">
        <v/>
      </c>
    </row>
    <row r="428">
      <c r="A428" s="64" t="n">
        <v>36865</v>
      </c>
      <c r="B428" t="n">
        <v>660</v>
      </c>
      <c r="C428" t="n">
        <v/>
      </c>
      <c r="D428" t="n">
        <v>-18437</v>
      </c>
      <c r="E428" t="n">
        <v>5125</v>
      </c>
      <c r="F428" t="n">
        <v>16028</v>
      </c>
      <c r="G428" t="n">
        <v>-5349</v>
      </c>
      <c r="H428" t="n">
        <v>-32449</v>
      </c>
      <c r="I428" t="n">
        <v>8428</v>
      </c>
      <c r="J428" t="n">
        <v/>
      </c>
      <c r="K428" t="n">
        <v/>
      </c>
      <c r="L428" t="n">
        <v/>
      </c>
    </row>
    <row r="429">
      <c r="A429" s="64" t="n">
        <v>36872</v>
      </c>
      <c r="B429" t="n">
        <v>670</v>
      </c>
      <c r="C429" t="n">
        <v/>
      </c>
      <c r="D429" t="n">
        <v>-14861</v>
      </c>
      <c r="E429" t="n">
        <v>9089</v>
      </c>
      <c r="F429" t="n">
        <v>19532</v>
      </c>
      <c r="G429" t="n">
        <v>-2189</v>
      </c>
      <c r="H429" t="n">
        <v>-41696</v>
      </c>
      <c r="I429" t="n">
        <v>7671</v>
      </c>
      <c r="J429" t="n">
        <v/>
      </c>
      <c r="K429" t="n">
        <v/>
      </c>
      <c r="L429" t="n">
        <v/>
      </c>
    </row>
    <row r="430">
      <c r="A430" s="64" t="n">
        <v>36879</v>
      </c>
      <c r="B430" t="n">
        <v/>
      </c>
      <c r="C430" t="n">
        <v/>
      </c>
      <c r="D430" t="n">
        <v>-13646</v>
      </c>
      <c r="E430" t="n">
        <v>8840</v>
      </c>
      <c r="F430" t="n">
        <v>21814</v>
      </c>
      <c r="G430" t="n">
        <v>-1618</v>
      </c>
      <c r="H430" t="n">
        <v>-38233</v>
      </c>
      <c r="I430" t="n">
        <v>9576</v>
      </c>
      <c r="J430" t="n">
        <v/>
      </c>
      <c r="K430" t="n">
        <v/>
      </c>
      <c r="L430" t="n">
        <v/>
      </c>
    </row>
    <row r="431">
      <c r="A431" s="64" t="n">
        <v>36886</v>
      </c>
      <c r="B431" t="n">
        <v/>
      </c>
      <c r="C431" t="n">
        <v/>
      </c>
      <c r="D431" t="n">
        <v>-11530</v>
      </c>
      <c r="E431" t="n">
        <v>11154</v>
      </c>
      <c r="F431" t="n">
        <v>26380</v>
      </c>
      <c r="G431" t="n">
        <v>-388</v>
      </c>
      <c r="H431" t="n">
        <v>-42620</v>
      </c>
      <c r="I431" t="n">
        <v>4254</v>
      </c>
      <c r="J431" t="n">
        <v/>
      </c>
      <c r="K431" t="n">
        <v/>
      </c>
      <c r="L431" t="n">
        <v/>
      </c>
    </row>
    <row r="432">
      <c r="A432" s="64" t="n">
        <v>36893</v>
      </c>
      <c r="B432" t="n">
        <v>3046</v>
      </c>
      <c r="C432" t="n">
        <v/>
      </c>
      <c r="D432" t="n">
        <v>-3823</v>
      </c>
      <c r="E432" t="n">
        <v>11486</v>
      </c>
      <c r="F432" t="n">
        <v>27074</v>
      </c>
      <c r="G432" t="n">
        <v>1837</v>
      </c>
      <c r="H432" t="n">
        <v>-41419</v>
      </c>
      <c r="I432" t="n">
        <v>3043</v>
      </c>
      <c r="J432" t="n">
        <v/>
      </c>
      <c r="K432" t="n">
        <v/>
      </c>
      <c r="L432" t="n">
        <v/>
      </c>
    </row>
    <row r="433">
      <c r="A433" s="64" t="n">
        <v>36900</v>
      </c>
      <c r="B433" t="n">
        <v>3332</v>
      </c>
      <c r="C433" t="n">
        <v/>
      </c>
      <c r="D433" t="n">
        <v>2021</v>
      </c>
      <c r="E433" t="n">
        <v>11959</v>
      </c>
      <c r="F433" t="n">
        <v>23832</v>
      </c>
      <c r="G433" t="n">
        <v>2638</v>
      </c>
      <c r="H433" t="n">
        <v>-40138</v>
      </c>
      <c r="I433" t="n">
        <v>-453</v>
      </c>
      <c r="J433" t="n">
        <v/>
      </c>
      <c r="K433" t="n">
        <v/>
      </c>
      <c r="L433" t="n">
        <v/>
      </c>
    </row>
    <row r="434">
      <c r="A434" s="64" t="n">
        <v>36907</v>
      </c>
      <c r="B434" t="n">
        <v>3259</v>
      </c>
      <c r="C434" t="n">
        <v/>
      </c>
      <c r="D434" t="n">
        <v>3974</v>
      </c>
      <c r="E434" t="n">
        <v>13313</v>
      </c>
      <c r="F434" t="n">
        <v>20735</v>
      </c>
      <c r="G434" t="n">
        <v>2000</v>
      </c>
      <c r="H434" t="n">
        <v>-33870</v>
      </c>
      <c r="I434" t="n">
        <v>-2493</v>
      </c>
      <c r="J434" t="n">
        <v/>
      </c>
      <c r="K434" t="n">
        <v/>
      </c>
      <c r="L434" t="n">
        <v/>
      </c>
    </row>
    <row r="435">
      <c r="A435" s="64" t="n">
        <v>36914</v>
      </c>
      <c r="B435" t="n">
        <v>2837</v>
      </c>
      <c r="C435" t="n">
        <v/>
      </c>
      <c r="D435" t="n">
        <v>9917</v>
      </c>
      <c r="E435" t="n">
        <v>13668</v>
      </c>
      <c r="F435" t="n">
        <v>17242</v>
      </c>
      <c r="G435" t="n">
        <v>1868</v>
      </c>
      <c r="H435" t="n">
        <v>-29212</v>
      </c>
      <c r="I435" t="n">
        <v>-2483</v>
      </c>
      <c r="J435" t="n">
        <v/>
      </c>
      <c r="K435" t="n">
        <v/>
      </c>
      <c r="L435" t="n">
        <v/>
      </c>
    </row>
    <row r="436">
      <c r="A436" s="64" t="n">
        <v>36921</v>
      </c>
      <c r="B436" t="n">
        <v>1874</v>
      </c>
      <c r="C436" t="n">
        <v/>
      </c>
      <c r="D436" t="n">
        <v>7224</v>
      </c>
      <c r="E436" t="n">
        <v>10837</v>
      </c>
      <c r="F436" t="n">
        <v>16160</v>
      </c>
      <c r="G436" t="n">
        <v>1358</v>
      </c>
      <c r="H436" t="n">
        <v>-25200</v>
      </c>
      <c r="I436" t="n">
        <v>168</v>
      </c>
      <c r="J436" t="n">
        <v/>
      </c>
      <c r="K436" t="n">
        <v/>
      </c>
      <c r="L436" t="n">
        <v/>
      </c>
    </row>
    <row r="437">
      <c r="A437" s="64" t="n">
        <v>36928</v>
      </c>
      <c r="B437" t="n">
        <v>1831</v>
      </c>
      <c r="C437" t="n">
        <v/>
      </c>
      <c r="D437" t="n">
        <v>8652</v>
      </c>
      <c r="E437" t="n">
        <v>8425</v>
      </c>
      <c r="F437" t="n">
        <v>14335</v>
      </c>
      <c r="G437" t="n">
        <v>1002</v>
      </c>
      <c r="H437" t="n">
        <v>-26036</v>
      </c>
      <c r="I437" t="n">
        <v>1863</v>
      </c>
      <c r="J437" t="n">
        <v/>
      </c>
      <c r="K437" t="n">
        <v/>
      </c>
      <c r="L437" t="n">
        <v/>
      </c>
    </row>
    <row r="438">
      <c r="A438" s="64" t="n">
        <v>36935</v>
      </c>
      <c r="B438" t="n">
        <v>312</v>
      </c>
      <c r="C438" t="n">
        <v/>
      </c>
      <c r="D438" t="n">
        <v>25</v>
      </c>
      <c r="E438" t="n">
        <v>7587</v>
      </c>
      <c r="F438" t="n">
        <v>14702</v>
      </c>
      <c r="G438" t="n">
        <v>-1701</v>
      </c>
      <c r="H438" t="n">
        <v>-27474</v>
      </c>
      <c r="I438" t="n">
        <v>2787</v>
      </c>
      <c r="J438" t="n">
        <v/>
      </c>
      <c r="K438" t="n">
        <v/>
      </c>
      <c r="L438" t="n">
        <v/>
      </c>
    </row>
    <row r="439">
      <c r="A439" s="64" t="n">
        <v>36942</v>
      </c>
      <c r="B439" t="n">
        <v>-1215</v>
      </c>
      <c r="C439" t="n">
        <v/>
      </c>
      <c r="D439" t="n">
        <v>-4298</v>
      </c>
      <c r="E439" t="n">
        <v>-1333</v>
      </c>
      <c r="F439" t="n">
        <v>10002</v>
      </c>
      <c r="G439" t="n">
        <v>-2950</v>
      </c>
      <c r="H439" t="n">
        <v>-27060</v>
      </c>
      <c r="I439" t="n">
        <v>3226</v>
      </c>
      <c r="J439" t="n">
        <v/>
      </c>
      <c r="K439" t="n">
        <v/>
      </c>
      <c r="L439" t="n">
        <v/>
      </c>
    </row>
    <row r="440">
      <c r="A440" s="64" t="n">
        <v>36949</v>
      </c>
      <c r="B440" t="n">
        <v>-1401</v>
      </c>
      <c r="C440" t="n">
        <v/>
      </c>
      <c r="D440" t="n">
        <v>-12949</v>
      </c>
      <c r="E440" t="n">
        <v>-2092</v>
      </c>
      <c r="F440" t="n">
        <v>9513</v>
      </c>
      <c r="G440" t="n">
        <v>-2738</v>
      </c>
      <c r="H440" t="n">
        <v>-27537</v>
      </c>
      <c r="I440" t="n">
        <v>4843</v>
      </c>
      <c r="J440" t="n">
        <v/>
      </c>
      <c r="K440" t="n">
        <v/>
      </c>
      <c r="L440" t="n">
        <v/>
      </c>
    </row>
    <row r="441">
      <c r="A441" s="64" t="n">
        <v>36956</v>
      </c>
      <c r="B441" t="n">
        <v>-1537</v>
      </c>
      <c r="C441" t="n">
        <v/>
      </c>
      <c r="D441" t="n">
        <v>-13480</v>
      </c>
      <c r="E441" t="n">
        <v>196</v>
      </c>
      <c r="F441" t="n">
        <v>17064</v>
      </c>
      <c r="G441" t="n">
        <v>43</v>
      </c>
      <c r="H441" t="n">
        <v>-31507</v>
      </c>
      <c r="I441" t="n">
        <v>5902</v>
      </c>
      <c r="J441" t="n">
        <v/>
      </c>
      <c r="K441" t="n">
        <v/>
      </c>
      <c r="L441" t="n">
        <v/>
      </c>
    </row>
    <row r="442">
      <c r="A442" s="64" t="n">
        <v>36963</v>
      </c>
      <c r="B442" t="n">
        <v>-1488</v>
      </c>
      <c r="C442" t="n">
        <v/>
      </c>
      <c r="D442" t="n">
        <v>-13419</v>
      </c>
      <c r="E442" t="n">
        <v>-1918</v>
      </c>
      <c r="F442" t="n">
        <v>7827</v>
      </c>
      <c r="G442" t="n">
        <v>998</v>
      </c>
      <c r="H442" t="n">
        <v>-18307</v>
      </c>
      <c r="I442" t="n">
        <v>10224</v>
      </c>
      <c r="J442" t="n">
        <v/>
      </c>
      <c r="K442" t="n">
        <v/>
      </c>
      <c r="L442" t="n">
        <v/>
      </c>
    </row>
    <row r="443">
      <c r="A443" s="64" t="n">
        <v>36970</v>
      </c>
      <c r="B443" t="n">
        <v>-3168</v>
      </c>
      <c r="C443" t="n">
        <v/>
      </c>
      <c r="D443" t="n">
        <v>-14674</v>
      </c>
      <c r="E443" t="n">
        <v>-14630</v>
      </c>
      <c r="F443" t="n">
        <v>2613</v>
      </c>
      <c r="G443" t="n">
        <v>-5106</v>
      </c>
      <c r="H443" t="n">
        <v>-581</v>
      </c>
      <c r="I443" t="n">
        <v>11009</v>
      </c>
      <c r="J443" t="n">
        <v/>
      </c>
      <c r="K443" t="n">
        <v/>
      </c>
      <c r="L443" t="n">
        <v/>
      </c>
    </row>
    <row r="444">
      <c r="A444" s="64" t="n">
        <v>36977</v>
      </c>
      <c r="B444" t="n">
        <v>-2628</v>
      </c>
      <c r="C444" t="n">
        <v/>
      </c>
      <c r="D444" t="n">
        <v>-21032</v>
      </c>
      <c r="E444" t="n">
        <v>-15031</v>
      </c>
      <c r="F444" t="n">
        <v>3884</v>
      </c>
      <c r="G444" t="n">
        <v>-8302</v>
      </c>
      <c r="H444" t="n">
        <v>3487</v>
      </c>
      <c r="I444" t="n">
        <v>9924</v>
      </c>
      <c r="J444" t="n">
        <v/>
      </c>
      <c r="K444" t="n">
        <v/>
      </c>
      <c r="L444" t="n">
        <v/>
      </c>
    </row>
    <row r="445">
      <c r="A445" s="64" t="n">
        <v>36984</v>
      </c>
      <c r="B445" t="n">
        <v>-3132</v>
      </c>
      <c r="C445" t="n">
        <v/>
      </c>
      <c r="D445" t="n">
        <v>-19364</v>
      </c>
      <c r="E445" t="n">
        <v>-15316</v>
      </c>
      <c r="F445" t="n">
        <v>6775</v>
      </c>
      <c r="G445" t="n">
        <v>-8464</v>
      </c>
      <c r="H445" t="n">
        <v>1751</v>
      </c>
      <c r="I445" t="n">
        <v>10037</v>
      </c>
      <c r="J445" t="n">
        <v/>
      </c>
      <c r="K445" t="n">
        <v/>
      </c>
      <c r="L445" t="n">
        <v/>
      </c>
    </row>
    <row r="446">
      <c r="A446" s="64" t="n">
        <v>36991</v>
      </c>
      <c r="B446" t="n">
        <v>-3645</v>
      </c>
      <c r="C446" t="n">
        <v/>
      </c>
      <c r="D446" t="n">
        <v>-15022</v>
      </c>
      <c r="E446" t="n">
        <v>-15561</v>
      </c>
      <c r="F446" t="n">
        <v>5745</v>
      </c>
      <c r="G446" t="n">
        <v>-5579</v>
      </c>
      <c r="H446" t="n">
        <v>1921</v>
      </c>
      <c r="I446" t="n">
        <v>10162</v>
      </c>
      <c r="J446" t="n">
        <v/>
      </c>
      <c r="K446" t="n">
        <v/>
      </c>
      <c r="L446" t="n">
        <v/>
      </c>
    </row>
    <row r="447">
      <c r="A447" s="64" t="n">
        <v>36998</v>
      </c>
      <c r="B447" t="n">
        <v>-3069</v>
      </c>
      <c r="C447" t="n">
        <v/>
      </c>
      <c r="D447" t="n">
        <v>-15602</v>
      </c>
      <c r="E447" t="n">
        <v>-16745</v>
      </c>
      <c r="F447" t="n">
        <v>4993</v>
      </c>
      <c r="G447" t="n">
        <v>-6973</v>
      </c>
      <c r="H447" t="n">
        <v>-25586</v>
      </c>
      <c r="I447" t="n">
        <v>9744</v>
      </c>
      <c r="J447" t="n">
        <v/>
      </c>
      <c r="K447" t="n">
        <v/>
      </c>
      <c r="L447" t="n">
        <v/>
      </c>
    </row>
    <row r="448">
      <c r="A448" s="64" t="n">
        <v>37005</v>
      </c>
      <c r="B448" t="n">
        <v>-1223</v>
      </c>
      <c r="C448" t="n">
        <v/>
      </c>
      <c r="D448" t="n">
        <v>-13517</v>
      </c>
      <c r="E448" t="n">
        <v>-18022</v>
      </c>
      <c r="F448" t="n">
        <v>7303</v>
      </c>
      <c r="G448" t="n">
        <v>-5013</v>
      </c>
      <c r="H448" t="n">
        <v>-23460</v>
      </c>
      <c r="I448" t="n">
        <v>9627</v>
      </c>
      <c r="J448" t="n">
        <v/>
      </c>
      <c r="K448" t="n">
        <v/>
      </c>
      <c r="L448" t="n">
        <v/>
      </c>
    </row>
    <row r="449">
      <c r="A449" s="64" t="n">
        <v>37012</v>
      </c>
      <c r="B449" t="n">
        <v>-785</v>
      </c>
      <c r="C449" t="n">
        <v/>
      </c>
      <c r="D449" t="n">
        <v>-12156</v>
      </c>
      <c r="E449" t="n">
        <v>-20688</v>
      </c>
      <c r="F449" t="n">
        <v>6044</v>
      </c>
      <c r="G449" t="n">
        <v>-5592</v>
      </c>
      <c r="H449" t="n">
        <v>-5713</v>
      </c>
      <c r="I449" t="n">
        <v>10238</v>
      </c>
      <c r="J449" t="n">
        <v/>
      </c>
      <c r="K449" t="n">
        <v/>
      </c>
      <c r="L449" t="n">
        <v/>
      </c>
    </row>
    <row r="450">
      <c r="A450" s="64" t="n">
        <v>37019</v>
      </c>
      <c r="B450" t="n">
        <v>-744</v>
      </c>
      <c r="C450" t="n">
        <v/>
      </c>
      <c r="D450" t="n">
        <v>-13134</v>
      </c>
      <c r="E450" t="n">
        <v>-20424</v>
      </c>
      <c r="F450" t="n">
        <v>4354</v>
      </c>
      <c r="G450" t="n">
        <v>-9522</v>
      </c>
      <c r="H450" t="n">
        <v>-2919</v>
      </c>
      <c r="I450" t="n">
        <v>10270</v>
      </c>
      <c r="J450" t="n">
        <v/>
      </c>
      <c r="K450" t="n">
        <v/>
      </c>
      <c r="L450" t="n">
        <v/>
      </c>
    </row>
    <row r="451">
      <c r="A451" s="64" t="n">
        <v>37026</v>
      </c>
      <c r="B451" t="n">
        <v>-1359</v>
      </c>
      <c r="C451" t="n">
        <v/>
      </c>
      <c r="D451" t="n">
        <v>-14854</v>
      </c>
      <c r="E451" t="n">
        <v>-21997</v>
      </c>
      <c r="F451" t="n">
        <v>3408</v>
      </c>
      <c r="G451" t="n">
        <v>-10314</v>
      </c>
      <c r="H451" t="n">
        <v>-2315</v>
      </c>
      <c r="I451" t="n">
        <v>11216</v>
      </c>
      <c r="J451" t="n">
        <v/>
      </c>
      <c r="K451" t="n">
        <v/>
      </c>
      <c r="L451" t="n">
        <v/>
      </c>
    </row>
    <row r="452">
      <c r="A452" s="64" t="n">
        <v>37033</v>
      </c>
      <c r="B452" t="n">
        <v>1508</v>
      </c>
      <c r="C452" t="n">
        <v/>
      </c>
      <c r="D452" t="n">
        <v>-11502</v>
      </c>
      <c r="E452" t="n">
        <v>-24343</v>
      </c>
      <c r="F452" t="n">
        <v>-5453</v>
      </c>
      <c r="G452" t="n">
        <v>-8024</v>
      </c>
      <c r="H452" t="n">
        <v>-27048</v>
      </c>
      <c r="I452" t="n">
        <v>9257</v>
      </c>
      <c r="J452" t="n">
        <v/>
      </c>
      <c r="K452" t="n">
        <v/>
      </c>
      <c r="L452" t="n">
        <v/>
      </c>
    </row>
    <row r="453">
      <c r="A453" s="64" t="n">
        <v>37040</v>
      </c>
      <c r="B453" t="n">
        <v>616</v>
      </c>
      <c r="C453" t="n">
        <v/>
      </c>
      <c r="D453" t="n">
        <v>-14042</v>
      </c>
      <c r="E453" t="n">
        <v>-23704</v>
      </c>
      <c r="F453" t="n">
        <v>-2931</v>
      </c>
      <c r="G453" t="n">
        <v>-9858</v>
      </c>
      <c r="H453" t="n">
        <v>-10164</v>
      </c>
      <c r="I453" t="n">
        <v>9232</v>
      </c>
      <c r="J453" t="n">
        <v/>
      </c>
      <c r="K453" t="n">
        <v/>
      </c>
      <c r="L453" t="n">
        <v/>
      </c>
    </row>
    <row r="454">
      <c r="A454" s="64" t="n">
        <v>37047</v>
      </c>
      <c r="B454" t="n">
        <v>843</v>
      </c>
      <c r="C454" t="n">
        <v/>
      </c>
      <c r="D454" t="n">
        <v>-11529</v>
      </c>
      <c r="E454" t="n">
        <v>-23342</v>
      </c>
      <c r="F454" t="n">
        <v>-4813</v>
      </c>
      <c r="G454" t="n">
        <v>-12241</v>
      </c>
      <c r="H454" t="n">
        <v>5263</v>
      </c>
      <c r="I454" t="n">
        <v>7249</v>
      </c>
      <c r="J454" t="n">
        <v/>
      </c>
      <c r="K454" t="n">
        <v/>
      </c>
      <c r="L454" t="n">
        <v/>
      </c>
    </row>
    <row r="455">
      <c r="A455" s="64" t="n">
        <v>37054</v>
      </c>
      <c r="B455" t="n">
        <v>79</v>
      </c>
      <c r="C455" t="n">
        <v/>
      </c>
      <c r="D455" t="n">
        <v>-5509</v>
      </c>
      <c r="E455" t="n">
        <v>-21769</v>
      </c>
      <c r="F455" t="n">
        <v>-4588</v>
      </c>
      <c r="G455" t="n">
        <v>-12401</v>
      </c>
      <c r="H455" t="n">
        <v>2715</v>
      </c>
      <c r="I455" t="n">
        <v>7584</v>
      </c>
      <c r="J455" t="n">
        <v/>
      </c>
      <c r="K455" t="n">
        <v/>
      </c>
      <c r="L455" t="n">
        <v/>
      </c>
    </row>
    <row r="456">
      <c r="A456" s="64" t="n">
        <v>37061</v>
      </c>
      <c r="B456" t="n">
        <v/>
      </c>
      <c r="C456" t="n">
        <v/>
      </c>
      <c r="D456" t="n">
        <v>-4810</v>
      </c>
      <c r="E456" t="n">
        <v>-18492</v>
      </c>
      <c r="F456" t="n">
        <v>3633</v>
      </c>
      <c r="G456" t="n">
        <v>-13351</v>
      </c>
      <c r="H456" t="n">
        <v>-15866</v>
      </c>
      <c r="I456" t="n">
        <v>8296</v>
      </c>
      <c r="J456" t="n">
        <v/>
      </c>
      <c r="K456" t="n">
        <v/>
      </c>
      <c r="L456" t="n">
        <v/>
      </c>
    </row>
    <row r="457">
      <c r="A457" s="64" t="n">
        <v>37068</v>
      </c>
      <c r="B457" t="n">
        <v/>
      </c>
      <c r="C457" t="n">
        <v/>
      </c>
      <c r="D457" t="n">
        <v>-3407</v>
      </c>
      <c r="E457" t="n">
        <v>-17361</v>
      </c>
      <c r="F457" t="n">
        <v>3175</v>
      </c>
      <c r="G457" t="n">
        <v>-8951</v>
      </c>
      <c r="H457" t="n">
        <v>-24586</v>
      </c>
      <c r="I457" t="n">
        <v>8465</v>
      </c>
      <c r="J457" t="n">
        <v/>
      </c>
      <c r="K457" t="n">
        <v/>
      </c>
      <c r="L457" t="n">
        <v/>
      </c>
    </row>
    <row r="458">
      <c r="A458" s="64" t="n">
        <v>37075</v>
      </c>
      <c r="B458" t="n">
        <v>-711</v>
      </c>
      <c r="C458" t="n">
        <v/>
      </c>
      <c r="D458" t="n">
        <v>2124</v>
      </c>
      <c r="E458" t="n">
        <v>-28415</v>
      </c>
      <c r="F458" t="n">
        <v>3246</v>
      </c>
      <c r="G458" t="n">
        <v>-8565</v>
      </c>
      <c r="H458" t="n">
        <v>-32380</v>
      </c>
      <c r="I458" t="n">
        <v>8022</v>
      </c>
      <c r="J458" t="n">
        <v/>
      </c>
      <c r="K458" t="n">
        <v/>
      </c>
      <c r="L458" t="n">
        <v/>
      </c>
    </row>
    <row r="459">
      <c r="A459" s="64" t="n">
        <v>37082</v>
      </c>
      <c r="B459" t="n">
        <v>-525</v>
      </c>
      <c r="C459" t="n">
        <v/>
      </c>
      <c r="D459" t="n">
        <v>1472</v>
      </c>
      <c r="E459" t="n">
        <v>-26318</v>
      </c>
      <c r="F459" t="n">
        <v>6651</v>
      </c>
      <c r="G459" t="n">
        <v>-6817</v>
      </c>
      <c r="H459" t="n">
        <v>-24090</v>
      </c>
      <c r="I459" t="n">
        <v>3206</v>
      </c>
      <c r="J459" t="n">
        <v/>
      </c>
      <c r="K459" t="n">
        <v/>
      </c>
      <c r="L459" t="n">
        <v/>
      </c>
    </row>
    <row r="460">
      <c r="A460" s="64" t="n">
        <v>37089</v>
      </c>
      <c r="B460" t="n">
        <v>-1853</v>
      </c>
      <c r="C460" t="n">
        <v/>
      </c>
      <c r="D460" t="n">
        <v>-4163</v>
      </c>
      <c r="E460" t="n">
        <v>-18118</v>
      </c>
      <c r="F460" t="n">
        <v>9043</v>
      </c>
      <c r="G460" t="n">
        <v>-7682</v>
      </c>
      <c r="H460" t="n">
        <v>-9954</v>
      </c>
      <c r="I460" t="n">
        <v>2399</v>
      </c>
      <c r="J460" t="n">
        <v/>
      </c>
      <c r="K460" t="n">
        <v/>
      </c>
      <c r="L460" t="n">
        <v/>
      </c>
    </row>
    <row r="461">
      <c r="A461" s="64" t="n">
        <v>37096</v>
      </c>
      <c r="B461" t="n">
        <v>-1158</v>
      </c>
      <c r="C461" t="n">
        <v/>
      </c>
      <c r="D461" t="n">
        <v>-12191</v>
      </c>
      <c r="E461" t="n">
        <v>4827</v>
      </c>
      <c r="F461" t="n">
        <v>14291</v>
      </c>
      <c r="G461" t="n">
        <v>-1720</v>
      </c>
      <c r="H461" t="n">
        <v>-1229</v>
      </c>
      <c r="I461" t="n">
        <v>4264</v>
      </c>
      <c r="J461" t="n">
        <v/>
      </c>
      <c r="K461" t="n">
        <v/>
      </c>
      <c r="L461" t="n">
        <v/>
      </c>
    </row>
    <row r="462">
      <c r="A462" s="64" t="n">
        <v>37103</v>
      </c>
      <c r="B462" t="n">
        <v>-767</v>
      </c>
      <c r="C462" t="n">
        <v/>
      </c>
      <c r="D462" t="n">
        <v>-1375</v>
      </c>
      <c r="E462" t="n">
        <v>6669</v>
      </c>
      <c r="F462" t="n">
        <v>16083</v>
      </c>
      <c r="G462" t="n">
        <v>-2012</v>
      </c>
      <c r="H462" t="n">
        <v>-4435</v>
      </c>
      <c r="I462" t="n">
        <v>3554</v>
      </c>
      <c r="J462" t="n">
        <v/>
      </c>
      <c r="K462" t="n">
        <v/>
      </c>
      <c r="L462" t="n">
        <v/>
      </c>
    </row>
    <row r="463">
      <c r="A463" s="64" t="n">
        <v>37110</v>
      </c>
      <c r="B463" t="n">
        <v>-590</v>
      </c>
      <c r="C463" t="n">
        <v/>
      </c>
      <c r="D463" t="n">
        <v>-1560</v>
      </c>
      <c r="E463" t="n">
        <v>10999</v>
      </c>
      <c r="F463" t="n">
        <v>16640</v>
      </c>
      <c r="G463" t="n">
        <v>-3137</v>
      </c>
      <c r="H463" t="n">
        <v>1428</v>
      </c>
      <c r="I463" t="n">
        <v>8148</v>
      </c>
      <c r="J463" t="n">
        <v/>
      </c>
      <c r="K463" t="n">
        <v/>
      </c>
      <c r="L463" t="n">
        <v/>
      </c>
    </row>
    <row r="464">
      <c r="A464" s="64" t="n">
        <v>37117</v>
      </c>
      <c r="B464" t="n">
        <v>-118</v>
      </c>
      <c r="C464" t="n">
        <v/>
      </c>
      <c r="D464" t="n">
        <v>-1651</v>
      </c>
      <c r="E464" t="n">
        <v>17131</v>
      </c>
      <c r="F464" t="n">
        <v>24353</v>
      </c>
      <c r="G464" t="n">
        <v>1208</v>
      </c>
      <c r="H464" t="n">
        <v>11558</v>
      </c>
      <c r="I464" t="n">
        <v>10531</v>
      </c>
      <c r="J464" t="n">
        <v/>
      </c>
      <c r="K464" t="n">
        <v/>
      </c>
      <c r="L464" t="n">
        <v/>
      </c>
    </row>
    <row r="465">
      <c r="A465" s="64" t="n">
        <v>37124</v>
      </c>
      <c r="B465" t="n">
        <v>4724</v>
      </c>
      <c r="C465" t="n">
        <v/>
      </c>
      <c r="D465" t="n">
        <v>-7134</v>
      </c>
      <c r="E465" t="n">
        <v>20703</v>
      </c>
      <c r="F465" t="n">
        <v>28970</v>
      </c>
      <c r="G465" t="n">
        <v>10800</v>
      </c>
      <c r="H465" t="n">
        <v>30611</v>
      </c>
      <c r="I465" t="n">
        <v>9432</v>
      </c>
      <c r="J465" t="n">
        <v/>
      </c>
      <c r="K465" t="n">
        <v/>
      </c>
      <c r="L465" t="n">
        <v/>
      </c>
    </row>
    <row r="466">
      <c r="A466" s="64" t="n">
        <v>37131</v>
      </c>
      <c r="B466" t="n">
        <v>3986</v>
      </c>
      <c r="C466" t="n">
        <v/>
      </c>
      <c r="D466" t="n">
        <v>-6875</v>
      </c>
      <c r="E466" t="n">
        <v>20179</v>
      </c>
      <c r="F466" t="n">
        <v>29505</v>
      </c>
      <c r="G466" t="n">
        <v>14793</v>
      </c>
      <c r="H466" t="n">
        <v>30180</v>
      </c>
      <c r="I466" t="n">
        <v>9722</v>
      </c>
      <c r="J466" t="n">
        <v/>
      </c>
      <c r="K466" t="n">
        <v/>
      </c>
      <c r="L466" t="n">
        <v/>
      </c>
    </row>
    <row r="467">
      <c r="A467" s="64" t="n">
        <v>37138</v>
      </c>
      <c r="B467" t="n">
        <v>3933</v>
      </c>
      <c r="C467" t="n">
        <v/>
      </c>
      <c r="D467" t="n">
        <v>-15527</v>
      </c>
      <c r="E467" t="n">
        <v>15362</v>
      </c>
      <c r="F467" t="n">
        <v>21821</v>
      </c>
      <c r="G467" t="n">
        <v>12046</v>
      </c>
      <c r="H467" t="n">
        <v>32511</v>
      </c>
      <c r="I467" t="n">
        <v>6429</v>
      </c>
      <c r="J467" t="n">
        <v/>
      </c>
      <c r="K467" t="n">
        <v/>
      </c>
      <c r="L467" t="n">
        <v/>
      </c>
    </row>
    <row r="468">
      <c r="A468" s="64" t="n">
        <v>37145</v>
      </c>
      <c r="B468" t="n">
        <v>3703</v>
      </c>
      <c r="C468" t="n">
        <v/>
      </c>
      <c r="D468" t="n">
        <v>-25267</v>
      </c>
      <c r="E468" t="n">
        <v>14766</v>
      </c>
      <c r="F468" t="n">
        <v>17849</v>
      </c>
      <c r="G468" t="n">
        <v>12425</v>
      </c>
      <c r="H468" t="n">
        <v>23493</v>
      </c>
      <c r="I468" t="n">
        <v>2661</v>
      </c>
      <c r="J468" t="n">
        <v/>
      </c>
      <c r="K468" t="n">
        <v/>
      </c>
      <c r="L468" t="n">
        <v/>
      </c>
    </row>
    <row r="469">
      <c r="A469" s="64" t="n">
        <v>37152</v>
      </c>
      <c r="B469" t="n">
        <v>-1830</v>
      </c>
      <c r="C469" t="n">
        <v/>
      </c>
      <c r="D469" t="n">
        <v>-26578</v>
      </c>
      <c r="E469" t="n">
        <v>21668</v>
      </c>
      <c r="F469" t="n">
        <v>24437</v>
      </c>
      <c r="G469" t="n">
        <v>10169</v>
      </c>
      <c r="H469" t="n">
        <v>28439</v>
      </c>
      <c r="I469" t="n">
        <v>489</v>
      </c>
      <c r="J469" t="n">
        <v/>
      </c>
      <c r="K469" t="n">
        <v/>
      </c>
      <c r="L469" t="n">
        <v/>
      </c>
    </row>
    <row r="470">
      <c r="A470" s="64" t="n">
        <v>37159</v>
      </c>
      <c r="B470" t="n">
        <v>-1816</v>
      </c>
      <c r="C470" t="n">
        <v/>
      </c>
      <c r="D470" t="n">
        <v>-27937</v>
      </c>
      <c r="E470" t="n">
        <v>18339</v>
      </c>
      <c r="F470" t="n">
        <v>27848</v>
      </c>
      <c r="G470" t="n">
        <v>9306</v>
      </c>
      <c r="H470" t="n">
        <v>30365</v>
      </c>
      <c r="I470" t="n">
        <v>206</v>
      </c>
      <c r="J470" t="n">
        <v/>
      </c>
      <c r="K470" t="n">
        <v/>
      </c>
      <c r="L470" t="n">
        <v/>
      </c>
    </row>
    <row r="471">
      <c r="A471" s="64" t="n">
        <v>37166</v>
      </c>
      <c r="B471" t="n">
        <v>-1205</v>
      </c>
      <c r="C471" t="n">
        <v/>
      </c>
      <c r="D471" t="n">
        <v>-30339</v>
      </c>
      <c r="E471" t="n">
        <v>17158</v>
      </c>
      <c r="F471" t="n">
        <v>24952</v>
      </c>
      <c r="G471" t="n">
        <v>9194</v>
      </c>
      <c r="H471" t="n">
        <v>13509</v>
      </c>
      <c r="I471" t="n">
        <v>270</v>
      </c>
      <c r="J471" t="n">
        <v/>
      </c>
      <c r="K471" t="n">
        <v/>
      </c>
      <c r="L471" t="n">
        <v/>
      </c>
    </row>
    <row r="472">
      <c r="A472" s="64" t="n">
        <v>37173</v>
      </c>
      <c r="B472" t="n">
        <v>-2512</v>
      </c>
      <c r="C472" t="n">
        <v/>
      </c>
      <c r="D472" t="n">
        <v>-20289</v>
      </c>
      <c r="E472" t="n">
        <v>17082</v>
      </c>
      <c r="F472" t="n">
        <v>22441</v>
      </c>
      <c r="G472" t="n">
        <v>8288</v>
      </c>
      <c r="H472" t="n">
        <v>10268</v>
      </c>
      <c r="I472" t="n">
        <v>2355</v>
      </c>
      <c r="J472" t="n">
        <v/>
      </c>
      <c r="K472" t="n">
        <v/>
      </c>
      <c r="L472" t="n">
        <v/>
      </c>
    </row>
    <row r="473">
      <c r="A473" s="64" t="n">
        <v>37180</v>
      </c>
      <c r="B473" t="n">
        <v>-942</v>
      </c>
      <c r="C473" t="n">
        <v/>
      </c>
      <c r="D473" t="n">
        <v>-12618</v>
      </c>
      <c r="E473" t="n">
        <v>16961</v>
      </c>
      <c r="F473" t="n">
        <v>17616</v>
      </c>
      <c r="G473" t="n">
        <v>4786</v>
      </c>
      <c r="H473" t="n">
        <v>-1114</v>
      </c>
      <c r="I473" t="n">
        <v>5384</v>
      </c>
      <c r="J473" t="n">
        <v/>
      </c>
      <c r="K473" t="n">
        <v/>
      </c>
      <c r="L473" t="n">
        <v/>
      </c>
    </row>
    <row r="474">
      <c r="A474" s="64" t="n">
        <v>37187</v>
      </c>
      <c r="B474" t="n">
        <v>-647</v>
      </c>
      <c r="C474" t="n">
        <v/>
      </c>
      <c r="D474" t="n">
        <v>-19804</v>
      </c>
      <c r="E474" t="n">
        <v>9443</v>
      </c>
      <c r="F474" t="n">
        <v>9390</v>
      </c>
      <c r="G474" t="n">
        <v>-1279</v>
      </c>
      <c r="H474" t="n">
        <v>-21784</v>
      </c>
      <c r="I474" t="n">
        <v>7680</v>
      </c>
      <c r="J474" t="n">
        <v/>
      </c>
      <c r="K474" t="n">
        <v/>
      </c>
      <c r="L474" t="n">
        <v/>
      </c>
    </row>
    <row r="475">
      <c r="A475" s="64" t="n">
        <v>37194</v>
      </c>
      <c r="B475" t="n">
        <v>540</v>
      </c>
      <c r="C475" t="n">
        <v/>
      </c>
      <c r="D475" t="n">
        <v>-20573</v>
      </c>
      <c r="E475" t="n">
        <v>12429</v>
      </c>
      <c r="F475" t="n">
        <v>16686</v>
      </c>
      <c r="G475" t="n">
        <v>899</v>
      </c>
      <c r="H475" t="n">
        <v>-27345</v>
      </c>
      <c r="I475" t="n">
        <v>8616</v>
      </c>
      <c r="J475" t="n">
        <v/>
      </c>
      <c r="K475" t="n">
        <v/>
      </c>
      <c r="L475" t="n">
        <v/>
      </c>
    </row>
    <row r="476">
      <c r="A476" s="64" t="n">
        <v>37201</v>
      </c>
      <c r="B476" t="n">
        <v>996</v>
      </c>
      <c r="C476" t="n">
        <v/>
      </c>
      <c r="D476" t="n">
        <v>-26432</v>
      </c>
      <c r="E476" t="n">
        <v>12036</v>
      </c>
      <c r="F476" t="n">
        <v>15352</v>
      </c>
      <c r="G476" t="n">
        <v>2050</v>
      </c>
      <c r="H476" t="n">
        <v>-13914</v>
      </c>
      <c r="I476" t="n">
        <v>13219</v>
      </c>
      <c r="J476" t="n">
        <v/>
      </c>
      <c r="K476" t="n">
        <v/>
      </c>
      <c r="L476" t="n">
        <v/>
      </c>
    </row>
    <row r="477">
      <c r="A477" s="64" t="n">
        <v>37208</v>
      </c>
      <c r="B477" t="n">
        <v>12</v>
      </c>
      <c r="C477" t="n">
        <v/>
      </c>
      <c r="D477" t="n">
        <v>-28089</v>
      </c>
      <c r="E477" t="n">
        <v>5219</v>
      </c>
      <c r="F477" t="n">
        <v>484</v>
      </c>
      <c r="G477" t="n">
        <v>1755</v>
      </c>
      <c r="H477" t="n">
        <v>-4231</v>
      </c>
      <c r="I477" t="n">
        <v>14322</v>
      </c>
      <c r="J477" t="n">
        <v/>
      </c>
      <c r="K477" t="n">
        <v/>
      </c>
      <c r="L477" t="n">
        <v/>
      </c>
    </row>
    <row r="478">
      <c r="A478" s="64" t="n">
        <v>37215</v>
      </c>
      <c r="B478" t="n">
        <v>3301</v>
      </c>
      <c r="C478" t="n">
        <v/>
      </c>
      <c r="D478" t="n">
        <v>-25375</v>
      </c>
      <c r="E478" t="n">
        <v>239</v>
      </c>
      <c r="F478" t="n">
        <v>-286</v>
      </c>
      <c r="G478" t="n">
        <v>-6058</v>
      </c>
      <c r="H478" t="n">
        <v>-18886</v>
      </c>
      <c r="I478" t="n">
        <v>15329</v>
      </c>
      <c r="J478" t="n">
        <v/>
      </c>
      <c r="K478" t="n">
        <v/>
      </c>
      <c r="L478" t="n">
        <v/>
      </c>
    </row>
    <row r="479">
      <c r="A479" s="64" t="n">
        <v>37222</v>
      </c>
      <c r="B479" t="n">
        <v>3209</v>
      </c>
      <c r="C479" t="n">
        <v/>
      </c>
      <c r="D479" t="n">
        <v>-26672</v>
      </c>
      <c r="E479" t="n">
        <v>-4584</v>
      </c>
      <c r="F479" t="n">
        <v>915</v>
      </c>
      <c r="G479" t="n">
        <v>-8478</v>
      </c>
      <c r="H479" t="n">
        <v>-21630</v>
      </c>
      <c r="I479" t="n">
        <v>13959</v>
      </c>
      <c r="J479" t="n">
        <v/>
      </c>
      <c r="K479" t="n">
        <v/>
      </c>
      <c r="L479" t="n">
        <v/>
      </c>
    </row>
    <row r="480">
      <c r="A480" s="64" t="n">
        <v>37229</v>
      </c>
      <c r="B480" t="n">
        <v>2136</v>
      </c>
      <c r="C480" t="n">
        <v/>
      </c>
      <c r="D480" t="n">
        <v>-7970</v>
      </c>
      <c r="E480" t="n">
        <v>-205</v>
      </c>
      <c r="F480" t="n">
        <v>13846</v>
      </c>
      <c r="G480" t="n">
        <v>-8948</v>
      </c>
      <c r="H480" t="n">
        <v>-8418</v>
      </c>
      <c r="I480" t="n">
        <v>11024</v>
      </c>
      <c r="J480" t="n">
        <v/>
      </c>
      <c r="K480" t="n">
        <v/>
      </c>
      <c r="L480" t="n">
        <v/>
      </c>
    </row>
    <row r="481">
      <c r="A481" s="64" t="n">
        <v>37236</v>
      </c>
      <c r="B481" t="n">
        <v>-78</v>
      </c>
      <c r="C481" t="n">
        <v/>
      </c>
      <c r="D481" t="n">
        <v>-7794</v>
      </c>
      <c r="E481" t="n">
        <v>-466</v>
      </c>
      <c r="F481" t="n">
        <v>11906</v>
      </c>
      <c r="G481" t="n">
        <v>-2460</v>
      </c>
      <c r="H481" t="n">
        <v>-4258</v>
      </c>
      <c r="I481" t="n">
        <v>13874</v>
      </c>
      <c r="J481" t="n">
        <v/>
      </c>
      <c r="K481" t="n">
        <v/>
      </c>
      <c r="L481" t="n">
        <v/>
      </c>
    </row>
    <row r="482">
      <c r="A482" s="64" t="n">
        <v>37243</v>
      </c>
      <c r="B482" t="n">
        <v/>
      </c>
      <c r="C482" t="n">
        <v/>
      </c>
      <c r="D482" t="n">
        <v>-4900</v>
      </c>
      <c r="E482" t="n">
        <v>7133</v>
      </c>
      <c r="F482" t="n">
        <v>11871</v>
      </c>
      <c r="G482" t="n">
        <v>1742</v>
      </c>
      <c r="H482" t="n">
        <v>-1935</v>
      </c>
      <c r="I482" t="n">
        <v>14104</v>
      </c>
      <c r="J482" t="n">
        <v/>
      </c>
      <c r="K482" t="n">
        <v/>
      </c>
      <c r="L482" t="n">
        <v/>
      </c>
    </row>
    <row r="483">
      <c r="A483" s="64" t="n">
        <v>37250</v>
      </c>
      <c r="B483" t="n">
        <v/>
      </c>
      <c r="C483" t="n">
        <v/>
      </c>
      <c r="D483" t="n">
        <v>-6091</v>
      </c>
      <c r="E483" t="n">
        <v>2250</v>
      </c>
      <c r="F483" t="n">
        <v>11422</v>
      </c>
      <c r="G483" t="n">
        <v>-1628</v>
      </c>
      <c r="H483" t="n">
        <v>-4321</v>
      </c>
      <c r="I483" t="n">
        <v>15090</v>
      </c>
      <c r="J483" t="n">
        <v/>
      </c>
      <c r="K483" t="n">
        <v/>
      </c>
      <c r="L483" t="n">
        <v/>
      </c>
    </row>
    <row r="484">
      <c r="A484" s="64" t="n">
        <v>37257</v>
      </c>
      <c r="B484" t="n">
        <v/>
      </c>
      <c r="C484" t="n">
        <v/>
      </c>
      <c r="D484" t="n">
        <v>-14601</v>
      </c>
      <c r="E484" t="n">
        <v>-9439</v>
      </c>
      <c r="F484" t="n">
        <v>11182</v>
      </c>
      <c r="G484" t="n">
        <v>-2485</v>
      </c>
      <c r="H484" t="n">
        <v>866</v>
      </c>
      <c r="I484" t="n">
        <v>12974</v>
      </c>
      <c r="J484" t="n">
        <v/>
      </c>
      <c r="K484" t="n">
        <v/>
      </c>
      <c r="L484" t="n">
        <v/>
      </c>
    </row>
    <row r="485">
      <c r="A485" s="64" t="n">
        <v>37264</v>
      </c>
      <c r="B485" t="n">
        <v/>
      </c>
      <c r="C485" t="n">
        <v/>
      </c>
      <c r="D485" t="n">
        <v>-15333</v>
      </c>
      <c r="E485" t="n">
        <v>-5865</v>
      </c>
      <c r="F485" t="n">
        <v>14773</v>
      </c>
      <c r="G485" t="n">
        <v>-3410</v>
      </c>
      <c r="H485" t="n">
        <v>-3530</v>
      </c>
      <c r="I485" t="n">
        <v>14716</v>
      </c>
      <c r="J485" t="n">
        <v/>
      </c>
      <c r="K485" t="n">
        <v/>
      </c>
      <c r="L485" t="n">
        <v/>
      </c>
    </row>
    <row r="486">
      <c r="A486" s="64" t="n">
        <v>37271</v>
      </c>
      <c r="B486" t="n">
        <v/>
      </c>
      <c r="C486" t="n">
        <v/>
      </c>
      <c r="D486" t="n">
        <v>-15445</v>
      </c>
      <c r="E486" t="n">
        <v>-9020</v>
      </c>
      <c r="F486" t="n">
        <v>12096</v>
      </c>
      <c r="G486" t="n">
        <v>-4517</v>
      </c>
      <c r="H486" t="n">
        <v>-2603</v>
      </c>
      <c r="I486" t="n">
        <v>11738</v>
      </c>
      <c r="J486" t="n">
        <v/>
      </c>
      <c r="K486" t="n">
        <v/>
      </c>
      <c r="L486" t="n">
        <v/>
      </c>
    </row>
    <row r="487">
      <c r="A487" s="64" t="n">
        <v>37278</v>
      </c>
      <c r="B487" t="n">
        <v/>
      </c>
      <c r="C487" t="n">
        <v/>
      </c>
      <c r="D487" t="n">
        <v>-22045</v>
      </c>
      <c r="E487" t="n">
        <v>-3946</v>
      </c>
      <c r="F487" t="n">
        <v>17289</v>
      </c>
      <c r="G487" t="n">
        <v>-3089</v>
      </c>
      <c r="H487" t="n">
        <v>-14401</v>
      </c>
      <c r="I487" t="n">
        <v>14993</v>
      </c>
      <c r="J487" t="n">
        <v/>
      </c>
      <c r="K487" t="n">
        <v/>
      </c>
      <c r="L487" t="n">
        <v/>
      </c>
    </row>
    <row r="488">
      <c r="A488" s="64" t="n">
        <v>37285</v>
      </c>
      <c r="B488" t="n">
        <v>977</v>
      </c>
      <c r="C488" t="n">
        <v/>
      </c>
      <c r="D488" t="n">
        <v>-17164</v>
      </c>
      <c r="E488" t="n">
        <v>-18370</v>
      </c>
      <c r="F488" t="n">
        <v>855</v>
      </c>
      <c r="G488" t="n">
        <v>-11942</v>
      </c>
      <c r="H488" t="n">
        <v>-6343</v>
      </c>
      <c r="I488" t="n">
        <v>14388</v>
      </c>
      <c r="J488" t="n">
        <v/>
      </c>
      <c r="K488" t="n">
        <v/>
      </c>
      <c r="L488" t="n">
        <v/>
      </c>
    </row>
    <row r="489">
      <c r="A489" s="64" t="n">
        <v>37292</v>
      </c>
      <c r="B489" t="n">
        <v>386</v>
      </c>
      <c r="C489" t="n">
        <v/>
      </c>
      <c r="D489" t="n">
        <v>-15426</v>
      </c>
      <c r="E489" t="n">
        <v>-13957</v>
      </c>
      <c r="F489" t="n">
        <v>2323</v>
      </c>
      <c r="G489" t="n">
        <v>-10864</v>
      </c>
      <c r="H489" t="n">
        <v>-4016</v>
      </c>
      <c r="I489" t="n">
        <v>16146</v>
      </c>
      <c r="J489" t="n">
        <v/>
      </c>
      <c r="K489" t="n">
        <v/>
      </c>
      <c r="L489" t="n">
        <v/>
      </c>
    </row>
    <row r="490">
      <c r="A490" s="64" t="n">
        <v>37299</v>
      </c>
      <c r="B490" t="n">
        <v>-2837</v>
      </c>
      <c r="C490" t="n">
        <v/>
      </c>
      <c r="D490" t="n">
        <v>-13596</v>
      </c>
      <c r="E490" t="n">
        <v>-14326</v>
      </c>
      <c r="F490" t="n">
        <v>3254</v>
      </c>
      <c r="G490" t="n">
        <v>-5398</v>
      </c>
      <c r="H490" t="n">
        <v>-7781</v>
      </c>
      <c r="I490" t="n">
        <v>18053</v>
      </c>
      <c r="J490" t="n">
        <v/>
      </c>
      <c r="K490" t="n">
        <v/>
      </c>
      <c r="L490" t="n">
        <v/>
      </c>
    </row>
    <row r="491">
      <c r="A491" s="64" t="n">
        <v>37306</v>
      </c>
      <c r="B491" t="n">
        <v/>
      </c>
      <c r="C491" t="n">
        <v/>
      </c>
      <c r="D491" t="n">
        <v>-9338</v>
      </c>
      <c r="E491" t="n">
        <v>-12230</v>
      </c>
      <c r="F491" t="n">
        <v>8647</v>
      </c>
      <c r="G491" t="n">
        <v>-5595</v>
      </c>
      <c r="H491" t="n">
        <v>-12332</v>
      </c>
      <c r="I491" t="n">
        <v>18060</v>
      </c>
      <c r="J491" t="n">
        <v/>
      </c>
      <c r="K491" t="n">
        <v/>
      </c>
      <c r="L491" t="n">
        <v/>
      </c>
    </row>
    <row r="492">
      <c r="A492" s="64" t="n">
        <v>37313</v>
      </c>
      <c r="B492" t="n">
        <v>85</v>
      </c>
      <c r="C492" t="n">
        <v/>
      </c>
      <c r="D492" t="n">
        <v>-19960</v>
      </c>
      <c r="E492" t="n">
        <v>-14899</v>
      </c>
      <c r="F492" t="n">
        <v>3133</v>
      </c>
      <c r="G492" t="n">
        <v>-6214</v>
      </c>
      <c r="H492" t="n">
        <v>-19812</v>
      </c>
      <c r="I492" t="n">
        <v>17568</v>
      </c>
      <c r="J492" t="n">
        <v/>
      </c>
      <c r="K492" t="n">
        <v/>
      </c>
      <c r="L492" t="n">
        <v/>
      </c>
    </row>
    <row r="493">
      <c r="A493" s="64" t="n">
        <v>37320</v>
      </c>
      <c r="B493" t="n">
        <v/>
      </c>
      <c r="C493" t="n">
        <v/>
      </c>
      <c r="D493" t="n">
        <v>-10094</v>
      </c>
      <c r="E493" t="n">
        <v>-12945</v>
      </c>
      <c r="F493" t="n">
        <v>6288</v>
      </c>
      <c r="G493" t="n">
        <v>-3596</v>
      </c>
      <c r="H493" t="n">
        <v>-13646</v>
      </c>
      <c r="I493" t="n">
        <v>19348</v>
      </c>
      <c r="J493" t="n">
        <v/>
      </c>
      <c r="K493" t="n">
        <v/>
      </c>
      <c r="L493" t="n">
        <v/>
      </c>
    </row>
    <row r="494">
      <c r="A494" s="64" t="n">
        <v>37327</v>
      </c>
      <c r="B494" t="n">
        <v>5426</v>
      </c>
      <c r="C494" t="n">
        <v/>
      </c>
      <c r="D494" t="n">
        <v>-2100</v>
      </c>
      <c r="E494" t="n">
        <v>-8036</v>
      </c>
      <c r="F494" t="n">
        <v>15461</v>
      </c>
      <c r="G494" t="n">
        <v>-10123</v>
      </c>
      <c r="H494" t="n">
        <v>6898</v>
      </c>
      <c r="I494" t="n">
        <v>19444</v>
      </c>
      <c r="J494" t="n">
        <v/>
      </c>
      <c r="K494" t="n">
        <v/>
      </c>
      <c r="L494" t="n">
        <v/>
      </c>
    </row>
    <row r="495">
      <c r="A495" s="64" t="n">
        <v>37334</v>
      </c>
      <c r="B495" t="n">
        <v>6875</v>
      </c>
      <c r="C495" t="n">
        <v/>
      </c>
      <c r="D495" t="n">
        <v>-2291</v>
      </c>
      <c r="E495" t="n">
        <v>-6555</v>
      </c>
      <c r="F495" t="n">
        <v>21256</v>
      </c>
      <c r="G495" t="n">
        <v>-6691</v>
      </c>
      <c r="H495" t="n">
        <v>-1127</v>
      </c>
      <c r="I495" t="n">
        <v>20868</v>
      </c>
      <c r="J495" t="n">
        <v/>
      </c>
      <c r="K495" t="n">
        <v/>
      </c>
      <c r="L495" t="n">
        <v/>
      </c>
    </row>
    <row r="496">
      <c r="A496" s="64" t="n">
        <v>37341</v>
      </c>
      <c r="B496" t="n">
        <v>12260</v>
      </c>
      <c r="C496" t="n">
        <v/>
      </c>
      <c r="D496" t="n">
        <v>-4556</v>
      </c>
      <c r="E496" t="n">
        <v>-4257</v>
      </c>
      <c r="F496" t="n">
        <v>23293</v>
      </c>
      <c r="G496" t="n">
        <v>-855</v>
      </c>
      <c r="H496" t="n">
        <v>-4360</v>
      </c>
      <c r="I496" t="n">
        <v>22937</v>
      </c>
      <c r="J496" t="n">
        <v/>
      </c>
      <c r="K496" t="n">
        <v/>
      </c>
      <c r="L496" t="n">
        <v/>
      </c>
    </row>
    <row r="497">
      <c r="A497" s="64" t="n">
        <v>37348</v>
      </c>
      <c r="B497" t="n">
        <v>14303</v>
      </c>
      <c r="C497" t="n">
        <v/>
      </c>
      <c r="D497" t="n">
        <v>-12486</v>
      </c>
      <c r="E497" t="n">
        <v>-1741</v>
      </c>
      <c r="F497" t="n">
        <v>26158</v>
      </c>
      <c r="G497" t="n">
        <v>4602</v>
      </c>
      <c r="H497" t="n">
        <v>-9257</v>
      </c>
      <c r="I497" t="n">
        <v>22685</v>
      </c>
      <c r="J497" t="n">
        <v/>
      </c>
      <c r="K497" t="n">
        <v/>
      </c>
      <c r="L497" t="n">
        <v/>
      </c>
    </row>
    <row r="498">
      <c r="A498" s="64" t="n">
        <v>37355</v>
      </c>
      <c r="B498" t="n">
        <v>24037</v>
      </c>
      <c r="C498" t="n">
        <v/>
      </c>
      <c r="D498" t="n">
        <v>-20762</v>
      </c>
      <c r="E498" t="n">
        <v>-6540</v>
      </c>
      <c r="F498" t="n">
        <v>19441</v>
      </c>
      <c r="G498" t="n">
        <v>244</v>
      </c>
      <c r="H498" t="n">
        <v>-10841</v>
      </c>
      <c r="I498" t="n">
        <v>21793</v>
      </c>
      <c r="J498" t="n">
        <v/>
      </c>
      <c r="K498" t="n">
        <v/>
      </c>
      <c r="L498" t="n">
        <v/>
      </c>
    </row>
    <row r="499">
      <c r="A499" s="64" t="n">
        <v>37362</v>
      </c>
      <c r="B499" t="n">
        <v>17167</v>
      </c>
      <c r="C499" t="n">
        <v/>
      </c>
      <c r="D499" t="n">
        <v>-8822</v>
      </c>
      <c r="E499" t="n">
        <v>-3517</v>
      </c>
      <c r="F499" t="n">
        <v>27627</v>
      </c>
      <c r="G499" t="n">
        <v>2437</v>
      </c>
      <c r="H499" t="n">
        <v>-8751</v>
      </c>
      <c r="I499" t="n">
        <v>11255</v>
      </c>
      <c r="J499" t="n">
        <v/>
      </c>
      <c r="K499" t="n">
        <v/>
      </c>
      <c r="L499" t="n">
        <v/>
      </c>
    </row>
    <row r="500">
      <c r="A500" s="64" t="n">
        <v>37369</v>
      </c>
      <c r="B500" t="n">
        <v>19351</v>
      </c>
      <c r="C500" t="n">
        <v/>
      </c>
      <c r="D500" t="n">
        <v>-469</v>
      </c>
      <c r="E500" t="n">
        <v>6770</v>
      </c>
      <c r="F500" t="n">
        <v>29623</v>
      </c>
      <c r="G500" t="n">
        <v>8681</v>
      </c>
      <c r="H500" t="n">
        <v>-726</v>
      </c>
      <c r="I500" t="n">
        <v>4041</v>
      </c>
      <c r="J500" t="n">
        <v/>
      </c>
      <c r="K500" t="n">
        <v/>
      </c>
      <c r="L500" t="n">
        <v/>
      </c>
    </row>
    <row r="501">
      <c r="A501" s="64" t="n">
        <v>37376</v>
      </c>
      <c r="B501" t="n">
        <v>16621</v>
      </c>
      <c r="C501" t="n">
        <v/>
      </c>
      <c r="D501" t="n">
        <v>2307</v>
      </c>
      <c r="E501" t="n">
        <v>15107</v>
      </c>
      <c r="F501" t="n">
        <v>31472</v>
      </c>
      <c r="G501" t="n">
        <v>10558</v>
      </c>
      <c r="H501" t="n">
        <v>5654</v>
      </c>
      <c r="I501" t="n">
        <v>-145</v>
      </c>
      <c r="J501" t="n">
        <v/>
      </c>
      <c r="K501" t="n">
        <v/>
      </c>
      <c r="L501" t="n">
        <v/>
      </c>
    </row>
    <row r="502">
      <c r="A502" s="64" t="n">
        <v>37383</v>
      </c>
      <c r="B502" t="n">
        <v>15329</v>
      </c>
      <c r="C502" t="n">
        <v/>
      </c>
      <c r="D502" t="n">
        <v>6182</v>
      </c>
      <c r="E502" t="n">
        <v>15674</v>
      </c>
      <c r="F502" t="n">
        <v>35433</v>
      </c>
      <c r="G502" t="n">
        <v>11670</v>
      </c>
      <c r="H502" t="n">
        <v>6514</v>
      </c>
      <c r="I502" t="n">
        <v>-1152</v>
      </c>
      <c r="J502" t="n">
        <v/>
      </c>
      <c r="K502" t="n">
        <v/>
      </c>
      <c r="L502" t="n">
        <v/>
      </c>
    </row>
    <row r="503">
      <c r="A503" s="64" t="n">
        <v>37390</v>
      </c>
      <c r="B503" t="n">
        <v>11337</v>
      </c>
      <c r="C503" t="n">
        <v/>
      </c>
      <c r="D503" t="n">
        <v>10523</v>
      </c>
      <c r="E503" t="n">
        <v>13315</v>
      </c>
      <c r="F503" t="n">
        <v>34600</v>
      </c>
      <c r="G503" t="n">
        <v>4393</v>
      </c>
      <c r="H503" t="n">
        <v>2814</v>
      </c>
      <c r="I503" t="n">
        <v>-3751</v>
      </c>
      <c r="J503" t="n">
        <v/>
      </c>
      <c r="K503" t="n">
        <v/>
      </c>
      <c r="L503" t="n">
        <v/>
      </c>
    </row>
    <row r="504">
      <c r="A504" s="64" t="n">
        <v>37397</v>
      </c>
      <c r="B504" t="n">
        <v>8071</v>
      </c>
      <c r="C504" t="n">
        <v/>
      </c>
      <c r="D504" t="n">
        <v>15201</v>
      </c>
      <c r="E504" t="n">
        <v>13821</v>
      </c>
      <c r="F504" t="n">
        <v>31173</v>
      </c>
      <c r="G504" t="n">
        <v>5239</v>
      </c>
      <c r="H504" t="n">
        <v>13862</v>
      </c>
      <c r="I504" t="n">
        <v>-5900</v>
      </c>
      <c r="J504" t="n">
        <v/>
      </c>
      <c r="K504" t="n">
        <v/>
      </c>
      <c r="L504" t="n">
        <v/>
      </c>
    </row>
    <row r="505">
      <c r="A505" s="64" t="n">
        <v>37404</v>
      </c>
      <c r="B505" t="n">
        <v>11822</v>
      </c>
      <c r="C505" t="n">
        <v/>
      </c>
      <c r="D505" t="n">
        <v>18205</v>
      </c>
      <c r="E505" t="n">
        <v>11988</v>
      </c>
      <c r="F505" t="n">
        <v>31725</v>
      </c>
      <c r="G505" t="n">
        <v>4646</v>
      </c>
      <c r="H505" t="n">
        <v>12174</v>
      </c>
      <c r="I505" t="n">
        <v>-6222</v>
      </c>
      <c r="J505" t="n">
        <v/>
      </c>
      <c r="K505" t="n">
        <v/>
      </c>
      <c r="L505" t="n">
        <v/>
      </c>
    </row>
    <row r="506">
      <c r="A506" s="64" t="n">
        <v>37411</v>
      </c>
      <c r="B506" t="n">
        <v>14029</v>
      </c>
      <c r="C506" t="n">
        <v/>
      </c>
      <c r="D506" t="n">
        <v>23278</v>
      </c>
      <c r="E506" t="n">
        <v>10022</v>
      </c>
      <c r="F506" t="n">
        <v>31616</v>
      </c>
      <c r="G506" t="n">
        <v>2850</v>
      </c>
      <c r="H506" t="n">
        <v>8375</v>
      </c>
      <c r="I506" t="n">
        <v>-8363</v>
      </c>
      <c r="J506" t="n">
        <v/>
      </c>
      <c r="K506" t="n">
        <v/>
      </c>
      <c r="L506" t="n">
        <v/>
      </c>
    </row>
    <row r="507">
      <c r="A507" s="64" t="n">
        <v>37418</v>
      </c>
      <c r="B507" t="n">
        <v>11349</v>
      </c>
      <c r="C507" t="n">
        <v/>
      </c>
      <c r="D507" t="n">
        <v>24689</v>
      </c>
      <c r="E507" t="n">
        <v>12475</v>
      </c>
      <c r="F507" t="n">
        <v>28367</v>
      </c>
      <c r="G507" t="n">
        <v>9828</v>
      </c>
      <c r="H507" t="n">
        <v>6075</v>
      </c>
      <c r="I507" t="n">
        <v>-9198</v>
      </c>
      <c r="J507" t="n">
        <v/>
      </c>
      <c r="K507" t="n">
        <v/>
      </c>
      <c r="L507" t="n">
        <v/>
      </c>
    </row>
    <row r="508">
      <c r="A508" s="64" t="n">
        <v>37425</v>
      </c>
      <c r="B508" t="n">
        <v>8436</v>
      </c>
      <c r="C508" t="n">
        <v/>
      </c>
      <c r="D508" t="n">
        <v>18945</v>
      </c>
      <c r="E508" t="n">
        <v>14400</v>
      </c>
      <c r="F508" t="n">
        <v>29457</v>
      </c>
      <c r="G508" t="n">
        <v>5843</v>
      </c>
      <c r="H508" t="n">
        <v>9469</v>
      </c>
      <c r="I508" t="n">
        <v>-7142</v>
      </c>
      <c r="J508" t="n">
        <v/>
      </c>
      <c r="K508" t="n">
        <v/>
      </c>
      <c r="L508" t="n">
        <v/>
      </c>
    </row>
    <row r="509">
      <c r="A509" s="64" t="n">
        <v>37432</v>
      </c>
      <c r="B509" t="n">
        <v>6562</v>
      </c>
      <c r="C509" t="n">
        <v/>
      </c>
      <c r="D509" t="n">
        <v>18175</v>
      </c>
      <c r="E509" t="n">
        <v>14520</v>
      </c>
      <c r="F509" t="n">
        <v>22524</v>
      </c>
      <c r="G509" t="n">
        <v>5240</v>
      </c>
      <c r="H509" t="n">
        <v>10609</v>
      </c>
      <c r="I509" t="n">
        <v>-9134</v>
      </c>
      <c r="J509" t="n">
        <v/>
      </c>
      <c r="K509" t="n">
        <v/>
      </c>
      <c r="L509" t="n">
        <v/>
      </c>
    </row>
    <row r="510">
      <c r="A510" s="64" t="n">
        <v>37439</v>
      </c>
      <c r="B510" t="n">
        <v>6222</v>
      </c>
      <c r="C510" t="n">
        <v/>
      </c>
      <c r="D510" t="n">
        <v>23412</v>
      </c>
      <c r="E510" t="n">
        <v>13173</v>
      </c>
      <c r="F510" t="n">
        <v>24395</v>
      </c>
      <c r="G510" t="n">
        <v>2229</v>
      </c>
      <c r="H510" t="n">
        <v>9046</v>
      </c>
      <c r="I510" t="n">
        <v>-9360</v>
      </c>
      <c r="J510" t="n">
        <v/>
      </c>
      <c r="K510" t="n">
        <v/>
      </c>
      <c r="L510" t="n">
        <v/>
      </c>
    </row>
    <row r="511">
      <c r="A511" s="64" t="n">
        <v>37446</v>
      </c>
      <c r="B511" t="n">
        <v>6337</v>
      </c>
      <c r="C511" t="n">
        <v/>
      </c>
      <c r="D511" t="n">
        <v>22316</v>
      </c>
      <c r="E511" t="n">
        <v>12398</v>
      </c>
      <c r="F511" t="n">
        <v>24082</v>
      </c>
      <c r="G511" t="n">
        <v>1916</v>
      </c>
      <c r="H511" t="n">
        <v>10200</v>
      </c>
      <c r="I511" t="n">
        <v>-7798</v>
      </c>
      <c r="J511" t="n">
        <v/>
      </c>
      <c r="K511" t="n">
        <v/>
      </c>
      <c r="L511" t="n">
        <v/>
      </c>
    </row>
    <row r="512">
      <c r="A512" s="64" t="n">
        <v>37453</v>
      </c>
      <c r="B512" t="n">
        <v>4379</v>
      </c>
      <c r="C512" t="n">
        <v/>
      </c>
      <c r="D512" t="n">
        <v>16222</v>
      </c>
      <c r="E512" t="n">
        <v>14085</v>
      </c>
      <c r="F512" t="n">
        <v>26654</v>
      </c>
      <c r="G512" t="n">
        <v>-255</v>
      </c>
      <c r="H512" t="n">
        <v>11221</v>
      </c>
      <c r="I512" t="n">
        <v>-3214</v>
      </c>
      <c r="J512" t="n">
        <v/>
      </c>
      <c r="K512" t="n">
        <v/>
      </c>
      <c r="L512" t="n">
        <v/>
      </c>
    </row>
    <row r="513">
      <c r="A513" s="64" t="n">
        <v>37460</v>
      </c>
      <c r="B513" t="n">
        <v>749</v>
      </c>
      <c r="C513" t="n">
        <v/>
      </c>
      <c r="D513" t="n">
        <v>9106</v>
      </c>
      <c r="E513" t="n">
        <v>13114</v>
      </c>
      <c r="F513" t="n">
        <v>25678</v>
      </c>
      <c r="G513" t="n">
        <v>167</v>
      </c>
      <c r="H513" t="n">
        <v>9863</v>
      </c>
      <c r="I513" t="n">
        <v>408</v>
      </c>
      <c r="J513" t="n">
        <v/>
      </c>
      <c r="K513" t="n">
        <v/>
      </c>
      <c r="L513" t="n">
        <v/>
      </c>
    </row>
    <row r="514">
      <c r="A514" s="64" t="n">
        <v>37467</v>
      </c>
      <c r="B514" t="n">
        <v/>
      </c>
      <c r="C514" t="n">
        <v/>
      </c>
      <c r="D514" t="n">
        <v>4205</v>
      </c>
      <c r="E514" t="n">
        <v>8159</v>
      </c>
      <c r="F514" t="n">
        <v>25483</v>
      </c>
      <c r="G514" t="n">
        <v>1514</v>
      </c>
      <c r="H514" t="n">
        <v>3852</v>
      </c>
      <c r="I514" t="n">
        <v>1760</v>
      </c>
      <c r="J514" t="n">
        <v/>
      </c>
      <c r="K514" t="n">
        <v/>
      </c>
      <c r="L514" t="n">
        <v/>
      </c>
    </row>
    <row r="515">
      <c r="A515" s="64" t="n">
        <v>37474</v>
      </c>
      <c r="B515" t="n">
        <v>1111</v>
      </c>
      <c r="C515" t="n">
        <v/>
      </c>
      <c r="D515" t="n">
        <v>1234</v>
      </c>
      <c r="E515" t="n">
        <v>6487</v>
      </c>
      <c r="F515" t="n">
        <v>20022</v>
      </c>
      <c r="G515" t="n">
        <v>2532</v>
      </c>
      <c r="H515" t="n">
        <v>706</v>
      </c>
      <c r="I515" t="n">
        <v>158</v>
      </c>
      <c r="J515" t="n">
        <v/>
      </c>
      <c r="K515" t="n">
        <v/>
      </c>
      <c r="L515" t="n">
        <v/>
      </c>
    </row>
    <row r="516">
      <c r="A516" s="64" t="n">
        <v>37481</v>
      </c>
      <c r="B516" t="n">
        <v>1191</v>
      </c>
      <c r="C516" t="n">
        <v/>
      </c>
      <c r="D516" t="n">
        <v>1061</v>
      </c>
      <c r="E516" t="n">
        <v>7552</v>
      </c>
      <c r="F516" t="n">
        <v>19782</v>
      </c>
      <c r="G516" t="n">
        <v>1031</v>
      </c>
      <c r="H516" t="n">
        <v>3664</v>
      </c>
      <c r="I516" t="n">
        <v>-1796</v>
      </c>
      <c r="J516" t="n">
        <v/>
      </c>
      <c r="K516" t="n">
        <v/>
      </c>
      <c r="L516" t="n">
        <v/>
      </c>
    </row>
    <row r="517">
      <c r="A517" s="64" t="n">
        <v>37488</v>
      </c>
      <c r="B517" t="n">
        <v>553</v>
      </c>
      <c r="C517" t="n">
        <v/>
      </c>
      <c r="D517" t="n">
        <v>557</v>
      </c>
      <c r="E517" t="n">
        <v>6223</v>
      </c>
      <c r="F517" t="n">
        <v>17863</v>
      </c>
      <c r="G517" t="n">
        <v>-1177</v>
      </c>
      <c r="H517" t="n">
        <v>3412</v>
      </c>
      <c r="I517" t="n">
        <v>-716</v>
      </c>
      <c r="J517" t="n">
        <v/>
      </c>
      <c r="K517" t="n">
        <v/>
      </c>
      <c r="L517" t="n">
        <v/>
      </c>
    </row>
    <row r="518">
      <c r="A518" s="64" t="n">
        <v>37495</v>
      </c>
      <c r="B518" t="n">
        <v>-90</v>
      </c>
      <c r="C518" t="n">
        <v/>
      </c>
      <c r="D518" t="n">
        <v>2767</v>
      </c>
      <c r="E518" t="n">
        <v>9939</v>
      </c>
      <c r="F518" t="n">
        <v>22088</v>
      </c>
      <c r="G518" t="n">
        <v>2563</v>
      </c>
      <c r="H518" t="n">
        <v>4351</v>
      </c>
      <c r="I518" t="n">
        <v>-1443</v>
      </c>
      <c r="J518" t="n">
        <v/>
      </c>
      <c r="K518" t="n">
        <v/>
      </c>
      <c r="L518" t="n">
        <v/>
      </c>
    </row>
    <row r="519">
      <c r="A519" s="64" t="n">
        <v>37502</v>
      </c>
      <c r="B519" t="n">
        <v>167</v>
      </c>
      <c r="C519" t="n">
        <v/>
      </c>
      <c r="D519" t="n">
        <v>10520</v>
      </c>
      <c r="E519" t="n">
        <v>10931</v>
      </c>
      <c r="F519" t="n">
        <v>25238</v>
      </c>
      <c r="G519" t="n">
        <v>2871</v>
      </c>
      <c r="H519" t="n">
        <v>6641</v>
      </c>
      <c r="I519" t="n">
        <v>-2674</v>
      </c>
      <c r="J519" t="n">
        <v/>
      </c>
      <c r="K519" t="n">
        <v/>
      </c>
      <c r="L519" t="n">
        <v/>
      </c>
    </row>
    <row r="520">
      <c r="A520" s="64" t="n">
        <v>37509</v>
      </c>
      <c r="B520" t="n">
        <v>524</v>
      </c>
      <c r="C520" t="n">
        <v/>
      </c>
      <c r="D520" t="n">
        <v>10603</v>
      </c>
      <c r="E520" t="n">
        <v>10234</v>
      </c>
      <c r="F520" t="n">
        <v>20351</v>
      </c>
      <c r="G520" t="n">
        <v>2023</v>
      </c>
      <c r="H520" t="n">
        <v>3220</v>
      </c>
      <c r="I520" t="n">
        <v>-4982</v>
      </c>
      <c r="J520" t="n">
        <v/>
      </c>
      <c r="K520" t="n">
        <v/>
      </c>
      <c r="L520" t="n">
        <v/>
      </c>
    </row>
    <row r="521">
      <c r="A521" s="64" t="n">
        <v>37516</v>
      </c>
      <c r="B521" t="n">
        <v/>
      </c>
      <c r="C521" t="n">
        <v/>
      </c>
      <c r="D521" t="n">
        <v>2174</v>
      </c>
      <c r="E521" t="n">
        <v>-5904</v>
      </c>
      <c r="F521" t="n">
        <v>12610</v>
      </c>
      <c r="G521" t="n">
        <v>-2423</v>
      </c>
      <c r="H521" t="n">
        <v>-16374</v>
      </c>
      <c r="I521" t="n">
        <v>-4818</v>
      </c>
      <c r="J521" t="n">
        <v/>
      </c>
      <c r="K521" t="n">
        <v/>
      </c>
      <c r="L521" t="n">
        <v/>
      </c>
    </row>
    <row r="522">
      <c r="A522" s="64" t="n">
        <v>37523</v>
      </c>
      <c r="B522" t="n">
        <v/>
      </c>
      <c r="C522" t="n">
        <v/>
      </c>
      <c r="D522" t="n">
        <v>612</v>
      </c>
      <c r="E522" t="n">
        <v>-3074</v>
      </c>
      <c r="F522" t="n">
        <v>14602</v>
      </c>
      <c r="G522" t="n">
        <v>-1680</v>
      </c>
      <c r="H522" t="n">
        <v>-18080</v>
      </c>
      <c r="I522" t="n">
        <v>-10407</v>
      </c>
      <c r="J522" t="n">
        <v/>
      </c>
      <c r="K522" t="n">
        <v/>
      </c>
      <c r="L522" t="n">
        <v/>
      </c>
    </row>
    <row r="523">
      <c r="A523" s="64" t="n">
        <v>37530</v>
      </c>
      <c r="B523" t="n">
        <v>2342</v>
      </c>
      <c r="C523" t="n">
        <v/>
      </c>
      <c r="D523" t="n">
        <v>-414</v>
      </c>
      <c r="E523" t="n">
        <v>2105</v>
      </c>
      <c r="F523" t="n">
        <v>16937</v>
      </c>
      <c r="G523" t="n">
        <v>-384</v>
      </c>
      <c r="H523" t="n">
        <v>-15313</v>
      </c>
      <c r="I523" t="n">
        <v>-10687</v>
      </c>
      <c r="J523" t="n">
        <v/>
      </c>
      <c r="K523" t="n">
        <v/>
      </c>
      <c r="L523" t="n">
        <v/>
      </c>
    </row>
    <row r="524">
      <c r="A524" s="64" t="n">
        <v>37537</v>
      </c>
      <c r="B524" t="n">
        <v>5845</v>
      </c>
      <c r="C524" t="n">
        <v/>
      </c>
      <c r="D524" t="n">
        <v>53</v>
      </c>
      <c r="E524" t="n">
        <v>-3594</v>
      </c>
      <c r="F524" t="n">
        <v>12652</v>
      </c>
      <c r="G524" t="n">
        <v>-1155</v>
      </c>
      <c r="H524" t="n">
        <v>-13241</v>
      </c>
      <c r="I524" t="n">
        <v>-10236</v>
      </c>
      <c r="J524" t="n">
        <v/>
      </c>
      <c r="K524" t="n">
        <v/>
      </c>
      <c r="L524" t="n">
        <v/>
      </c>
    </row>
    <row r="525">
      <c r="A525" s="64" t="n">
        <v>37544</v>
      </c>
      <c r="B525" t="n">
        <v>5242</v>
      </c>
      <c r="C525" t="n">
        <v/>
      </c>
      <c r="D525" t="n">
        <v>-410</v>
      </c>
      <c r="E525" t="n">
        <v>-2998</v>
      </c>
      <c r="F525" t="n">
        <v>21032</v>
      </c>
      <c r="G525" t="n">
        <v>2285</v>
      </c>
      <c r="H525" t="n">
        <v>-12830</v>
      </c>
      <c r="I525" t="n">
        <v>-7147</v>
      </c>
      <c r="J525" t="n">
        <v/>
      </c>
      <c r="K525" t="n">
        <v/>
      </c>
      <c r="L525" t="n">
        <v/>
      </c>
    </row>
    <row r="526">
      <c r="A526" s="64" t="n">
        <v>37551</v>
      </c>
      <c r="B526" t="n">
        <v>9971</v>
      </c>
      <c r="C526" t="n">
        <v/>
      </c>
      <c r="D526" t="n">
        <v>7566</v>
      </c>
      <c r="E526" t="n">
        <v>-6155</v>
      </c>
      <c r="F526" t="n">
        <v>14068</v>
      </c>
      <c r="G526" t="n">
        <v>267</v>
      </c>
      <c r="H526" t="n">
        <v>-14934</v>
      </c>
      <c r="I526" t="n">
        <v>-2594</v>
      </c>
      <c r="J526" t="n">
        <v/>
      </c>
      <c r="K526" t="n">
        <v/>
      </c>
      <c r="L526" t="n">
        <v/>
      </c>
    </row>
    <row r="527">
      <c r="A527" s="64" t="n">
        <v>37558</v>
      </c>
      <c r="B527" t="n">
        <v>12614</v>
      </c>
      <c r="C527" t="n">
        <v/>
      </c>
      <c r="D527" t="n">
        <v>12585</v>
      </c>
      <c r="E527" t="n">
        <v>1677</v>
      </c>
      <c r="F527" t="n">
        <v>19325</v>
      </c>
      <c r="G527" t="n">
        <v>7677</v>
      </c>
      <c r="H527" t="n">
        <v>-8264</v>
      </c>
      <c r="I527" t="n">
        <v>-2391</v>
      </c>
      <c r="J527" t="n">
        <v/>
      </c>
      <c r="K527" t="n">
        <v/>
      </c>
      <c r="L527" t="n">
        <v/>
      </c>
    </row>
    <row r="528">
      <c r="A528" s="64" t="n">
        <v>37565</v>
      </c>
      <c r="B528" t="n">
        <v>17716</v>
      </c>
      <c r="C528" t="n">
        <v/>
      </c>
      <c r="D528" t="n">
        <v>15616</v>
      </c>
      <c r="E528" t="n">
        <v>10550</v>
      </c>
      <c r="F528" t="n">
        <v>31037</v>
      </c>
      <c r="G528" t="n">
        <v>9963</v>
      </c>
      <c r="H528" t="n">
        <v>-4696</v>
      </c>
      <c r="I528" t="n">
        <v>-5201</v>
      </c>
      <c r="J528" t="n">
        <v/>
      </c>
      <c r="K528" t="n">
        <v/>
      </c>
      <c r="L528" t="n">
        <v/>
      </c>
    </row>
    <row r="529">
      <c r="A529" s="64" t="n">
        <v>37572</v>
      </c>
      <c r="B529" t="n">
        <v>17738</v>
      </c>
      <c r="C529" t="n">
        <v/>
      </c>
      <c r="D529" t="n">
        <v>11725</v>
      </c>
      <c r="E529" t="n">
        <v>17241</v>
      </c>
      <c r="F529" t="n">
        <v>33277</v>
      </c>
      <c r="G529" t="n">
        <v>15319</v>
      </c>
      <c r="H529" t="n">
        <v>-427</v>
      </c>
      <c r="I529" t="n">
        <v>-7347</v>
      </c>
      <c r="J529" t="n">
        <v/>
      </c>
      <c r="K529" t="n">
        <v/>
      </c>
      <c r="L529" t="n">
        <v/>
      </c>
    </row>
    <row r="530">
      <c r="A530" s="64" t="n">
        <v>37579</v>
      </c>
      <c r="B530" t="n">
        <v>17300</v>
      </c>
      <c r="C530" t="n">
        <v/>
      </c>
      <c r="D530" t="n">
        <v>4490</v>
      </c>
      <c r="E530" t="n">
        <v>15127</v>
      </c>
      <c r="F530" t="n">
        <v>30205</v>
      </c>
      <c r="G530" t="n">
        <v>13375</v>
      </c>
      <c r="H530" t="n">
        <v>-2891</v>
      </c>
      <c r="I530" t="n">
        <v>-2698</v>
      </c>
      <c r="J530" t="n">
        <v/>
      </c>
      <c r="K530" t="n">
        <v/>
      </c>
      <c r="L530" t="n">
        <v/>
      </c>
    </row>
    <row r="531">
      <c r="A531" s="64" t="n">
        <v>37586</v>
      </c>
      <c r="B531" t="n">
        <v>15411</v>
      </c>
      <c r="C531" t="n">
        <v/>
      </c>
      <c r="D531" t="n">
        <v>4302</v>
      </c>
      <c r="E531" t="n">
        <v>6007</v>
      </c>
      <c r="F531" t="n">
        <v>28776</v>
      </c>
      <c r="G531" t="n">
        <v>6746</v>
      </c>
      <c r="H531" t="n">
        <v>-4464</v>
      </c>
      <c r="I531" t="n">
        <v>-2203</v>
      </c>
      <c r="J531" t="n">
        <v/>
      </c>
      <c r="K531" t="n">
        <v/>
      </c>
      <c r="L531" t="n">
        <v/>
      </c>
    </row>
    <row r="532">
      <c r="A532" s="64" t="n">
        <v>37593</v>
      </c>
      <c r="B532" t="n">
        <v>13508</v>
      </c>
      <c r="C532" t="n">
        <v/>
      </c>
      <c r="D532" t="n">
        <v>16642</v>
      </c>
      <c r="E532" t="n">
        <v>5308</v>
      </c>
      <c r="F532" t="n">
        <v>22876</v>
      </c>
      <c r="G532" t="n">
        <v>740</v>
      </c>
      <c r="H532" t="n">
        <v>-9903</v>
      </c>
      <c r="I532" t="n">
        <v>-307</v>
      </c>
      <c r="J532" t="n">
        <v/>
      </c>
      <c r="K532" t="n">
        <v/>
      </c>
      <c r="L532" t="n">
        <v/>
      </c>
    </row>
    <row r="533">
      <c r="A533" s="64" t="n">
        <v>37600</v>
      </c>
      <c r="B533" t="n">
        <v>11373</v>
      </c>
      <c r="C533" t="n">
        <v/>
      </c>
      <c r="D533" t="n">
        <v>18682</v>
      </c>
      <c r="E533" t="n">
        <v>9033</v>
      </c>
      <c r="F533" t="n">
        <v>28064</v>
      </c>
      <c r="G533" t="n">
        <v>3542</v>
      </c>
      <c r="H533" t="n">
        <v>-12210</v>
      </c>
      <c r="I533" t="n">
        <v>-2398</v>
      </c>
      <c r="J533" t="n">
        <v/>
      </c>
      <c r="K533" t="n">
        <v/>
      </c>
      <c r="L533" t="n">
        <v/>
      </c>
    </row>
    <row r="534">
      <c r="A534" s="64" t="n">
        <v>37607</v>
      </c>
      <c r="B534" t="n">
        <v>14511</v>
      </c>
      <c r="C534" t="n">
        <v/>
      </c>
      <c r="D534" t="n">
        <v>23613</v>
      </c>
      <c r="E534" t="n">
        <v>19195</v>
      </c>
      <c r="F534" t="n">
        <v>30601</v>
      </c>
      <c r="G534" t="n">
        <v>7757</v>
      </c>
      <c r="H534" t="n">
        <v>-706</v>
      </c>
      <c r="I534" t="n">
        <v>-1380</v>
      </c>
      <c r="J534" t="n">
        <v/>
      </c>
      <c r="K534" t="n">
        <v/>
      </c>
      <c r="L534" t="n">
        <v/>
      </c>
    </row>
    <row r="535">
      <c r="A535" s="64" t="n">
        <v>37614</v>
      </c>
      <c r="B535" t="n">
        <v>12508</v>
      </c>
      <c r="C535" t="n">
        <v/>
      </c>
      <c r="D535" t="n">
        <v>23062</v>
      </c>
      <c r="E535" t="n">
        <v>21823</v>
      </c>
      <c r="F535" t="n">
        <v>28127</v>
      </c>
      <c r="G535" t="n">
        <v>6901</v>
      </c>
      <c r="H535" t="n">
        <v>3807</v>
      </c>
      <c r="I535" t="n">
        <v>2115</v>
      </c>
      <c r="J535" t="n">
        <v/>
      </c>
      <c r="K535" t="n">
        <v/>
      </c>
      <c r="L535" t="n">
        <v/>
      </c>
    </row>
    <row r="536">
      <c r="A536" s="64" t="n">
        <v>37621</v>
      </c>
      <c r="B536" t="n">
        <v>10920</v>
      </c>
      <c r="C536" t="n">
        <v/>
      </c>
      <c r="D536" t="n">
        <v>11519</v>
      </c>
      <c r="E536" t="n">
        <v>23253</v>
      </c>
      <c r="F536" t="n">
        <v>29010</v>
      </c>
      <c r="G536" t="n">
        <v>8370</v>
      </c>
      <c r="H536" t="n">
        <v>28134</v>
      </c>
      <c r="I536" t="n">
        <v>-7810</v>
      </c>
      <c r="J536" t="n">
        <v/>
      </c>
      <c r="K536" t="n">
        <v/>
      </c>
      <c r="L536" t="n">
        <v/>
      </c>
    </row>
    <row r="537">
      <c r="A537" s="64" t="n">
        <v>37628</v>
      </c>
      <c r="B537" t="n">
        <v>19339</v>
      </c>
      <c r="C537" t="n">
        <v/>
      </c>
      <c r="D537" t="n">
        <v>13131</v>
      </c>
      <c r="E537" t="n">
        <v>23050</v>
      </c>
      <c r="F537" t="n">
        <v>28157</v>
      </c>
      <c r="G537" t="n">
        <v>8814</v>
      </c>
      <c r="H537" t="n">
        <v>27227</v>
      </c>
      <c r="I537" t="n">
        <v>-10868</v>
      </c>
      <c r="J537" t="n">
        <v/>
      </c>
      <c r="K537" t="n">
        <v/>
      </c>
      <c r="L537" t="n">
        <v/>
      </c>
    </row>
    <row r="538">
      <c r="A538" s="64" t="n">
        <v>37635</v>
      </c>
      <c r="B538" t="n">
        <v>19983</v>
      </c>
      <c r="C538" t="n">
        <v/>
      </c>
      <c r="D538" t="n">
        <v>24982</v>
      </c>
      <c r="E538" t="n">
        <v>23030</v>
      </c>
      <c r="F538" t="n">
        <v>28773</v>
      </c>
      <c r="G538" t="n">
        <v>10165</v>
      </c>
      <c r="H538" t="n">
        <v>32944</v>
      </c>
      <c r="I538" t="n">
        <v>-14662</v>
      </c>
      <c r="J538" t="n">
        <v/>
      </c>
      <c r="K538" t="n">
        <v/>
      </c>
      <c r="L538" t="n">
        <v/>
      </c>
    </row>
    <row r="539">
      <c r="A539" s="64" t="n">
        <v>37642</v>
      </c>
      <c r="B539" t="n">
        <v>19357</v>
      </c>
      <c r="C539" t="n">
        <v/>
      </c>
      <c r="D539" t="n">
        <v>31985</v>
      </c>
      <c r="E539" t="n">
        <v>26679</v>
      </c>
      <c r="F539" t="n">
        <v>28442</v>
      </c>
      <c r="G539" t="n">
        <v>11291</v>
      </c>
      <c r="H539" t="n">
        <v>33293</v>
      </c>
      <c r="I539" t="n">
        <v>-19891</v>
      </c>
      <c r="J539" t="n">
        <v/>
      </c>
      <c r="K539" t="n">
        <v/>
      </c>
      <c r="L539" t="n">
        <v/>
      </c>
    </row>
    <row r="540">
      <c r="A540" s="64" t="n">
        <v>37649</v>
      </c>
      <c r="B540" t="n">
        <v>19938</v>
      </c>
      <c r="C540" t="n">
        <v/>
      </c>
      <c r="D540" t="n">
        <v>38248</v>
      </c>
      <c r="E540" t="n">
        <v>25464</v>
      </c>
      <c r="F540" t="n">
        <v>26336</v>
      </c>
      <c r="G540" t="n">
        <v>9304</v>
      </c>
      <c r="H540" t="n">
        <v>25610</v>
      </c>
      <c r="I540" t="n">
        <v>-20302</v>
      </c>
      <c r="J540" t="n">
        <v/>
      </c>
      <c r="K540" t="n">
        <v/>
      </c>
      <c r="L540" t="n">
        <v/>
      </c>
    </row>
    <row r="541">
      <c r="A541" s="64" t="n">
        <v>37656</v>
      </c>
      <c r="B541" t="n">
        <v>22850</v>
      </c>
      <c r="C541" t="n">
        <v/>
      </c>
      <c r="D541" t="n">
        <v>43147</v>
      </c>
      <c r="E541" t="n">
        <v>25746</v>
      </c>
      <c r="F541" t="n">
        <v>30666</v>
      </c>
      <c r="G541" t="n">
        <v>8982</v>
      </c>
      <c r="H541" t="n">
        <v>5594</v>
      </c>
      <c r="I541" t="n">
        <v>-22048</v>
      </c>
      <c r="J541" t="n">
        <v/>
      </c>
      <c r="K541" t="n">
        <v/>
      </c>
      <c r="L541" t="n">
        <v/>
      </c>
    </row>
    <row r="542">
      <c r="A542" s="64" t="n">
        <v>37663</v>
      </c>
      <c r="B542" t="n">
        <v>19635</v>
      </c>
      <c r="C542" t="n">
        <v/>
      </c>
      <c r="D542" t="n">
        <v>42822</v>
      </c>
      <c r="E542" t="n">
        <v>20287</v>
      </c>
      <c r="F542" t="n">
        <v>22298</v>
      </c>
      <c r="G542" t="n">
        <v>4992</v>
      </c>
      <c r="H542" t="n">
        <v>10709</v>
      </c>
      <c r="I542" t="n">
        <v>-21817</v>
      </c>
      <c r="J542" t="n">
        <v/>
      </c>
      <c r="K542" t="n">
        <v/>
      </c>
      <c r="L542" t="n">
        <v/>
      </c>
    </row>
    <row r="543">
      <c r="A543" s="64" t="n">
        <v>37670</v>
      </c>
      <c r="B543" t="n">
        <v>18083</v>
      </c>
      <c r="C543" t="n">
        <v/>
      </c>
      <c r="D543" t="n">
        <v>43406</v>
      </c>
      <c r="E543" t="n">
        <v>14506</v>
      </c>
      <c r="F543" t="n">
        <v>25485</v>
      </c>
      <c r="G543" t="n">
        <v>376</v>
      </c>
      <c r="H543" t="n">
        <v>18433</v>
      </c>
      <c r="I543" t="n">
        <v>-15577</v>
      </c>
      <c r="J543" t="n">
        <v/>
      </c>
      <c r="K543" t="n">
        <v/>
      </c>
      <c r="L543" t="n">
        <v/>
      </c>
    </row>
    <row r="544">
      <c r="A544" s="64" t="n">
        <v>37677</v>
      </c>
      <c r="B544" t="n">
        <v>18030</v>
      </c>
      <c r="C544" t="n">
        <v/>
      </c>
      <c r="D544" t="n">
        <v>41609</v>
      </c>
      <c r="E544" t="n">
        <v>15843</v>
      </c>
      <c r="F544" t="n">
        <v>20063</v>
      </c>
      <c r="G544" t="n">
        <v>-910</v>
      </c>
      <c r="H544" t="n">
        <v>35754</v>
      </c>
      <c r="I544" t="n">
        <v>-20532</v>
      </c>
      <c r="J544" t="n">
        <v/>
      </c>
      <c r="K544" t="n">
        <v/>
      </c>
      <c r="L544" t="n">
        <v/>
      </c>
    </row>
    <row r="545">
      <c r="A545" s="64" t="n">
        <v>37684</v>
      </c>
      <c r="B545" t="n">
        <v>18155</v>
      </c>
      <c r="C545" t="n">
        <v/>
      </c>
      <c r="D545" t="n">
        <v>42464</v>
      </c>
      <c r="E545" t="n">
        <v>20228</v>
      </c>
      <c r="F545" t="n">
        <v>29975</v>
      </c>
      <c r="G545" t="n">
        <v>-188</v>
      </c>
      <c r="H545" t="n">
        <v>32032</v>
      </c>
      <c r="I545" t="n">
        <v>-21869</v>
      </c>
      <c r="J545" t="n">
        <v/>
      </c>
      <c r="K545" t="n">
        <v/>
      </c>
      <c r="L545" t="n">
        <v/>
      </c>
    </row>
    <row r="546">
      <c r="A546" s="64" t="n">
        <v>37691</v>
      </c>
      <c r="B546" t="n">
        <v>17998</v>
      </c>
      <c r="C546" t="n">
        <v/>
      </c>
      <c r="D546" t="n">
        <v>41764</v>
      </c>
      <c r="E546" t="n">
        <v>20819</v>
      </c>
      <c r="F546" t="n">
        <v>30266</v>
      </c>
      <c r="G546" t="n">
        <v>1438</v>
      </c>
      <c r="H546" t="n">
        <v>36219</v>
      </c>
      <c r="I546" t="n">
        <v>-16249</v>
      </c>
      <c r="J546" t="n">
        <v/>
      </c>
      <c r="K546" t="n">
        <v/>
      </c>
      <c r="L546" t="n">
        <v/>
      </c>
    </row>
    <row r="547">
      <c r="A547" s="64" t="n">
        <v>37698</v>
      </c>
      <c r="B547" t="n">
        <v>9869</v>
      </c>
      <c r="C547" t="n">
        <v/>
      </c>
      <c r="D547" t="n">
        <v>42676</v>
      </c>
      <c r="E547" t="n">
        <v>5032</v>
      </c>
      <c r="F547" t="n">
        <v>13339</v>
      </c>
      <c r="G547" t="n">
        <v>-4376</v>
      </c>
      <c r="H547" t="n">
        <v>23318</v>
      </c>
      <c r="I547" t="n">
        <v>-8302</v>
      </c>
      <c r="J547" t="n">
        <v/>
      </c>
      <c r="K547" t="n">
        <v/>
      </c>
      <c r="L547" t="n">
        <v/>
      </c>
    </row>
    <row r="548">
      <c r="A548" s="64" t="n">
        <v>37705</v>
      </c>
      <c r="B548" t="n">
        <v>6153</v>
      </c>
      <c r="C548" t="n">
        <v/>
      </c>
      <c r="D548" t="n">
        <v>34208</v>
      </c>
      <c r="E548" t="n">
        <v>-443</v>
      </c>
      <c r="F548" t="n">
        <v>7594</v>
      </c>
      <c r="G548" t="n">
        <v>-2600</v>
      </c>
      <c r="H548" t="n">
        <v>-12983</v>
      </c>
      <c r="I548" t="n">
        <v>-4628</v>
      </c>
      <c r="J548" t="n">
        <v/>
      </c>
      <c r="K548" t="n">
        <v/>
      </c>
      <c r="L548" t="n">
        <v/>
      </c>
    </row>
    <row r="549">
      <c r="A549" s="64" t="n">
        <v>37712</v>
      </c>
      <c r="B549" t="n">
        <v>6016</v>
      </c>
      <c r="C549" t="n">
        <v/>
      </c>
      <c r="D549" t="n">
        <v>33189</v>
      </c>
      <c r="E549" t="n">
        <v>1988</v>
      </c>
      <c r="F549" t="n">
        <v>10564</v>
      </c>
      <c r="G549" t="n">
        <v>-2538</v>
      </c>
      <c r="H549" t="n">
        <v>-3903</v>
      </c>
      <c r="I549" t="n">
        <v>-2173</v>
      </c>
      <c r="J549" t="n">
        <v/>
      </c>
      <c r="K549" t="n">
        <v/>
      </c>
      <c r="L549" t="n">
        <v/>
      </c>
    </row>
    <row r="550">
      <c r="A550" s="64" t="n">
        <v>37719</v>
      </c>
      <c r="B550" t="n">
        <v>6806</v>
      </c>
      <c r="C550" t="n">
        <v/>
      </c>
      <c r="D550" t="n">
        <v>32803</v>
      </c>
      <c r="E550" t="n">
        <v>-1220</v>
      </c>
      <c r="F550" t="n">
        <v>13145</v>
      </c>
      <c r="G550" t="n">
        <v>-3862</v>
      </c>
      <c r="H550" t="n">
        <v>-5634</v>
      </c>
      <c r="I550" t="n">
        <v>-4849</v>
      </c>
      <c r="J550" t="n">
        <v/>
      </c>
      <c r="K550" t="n">
        <v/>
      </c>
      <c r="L550" t="n">
        <v/>
      </c>
    </row>
    <row r="551">
      <c r="A551" s="64" t="n">
        <v>37726</v>
      </c>
      <c r="B551" t="n">
        <v>10954</v>
      </c>
      <c r="C551" t="n">
        <v/>
      </c>
      <c r="D551" t="n">
        <v>33309</v>
      </c>
      <c r="E551" t="n">
        <v>-1429</v>
      </c>
      <c r="F551" t="n">
        <v>14205</v>
      </c>
      <c r="G551" t="n">
        <v>-3071</v>
      </c>
      <c r="H551" t="n">
        <v>-9417</v>
      </c>
      <c r="I551" t="n">
        <v>574</v>
      </c>
      <c r="J551" t="n">
        <v/>
      </c>
      <c r="K551" t="n">
        <v/>
      </c>
      <c r="L551" t="n">
        <v/>
      </c>
    </row>
    <row r="552">
      <c r="A552" s="64" t="n">
        <v>37733</v>
      </c>
      <c r="B552" t="n">
        <v>13782</v>
      </c>
      <c r="C552" t="n">
        <v/>
      </c>
      <c r="D552" t="n">
        <v>31088</v>
      </c>
      <c r="E552" t="n">
        <v>-2053</v>
      </c>
      <c r="F552" t="n">
        <v>24387</v>
      </c>
      <c r="G552" t="n">
        <v>-2628</v>
      </c>
      <c r="H552" t="n">
        <v>-4183</v>
      </c>
      <c r="I552" t="n">
        <v>5506</v>
      </c>
      <c r="J552" t="n">
        <v/>
      </c>
      <c r="K552" t="n">
        <v/>
      </c>
      <c r="L552" t="n">
        <v/>
      </c>
    </row>
    <row r="553">
      <c r="A553" s="64" t="n">
        <v>37740</v>
      </c>
      <c r="B553" t="n">
        <v>14806</v>
      </c>
      <c r="C553" t="n">
        <v/>
      </c>
      <c r="D553" t="n">
        <v>35436</v>
      </c>
      <c r="E553" t="n">
        <v>-326</v>
      </c>
      <c r="F553" t="n">
        <v>28005</v>
      </c>
      <c r="G553" t="n">
        <v>-2541</v>
      </c>
      <c r="H553" t="n">
        <v>-10180</v>
      </c>
      <c r="I553" t="n">
        <v>14415</v>
      </c>
      <c r="J553" t="n">
        <v/>
      </c>
      <c r="K553" t="n">
        <v/>
      </c>
      <c r="L553" t="n">
        <v/>
      </c>
    </row>
    <row r="554">
      <c r="A554" s="64" t="n">
        <v>37747</v>
      </c>
      <c r="B554" t="n">
        <v>14558</v>
      </c>
      <c r="C554" t="n">
        <v/>
      </c>
      <c r="D554" t="n">
        <v>32757</v>
      </c>
      <c r="E554" t="n">
        <v>13491</v>
      </c>
      <c r="F554" t="n">
        <v>31970</v>
      </c>
      <c r="G554" t="n">
        <v>4928</v>
      </c>
      <c r="H554" t="n">
        <v>2668</v>
      </c>
      <c r="I554" t="n">
        <v>19689</v>
      </c>
      <c r="J554" t="n">
        <v/>
      </c>
      <c r="K554" t="n">
        <v/>
      </c>
      <c r="L554" t="n">
        <v/>
      </c>
    </row>
    <row r="555">
      <c r="A555" s="64" t="n">
        <v>37754</v>
      </c>
      <c r="B555" t="n">
        <v>14660</v>
      </c>
      <c r="C555" t="n">
        <v/>
      </c>
      <c r="D555" t="n">
        <v>30890</v>
      </c>
      <c r="E555" t="n">
        <v>15626</v>
      </c>
      <c r="F555" t="n">
        <v>24903</v>
      </c>
      <c r="G555" t="n">
        <v>4094</v>
      </c>
      <c r="H555" t="n">
        <v>29462</v>
      </c>
      <c r="I555" t="n">
        <v>23942</v>
      </c>
      <c r="J555" t="n">
        <v/>
      </c>
      <c r="K555" t="n">
        <v/>
      </c>
      <c r="L555" t="n">
        <v/>
      </c>
    </row>
    <row r="556">
      <c r="A556" s="64" t="n">
        <v>37761</v>
      </c>
      <c r="B556" t="n">
        <v>12942</v>
      </c>
      <c r="C556" t="n">
        <v/>
      </c>
      <c r="D556" t="n">
        <v>25560</v>
      </c>
      <c r="E556" t="n">
        <v>17989</v>
      </c>
      <c r="F556" t="n">
        <v>26898</v>
      </c>
      <c r="G556" t="n">
        <v>6886</v>
      </c>
      <c r="H556" t="n">
        <v>29770</v>
      </c>
      <c r="I556" t="n">
        <v>20283</v>
      </c>
      <c r="J556" t="n">
        <v/>
      </c>
      <c r="K556" t="n">
        <v/>
      </c>
      <c r="L556" t="n">
        <v/>
      </c>
    </row>
    <row r="557">
      <c r="A557" s="64" t="n">
        <v>37768</v>
      </c>
      <c r="B557" t="n">
        <v>11456</v>
      </c>
      <c r="C557" t="n">
        <v/>
      </c>
      <c r="D557" t="n">
        <v>19947</v>
      </c>
      <c r="E557" t="n">
        <v>20787</v>
      </c>
      <c r="F557" t="n">
        <v>24113</v>
      </c>
      <c r="G557" t="n">
        <v>7732</v>
      </c>
      <c r="H557" t="n">
        <v>29443</v>
      </c>
      <c r="I557" t="n">
        <v>17545</v>
      </c>
      <c r="J557" t="n">
        <v/>
      </c>
      <c r="K557" t="n">
        <v/>
      </c>
      <c r="L557" t="n">
        <v/>
      </c>
    </row>
    <row r="558">
      <c r="A558" s="64" t="n">
        <v>37775</v>
      </c>
      <c r="B558" t="n">
        <v>13719</v>
      </c>
      <c r="C558" t="n">
        <v/>
      </c>
      <c r="D558" t="n">
        <v>18362</v>
      </c>
      <c r="E558" t="n">
        <v>16049</v>
      </c>
      <c r="F558" t="n">
        <v>30033</v>
      </c>
      <c r="G558" t="n">
        <v>16036</v>
      </c>
      <c r="H558" t="n">
        <v>7560</v>
      </c>
      <c r="I558" t="n">
        <v>21642</v>
      </c>
      <c r="J558" t="n">
        <v/>
      </c>
      <c r="K558" t="n">
        <v/>
      </c>
      <c r="L558" t="n">
        <v/>
      </c>
    </row>
    <row r="559">
      <c r="A559" s="64" t="n">
        <v>37782</v>
      </c>
      <c r="B559" t="n">
        <v>12907</v>
      </c>
      <c r="C559" t="n">
        <v/>
      </c>
      <c r="D559" t="n">
        <v>17680</v>
      </c>
      <c r="E559" t="n">
        <v>16140</v>
      </c>
      <c r="F559" t="n">
        <v>26262</v>
      </c>
      <c r="G559" t="n">
        <v>18044</v>
      </c>
      <c r="H559" t="n">
        <v>11756</v>
      </c>
      <c r="I559" t="n">
        <v>2867</v>
      </c>
      <c r="J559" t="n">
        <v/>
      </c>
      <c r="K559" t="n">
        <v/>
      </c>
      <c r="L559" t="n">
        <v/>
      </c>
    </row>
    <row r="560">
      <c r="A560" s="64" t="n">
        <v>37789</v>
      </c>
      <c r="B560" t="n">
        <v>10956</v>
      </c>
      <c r="C560" t="n">
        <v/>
      </c>
      <c r="D560" t="n">
        <v>18454</v>
      </c>
      <c r="E560" t="n">
        <v>17779</v>
      </c>
      <c r="F560" t="n">
        <v>28123</v>
      </c>
      <c r="G560" t="n">
        <v>17448</v>
      </c>
      <c r="H560" t="n">
        <v>10862</v>
      </c>
      <c r="I560" t="n">
        <v>4772</v>
      </c>
      <c r="J560" t="n">
        <v/>
      </c>
      <c r="K560" t="n">
        <v/>
      </c>
      <c r="L560" t="n">
        <v/>
      </c>
    </row>
    <row r="561">
      <c r="A561" s="64" t="n">
        <v>37796</v>
      </c>
      <c r="B561" t="n">
        <v>12800</v>
      </c>
      <c r="C561" t="n">
        <v/>
      </c>
      <c r="D561" t="n">
        <v>15779</v>
      </c>
      <c r="E561" t="n">
        <v>8495</v>
      </c>
      <c r="F561" t="n">
        <v>23470</v>
      </c>
      <c r="G561" t="n">
        <v>17217</v>
      </c>
      <c r="H561" t="n">
        <v>17136</v>
      </c>
      <c r="I561" t="n">
        <v>5471</v>
      </c>
      <c r="J561" t="n">
        <v/>
      </c>
      <c r="K561" t="n">
        <v/>
      </c>
      <c r="L561" t="n">
        <v/>
      </c>
    </row>
    <row r="562">
      <c r="A562" s="64" t="n">
        <v>37803</v>
      </c>
      <c r="B562" t="n">
        <v>15224</v>
      </c>
      <c r="C562" t="n">
        <v/>
      </c>
      <c r="D562" t="n">
        <v>16781</v>
      </c>
      <c r="E562" t="n">
        <v>379</v>
      </c>
      <c r="F562" t="n">
        <v>23630</v>
      </c>
      <c r="G562" t="n">
        <v>16438</v>
      </c>
      <c r="H562" t="n">
        <v>-13397</v>
      </c>
      <c r="I562" t="n">
        <v>7683</v>
      </c>
      <c r="J562" t="n">
        <v/>
      </c>
      <c r="K562" t="n">
        <v/>
      </c>
      <c r="L562" t="n">
        <v/>
      </c>
    </row>
    <row r="563">
      <c r="A563" s="64" t="n">
        <v>37810</v>
      </c>
      <c r="B563" t="n">
        <v>14175</v>
      </c>
      <c r="C563" t="n">
        <v/>
      </c>
      <c r="D563" t="n">
        <v>17923</v>
      </c>
      <c r="E563" t="n">
        <v>-6099</v>
      </c>
      <c r="F563" t="n">
        <v>19161</v>
      </c>
      <c r="G563" t="n">
        <v>9954</v>
      </c>
      <c r="H563" t="n">
        <v>108</v>
      </c>
      <c r="I563" t="n">
        <v>5226</v>
      </c>
      <c r="J563" t="n">
        <v/>
      </c>
      <c r="K563" t="n">
        <v/>
      </c>
      <c r="L563" t="n">
        <v/>
      </c>
    </row>
    <row r="564">
      <c r="A564" s="64" t="n">
        <v>37817</v>
      </c>
      <c r="B564" t="n">
        <v>12233</v>
      </c>
      <c r="C564" t="n">
        <v/>
      </c>
      <c r="D564" t="n">
        <v>9336</v>
      </c>
      <c r="E564" t="n">
        <v>-8852</v>
      </c>
      <c r="F564" t="n">
        <v>16195</v>
      </c>
      <c r="G564" t="n">
        <v>2502</v>
      </c>
      <c r="H564" t="n">
        <v>15825</v>
      </c>
      <c r="I564" t="n">
        <v>7711</v>
      </c>
      <c r="J564" t="n">
        <v/>
      </c>
      <c r="K564" t="n">
        <v/>
      </c>
      <c r="L564" t="n">
        <v/>
      </c>
    </row>
    <row r="565">
      <c r="A565" s="64" t="n">
        <v>37824</v>
      </c>
      <c r="B565" t="n">
        <v>11621</v>
      </c>
      <c r="C565" t="n">
        <v/>
      </c>
      <c r="D565" t="n">
        <v>8266</v>
      </c>
      <c r="E565" t="n">
        <v>-9025</v>
      </c>
      <c r="F565" t="n">
        <v>13153</v>
      </c>
      <c r="G565" t="n">
        <v>-655</v>
      </c>
      <c r="H565" t="n">
        <v>6792</v>
      </c>
      <c r="I565" t="n">
        <v>9946</v>
      </c>
      <c r="J565" t="n">
        <v/>
      </c>
      <c r="K565" t="n">
        <v/>
      </c>
      <c r="L565" t="n">
        <v/>
      </c>
    </row>
    <row r="566">
      <c r="A566" s="64" t="n">
        <v>37831</v>
      </c>
      <c r="B566" t="n">
        <v>12207</v>
      </c>
      <c r="C566" t="n">
        <v/>
      </c>
      <c r="D566" t="n">
        <v>9434</v>
      </c>
      <c r="E566" t="n">
        <v>-8140</v>
      </c>
      <c r="F566" t="n">
        <v>12420</v>
      </c>
      <c r="G566" t="n">
        <v>-1686</v>
      </c>
      <c r="H566" t="n">
        <v>6308</v>
      </c>
      <c r="I566" t="n">
        <v>3345</v>
      </c>
      <c r="J566" t="n">
        <v/>
      </c>
      <c r="K566" t="n">
        <v/>
      </c>
      <c r="L566" t="n">
        <v/>
      </c>
    </row>
    <row r="567">
      <c r="A567" s="64" t="n">
        <v>37838</v>
      </c>
      <c r="B567" t="n">
        <v>11385</v>
      </c>
      <c r="C567" t="n">
        <v/>
      </c>
      <c r="D567" t="n">
        <v>8295</v>
      </c>
      <c r="E567" t="n">
        <v>-8456</v>
      </c>
      <c r="F567" t="n">
        <v>13889</v>
      </c>
      <c r="G567" t="n">
        <v>-299</v>
      </c>
      <c r="H567" t="n">
        <v>-36299</v>
      </c>
      <c r="I567" t="n">
        <v>431</v>
      </c>
      <c r="J567" t="n">
        <v/>
      </c>
      <c r="K567" t="n">
        <v/>
      </c>
      <c r="L567" t="n">
        <v/>
      </c>
    </row>
    <row r="568">
      <c r="A568" s="64" t="n">
        <v>37845</v>
      </c>
      <c r="B568" t="n">
        <v>10578</v>
      </c>
      <c r="C568" t="n">
        <v/>
      </c>
      <c r="D568" t="n">
        <v>13046</v>
      </c>
      <c r="E568" t="n">
        <v>-10002</v>
      </c>
      <c r="F568" t="n">
        <v>14702</v>
      </c>
      <c r="G568" t="n">
        <v>581</v>
      </c>
      <c r="H568" t="n">
        <v>-9940</v>
      </c>
      <c r="I568" t="n">
        <v>-2087</v>
      </c>
      <c r="J568" t="n">
        <v/>
      </c>
      <c r="K568" t="n">
        <v/>
      </c>
      <c r="L568" t="n">
        <v/>
      </c>
    </row>
    <row r="569">
      <c r="A569" s="64" t="n">
        <v>37852</v>
      </c>
      <c r="B569" t="n">
        <v>10320</v>
      </c>
      <c r="C569" t="n">
        <v/>
      </c>
      <c r="D569" t="n">
        <v>9971</v>
      </c>
      <c r="E569" t="n">
        <v>-19797</v>
      </c>
      <c r="F569" t="n">
        <v>9121</v>
      </c>
      <c r="G569" t="n">
        <v>-3603</v>
      </c>
      <c r="H569" t="n">
        <v>-9352</v>
      </c>
      <c r="I569" t="n">
        <v>-7950</v>
      </c>
      <c r="J569" t="n">
        <v/>
      </c>
      <c r="K569" t="n">
        <v/>
      </c>
      <c r="L569" t="n">
        <v/>
      </c>
    </row>
    <row r="570">
      <c r="A570" s="64" t="n">
        <v>37859</v>
      </c>
      <c r="B570" t="n">
        <v>6499</v>
      </c>
      <c r="C570" t="n">
        <v/>
      </c>
      <c r="D570" t="n">
        <v>9549</v>
      </c>
      <c r="E570" t="n">
        <v>-19376</v>
      </c>
      <c r="F570" t="n">
        <v>2673</v>
      </c>
      <c r="G570" t="n">
        <v>-2183</v>
      </c>
      <c r="H570" t="n">
        <v>13232</v>
      </c>
      <c r="I570" t="n">
        <v>-10727</v>
      </c>
      <c r="J570" t="n">
        <v/>
      </c>
      <c r="K570" t="n">
        <v/>
      </c>
      <c r="L570" t="n">
        <v/>
      </c>
    </row>
    <row r="571">
      <c r="A571" s="64" t="n">
        <v>37866</v>
      </c>
      <c r="B571" t="n">
        <v>4703</v>
      </c>
      <c r="C571" t="n">
        <v/>
      </c>
      <c r="D571" t="n">
        <v>12265</v>
      </c>
      <c r="E571" t="n">
        <v>-20089</v>
      </c>
      <c r="F571" t="n">
        <v>2129</v>
      </c>
      <c r="G571" t="n">
        <v>-2325</v>
      </c>
      <c r="H571" t="n">
        <v>46955</v>
      </c>
      <c r="I571" t="n">
        <v>-14510</v>
      </c>
      <c r="J571" t="n">
        <v/>
      </c>
      <c r="K571" t="n">
        <v/>
      </c>
      <c r="L571" t="n">
        <v/>
      </c>
    </row>
    <row r="572">
      <c r="A572" s="64" t="n">
        <v>37873</v>
      </c>
      <c r="B572" t="n">
        <v>3434</v>
      </c>
      <c r="C572" t="n">
        <v/>
      </c>
      <c r="D572" t="n">
        <v>19420</v>
      </c>
      <c r="E572" t="n">
        <v>-16104</v>
      </c>
      <c r="F572" t="n">
        <v>2505</v>
      </c>
      <c r="G572" t="n">
        <v>-614</v>
      </c>
      <c r="H572" t="n">
        <v>52845</v>
      </c>
      <c r="I572" t="n">
        <v>-14958</v>
      </c>
      <c r="J572" t="n">
        <v/>
      </c>
      <c r="K572" t="n">
        <v/>
      </c>
      <c r="L572" t="n">
        <v/>
      </c>
    </row>
    <row r="573">
      <c r="A573" s="64" t="n">
        <v>37880</v>
      </c>
      <c r="B573" t="n">
        <v>9897</v>
      </c>
      <c r="C573" t="n">
        <v/>
      </c>
      <c r="D573" t="n">
        <v>20132</v>
      </c>
      <c r="E573" t="n">
        <v>-19934</v>
      </c>
      <c r="F573" t="n">
        <v>4724</v>
      </c>
      <c r="G573" t="n">
        <v>1521</v>
      </c>
      <c r="H573" t="n">
        <v>54647</v>
      </c>
      <c r="I573" t="n">
        <v>-15657</v>
      </c>
      <c r="J573" t="n">
        <v/>
      </c>
      <c r="K573" t="n">
        <v/>
      </c>
      <c r="L573" t="n">
        <v/>
      </c>
    </row>
    <row r="574">
      <c r="A574" s="64" t="n">
        <v>37887</v>
      </c>
      <c r="B574" t="n">
        <v>9845</v>
      </c>
      <c r="C574" t="n">
        <v/>
      </c>
      <c r="D574" t="n">
        <v>22307</v>
      </c>
      <c r="E574" t="n">
        <v>-9503</v>
      </c>
      <c r="F574" t="n">
        <v>8777</v>
      </c>
      <c r="G574" t="n">
        <v>10046</v>
      </c>
      <c r="H574" t="n">
        <v>53548</v>
      </c>
      <c r="I574" t="n">
        <v>-8943</v>
      </c>
      <c r="J574" t="n">
        <v/>
      </c>
      <c r="K574" t="n">
        <v/>
      </c>
      <c r="L574" t="n">
        <v/>
      </c>
    </row>
    <row r="575">
      <c r="A575" s="64" t="n">
        <v>37894</v>
      </c>
      <c r="B575" t="n">
        <v>11419</v>
      </c>
      <c r="C575" t="n">
        <v/>
      </c>
      <c r="D575" t="n">
        <v>23087</v>
      </c>
      <c r="E575" t="n">
        <v>1587</v>
      </c>
      <c r="F575" t="n">
        <v>13649</v>
      </c>
      <c r="G575" t="n">
        <v>9923</v>
      </c>
      <c r="H575" t="n">
        <v>40865</v>
      </c>
      <c r="I575" t="n">
        <v>-10122</v>
      </c>
      <c r="J575" t="n">
        <v/>
      </c>
      <c r="K575" t="n">
        <v/>
      </c>
      <c r="L575" t="n">
        <v/>
      </c>
    </row>
    <row r="576">
      <c r="A576" s="64" t="n">
        <v>37901</v>
      </c>
      <c r="B576" t="n">
        <v>16743</v>
      </c>
      <c r="C576" t="n">
        <v/>
      </c>
      <c r="D576" t="n">
        <v>30600</v>
      </c>
      <c r="E576" t="n">
        <v>7066</v>
      </c>
      <c r="F576" t="n">
        <v>20025</v>
      </c>
      <c r="G576" t="n">
        <v>11617</v>
      </c>
      <c r="H576" t="n">
        <v>49725</v>
      </c>
      <c r="I576" t="n">
        <v>-20041</v>
      </c>
      <c r="J576" t="n">
        <v/>
      </c>
      <c r="K576" t="n">
        <v/>
      </c>
      <c r="L576" t="n">
        <v/>
      </c>
    </row>
    <row r="577">
      <c r="A577" s="64" t="n">
        <v>37908</v>
      </c>
      <c r="B577" t="n">
        <v>18122</v>
      </c>
      <c r="C577" t="n">
        <v/>
      </c>
      <c r="D577" t="n">
        <v>29854</v>
      </c>
      <c r="E577" t="n">
        <v>14898</v>
      </c>
      <c r="F577" t="n">
        <v>24994</v>
      </c>
      <c r="G577" t="n">
        <v>10700</v>
      </c>
      <c r="H577" t="n">
        <v>39209</v>
      </c>
      <c r="I577" t="n">
        <v>-23434</v>
      </c>
      <c r="J577" t="n">
        <v/>
      </c>
      <c r="K577" t="n">
        <v/>
      </c>
      <c r="L577" t="n">
        <v/>
      </c>
    </row>
    <row r="578">
      <c r="A578" s="64" t="n">
        <v>37915</v>
      </c>
      <c r="B578" t="n">
        <v>20390</v>
      </c>
      <c r="C578" t="n">
        <v/>
      </c>
      <c r="D578" t="n">
        <v>29405</v>
      </c>
      <c r="E578" t="n">
        <v>11393</v>
      </c>
      <c r="F578" t="n">
        <v>24113</v>
      </c>
      <c r="G578" t="n">
        <v>12566</v>
      </c>
      <c r="H578" t="n">
        <v>48304</v>
      </c>
      <c r="I578" t="n">
        <v>-22573</v>
      </c>
      <c r="J578" t="n">
        <v/>
      </c>
      <c r="K578" t="n">
        <v/>
      </c>
      <c r="L578" t="n">
        <v/>
      </c>
    </row>
    <row r="579">
      <c r="A579" s="64" t="n">
        <v>37922</v>
      </c>
      <c r="B579" t="n">
        <v>22156</v>
      </c>
      <c r="C579" t="n">
        <v/>
      </c>
      <c r="D579" t="n">
        <v>32871</v>
      </c>
      <c r="E579" t="n">
        <v>13099</v>
      </c>
      <c r="F579" t="n">
        <v>24205</v>
      </c>
      <c r="G579" t="n">
        <v>19666</v>
      </c>
      <c r="H579" t="n">
        <v>54910</v>
      </c>
      <c r="I579" t="n">
        <v>-19729</v>
      </c>
      <c r="J579" t="n">
        <v/>
      </c>
      <c r="K579" t="n">
        <v/>
      </c>
      <c r="L579" t="n">
        <v/>
      </c>
    </row>
    <row r="580">
      <c r="A580" s="64" t="n">
        <v>37929</v>
      </c>
      <c r="B580" t="n">
        <v>25320</v>
      </c>
      <c r="C580" t="n">
        <v/>
      </c>
      <c r="D580" t="n">
        <v>28720</v>
      </c>
      <c r="E580" t="n">
        <v>-2294</v>
      </c>
      <c r="F580" t="n">
        <v>19573</v>
      </c>
      <c r="G580" t="n">
        <v>19252</v>
      </c>
      <c r="H580" t="n">
        <v>50344</v>
      </c>
      <c r="I580" t="n">
        <v>-14825</v>
      </c>
      <c r="J580" t="n">
        <v/>
      </c>
      <c r="K580" t="n">
        <v/>
      </c>
      <c r="L580" t="n">
        <v/>
      </c>
    </row>
    <row r="581">
      <c r="A581" s="64" t="n">
        <v>37936</v>
      </c>
      <c r="B581" t="n">
        <v>24735</v>
      </c>
      <c r="C581" t="n">
        <v/>
      </c>
      <c r="D581" t="n">
        <v>29705</v>
      </c>
      <c r="E581" t="n">
        <v>-15722</v>
      </c>
      <c r="F581" t="n">
        <v>17919</v>
      </c>
      <c r="G581" t="n">
        <v>14700</v>
      </c>
      <c r="H581" t="n">
        <v>57797</v>
      </c>
      <c r="I581" t="n">
        <v>-11122</v>
      </c>
      <c r="J581" t="n">
        <v/>
      </c>
      <c r="K581" t="n">
        <v/>
      </c>
      <c r="L581" t="n">
        <v/>
      </c>
    </row>
    <row r="582">
      <c r="A582" s="64" t="n">
        <v>37943</v>
      </c>
      <c r="B582" t="n">
        <v>26190</v>
      </c>
      <c r="C582" t="n">
        <v/>
      </c>
      <c r="D582" t="n">
        <v>33476</v>
      </c>
      <c r="E582" t="n">
        <v>2951</v>
      </c>
      <c r="F582" t="n">
        <v>34546</v>
      </c>
      <c r="G582" t="n">
        <v>18941</v>
      </c>
      <c r="H582" t="n">
        <v>53762</v>
      </c>
      <c r="I582" t="n">
        <v>-15402</v>
      </c>
      <c r="J582" t="n">
        <v/>
      </c>
      <c r="K582" t="n">
        <v/>
      </c>
      <c r="L582" t="n">
        <v/>
      </c>
    </row>
    <row r="583">
      <c r="A583" s="64" t="n">
        <v>37950</v>
      </c>
      <c r="B583" t="n">
        <v>25234</v>
      </c>
      <c r="C583" t="n">
        <v/>
      </c>
      <c r="D583" t="n">
        <v>25877</v>
      </c>
      <c r="E583" t="n">
        <v>4881</v>
      </c>
      <c r="F583" t="n">
        <v>30497</v>
      </c>
      <c r="G583" t="n">
        <v>18781</v>
      </c>
      <c r="H583" t="n">
        <v>42540</v>
      </c>
      <c r="I583" t="n">
        <v>-16509</v>
      </c>
      <c r="J583" t="n">
        <v>3693</v>
      </c>
      <c r="K583" t="n">
        <v/>
      </c>
      <c r="L583" t="n">
        <v/>
      </c>
    </row>
    <row r="584">
      <c r="A584" s="64" t="n">
        <v>37957</v>
      </c>
      <c r="B584" t="n">
        <v>26431</v>
      </c>
      <c r="C584" t="n">
        <v/>
      </c>
      <c r="D584" t="n">
        <v>30668</v>
      </c>
      <c r="E584" t="n">
        <v>8458</v>
      </c>
      <c r="F584" t="n">
        <v>30680</v>
      </c>
      <c r="G584" t="n">
        <v>23402</v>
      </c>
      <c r="H584" t="n">
        <v>46186</v>
      </c>
      <c r="I584" t="n">
        <v>-18819</v>
      </c>
      <c r="J584" t="n">
        <v/>
      </c>
      <c r="K584" t="n">
        <v/>
      </c>
      <c r="L584" t="n">
        <v/>
      </c>
    </row>
    <row r="585">
      <c r="A585" s="64" t="n">
        <v>37964</v>
      </c>
      <c r="B585" t="n">
        <v>25647</v>
      </c>
      <c r="C585" t="n">
        <v/>
      </c>
      <c r="D585" t="n">
        <v>27087</v>
      </c>
      <c r="E585" t="n">
        <v>12351</v>
      </c>
      <c r="F585" t="n">
        <v>27998</v>
      </c>
      <c r="G585" t="n">
        <v>24626</v>
      </c>
      <c r="H585" t="n">
        <v>56736</v>
      </c>
      <c r="I585" t="n">
        <v>-17645</v>
      </c>
      <c r="J585" t="n">
        <v/>
      </c>
      <c r="K585" t="n">
        <v/>
      </c>
      <c r="L585" t="n">
        <v/>
      </c>
    </row>
    <row r="586">
      <c r="A586" s="64" t="n">
        <v>37971</v>
      </c>
      <c r="B586" t="n">
        <v>25179</v>
      </c>
      <c r="C586" t="n">
        <v/>
      </c>
      <c r="D586" t="n">
        <v>16598</v>
      </c>
      <c r="E586" t="n">
        <v>13254</v>
      </c>
      <c r="F586" t="n">
        <v>34783</v>
      </c>
      <c r="G586" t="n">
        <v>22555</v>
      </c>
      <c r="H586" t="n">
        <v>58236</v>
      </c>
      <c r="I586" t="n">
        <v>-15506</v>
      </c>
      <c r="J586" t="n">
        <v/>
      </c>
      <c r="K586" t="n">
        <v/>
      </c>
      <c r="L586" t="n">
        <v/>
      </c>
    </row>
    <row r="587">
      <c r="A587" s="64" t="n">
        <v>37978</v>
      </c>
      <c r="B587" t="n">
        <v>27325</v>
      </c>
      <c r="C587" t="n">
        <v/>
      </c>
      <c r="D587" t="n">
        <v>8663</v>
      </c>
      <c r="E587" t="n">
        <v>11632</v>
      </c>
      <c r="F587" t="n">
        <v>33708</v>
      </c>
      <c r="G587" t="n">
        <v>20337</v>
      </c>
      <c r="H587" t="n">
        <v>48135</v>
      </c>
      <c r="I587" t="n">
        <v>-17740</v>
      </c>
      <c r="J587" t="n">
        <v/>
      </c>
      <c r="K587" t="n">
        <v/>
      </c>
      <c r="L587" t="n">
        <v/>
      </c>
    </row>
    <row r="588">
      <c r="A588" s="64" t="n">
        <v>37985</v>
      </c>
      <c r="B588" t="n">
        <v>26121</v>
      </c>
      <c r="C588" t="n">
        <v/>
      </c>
      <c r="D588" t="n">
        <v>18959</v>
      </c>
      <c r="E588" t="n">
        <v>16783</v>
      </c>
      <c r="F588" t="n">
        <v>33556</v>
      </c>
      <c r="G588" t="n">
        <v>19956</v>
      </c>
      <c r="H588" t="n">
        <v>47664</v>
      </c>
      <c r="I588" t="n">
        <v>-10469</v>
      </c>
      <c r="J588" t="n">
        <v/>
      </c>
      <c r="K588" t="n">
        <v/>
      </c>
      <c r="L588" t="n">
        <v/>
      </c>
    </row>
    <row r="589">
      <c r="A589" s="64" t="n">
        <v>37992</v>
      </c>
      <c r="B589" t="n">
        <v>24507</v>
      </c>
      <c r="C589" t="n">
        <v/>
      </c>
      <c r="D589" t="n">
        <v>27212</v>
      </c>
      <c r="E589" t="n">
        <v>16205</v>
      </c>
      <c r="F589" t="n">
        <v>29910</v>
      </c>
      <c r="G589" t="n">
        <v>18050</v>
      </c>
      <c r="H589" t="n">
        <v>56834</v>
      </c>
      <c r="I589" t="n">
        <v>9454</v>
      </c>
      <c r="J589" t="n">
        <v/>
      </c>
      <c r="K589" t="n">
        <v/>
      </c>
      <c r="L589" t="n">
        <v/>
      </c>
    </row>
    <row r="590">
      <c r="A590" s="64" t="n">
        <v>37999</v>
      </c>
      <c r="B590" t="n">
        <v>25356</v>
      </c>
      <c r="C590" t="n">
        <v/>
      </c>
      <c r="D590" t="n">
        <v>37569</v>
      </c>
      <c r="E590" t="n">
        <v>15273</v>
      </c>
      <c r="F590" t="n">
        <v>26937</v>
      </c>
      <c r="G590" t="n">
        <v>13690</v>
      </c>
      <c r="H590" t="n">
        <v>60602</v>
      </c>
      <c r="I590" t="n">
        <v>24664</v>
      </c>
      <c r="J590" t="n">
        <v/>
      </c>
      <c r="K590" t="n">
        <v/>
      </c>
      <c r="L590" t="n">
        <v/>
      </c>
    </row>
    <row r="591">
      <c r="A591" s="64" t="n">
        <v>38006</v>
      </c>
      <c r="B591" t="n">
        <v>25571</v>
      </c>
      <c r="C591" t="n">
        <v/>
      </c>
      <c r="D591" t="n">
        <v>23944</v>
      </c>
      <c r="E591" t="n">
        <v>9032</v>
      </c>
      <c r="F591" t="n">
        <v>28243</v>
      </c>
      <c r="G591" t="n">
        <v>16235</v>
      </c>
      <c r="H591" t="n">
        <v>51708</v>
      </c>
      <c r="I591" t="n">
        <v>28798</v>
      </c>
      <c r="J591" t="n">
        <v/>
      </c>
      <c r="K591" t="n">
        <v/>
      </c>
      <c r="L591" t="n">
        <v/>
      </c>
    </row>
    <row r="592">
      <c r="A592" s="64" t="n">
        <v>38013</v>
      </c>
      <c r="B592" t="n">
        <v>25370</v>
      </c>
      <c r="C592" t="n">
        <v/>
      </c>
      <c r="D592" t="n">
        <v>13709</v>
      </c>
      <c r="E592" t="n">
        <v>12979</v>
      </c>
      <c r="F592" t="n">
        <v>33298</v>
      </c>
      <c r="G592" t="n">
        <v>17671</v>
      </c>
      <c r="H592" t="n">
        <v>57992</v>
      </c>
      <c r="I592" t="n">
        <v>21611</v>
      </c>
      <c r="J592" t="n">
        <v/>
      </c>
      <c r="K592" t="n">
        <v/>
      </c>
      <c r="L592" t="n">
        <v/>
      </c>
    </row>
    <row r="593">
      <c r="A593" s="64" t="n">
        <v>38020</v>
      </c>
      <c r="B593" t="n">
        <v>20278</v>
      </c>
      <c r="C593" t="n">
        <v/>
      </c>
      <c r="D593" t="n">
        <v>-3852</v>
      </c>
      <c r="E593" t="n">
        <v>9443</v>
      </c>
      <c r="F593" t="n">
        <v>20446</v>
      </c>
      <c r="G593" t="n">
        <v>20893</v>
      </c>
      <c r="H593" t="n">
        <v>64499</v>
      </c>
      <c r="I593" t="n">
        <v>16950</v>
      </c>
      <c r="J593" t="n">
        <v/>
      </c>
      <c r="K593" t="n">
        <v/>
      </c>
      <c r="L593" t="n">
        <v/>
      </c>
    </row>
    <row r="594">
      <c r="A594" s="64" t="n">
        <v>38027</v>
      </c>
      <c r="B594" t="n">
        <v>21913</v>
      </c>
      <c r="C594" t="n">
        <v/>
      </c>
      <c r="D594" t="n">
        <v>-4434</v>
      </c>
      <c r="E594" t="n">
        <v>11003</v>
      </c>
      <c r="F594" t="n">
        <v>26242</v>
      </c>
      <c r="G594" t="n">
        <v>19906</v>
      </c>
      <c r="H594" t="n">
        <v>58630</v>
      </c>
      <c r="I594" t="n">
        <v>8333</v>
      </c>
      <c r="J594" t="n">
        <v/>
      </c>
      <c r="K594" t="n">
        <v/>
      </c>
      <c r="L594" t="n">
        <v/>
      </c>
    </row>
    <row r="595">
      <c r="A595" s="64" t="n">
        <v>38034</v>
      </c>
      <c r="B595" t="n">
        <v>29095</v>
      </c>
      <c r="C595" t="n">
        <v/>
      </c>
      <c r="D595" t="n">
        <v>-373</v>
      </c>
      <c r="E595" t="n">
        <v>11479</v>
      </c>
      <c r="F595" t="n">
        <v>28409</v>
      </c>
      <c r="G595" t="n">
        <v>20159</v>
      </c>
      <c r="H595" t="n">
        <v>55198</v>
      </c>
      <c r="I595" t="n">
        <v>14145</v>
      </c>
      <c r="J595" t="n">
        <v/>
      </c>
      <c r="K595" t="n">
        <v/>
      </c>
      <c r="L595" t="n">
        <v/>
      </c>
    </row>
    <row r="596">
      <c r="A596" s="64" t="n">
        <v>38041</v>
      </c>
      <c r="B596" t="n">
        <v>21347</v>
      </c>
      <c r="C596" t="n">
        <v/>
      </c>
      <c r="D596" t="n">
        <v>-6776</v>
      </c>
      <c r="E596" t="n">
        <v>5374</v>
      </c>
      <c r="F596" t="n">
        <v>26367</v>
      </c>
      <c r="G596" t="n">
        <v>21076</v>
      </c>
      <c r="H596" t="n">
        <v>-12181</v>
      </c>
      <c r="I596" t="n">
        <v>13615</v>
      </c>
      <c r="J596" t="n">
        <v/>
      </c>
      <c r="K596" t="n">
        <v/>
      </c>
      <c r="L596" t="n">
        <v/>
      </c>
    </row>
    <row r="597">
      <c r="A597" s="64" t="n">
        <v>38048</v>
      </c>
      <c r="B597" t="n">
        <v>16422</v>
      </c>
      <c r="C597" t="n">
        <v/>
      </c>
      <c r="D597" t="n">
        <v>-9415</v>
      </c>
      <c r="E597" t="n">
        <v>-10780</v>
      </c>
      <c r="F597" t="n">
        <v>17028</v>
      </c>
      <c r="G597" t="n">
        <v>13977</v>
      </c>
      <c r="H597" t="n">
        <v>-22312</v>
      </c>
      <c r="I597" t="n">
        <v>17177</v>
      </c>
      <c r="J597" t="n">
        <v/>
      </c>
      <c r="K597" t="n">
        <v/>
      </c>
      <c r="L597" t="n">
        <v/>
      </c>
    </row>
    <row r="598">
      <c r="A598" s="64" t="n">
        <v>38055</v>
      </c>
      <c r="B598" t="n">
        <v>10485</v>
      </c>
      <c r="C598" t="n">
        <v/>
      </c>
      <c r="D598" t="n">
        <v>2824</v>
      </c>
      <c r="E598" t="n">
        <v>-14773</v>
      </c>
      <c r="F598" t="n">
        <v>14065</v>
      </c>
      <c r="G598" t="n">
        <v>10630</v>
      </c>
      <c r="H598" t="n">
        <v>-34516</v>
      </c>
      <c r="I598" t="n">
        <v>19646</v>
      </c>
      <c r="J598" t="n">
        <v/>
      </c>
      <c r="K598" t="n">
        <v/>
      </c>
      <c r="L598" t="n">
        <v/>
      </c>
    </row>
    <row r="599">
      <c r="A599" s="64" t="n">
        <v>38062</v>
      </c>
      <c r="B599" t="n">
        <v>3836</v>
      </c>
      <c r="C599" t="n">
        <v/>
      </c>
      <c r="D599" t="n">
        <v>3742</v>
      </c>
      <c r="E599" t="n">
        <v>-9323</v>
      </c>
      <c r="F599" t="n">
        <v>8454</v>
      </c>
      <c r="G599" t="n">
        <v>4095</v>
      </c>
      <c r="H599" t="n">
        <v>-31439</v>
      </c>
      <c r="I599" t="n">
        <v>14457</v>
      </c>
      <c r="J599" t="n">
        <v/>
      </c>
      <c r="K599" t="n">
        <v/>
      </c>
      <c r="L599" t="n">
        <v/>
      </c>
    </row>
    <row r="600">
      <c r="A600" s="64" t="n">
        <v>38069</v>
      </c>
      <c r="B600" t="n">
        <v>2966</v>
      </c>
      <c r="C600" t="n">
        <v/>
      </c>
      <c r="D600" t="n">
        <v>7100</v>
      </c>
      <c r="E600" t="n">
        <v>-2862</v>
      </c>
      <c r="F600" t="n">
        <v>10293</v>
      </c>
      <c r="G600" t="n">
        <v>5872</v>
      </c>
      <c r="H600" t="n">
        <v>-14601</v>
      </c>
      <c r="I600" t="n">
        <v>18401</v>
      </c>
      <c r="J600" t="n">
        <v/>
      </c>
      <c r="K600" t="n">
        <v/>
      </c>
      <c r="L600" t="n">
        <v/>
      </c>
    </row>
    <row r="601">
      <c r="A601" s="64" t="n">
        <v>38076</v>
      </c>
      <c r="B601" t="n">
        <v>4172</v>
      </c>
      <c r="C601" t="n">
        <v/>
      </c>
      <c r="D601" t="n">
        <v>33015</v>
      </c>
      <c r="E601" t="n">
        <v>-4620</v>
      </c>
      <c r="F601" t="n">
        <v>6174</v>
      </c>
      <c r="G601" t="n">
        <v>5235</v>
      </c>
      <c r="H601" t="n">
        <v>4309</v>
      </c>
      <c r="I601" t="n">
        <v>3700</v>
      </c>
      <c r="J601" t="n">
        <v/>
      </c>
      <c r="K601" t="n">
        <v/>
      </c>
      <c r="L601" t="n">
        <v/>
      </c>
    </row>
    <row r="602">
      <c r="A602" s="64" t="n">
        <v>38083</v>
      </c>
      <c r="B602" t="n">
        <v>10367</v>
      </c>
      <c r="C602" t="n">
        <v/>
      </c>
      <c r="D602" t="n">
        <v>41865</v>
      </c>
      <c r="E602" t="n">
        <v>-12828</v>
      </c>
      <c r="F602" t="n">
        <v>6017</v>
      </c>
      <c r="G602" t="n">
        <v>11251</v>
      </c>
      <c r="H602" t="n">
        <v>20388</v>
      </c>
      <c r="I602" t="n">
        <v>-1837</v>
      </c>
      <c r="J602" t="n">
        <v/>
      </c>
      <c r="K602" t="n">
        <v/>
      </c>
      <c r="L602" t="n">
        <v/>
      </c>
    </row>
    <row r="603">
      <c r="A603" s="64" t="n">
        <v>38090</v>
      </c>
      <c r="B603" t="n">
        <v>11426</v>
      </c>
      <c r="C603" t="n">
        <v/>
      </c>
      <c r="D603" t="n">
        <v>17150</v>
      </c>
      <c r="E603" t="n">
        <v>-5941</v>
      </c>
      <c r="F603" t="n">
        <v>5743</v>
      </c>
      <c r="G603" t="n">
        <v>10648</v>
      </c>
      <c r="H603" t="n">
        <v>24760</v>
      </c>
      <c r="I603" t="n">
        <v>-6269</v>
      </c>
      <c r="J603" t="n">
        <v/>
      </c>
      <c r="K603" t="n">
        <v/>
      </c>
      <c r="L603" t="n">
        <v/>
      </c>
    </row>
    <row r="604">
      <c r="A604" s="64" t="n">
        <v>38097</v>
      </c>
      <c r="B604" t="n">
        <v>3246</v>
      </c>
      <c r="C604" t="n">
        <v/>
      </c>
      <c r="D604" t="n">
        <v>-552</v>
      </c>
      <c r="E604" t="n">
        <v>-8303</v>
      </c>
      <c r="F604" t="n">
        <v>9799</v>
      </c>
      <c r="G604" t="n">
        <v>5144</v>
      </c>
      <c r="H604" t="n">
        <v>-6044</v>
      </c>
      <c r="I604" t="n">
        <v>-15337</v>
      </c>
      <c r="J604" t="n">
        <v/>
      </c>
      <c r="K604" t="n">
        <v/>
      </c>
      <c r="L604" t="n">
        <v/>
      </c>
    </row>
    <row r="605">
      <c r="A605" s="64" t="n">
        <v>38104</v>
      </c>
      <c r="B605" t="n">
        <v>3133</v>
      </c>
      <c r="C605" t="n">
        <v/>
      </c>
      <c r="D605" t="n">
        <v>-9625</v>
      </c>
      <c r="E605" t="n">
        <v>-11092</v>
      </c>
      <c r="F605" t="n">
        <v>5570</v>
      </c>
      <c r="G605" t="n">
        <v>3732</v>
      </c>
      <c r="H605" t="n">
        <v>204</v>
      </c>
      <c r="I605" t="n">
        <v>-13294</v>
      </c>
      <c r="J605" t="n">
        <v/>
      </c>
      <c r="K605" t="n">
        <v/>
      </c>
      <c r="L605" t="n">
        <v/>
      </c>
    </row>
    <row r="606">
      <c r="A606" s="64" t="n">
        <v>38111</v>
      </c>
      <c r="B606" t="n">
        <v>2186</v>
      </c>
      <c r="C606" t="n">
        <v/>
      </c>
      <c r="D606" t="n">
        <v>-19391</v>
      </c>
      <c r="E606" t="n">
        <v>-7089</v>
      </c>
      <c r="F606" t="n">
        <v>6999</v>
      </c>
      <c r="G606" t="n">
        <v>4730</v>
      </c>
      <c r="H606" t="n">
        <v>2973</v>
      </c>
      <c r="I606" t="n">
        <v>-29427</v>
      </c>
      <c r="J606" t="n">
        <v/>
      </c>
      <c r="K606" t="n">
        <v/>
      </c>
      <c r="L606" t="n">
        <v/>
      </c>
    </row>
    <row r="607">
      <c r="A607" s="64" t="n">
        <v>38118</v>
      </c>
      <c r="B607" t="n">
        <v>-2842</v>
      </c>
      <c r="C607" t="n">
        <v/>
      </c>
      <c r="D607" t="n">
        <v>-25648</v>
      </c>
      <c r="E607" t="n">
        <v>-6895</v>
      </c>
      <c r="F607" t="n">
        <v>12478</v>
      </c>
      <c r="G607" t="n">
        <v>3219</v>
      </c>
      <c r="H607" t="n">
        <v>-10093</v>
      </c>
      <c r="I607" t="n">
        <v>-37871</v>
      </c>
      <c r="J607" t="n">
        <v/>
      </c>
      <c r="K607" t="n">
        <v/>
      </c>
      <c r="L607" t="n">
        <v/>
      </c>
    </row>
    <row r="608">
      <c r="A608" s="64" t="n">
        <v>38125</v>
      </c>
      <c r="B608" t="n">
        <v>-1775</v>
      </c>
      <c r="C608" t="n">
        <v/>
      </c>
      <c r="D608" t="n">
        <v>-28734</v>
      </c>
      <c r="E608" t="n">
        <v>-2598</v>
      </c>
      <c r="F608" t="n">
        <v>13422</v>
      </c>
      <c r="G608" t="n">
        <v>1613</v>
      </c>
      <c r="H608" t="n">
        <v>-12682</v>
      </c>
      <c r="I608" t="n">
        <v>-40503</v>
      </c>
      <c r="J608" t="n">
        <v/>
      </c>
      <c r="K608" t="n">
        <v/>
      </c>
      <c r="L608" t="n">
        <v/>
      </c>
    </row>
    <row r="609">
      <c r="A609" s="64" t="n">
        <v>38132</v>
      </c>
      <c r="B609" t="n">
        <v>-4280</v>
      </c>
      <c r="C609" t="n">
        <v/>
      </c>
      <c r="D609" t="n">
        <v>-19177</v>
      </c>
      <c r="E609" t="n">
        <v>-3540</v>
      </c>
      <c r="F609" t="n">
        <v>18714</v>
      </c>
      <c r="G609" t="n">
        <v>5902</v>
      </c>
      <c r="H609" t="n">
        <v>-12107</v>
      </c>
      <c r="I609" t="n">
        <v>-41893</v>
      </c>
      <c r="J609" t="n">
        <v/>
      </c>
      <c r="K609" t="n">
        <v/>
      </c>
      <c r="L609" t="n">
        <v/>
      </c>
    </row>
    <row r="610">
      <c r="A610" s="64" t="n">
        <v>38139</v>
      </c>
      <c r="B610" t="n">
        <v>-5063</v>
      </c>
      <c r="C610" t="n">
        <v/>
      </c>
      <c r="D610" t="n">
        <v>-14276</v>
      </c>
      <c r="E610" t="n">
        <v>5322</v>
      </c>
      <c r="F610" t="n">
        <v>22194</v>
      </c>
      <c r="G610" t="n">
        <v>10033</v>
      </c>
      <c r="H610" t="n">
        <v>-4839</v>
      </c>
      <c r="I610" t="n">
        <v>-38202</v>
      </c>
      <c r="J610" t="n">
        <v/>
      </c>
      <c r="K610" t="n">
        <v/>
      </c>
      <c r="L610" t="n">
        <v/>
      </c>
    </row>
    <row r="611">
      <c r="A611" s="64" t="n">
        <v>38146</v>
      </c>
      <c r="B611" t="n">
        <v>-4069</v>
      </c>
      <c r="C611" t="n">
        <v/>
      </c>
      <c r="D611" t="n">
        <v>-4892</v>
      </c>
      <c r="E611" t="n">
        <v>16262</v>
      </c>
      <c r="F611" t="n">
        <v>23474</v>
      </c>
      <c r="G611" t="n">
        <v>13477</v>
      </c>
      <c r="H611" t="n">
        <v>598</v>
      </c>
      <c r="I611" t="n">
        <v>-23774</v>
      </c>
      <c r="J611" t="n">
        <v/>
      </c>
      <c r="K611" t="n">
        <v/>
      </c>
      <c r="L611" t="n">
        <v/>
      </c>
    </row>
    <row r="612">
      <c r="A612" s="64" t="n">
        <v>38153</v>
      </c>
      <c r="B612" t="n">
        <v>-910</v>
      </c>
      <c r="C612" t="n">
        <v/>
      </c>
      <c r="D612" t="n">
        <v>-10990</v>
      </c>
      <c r="E612" t="n">
        <v>16745</v>
      </c>
      <c r="F612" t="n">
        <v>16588</v>
      </c>
      <c r="G612" t="n">
        <v>16208</v>
      </c>
      <c r="H612" t="n">
        <v>2493</v>
      </c>
      <c r="I612" t="n">
        <v>-23046</v>
      </c>
      <c r="J612" t="n">
        <v/>
      </c>
      <c r="K612" t="n">
        <v/>
      </c>
      <c r="L612" t="n">
        <v/>
      </c>
    </row>
    <row r="613">
      <c r="A613" s="64" t="n">
        <v>38160</v>
      </c>
      <c r="B613" t="n">
        <v>-1132</v>
      </c>
      <c r="C613" t="n">
        <v/>
      </c>
      <c r="D613" t="n">
        <v>-15205</v>
      </c>
      <c r="E613" t="n">
        <v>17438</v>
      </c>
      <c r="F613" t="n">
        <v>12079</v>
      </c>
      <c r="G613" t="n">
        <v>16182</v>
      </c>
      <c r="H613" t="n">
        <v>5495</v>
      </c>
      <c r="I613" t="n">
        <v>202</v>
      </c>
      <c r="J613" t="n">
        <v/>
      </c>
      <c r="K613" t="n">
        <v/>
      </c>
      <c r="L613" t="n">
        <v/>
      </c>
    </row>
    <row r="614">
      <c r="A614" s="64" t="n">
        <v>38167</v>
      </c>
      <c r="B614" t="n">
        <v>1704</v>
      </c>
      <c r="C614" t="n">
        <v/>
      </c>
      <c r="D614" t="n">
        <v>265</v>
      </c>
      <c r="E614" t="n">
        <v>12349</v>
      </c>
      <c r="F614" t="n">
        <v>13755</v>
      </c>
      <c r="G614" t="n">
        <v>13884</v>
      </c>
      <c r="H614" t="n">
        <v>8416</v>
      </c>
      <c r="I614" t="n">
        <v>-12752</v>
      </c>
      <c r="J614" t="n">
        <v/>
      </c>
      <c r="K614" t="n">
        <v/>
      </c>
      <c r="L614" t="n">
        <v/>
      </c>
    </row>
    <row r="615">
      <c r="A615" s="64" t="n">
        <v>38174</v>
      </c>
      <c r="B615" t="n">
        <v>2190</v>
      </c>
      <c r="C615" t="n">
        <v/>
      </c>
      <c r="D615" t="n">
        <v>11321</v>
      </c>
      <c r="E615" t="n">
        <v>22176</v>
      </c>
      <c r="F615" t="n">
        <v>19037</v>
      </c>
      <c r="G615" t="n">
        <v>21077</v>
      </c>
      <c r="H615" t="n">
        <v>2417</v>
      </c>
      <c r="I615" t="n">
        <v>-21130</v>
      </c>
      <c r="J615" t="n">
        <v/>
      </c>
      <c r="K615" t="n">
        <v/>
      </c>
      <c r="L615" t="n">
        <v/>
      </c>
    </row>
    <row r="616">
      <c r="A616" s="64" t="n">
        <v>38181</v>
      </c>
      <c r="B616" t="n">
        <v>7669</v>
      </c>
      <c r="C616" t="n">
        <v/>
      </c>
      <c r="D616" t="n">
        <v>23876</v>
      </c>
      <c r="E616" t="n">
        <v>26841</v>
      </c>
      <c r="F616" t="n">
        <v>31012</v>
      </c>
      <c r="G616" t="n">
        <v>30022</v>
      </c>
      <c r="H616" t="n">
        <v>2166</v>
      </c>
      <c r="I616" t="n">
        <v>-22115</v>
      </c>
      <c r="J616" t="n">
        <v/>
      </c>
      <c r="K616" t="n">
        <v/>
      </c>
      <c r="L616" t="n">
        <v/>
      </c>
    </row>
    <row r="617">
      <c r="A617" s="64" t="n">
        <v>38188</v>
      </c>
      <c r="B617" t="n">
        <v>10106</v>
      </c>
      <c r="C617" t="n">
        <v/>
      </c>
      <c r="D617" t="n">
        <v>30978</v>
      </c>
      <c r="E617" t="n">
        <v>21163</v>
      </c>
      <c r="F617" t="n">
        <v>36101</v>
      </c>
      <c r="G617" t="n">
        <v>31767</v>
      </c>
      <c r="H617" t="n">
        <v>1837</v>
      </c>
      <c r="I617" t="n">
        <v>-8007</v>
      </c>
      <c r="J617" t="n">
        <v/>
      </c>
      <c r="K617" t="n">
        <v/>
      </c>
      <c r="L617" t="n">
        <v/>
      </c>
    </row>
    <row r="618">
      <c r="A618" s="64" t="n">
        <v>38195</v>
      </c>
      <c r="B618" t="n">
        <v>2649</v>
      </c>
      <c r="C618" t="n">
        <v/>
      </c>
      <c r="D618" t="n">
        <v>25715</v>
      </c>
      <c r="E618" t="n">
        <v>-826</v>
      </c>
      <c r="F618" t="n">
        <v>16927</v>
      </c>
      <c r="G618" t="n">
        <v>24495</v>
      </c>
      <c r="H618" t="n">
        <v>-2401</v>
      </c>
      <c r="I618" t="n">
        <v>-6271</v>
      </c>
      <c r="J618" t="n">
        <v/>
      </c>
      <c r="K618" t="n">
        <v/>
      </c>
      <c r="L618" t="n">
        <v/>
      </c>
    </row>
    <row r="619">
      <c r="A619" s="64" t="n">
        <v>38202</v>
      </c>
      <c r="B619" t="n">
        <v>6460</v>
      </c>
      <c r="C619" t="n">
        <v/>
      </c>
      <c r="D619" t="n">
        <v>23601</v>
      </c>
      <c r="E619" t="n">
        <v>-12827</v>
      </c>
      <c r="F619" t="n">
        <v>12242</v>
      </c>
      <c r="G619" t="n">
        <v>21606</v>
      </c>
      <c r="H619" t="n">
        <v>-3268</v>
      </c>
      <c r="I619" t="n">
        <v>4880</v>
      </c>
      <c r="J619" t="n">
        <v/>
      </c>
      <c r="K619" t="n">
        <v/>
      </c>
      <c r="L619" t="n">
        <v/>
      </c>
    </row>
    <row r="620">
      <c r="A620" s="64" t="n">
        <v>38209</v>
      </c>
      <c r="B620" t="n">
        <v>7113</v>
      </c>
      <c r="C620" t="n">
        <v/>
      </c>
      <c r="D620" t="n">
        <v>26639</v>
      </c>
      <c r="E620" t="n">
        <v>-6429</v>
      </c>
      <c r="F620" t="n">
        <v>16857</v>
      </c>
      <c r="G620" t="n">
        <v>22716</v>
      </c>
      <c r="H620" t="n">
        <v>-8282</v>
      </c>
      <c r="I620" t="n">
        <v>15954</v>
      </c>
      <c r="J620" t="n">
        <v/>
      </c>
      <c r="K620" t="n">
        <v/>
      </c>
      <c r="L620" t="n">
        <v/>
      </c>
    </row>
    <row r="621">
      <c r="A621" s="64" t="n">
        <v>38216</v>
      </c>
      <c r="B621" t="n">
        <v>8179</v>
      </c>
      <c r="C621" t="n">
        <v/>
      </c>
      <c r="D621" t="n">
        <v>31094</v>
      </c>
      <c r="E621" t="n">
        <v>-2502</v>
      </c>
      <c r="F621" t="n">
        <v>25699</v>
      </c>
      <c r="G621" t="n">
        <v>19198</v>
      </c>
      <c r="H621" t="n">
        <v>-5205</v>
      </c>
      <c r="I621" t="n">
        <v>34690</v>
      </c>
      <c r="J621" t="n">
        <v>2890</v>
      </c>
      <c r="K621" t="n">
        <v/>
      </c>
      <c r="L621" t="n">
        <v/>
      </c>
    </row>
    <row r="622">
      <c r="A622" s="64" t="n">
        <v>38223</v>
      </c>
      <c r="B622" t="n">
        <v>7279</v>
      </c>
      <c r="C622" t="n">
        <v/>
      </c>
      <c r="D622" t="n">
        <v>33743</v>
      </c>
      <c r="E622" t="n">
        <v>-6536</v>
      </c>
      <c r="F622" t="n">
        <v>24616</v>
      </c>
      <c r="G622" t="n">
        <v>7259</v>
      </c>
      <c r="H622" t="n">
        <v>-969</v>
      </c>
      <c r="I622" t="n">
        <v>43097</v>
      </c>
      <c r="J622" t="n">
        <v/>
      </c>
      <c r="K622" t="n">
        <v/>
      </c>
      <c r="L622" t="n">
        <v/>
      </c>
    </row>
    <row r="623">
      <c r="A623" s="64" t="n">
        <v>38230</v>
      </c>
      <c r="B623" t="n">
        <v>4738</v>
      </c>
      <c r="C623" t="n">
        <v/>
      </c>
      <c r="D623" t="n">
        <v>29138</v>
      </c>
      <c r="E623" t="n">
        <v>-8183</v>
      </c>
      <c r="F623" t="n">
        <v>20827</v>
      </c>
      <c r="G623" t="n">
        <v>7089</v>
      </c>
      <c r="H623" t="n">
        <v>525</v>
      </c>
      <c r="I623" t="n">
        <v>38820</v>
      </c>
      <c r="J623" t="n">
        <v/>
      </c>
      <c r="K623" t="n">
        <v/>
      </c>
      <c r="L623" t="n">
        <v/>
      </c>
    </row>
    <row r="624">
      <c r="A624" s="64" t="n">
        <v>38237</v>
      </c>
      <c r="B624" t="n">
        <v>-663</v>
      </c>
      <c r="C624" t="n">
        <v/>
      </c>
      <c r="D624" t="n">
        <v>41303</v>
      </c>
      <c r="E624" t="n">
        <v>-7660</v>
      </c>
      <c r="F624" t="n">
        <v>18032</v>
      </c>
      <c r="G624" t="n">
        <v>1747</v>
      </c>
      <c r="H624" t="n">
        <v>-832</v>
      </c>
      <c r="I624" t="n">
        <v>9321</v>
      </c>
      <c r="J624" t="n">
        <v/>
      </c>
      <c r="K624" t="n">
        <v/>
      </c>
      <c r="L624" t="n">
        <v/>
      </c>
    </row>
    <row r="625">
      <c r="A625" s="64" t="n">
        <v>38244</v>
      </c>
      <c r="B625" t="n">
        <v/>
      </c>
      <c r="C625" t="n">
        <v/>
      </c>
      <c r="D625" t="n">
        <v>44652</v>
      </c>
      <c r="E625" t="n">
        <v/>
      </c>
      <c r="F625" t="n">
        <v>25858</v>
      </c>
      <c r="G625" t="n">
        <v>6009</v>
      </c>
      <c r="H625" t="n">
        <v>-4057</v>
      </c>
      <c r="I625" t="n">
        <v>-14791</v>
      </c>
      <c r="J625" t="n">
        <v/>
      </c>
      <c r="K625" t="n">
        <v/>
      </c>
      <c r="L625" t="n">
        <v/>
      </c>
    </row>
    <row r="626">
      <c r="A626" s="64" t="n">
        <v>38251</v>
      </c>
      <c r="B626" t="n">
        <v>813</v>
      </c>
      <c r="C626" t="n">
        <v/>
      </c>
      <c r="D626" t="n">
        <v>39399</v>
      </c>
      <c r="E626" t="n">
        <v/>
      </c>
      <c r="F626" t="n">
        <v>25447</v>
      </c>
      <c r="G626" t="n">
        <v>6002</v>
      </c>
      <c r="H626" t="n">
        <v>-9357</v>
      </c>
      <c r="I626" t="n">
        <v>10332</v>
      </c>
      <c r="J626" t="n">
        <v/>
      </c>
      <c r="K626" t="n">
        <v/>
      </c>
      <c r="L626" t="n">
        <v/>
      </c>
    </row>
    <row r="627">
      <c r="A627" s="64" t="n">
        <v>38258</v>
      </c>
      <c r="B627" t="n">
        <v>7085</v>
      </c>
      <c r="C627" t="n">
        <v/>
      </c>
      <c r="D627" t="n">
        <v>46756</v>
      </c>
      <c r="E627" t="n">
        <v>-5546</v>
      </c>
      <c r="F627" t="n">
        <v>32334</v>
      </c>
      <c r="G627" t="n">
        <v>7816</v>
      </c>
      <c r="H627" t="n">
        <v>-22203</v>
      </c>
      <c r="I627" t="n">
        <v>24253</v>
      </c>
      <c r="J627" t="n">
        <v/>
      </c>
      <c r="K627" t="n">
        <v/>
      </c>
      <c r="L627" t="n">
        <v/>
      </c>
    </row>
    <row r="628">
      <c r="A628" s="64" t="n">
        <v>38265</v>
      </c>
      <c r="B628" t="n">
        <v>16900</v>
      </c>
      <c r="C628" t="n">
        <v/>
      </c>
      <c r="D628" t="n">
        <v>45168</v>
      </c>
      <c r="E628" t="n">
        <v>-4760</v>
      </c>
      <c r="F628" t="n">
        <v>44811</v>
      </c>
      <c r="G628" t="n">
        <v>26</v>
      </c>
      <c r="H628" t="n">
        <v>-14496</v>
      </c>
      <c r="I628" t="n">
        <v>45313</v>
      </c>
      <c r="J628" t="n">
        <v/>
      </c>
      <c r="K628" t="n">
        <v/>
      </c>
      <c r="L628" t="n">
        <v/>
      </c>
    </row>
    <row r="629">
      <c r="A629" s="64" t="n">
        <v>38272</v>
      </c>
      <c r="B629" t="n">
        <v>24203</v>
      </c>
      <c r="C629" t="n">
        <v/>
      </c>
      <c r="D629" t="n">
        <v>49386</v>
      </c>
      <c r="E629" t="n">
        <v>-4638</v>
      </c>
      <c r="F629" t="n">
        <v>38095</v>
      </c>
      <c r="G629" t="n">
        <v>-4173</v>
      </c>
      <c r="H629" t="n">
        <v>-6387</v>
      </c>
      <c r="I629" t="n">
        <v>54931</v>
      </c>
      <c r="J629" t="n">
        <v/>
      </c>
      <c r="K629" t="n">
        <v/>
      </c>
      <c r="L629" t="n">
        <v/>
      </c>
    </row>
    <row r="630">
      <c r="A630" s="64" t="n">
        <v>38279</v>
      </c>
      <c r="B630" t="n">
        <v>22509</v>
      </c>
      <c r="C630" t="n">
        <v/>
      </c>
      <c r="D630" t="n">
        <v>40020</v>
      </c>
      <c r="E630" t="n">
        <v>11798</v>
      </c>
      <c r="F630" t="n">
        <v>36512</v>
      </c>
      <c r="G630" t="n">
        <v>-1701</v>
      </c>
      <c r="H630" t="n">
        <v>8565</v>
      </c>
      <c r="I630" t="n">
        <v>34703</v>
      </c>
      <c r="J630" t="n">
        <v>5649</v>
      </c>
      <c r="K630" t="n">
        <v/>
      </c>
      <c r="L630" t="n">
        <v/>
      </c>
    </row>
    <row r="631">
      <c r="A631" s="64" t="n">
        <v>38286</v>
      </c>
      <c r="B631" t="n">
        <v>28530</v>
      </c>
      <c r="C631" t="n">
        <v/>
      </c>
      <c r="D631" t="n">
        <v>36223</v>
      </c>
      <c r="E631" t="n">
        <v>27331</v>
      </c>
      <c r="F631" t="n">
        <v>45531</v>
      </c>
      <c r="G631" t="n">
        <v>9525</v>
      </c>
      <c r="H631" t="n">
        <v>27636</v>
      </c>
      <c r="I631" t="n">
        <v>22631</v>
      </c>
      <c r="J631" t="n">
        <v>7518</v>
      </c>
      <c r="K631" t="n">
        <v/>
      </c>
      <c r="L631" t="n">
        <v/>
      </c>
    </row>
    <row r="632">
      <c r="A632" s="64" t="n">
        <v>38293</v>
      </c>
      <c r="B632" t="n">
        <v>28990</v>
      </c>
      <c r="C632" t="n">
        <v/>
      </c>
      <c r="D632" t="n">
        <v>39692</v>
      </c>
      <c r="E632" t="n">
        <v>31792</v>
      </c>
      <c r="F632" t="n">
        <v>53465</v>
      </c>
      <c r="G632" t="n">
        <v>13342</v>
      </c>
      <c r="H632" t="n">
        <v>36814</v>
      </c>
      <c r="I632" t="n">
        <v>21464</v>
      </c>
      <c r="J632" t="n">
        <v>6978</v>
      </c>
      <c r="K632" t="n">
        <v/>
      </c>
      <c r="L632" t="n">
        <v/>
      </c>
    </row>
    <row r="633">
      <c r="A633" s="64" t="n">
        <v>38300</v>
      </c>
      <c r="B633" t="n">
        <v>32390</v>
      </c>
      <c r="C633" t="n">
        <v/>
      </c>
      <c r="D633" t="n">
        <v>34972</v>
      </c>
      <c r="E633" t="n">
        <v>40367</v>
      </c>
      <c r="F633" t="n">
        <v>57529</v>
      </c>
      <c r="G633" t="n">
        <v>23346</v>
      </c>
      <c r="H633" t="n">
        <v>39093</v>
      </c>
      <c r="I633" t="n">
        <v>28539</v>
      </c>
      <c r="J633" t="n">
        <v>7027</v>
      </c>
      <c r="K633" t="n">
        <v/>
      </c>
      <c r="L633" t="n">
        <v/>
      </c>
    </row>
    <row r="634">
      <c r="A634" s="64" t="n">
        <v>38307</v>
      </c>
      <c r="B634" t="n">
        <v>34603</v>
      </c>
      <c r="C634" t="n">
        <v/>
      </c>
      <c r="D634" t="n">
        <v>33335</v>
      </c>
      <c r="E634" t="n">
        <v>41005</v>
      </c>
      <c r="F634" t="n">
        <v>54028</v>
      </c>
      <c r="G634" t="n">
        <v>27649</v>
      </c>
      <c r="H634" t="n">
        <v>44596</v>
      </c>
      <c r="I634" t="n">
        <v>36338</v>
      </c>
      <c r="J634" t="n">
        <v>7785</v>
      </c>
      <c r="K634" t="n">
        <v/>
      </c>
      <c r="L634" t="n">
        <v/>
      </c>
    </row>
    <row r="635">
      <c r="A635" s="64" t="n">
        <v>38314</v>
      </c>
      <c r="B635" t="n">
        <v>30629</v>
      </c>
      <c r="C635" t="n">
        <v/>
      </c>
      <c r="D635" t="n">
        <v>29471</v>
      </c>
      <c r="E635" t="n">
        <v>38786</v>
      </c>
      <c r="F635" t="n">
        <v>32261</v>
      </c>
      <c r="G635" t="n">
        <v>33605</v>
      </c>
      <c r="H635" t="n">
        <v>33198</v>
      </c>
      <c r="I635" t="n">
        <v>42984</v>
      </c>
      <c r="J635" t="n">
        <v>7776</v>
      </c>
      <c r="K635" t="n">
        <v/>
      </c>
      <c r="L635" t="n">
        <v/>
      </c>
    </row>
    <row r="636">
      <c r="A636" s="64" t="n">
        <v>38321</v>
      </c>
      <c r="B636" t="n">
        <v>30974</v>
      </c>
      <c r="C636" t="n">
        <v/>
      </c>
      <c r="D636" t="n">
        <v>23631</v>
      </c>
      <c r="E636" t="n">
        <v>38938</v>
      </c>
      <c r="F636" t="n">
        <v>24485</v>
      </c>
      <c r="G636" t="n">
        <v>32775</v>
      </c>
      <c r="H636" t="n">
        <v>39360</v>
      </c>
      <c r="I636" t="n">
        <v>52715</v>
      </c>
      <c r="J636" t="n">
        <v>7198</v>
      </c>
      <c r="K636" t="n">
        <v/>
      </c>
      <c r="L636" t="n">
        <v/>
      </c>
    </row>
    <row r="637">
      <c r="A637" s="64" t="n">
        <v>38328</v>
      </c>
      <c r="B637" t="n">
        <v>34243</v>
      </c>
      <c r="C637" t="n">
        <v/>
      </c>
      <c r="D637" t="n">
        <v>18370</v>
      </c>
      <c r="E637" t="n">
        <v>36048</v>
      </c>
      <c r="F637" t="n">
        <v>24114</v>
      </c>
      <c r="G637" t="n">
        <v>33585</v>
      </c>
      <c r="H637" t="n">
        <v>37323</v>
      </c>
      <c r="I637" t="n">
        <v>55991</v>
      </c>
      <c r="J637" t="n">
        <v>3181</v>
      </c>
      <c r="K637" t="n">
        <v/>
      </c>
      <c r="L637" t="n">
        <v/>
      </c>
    </row>
    <row r="638">
      <c r="A638" s="64" t="n">
        <v>38335</v>
      </c>
      <c r="B638" t="n">
        <v>29561</v>
      </c>
      <c r="C638" t="n">
        <v/>
      </c>
      <c r="D638" t="n">
        <v>9077</v>
      </c>
      <c r="E638" t="n">
        <v>17560</v>
      </c>
      <c r="F638" t="n">
        <v>-14542</v>
      </c>
      <c r="G638" t="n">
        <v>38786</v>
      </c>
      <c r="H638" t="n">
        <v>21401</v>
      </c>
      <c r="I638" t="n">
        <v>50110</v>
      </c>
      <c r="J638" t="n">
        <v/>
      </c>
      <c r="K638" t="n">
        <v/>
      </c>
      <c r="L638" t="n">
        <v/>
      </c>
    </row>
    <row r="639">
      <c r="A639" s="64" t="n">
        <v>38342</v>
      </c>
      <c r="B639" t="n">
        <v>29004</v>
      </c>
      <c r="C639" t="n">
        <v/>
      </c>
      <c r="D639" t="n">
        <v>6276</v>
      </c>
      <c r="E639" t="n">
        <v>11552</v>
      </c>
      <c r="F639" t="n">
        <v>-12164</v>
      </c>
      <c r="G639" t="n">
        <v>34782</v>
      </c>
      <c r="H639" t="n">
        <v>20576</v>
      </c>
      <c r="I639" t="n">
        <v>51019</v>
      </c>
      <c r="J639" t="n">
        <v/>
      </c>
      <c r="K639" t="n">
        <v/>
      </c>
      <c r="L639" t="n">
        <v/>
      </c>
    </row>
    <row r="640">
      <c r="A640" s="64" t="n">
        <v>38349</v>
      </c>
      <c r="B640" t="n">
        <v>30257</v>
      </c>
      <c r="C640" t="n">
        <v/>
      </c>
      <c r="D640" t="n">
        <v>6134</v>
      </c>
      <c r="E640" t="n">
        <v>24989</v>
      </c>
      <c r="F640" t="n">
        <v>16814</v>
      </c>
      <c r="G640" t="n">
        <v>20151</v>
      </c>
      <c r="H640" t="n">
        <v>27753</v>
      </c>
      <c r="I640" t="n">
        <v>48067</v>
      </c>
      <c r="J640" t="n">
        <v/>
      </c>
      <c r="K640" t="n">
        <v/>
      </c>
      <c r="L640" t="n">
        <v/>
      </c>
    </row>
    <row r="641">
      <c r="A641" s="64" t="n">
        <v>38356</v>
      </c>
      <c r="B641" t="n">
        <v>30613</v>
      </c>
      <c r="C641" t="n">
        <v/>
      </c>
      <c r="D641" t="n">
        <v>9662</v>
      </c>
      <c r="E641" t="n">
        <v>11495</v>
      </c>
      <c r="F641" t="n">
        <v>11071</v>
      </c>
      <c r="G641" t="n">
        <v>12523</v>
      </c>
      <c r="H641" t="n">
        <v>22720</v>
      </c>
      <c r="I641" t="n">
        <v>32911</v>
      </c>
      <c r="J641" t="n">
        <v/>
      </c>
      <c r="K641" t="n">
        <v/>
      </c>
      <c r="L641" t="n">
        <v/>
      </c>
    </row>
    <row r="642">
      <c r="A642" s="64" t="n">
        <v>38363</v>
      </c>
      <c r="B642" t="n">
        <v>25977</v>
      </c>
      <c r="C642" t="n">
        <v/>
      </c>
      <c r="D642" t="n">
        <v>9893</v>
      </c>
      <c r="E642" t="n">
        <v>60</v>
      </c>
      <c r="F642" t="n">
        <v>16181</v>
      </c>
      <c r="G642" t="n">
        <v>21392</v>
      </c>
      <c r="H642" t="n">
        <v>23745</v>
      </c>
      <c r="I642" t="n">
        <v>32136</v>
      </c>
      <c r="J642" t="n">
        <v/>
      </c>
      <c r="K642" t="n">
        <v/>
      </c>
      <c r="L642" t="n">
        <v/>
      </c>
    </row>
    <row r="643">
      <c r="A643" s="64" t="n">
        <v>38370</v>
      </c>
      <c r="B643" t="n">
        <v>27215</v>
      </c>
      <c r="C643" t="n">
        <v/>
      </c>
      <c r="D643" t="n">
        <v>5500</v>
      </c>
      <c r="E643" t="n">
        <v>-1100</v>
      </c>
      <c r="F643" t="n">
        <v>9913</v>
      </c>
      <c r="G643" t="n">
        <v>18715</v>
      </c>
      <c r="H643" t="n">
        <v>7879</v>
      </c>
      <c r="I643" t="n">
        <v>42780</v>
      </c>
      <c r="J643" t="n">
        <v/>
      </c>
      <c r="K643" t="n">
        <v/>
      </c>
      <c r="L643" t="n">
        <v/>
      </c>
    </row>
    <row r="644">
      <c r="A644" s="64" t="n">
        <v>38377</v>
      </c>
      <c r="B644" t="n">
        <v>30903</v>
      </c>
      <c r="C644" t="n">
        <v/>
      </c>
      <c r="D644" t="n">
        <v>2653</v>
      </c>
      <c r="E644" t="n">
        <v>-5181</v>
      </c>
      <c r="F644" t="n">
        <v>768</v>
      </c>
      <c r="G644" t="n">
        <v>15990</v>
      </c>
      <c r="H644" t="n">
        <v>924</v>
      </c>
      <c r="I644" t="n">
        <v>34880</v>
      </c>
      <c r="J644" t="n">
        <v/>
      </c>
      <c r="K644" t="n">
        <v/>
      </c>
      <c r="L644" t="n">
        <v/>
      </c>
    </row>
    <row r="645">
      <c r="A645" s="64" t="n">
        <v>38384</v>
      </c>
      <c r="B645" t="n">
        <v>35784</v>
      </c>
      <c r="C645" t="n">
        <v/>
      </c>
      <c r="D645" t="n">
        <v>1269</v>
      </c>
      <c r="E645" t="n">
        <v>-7400</v>
      </c>
      <c r="F645" t="n">
        <v>1925</v>
      </c>
      <c r="G645" t="n">
        <v>16693</v>
      </c>
      <c r="H645" t="n">
        <v>399</v>
      </c>
      <c r="I645" t="n">
        <v>47234</v>
      </c>
      <c r="J645" t="n">
        <v/>
      </c>
      <c r="K645" t="n">
        <v/>
      </c>
      <c r="L645" t="n">
        <v/>
      </c>
    </row>
    <row r="646">
      <c r="A646" s="64" t="n">
        <v>38391</v>
      </c>
      <c r="B646" t="n">
        <v>27599</v>
      </c>
      <c r="C646" t="n">
        <v/>
      </c>
      <c r="D646" t="n">
        <v>-7365</v>
      </c>
      <c r="E646" t="n">
        <v>-17174</v>
      </c>
      <c r="F646" t="n">
        <v>-631</v>
      </c>
      <c r="G646" t="n">
        <v>10109</v>
      </c>
      <c r="H646" t="n">
        <v>-14290</v>
      </c>
      <c r="I646" t="n">
        <v>51948</v>
      </c>
      <c r="J646" t="n">
        <v/>
      </c>
      <c r="K646" t="n">
        <v/>
      </c>
      <c r="L646" t="n">
        <v/>
      </c>
    </row>
    <row r="647">
      <c r="A647" s="64" t="n">
        <v>38398</v>
      </c>
      <c r="B647" t="n">
        <v>36699</v>
      </c>
      <c r="C647" t="n">
        <v/>
      </c>
      <c r="D647" t="n">
        <v>-5307</v>
      </c>
      <c r="E647" t="n">
        <v>-11269</v>
      </c>
      <c r="F647" t="n">
        <v>-245</v>
      </c>
      <c r="G647" t="n">
        <v>22239</v>
      </c>
      <c r="H647" t="n">
        <v>-23693</v>
      </c>
      <c r="I647" t="n">
        <v>56164</v>
      </c>
      <c r="J647" t="n">
        <v/>
      </c>
      <c r="K647" t="n">
        <v/>
      </c>
      <c r="L647" t="n">
        <v/>
      </c>
    </row>
    <row r="648">
      <c r="A648" s="64" t="n">
        <v>38405</v>
      </c>
      <c r="B648" t="n">
        <v>45970</v>
      </c>
      <c r="C648" t="n">
        <v/>
      </c>
      <c r="D648" t="n">
        <v>-3141</v>
      </c>
      <c r="E648" t="n">
        <v>-3450</v>
      </c>
      <c r="F648" t="n">
        <v>4024</v>
      </c>
      <c r="G648" t="n">
        <v>25156</v>
      </c>
      <c r="H648" t="n">
        <v>-25935</v>
      </c>
      <c r="I648" t="n">
        <v>63018</v>
      </c>
      <c r="J648" t="n">
        <v/>
      </c>
      <c r="K648" t="n">
        <v/>
      </c>
      <c r="L648" t="n">
        <v/>
      </c>
    </row>
    <row r="649">
      <c r="A649" s="64" t="n">
        <v>38412</v>
      </c>
      <c r="B649" t="n">
        <v>55379</v>
      </c>
      <c r="C649" t="n">
        <v/>
      </c>
      <c r="D649" t="n">
        <v>-6829</v>
      </c>
      <c r="E649" t="n">
        <v>-1903</v>
      </c>
      <c r="F649" t="n">
        <v>33418</v>
      </c>
      <c r="G649" t="n">
        <v>33519</v>
      </c>
      <c r="H649" t="n">
        <v>-7123</v>
      </c>
      <c r="I649" t="n">
        <v>62313</v>
      </c>
      <c r="J649" t="n">
        <v/>
      </c>
      <c r="K649" t="n">
        <v/>
      </c>
      <c r="L649" t="n">
        <v/>
      </c>
    </row>
    <row r="650">
      <c r="A650" s="64" t="n">
        <v>38419</v>
      </c>
      <c r="B650" t="n">
        <v>51953</v>
      </c>
      <c r="C650" t="n">
        <v/>
      </c>
      <c r="D650" t="n">
        <v>3329</v>
      </c>
      <c r="E650" t="n">
        <v>-3027</v>
      </c>
      <c r="F650" t="n">
        <v>22590</v>
      </c>
      <c r="G650" t="n">
        <v>41127</v>
      </c>
      <c r="H650" t="n">
        <v>-9786</v>
      </c>
      <c r="I650" t="n">
        <v>64999</v>
      </c>
      <c r="J650" t="n">
        <v>5933</v>
      </c>
      <c r="K650" t="n">
        <v/>
      </c>
      <c r="L650" t="n">
        <v/>
      </c>
    </row>
    <row r="651">
      <c r="A651" s="64" t="n">
        <v>38426</v>
      </c>
      <c r="B651" t="n">
        <v>54141</v>
      </c>
      <c r="C651" t="n">
        <v/>
      </c>
      <c r="D651" t="n">
        <v>26150</v>
      </c>
      <c r="E651" t="n">
        <v>160</v>
      </c>
      <c r="F651" t="n">
        <v>29912</v>
      </c>
      <c r="G651" t="n">
        <v>37824</v>
      </c>
      <c r="H651" t="n">
        <v>-5346</v>
      </c>
      <c r="I651" t="n">
        <v>44595</v>
      </c>
      <c r="J651" t="n">
        <v/>
      </c>
      <c r="K651" t="n">
        <v/>
      </c>
      <c r="L651" t="n">
        <v/>
      </c>
    </row>
    <row r="652">
      <c r="A652" s="64" t="n">
        <v>38433</v>
      </c>
      <c r="B652" t="n">
        <v>54991</v>
      </c>
      <c r="C652" t="n">
        <v/>
      </c>
      <c r="D652" t="n">
        <v>31547</v>
      </c>
      <c r="E652" t="n">
        <v>-11356</v>
      </c>
      <c r="F652" t="n">
        <v>27199</v>
      </c>
      <c r="G652" t="n">
        <v>26655</v>
      </c>
      <c r="H652" t="n">
        <v>-11903</v>
      </c>
      <c r="I652" t="n">
        <v>33011</v>
      </c>
      <c r="J652" t="n">
        <v/>
      </c>
      <c r="K652" t="n">
        <v/>
      </c>
      <c r="L652" t="n">
        <v/>
      </c>
    </row>
    <row r="653">
      <c r="A653" s="64" t="n">
        <v>38440</v>
      </c>
      <c r="B653" t="n">
        <v>26624</v>
      </c>
      <c r="C653" t="n">
        <v/>
      </c>
      <c r="D653" t="n">
        <v>26690</v>
      </c>
      <c r="E653" t="n">
        <v>-14042</v>
      </c>
      <c r="F653" t="n">
        <v>17753</v>
      </c>
      <c r="G653" t="n">
        <v>11874</v>
      </c>
      <c r="H653" t="n">
        <v>-30189</v>
      </c>
      <c r="I653" t="n">
        <v>23832</v>
      </c>
      <c r="J653" t="n">
        <v>5392</v>
      </c>
      <c r="K653" t="n">
        <v/>
      </c>
      <c r="L653" t="n">
        <v/>
      </c>
    </row>
    <row r="654">
      <c r="A654" s="64" t="n">
        <v>38447</v>
      </c>
      <c r="B654" t="n">
        <v>21086</v>
      </c>
      <c r="C654" t="n">
        <v/>
      </c>
      <c r="D654" t="n">
        <v>25675</v>
      </c>
      <c r="E654" t="n">
        <v>-18779</v>
      </c>
      <c r="F654" t="n">
        <v>6898</v>
      </c>
      <c r="G654" t="n">
        <v>15484</v>
      </c>
      <c r="H654" t="n">
        <v>-36442</v>
      </c>
      <c r="I654" t="n">
        <v>21830</v>
      </c>
      <c r="J654" t="n">
        <v>5352</v>
      </c>
      <c r="K654" t="n">
        <v/>
      </c>
      <c r="L654" t="n">
        <v/>
      </c>
    </row>
    <row r="655">
      <c r="A655" s="64" t="n">
        <v>38454</v>
      </c>
      <c r="B655" t="n">
        <v>25423</v>
      </c>
      <c r="C655" t="n">
        <v/>
      </c>
      <c r="D655" t="n">
        <v>-7434</v>
      </c>
      <c r="E655" t="n">
        <v>-22764</v>
      </c>
      <c r="F655" t="n">
        <v>5760</v>
      </c>
      <c r="G655" t="n">
        <v>20371</v>
      </c>
      <c r="H655" t="n">
        <v>-44196</v>
      </c>
      <c r="I655" t="n">
        <v>47912</v>
      </c>
      <c r="J655" t="n">
        <v/>
      </c>
      <c r="K655" t="n">
        <v/>
      </c>
      <c r="L655" t="n">
        <v/>
      </c>
    </row>
    <row r="656">
      <c r="A656" s="64" t="n">
        <v>38461</v>
      </c>
      <c r="B656" t="n">
        <v>18323</v>
      </c>
      <c r="C656" t="n">
        <v/>
      </c>
      <c r="D656" t="n">
        <v>-16358</v>
      </c>
      <c r="E656" t="n">
        <v>-11721</v>
      </c>
      <c r="F656" t="n">
        <v>5021</v>
      </c>
      <c r="G656" t="n">
        <v>26798</v>
      </c>
      <c r="H656" t="n">
        <v>-54697</v>
      </c>
      <c r="I656" t="n">
        <v>60934</v>
      </c>
      <c r="J656" t="n">
        <v/>
      </c>
      <c r="K656" t="n">
        <v/>
      </c>
      <c r="L656" t="n">
        <v/>
      </c>
    </row>
    <row r="657">
      <c r="A657" s="64" t="n">
        <v>38468</v>
      </c>
      <c r="B657" t="n">
        <v>27294</v>
      </c>
      <c r="C657" t="n">
        <v/>
      </c>
      <c r="D657" t="n">
        <v>-24719</v>
      </c>
      <c r="E657" t="n">
        <v>-8625</v>
      </c>
      <c r="F657" t="n">
        <v>4219</v>
      </c>
      <c r="G657" t="n">
        <v>23711</v>
      </c>
      <c r="H657" t="n">
        <v>-32502</v>
      </c>
      <c r="I657" t="n">
        <v>66342</v>
      </c>
      <c r="J657" t="n">
        <v/>
      </c>
      <c r="K657" t="n">
        <v/>
      </c>
      <c r="L657" t="n">
        <v/>
      </c>
    </row>
    <row r="658">
      <c r="A658" s="64" t="n">
        <v>38475</v>
      </c>
      <c r="B658" t="n">
        <v>29365</v>
      </c>
      <c r="C658" t="n">
        <v/>
      </c>
      <c r="D658" t="n">
        <v>-33321</v>
      </c>
      <c r="E658" t="n">
        <v>-11330</v>
      </c>
      <c r="F658" t="n">
        <v>4875</v>
      </c>
      <c r="G658" t="n">
        <v>19878</v>
      </c>
      <c r="H658" t="n">
        <v>-14131</v>
      </c>
      <c r="I658" t="n">
        <v>76322</v>
      </c>
      <c r="J658" t="n">
        <v/>
      </c>
      <c r="K658" t="n">
        <v/>
      </c>
      <c r="L658" t="n">
        <v/>
      </c>
    </row>
    <row r="659">
      <c r="A659" s="64" t="n">
        <v>38482</v>
      </c>
      <c r="B659" t="n">
        <v>30826</v>
      </c>
      <c r="C659" t="n">
        <v/>
      </c>
      <c r="D659" t="n">
        <v>-27795</v>
      </c>
      <c r="E659" t="n">
        <v>-17424</v>
      </c>
      <c r="F659" t="n">
        <v>-1544</v>
      </c>
      <c r="G659" t="n">
        <v>20098</v>
      </c>
      <c r="H659" t="n">
        <v>-9563</v>
      </c>
      <c r="I659" t="n">
        <v>75436</v>
      </c>
      <c r="J659" t="n">
        <v/>
      </c>
      <c r="K659" t="n">
        <v/>
      </c>
      <c r="L659" t="n">
        <v/>
      </c>
    </row>
    <row r="660">
      <c r="A660" s="64" t="n">
        <v>38489</v>
      </c>
      <c r="B660" t="n">
        <v>15235</v>
      </c>
      <c r="C660" t="n">
        <v/>
      </c>
      <c r="D660" t="n">
        <v>-33492</v>
      </c>
      <c r="E660" t="n">
        <v>-28378</v>
      </c>
      <c r="F660" t="n">
        <v>-13488</v>
      </c>
      <c r="G660" t="n">
        <v>434</v>
      </c>
      <c r="H660" t="n">
        <v>-47883</v>
      </c>
      <c r="I660" t="n">
        <v>75561</v>
      </c>
      <c r="J660" t="n">
        <v/>
      </c>
      <c r="K660" t="n">
        <v/>
      </c>
      <c r="L660" t="n">
        <v/>
      </c>
    </row>
    <row r="661">
      <c r="A661" s="64" t="n">
        <v>38496</v>
      </c>
      <c r="B661" t="n">
        <v>13307</v>
      </c>
      <c r="C661" t="n">
        <v/>
      </c>
      <c r="D661" t="n">
        <v>-32884</v>
      </c>
      <c r="E661" t="n">
        <v>-37671</v>
      </c>
      <c r="F661" t="n">
        <v>-15321</v>
      </c>
      <c r="G661" t="n">
        <v>-7410</v>
      </c>
      <c r="H661" t="n">
        <v>-38831</v>
      </c>
      <c r="I661" t="n">
        <v>73445</v>
      </c>
      <c r="J661" t="n">
        <v/>
      </c>
      <c r="K661" t="n">
        <v/>
      </c>
      <c r="L661" t="n">
        <v/>
      </c>
    </row>
    <row r="662">
      <c r="A662" s="64" t="n">
        <v>38503</v>
      </c>
      <c r="B662" t="n">
        <v>5924</v>
      </c>
      <c r="C662" t="n">
        <v/>
      </c>
      <c r="D662" t="n">
        <v>-31240</v>
      </c>
      <c r="E662" t="n">
        <v>-39399</v>
      </c>
      <c r="F662" t="n">
        <v>-18310</v>
      </c>
      <c r="G662" t="n">
        <v>-11071</v>
      </c>
      <c r="H662" t="n">
        <v>-48435</v>
      </c>
      <c r="I662" t="n">
        <v>80430</v>
      </c>
      <c r="J662" t="n">
        <v/>
      </c>
      <c r="K662" t="n">
        <v/>
      </c>
      <c r="L662" t="n">
        <v/>
      </c>
    </row>
    <row r="663">
      <c r="A663" s="64" t="n">
        <v>38510</v>
      </c>
      <c r="B663" t="n">
        <v>12849</v>
      </c>
      <c r="C663" t="n">
        <v/>
      </c>
      <c r="D663" t="n">
        <v>-26561</v>
      </c>
      <c r="E663" t="n">
        <v>-45312</v>
      </c>
      <c r="F663" t="n">
        <v>-17771</v>
      </c>
      <c r="G663" t="n">
        <v>-8575</v>
      </c>
      <c r="H663" t="n">
        <v>-37111</v>
      </c>
      <c r="I663" t="n">
        <v>77258</v>
      </c>
      <c r="J663" t="n">
        <v/>
      </c>
      <c r="K663" t="n">
        <v/>
      </c>
      <c r="L663" t="n">
        <v/>
      </c>
    </row>
    <row r="664">
      <c r="A664" s="64" t="n">
        <v>38517</v>
      </c>
      <c r="B664" t="n">
        <v>15259</v>
      </c>
      <c r="C664" t="n">
        <v/>
      </c>
      <c r="D664" t="n">
        <v>-21011</v>
      </c>
      <c r="E664" t="n">
        <v>-43581</v>
      </c>
      <c r="F664" t="n">
        <v>-19665</v>
      </c>
      <c r="G664" t="n">
        <v>-16949</v>
      </c>
      <c r="H664" t="n">
        <v>-53164</v>
      </c>
      <c r="I664" t="n">
        <v>77948</v>
      </c>
      <c r="J664" t="n">
        <v/>
      </c>
      <c r="K664" t="n">
        <v/>
      </c>
      <c r="L664" t="n">
        <v/>
      </c>
    </row>
    <row r="665">
      <c r="A665" s="64" t="n">
        <v>38524</v>
      </c>
      <c r="B665" t="n">
        <v>33395</v>
      </c>
      <c r="C665" t="n">
        <v/>
      </c>
      <c r="D665" t="n">
        <v>284</v>
      </c>
      <c r="E665" t="n">
        <v>-42387</v>
      </c>
      <c r="F665" t="n">
        <v>-21282</v>
      </c>
      <c r="G665" t="n">
        <v>-12919</v>
      </c>
      <c r="H665" t="n">
        <v>-37974</v>
      </c>
      <c r="I665" t="n">
        <v>79090</v>
      </c>
      <c r="J665" t="n">
        <v/>
      </c>
      <c r="K665" t="n">
        <v/>
      </c>
      <c r="L665" t="n">
        <v/>
      </c>
    </row>
    <row r="666">
      <c r="A666" s="64" t="n">
        <v>38531</v>
      </c>
      <c r="B666" t="n">
        <v>22974</v>
      </c>
      <c r="C666" t="n">
        <v/>
      </c>
      <c r="D666" t="n">
        <v>2284</v>
      </c>
      <c r="E666" t="n">
        <v>-44421</v>
      </c>
      <c r="F666" t="n">
        <v>-14241</v>
      </c>
      <c r="G666" t="n">
        <v>-19805</v>
      </c>
      <c r="H666" t="n">
        <v>-51845</v>
      </c>
      <c r="I666" t="n">
        <v>73676</v>
      </c>
      <c r="J666" t="n">
        <v/>
      </c>
      <c r="K666" t="n">
        <v/>
      </c>
      <c r="L666" t="n">
        <v/>
      </c>
    </row>
    <row r="667">
      <c r="A667" s="64" t="n">
        <v>38538</v>
      </c>
      <c r="B667" t="n">
        <v>8570</v>
      </c>
      <c r="C667" t="n">
        <v/>
      </c>
      <c r="D667" t="n">
        <v>4088</v>
      </c>
      <c r="E667" t="n">
        <v>-45540</v>
      </c>
      <c r="F667" t="n">
        <v>-24872</v>
      </c>
      <c r="G667" t="n">
        <v>-20414</v>
      </c>
      <c r="H667" t="n">
        <v>-52186</v>
      </c>
      <c r="I667" t="n">
        <v>78152</v>
      </c>
      <c r="J667" t="n">
        <v/>
      </c>
      <c r="K667" t="n">
        <v/>
      </c>
      <c r="L667" t="n">
        <v/>
      </c>
    </row>
    <row r="668">
      <c r="A668" s="64" t="n">
        <v>38545</v>
      </c>
      <c r="B668" t="n">
        <v>8556</v>
      </c>
      <c r="C668" t="n">
        <v/>
      </c>
      <c r="D668" t="n">
        <v>23203</v>
      </c>
      <c r="E668" t="n">
        <v>-37948</v>
      </c>
      <c r="F668" t="n">
        <v>-7848</v>
      </c>
      <c r="G668" t="n">
        <v>-22581</v>
      </c>
      <c r="H668" t="n">
        <v>-63076</v>
      </c>
      <c r="I668" t="n">
        <v>74296</v>
      </c>
      <c r="J668" t="n">
        <v/>
      </c>
      <c r="K668" t="n">
        <v/>
      </c>
      <c r="L668" t="n">
        <v/>
      </c>
    </row>
    <row r="669">
      <c r="A669" s="64" t="n">
        <v>38552</v>
      </c>
      <c r="B669" t="n">
        <v>6756</v>
      </c>
      <c r="C669" t="n">
        <v/>
      </c>
      <c r="D669" t="n">
        <v>25825</v>
      </c>
      <c r="E669" t="n">
        <v>-36492</v>
      </c>
      <c r="F669" t="n">
        <v>-11870</v>
      </c>
      <c r="G669" t="n">
        <v>-25624</v>
      </c>
      <c r="H669" t="n">
        <v>-59056</v>
      </c>
      <c r="I669" t="n">
        <v>70224</v>
      </c>
      <c r="J669" t="n">
        <v/>
      </c>
      <c r="K669" t="n">
        <v/>
      </c>
      <c r="L669" t="n">
        <v/>
      </c>
    </row>
    <row r="670">
      <c r="A670" s="64" t="n">
        <v>38559</v>
      </c>
      <c r="B670" t="n">
        <v>17343</v>
      </c>
      <c r="C670" t="n">
        <v/>
      </c>
      <c r="D670" t="n">
        <v>17519</v>
      </c>
      <c r="E670" t="n">
        <v>-36429</v>
      </c>
      <c r="F670" t="n">
        <v>-8296</v>
      </c>
      <c r="G670" t="n">
        <v>-19865</v>
      </c>
      <c r="H670" t="n">
        <v>-47768</v>
      </c>
      <c r="I670" t="n">
        <v>73609</v>
      </c>
      <c r="J670" t="n">
        <v/>
      </c>
      <c r="K670" t="n">
        <v/>
      </c>
      <c r="L670" t="n">
        <v/>
      </c>
    </row>
    <row r="671">
      <c r="A671" s="64" t="n">
        <v>38566</v>
      </c>
      <c r="B671" t="n">
        <v>17317</v>
      </c>
      <c r="C671" t="n">
        <v/>
      </c>
      <c r="D671" t="n">
        <v>12164</v>
      </c>
      <c r="E671" t="n">
        <v>-31326</v>
      </c>
      <c r="F671" t="n">
        <v>-191</v>
      </c>
      <c r="G671" t="n">
        <v>-16979</v>
      </c>
      <c r="H671" t="n">
        <v>-43151</v>
      </c>
      <c r="I671" t="n">
        <v>73170</v>
      </c>
      <c r="J671" t="n">
        <v/>
      </c>
      <c r="K671" t="n">
        <v/>
      </c>
      <c r="L671" t="n">
        <v/>
      </c>
    </row>
    <row r="672">
      <c r="A672" s="64" t="n">
        <v>38573</v>
      </c>
      <c r="B672" t="n">
        <v>28018</v>
      </c>
      <c r="C672" t="n">
        <v/>
      </c>
      <c r="D672" t="n">
        <v>14214</v>
      </c>
      <c r="E672" t="n">
        <v>-32211</v>
      </c>
      <c r="F672" t="n">
        <v>4231</v>
      </c>
      <c r="G672" t="n">
        <v>-15509</v>
      </c>
      <c r="H672" t="n">
        <v>-48660</v>
      </c>
      <c r="I672" t="n">
        <v>74209</v>
      </c>
      <c r="J672" t="n">
        <v/>
      </c>
      <c r="K672" t="n">
        <v/>
      </c>
      <c r="L672" t="n">
        <v/>
      </c>
    </row>
    <row r="673">
      <c r="A673" s="64" t="n">
        <v>38580</v>
      </c>
      <c r="B673" t="n">
        <v>26304</v>
      </c>
      <c r="C673" t="n">
        <v/>
      </c>
      <c r="D673" t="n">
        <v>26047</v>
      </c>
      <c r="E673" t="n">
        <v>-27622</v>
      </c>
      <c r="F673" t="n">
        <v>584</v>
      </c>
      <c r="G673" t="n">
        <v>2358</v>
      </c>
      <c r="H673" t="n">
        <v>-26385</v>
      </c>
      <c r="I673" t="n">
        <v>74052</v>
      </c>
      <c r="J673" t="n">
        <v>4581</v>
      </c>
      <c r="K673" t="n">
        <v/>
      </c>
      <c r="L673" t="n">
        <v/>
      </c>
    </row>
    <row r="674">
      <c r="A674" s="64" t="n">
        <v>38587</v>
      </c>
      <c r="B674" t="n">
        <v>11870</v>
      </c>
      <c r="C674" t="n">
        <v/>
      </c>
      <c r="D674" t="n">
        <v>24543</v>
      </c>
      <c r="E674" t="n">
        <v>-37544</v>
      </c>
      <c r="F674" t="n">
        <v>-5766</v>
      </c>
      <c r="G674" t="n">
        <v>5498</v>
      </c>
      <c r="H674" t="n">
        <v>-31366</v>
      </c>
      <c r="I674" t="n">
        <v>45300</v>
      </c>
      <c r="J674" t="n">
        <v/>
      </c>
      <c r="K674" t="n">
        <v/>
      </c>
      <c r="L674" t="n">
        <v/>
      </c>
    </row>
    <row r="675">
      <c r="A675" s="64" t="n">
        <v>38594</v>
      </c>
      <c r="B675" t="n">
        <v>10865</v>
      </c>
      <c r="C675" t="n">
        <v/>
      </c>
      <c r="D675" t="n">
        <v>28914</v>
      </c>
      <c r="E675" t="n">
        <v>-31876</v>
      </c>
      <c r="F675" t="n">
        <v>-3619</v>
      </c>
      <c r="G675" t="n">
        <v>-2211</v>
      </c>
      <c r="H675" t="n">
        <v>-47665</v>
      </c>
      <c r="I675" t="n">
        <v>34764</v>
      </c>
      <c r="J675" t="n">
        <v>4877</v>
      </c>
      <c r="K675" t="n">
        <v/>
      </c>
      <c r="L675" t="n">
        <v/>
      </c>
    </row>
    <row r="676">
      <c r="A676" s="64" t="n">
        <v>38601</v>
      </c>
      <c r="B676" t="n">
        <v>19333</v>
      </c>
      <c r="C676" t="n">
        <v/>
      </c>
      <c r="D676" t="n">
        <v>29993</v>
      </c>
      <c r="E676" t="n">
        <v>-785</v>
      </c>
      <c r="F676" t="n">
        <v>23518</v>
      </c>
      <c r="G676" t="n">
        <v>10996</v>
      </c>
      <c r="H676" t="n">
        <v>-34372</v>
      </c>
      <c r="I676" t="n">
        <v>43078</v>
      </c>
      <c r="J676" t="n">
        <v>5251</v>
      </c>
      <c r="K676" t="n">
        <v/>
      </c>
      <c r="L676" t="n">
        <v/>
      </c>
    </row>
    <row r="677">
      <c r="A677" s="64" t="n">
        <v>38608</v>
      </c>
      <c r="B677" t="n">
        <v>33242</v>
      </c>
      <c r="C677" t="n">
        <v/>
      </c>
      <c r="D677" t="n">
        <v>29592</v>
      </c>
      <c r="E677" t="n">
        <v>-14966</v>
      </c>
      <c r="F677" t="n">
        <v>7585</v>
      </c>
      <c r="G677" t="n">
        <v>18475</v>
      </c>
      <c r="H677" t="n">
        <v>-34934</v>
      </c>
      <c r="I677" t="n">
        <v>39606</v>
      </c>
      <c r="J677" t="n">
        <v>5465</v>
      </c>
      <c r="K677" t="n">
        <v/>
      </c>
      <c r="L677" t="n">
        <v/>
      </c>
    </row>
    <row r="678">
      <c r="A678" s="64" t="n">
        <v>38615</v>
      </c>
      <c r="B678" t="n">
        <v>36201</v>
      </c>
      <c r="C678" t="n">
        <v/>
      </c>
      <c r="D678" t="n">
        <v>26503</v>
      </c>
      <c r="E678" t="n">
        <v>-30910</v>
      </c>
      <c r="F678" t="n">
        <v>-1428</v>
      </c>
      <c r="G678" t="n">
        <v>10578</v>
      </c>
      <c r="H678" t="n">
        <v>-47629</v>
      </c>
      <c r="I678" t="n">
        <v>35303</v>
      </c>
      <c r="J678" t="n">
        <v/>
      </c>
      <c r="K678" t="n">
        <v/>
      </c>
      <c r="L678" t="n">
        <v/>
      </c>
    </row>
    <row r="679">
      <c r="A679" s="64" t="n">
        <v>38622</v>
      </c>
      <c r="B679" t="n">
        <v>22945</v>
      </c>
      <c r="C679" t="n">
        <v/>
      </c>
      <c r="D679" t="n">
        <v>43096</v>
      </c>
      <c r="E679" t="n">
        <v>-43731</v>
      </c>
      <c r="F679" t="n">
        <v>-1603</v>
      </c>
      <c r="G679" t="n">
        <v>2563</v>
      </c>
      <c r="H679" t="n">
        <v>-59066</v>
      </c>
      <c r="I679" t="n">
        <v>32662</v>
      </c>
      <c r="J679" t="n">
        <v/>
      </c>
      <c r="K679" t="n">
        <v/>
      </c>
      <c r="L679" t="n">
        <v/>
      </c>
    </row>
    <row r="680">
      <c r="A680" s="64" t="n">
        <v>38629</v>
      </c>
      <c r="B680" t="n">
        <v>28870</v>
      </c>
      <c r="C680" t="n">
        <v/>
      </c>
      <c r="D680" t="n">
        <v>38031</v>
      </c>
      <c r="E680" t="n">
        <v>-47126</v>
      </c>
      <c r="F680" t="n">
        <v>-1898</v>
      </c>
      <c r="G680" t="n">
        <v>-16860</v>
      </c>
      <c r="H680" t="n">
        <v>-63299</v>
      </c>
      <c r="I680" t="n">
        <v>56274</v>
      </c>
      <c r="J680" t="n">
        <v/>
      </c>
      <c r="K680" t="n">
        <v/>
      </c>
      <c r="L680" t="n">
        <v/>
      </c>
    </row>
    <row r="681">
      <c r="A681" s="64" t="n">
        <v>38636</v>
      </c>
      <c r="B681" t="n">
        <v>16928</v>
      </c>
      <c r="C681" t="n">
        <v/>
      </c>
      <c r="D681" t="n">
        <v>43591</v>
      </c>
      <c r="E681" t="n">
        <v>-25287</v>
      </c>
      <c r="F681" t="n">
        <v>4792</v>
      </c>
      <c r="G681" t="n">
        <v>-23045</v>
      </c>
      <c r="H681" t="n">
        <v>-66035</v>
      </c>
      <c r="I681" t="n">
        <v>47934</v>
      </c>
      <c r="J681" t="n">
        <v>5084</v>
      </c>
      <c r="K681" t="n">
        <v/>
      </c>
      <c r="L681" t="n">
        <v/>
      </c>
    </row>
    <row r="682">
      <c r="A682" s="64" t="n">
        <v>38643</v>
      </c>
      <c r="B682" t="n">
        <v>11062</v>
      </c>
      <c r="C682" t="n">
        <v/>
      </c>
      <c r="D682" t="n">
        <v>42812</v>
      </c>
      <c r="E682" t="n">
        <v>-30982</v>
      </c>
      <c r="F682" t="n">
        <v>855</v>
      </c>
      <c r="G682" t="n">
        <v>-21050</v>
      </c>
      <c r="H682" t="n">
        <v>-66641</v>
      </c>
      <c r="I682" t="n">
        <v>20310</v>
      </c>
      <c r="J682" t="n">
        <v>5700</v>
      </c>
      <c r="K682" t="n">
        <v/>
      </c>
      <c r="L682" t="n">
        <v/>
      </c>
    </row>
    <row r="683">
      <c r="A683" s="64" t="n">
        <v>38650</v>
      </c>
      <c r="B683" t="n">
        <v>7914</v>
      </c>
      <c r="C683" t="n">
        <v/>
      </c>
      <c r="D683" t="n">
        <v>36945</v>
      </c>
      <c r="E683" t="n">
        <v>-20843</v>
      </c>
      <c r="F683" t="n">
        <v>-2558</v>
      </c>
      <c r="G683" t="n">
        <v>-14041</v>
      </c>
      <c r="H683" t="n">
        <v>-66682</v>
      </c>
      <c r="I683" t="n">
        <v>14671</v>
      </c>
      <c r="J683" t="n">
        <v/>
      </c>
      <c r="K683" t="n">
        <v/>
      </c>
      <c r="L683" t="n">
        <v/>
      </c>
    </row>
    <row r="684">
      <c r="A684" s="64" t="n">
        <v>38657</v>
      </c>
      <c r="B684" t="n">
        <v>4036</v>
      </c>
      <c r="C684" t="n">
        <v/>
      </c>
      <c r="D684" t="n">
        <v>37160</v>
      </c>
      <c r="E684" t="n">
        <v>-21779</v>
      </c>
      <c r="F684" t="n">
        <v>6998</v>
      </c>
      <c r="G684" t="n">
        <v>-14309</v>
      </c>
      <c r="H684" t="n">
        <v>-66302</v>
      </c>
      <c r="I684" t="n">
        <v>43921</v>
      </c>
      <c r="J684" t="n">
        <v/>
      </c>
      <c r="K684" t="n">
        <v/>
      </c>
      <c r="L684" t="n">
        <v/>
      </c>
    </row>
    <row r="685">
      <c r="A685" s="64" t="n">
        <v>38664</v>
      </c>
      <c r="B685" t="n">
        <v>4071</v>
      </c>
      <c r="C685" t="n">
        <v/>
      </c>
      <c r="D685" t="n">
        <v>26340</v>
      </c>
      <c r="E685" t="n">
        <v>-34670</v>
      </c>
      <c r="F685" t="n">
        <v>-6627</v>
      </c>
      <c r="G685" t="n">
        <v>-19370</v>
      </c>
      <c r="H685" t="n">
        <v>-64628</v>
      </c>
      <c r="I685" t="n">
        <v>62154</v>
      </c>
      <c r="J685" t="n">
        <v/>
      </c>
      <c r="K685" t="n">
        <v/>
      </c>
      <c r="L685" t="n">
        <v/>
      </c>
    </row>
    <row r="686">
      <c r="A686" s="64" t="n">
        <v>38671</v>
      </c>
      <c r="B686" t="n">
        <v>193</v>
      </c>
      <c r="C686" t="n">
        <v/>
      </c>
      <c r="D686" t="n">
        <v>20169</v>
      </c>
      <c r="E686" t="n">
        <v>-45034</v>
      </c>
      <c r="F686" t="n">
        <v>-13222</v>
      </c>
      <c r="G686" t="n">
        <v>-23817</v>
      </c>
      <c r="H686" t="n">
        <v>-67231</v>
      </c>
      <c r="I686" t="n">
        <v>79837</v>
      </c>
      <c r="J686" t="n">
        <v/>
      </c>
      <c r="K686" t="n">
        <v/>
      </c>
      <c r="L686" t="n">
        <v/>
      </c>
    </row>
    <row r="687">
      <c r="A687" s="64" t="n">
        <v>38678</v>
      </c>
      <c r="B687" t="n">
        <v>749</v>
      </c>
      <c r="C687" t="n">
        <v/>
      </c>
      <c r="D687" t="n">
        <v>15725</v>
      </c>
      <c r="E687" t="n">
        <v>-48207</v>
      </c>
      <c r="F687" t="n">
        <v>-11127</v>
      </c>
      <c r="G687" t="n">
        <v>-33020</v>
      </c>
      <c r="H687" t="n">
        <v>-65884</v>
      </c>
      <c r="I687" t="n">
        <v>86294</v>
      </c>
      <c r="J687" t="n">
        <v/>
      </c>
      <c r="K687" t="n">
        <v/>
      </c>
      <c r="L687" t="n">
        <v/>
      </c>
    </row>
    <row r="688">
      <c r="A688" s="64" t="n">
        <v>38685</v>
      </c>
      <c r="B688" t="n">
        <v>5742</v>
      </c>
      <c r="C688" t="n">
        <v/>
      </c>
      <c r="D688" t="n">
        <v>29010</v>
      </c>
      <c r="E688" t="n">
        <v>-48416</v>
      </c>
      <c r="F688" t="n">
        <v>-18132</v>
      </c>
      <c r="G688" t="n">
        <v>-33087</v>
      </c>
      <c r="H688" t="n">
        <v>-64000</v>
      </c>
      <c r="I688" t="n">
        <v>85720</v>
      </c>
      <c r="J688" t="n">
        <v/>
      </c>
      <c r="K688" t="n">
        <v/>
      </c>
      <c r="L688" t="n">
        <v/>
      </c>
    </row>
    <row r="689">
      <c r="A689" s="64" t="n">
        <v>38692</v>
      </c>
      <c r="B689" t="n">
        <v>15712</v>
      </c>
      <c r="C689" t="n">
        <v/>
      </c>
      <c r="D689" t="n">
        <v>37317</v>
      </c>
      <c r="E689" t="n">
        <v>-49359</v>
      </c>
      <c r="F689" t="n">
        <v>-22572</v>
      </c>
      <c r="G689" t="n">
        <v>-25779</v>
      </c>
      <c r="H689" t="n">
        <v>-71643</v>
      </c>
      <c r="I689" t="n">
        <v>82590</v>
      </c>
      <c r="J689" t="n">
        <v>6711</v>
      </c>
      <c r="K689" t="n">
        <v/>
      </c>
      <c r="L689" t="n">
        <v/>
      </c>
    </row>
    <row r="690">
      <c r="A690" s="64" t="n">
        <v>38699</v>
      </c>
      <c r="B690" t="n">
        <v>20282</v>
      </c>
      <c r="C690" t="n">
        <v/>
      </c>
      <c r="D690" t="n">
        <v>56183</v>
      </c>
      <c r="E690" t="n">
        <v>-39861</v>
      </c>
      <c r="F690" t="n">
        <v>-1063</v>
      </c>
      <c r="G690" t="n">
        <v>-7856</v>
      </c>
      <c r="H690" t="n">
        <v>-72063</v>
      </c>
      <c r="I690" t="n">
        <v>67590</v>
      </c>
      <c r="J690" t="n">
        <v>6007</v>
      </c>
      <c r="K690" t="n">
        <v/>
      </c>
      <c r="L690" t="n">
        <v/>
      </c>
    </row>
    <row r="691">
      <c r="A691" s="64" t="n">
        <v>38706</v>
      </c>
      <c r="B691" t="n">
        <v>7909</v>
      </c>
      <c r="C691" t="n">
        <v/>
      </c>
      <c r="D691" t="n">
        <v>48111</v>
      </c>
      <c r="E691" t="n">
        <v>-34067</v>
      </c>
      <c r="F691" t="n">
        <v>4504</v>
      </c>
      <c r="G691" t="n">
        <v>-8192</v>
      </c>
      <c r="H691" t="n">
        <v>-26105</v>
      </c>
      <c r="I691" t="n">
        <v>36289</v>
      </c>
      <c r="J691" t="n">
        <v/>
      </c>
      <c r="K691" t="n">
        <v/>
      </c>
      <c r="L691" t="n">
        <v/>
      </c>
    </row>
    <row r="692">
      <c r="A692" s="64" t="n">
        <v>38713</v>
      </c>
      <c r="B692" t="n">
        <v>904</v>
      </c>
      <c r="C692" t="n">
        <v/>
      </c>
      <c r="D692" t="n">
        <v>42292</v>
      </c>
      <c r="E692" t="n">
        <v>-38326</v>
      </c>
      <c r="F692" t="n">
        <v>4578</v>
      </c>
      <c r="G692" t="n">
        <v>-11593</v>
      </c>
      <c r="H692" t="n">
        <v>-22129</v>
      </c>
      <c r="I692" t="n">
        <v>30635</v>
      </c>
      <c r="J692" t="n">
        <v>4441</v>
      </c>
      <c r="K692" t="n">
        <v/>
      </c>
      <c r="L692" t="n">
        <v/>
      </c>
    </row>
    <row r="693">
      <c r="A693" s="64" t="n">
        <v>38720</v>
      </c>
      <c r="B693" t="n">
        <v>7110</v>
      </c>
      <c r="C693" t="n">
        <v/>
      </c>
      <c r="D693" t="n">
        <v>36687</v>
      </c>
      <c r="E693" t="n">
        <v>-16511</v>
      </c>
      <c r="F693" t="n">
        <v>11231</v>
      </c>
      <c r="G693" t="n">
        <v>-15021</v>
      </c>
      <c r="H693" t="n">
        <v>-24737</v>
      </c>
      <c r="I693" t="n">
        <v>35814</v>
      </c>
      <c r="J693" t="n">
        <v>4837</v>
      </c>
      <c r="K693" t="n">
        <v/>
      </c>
      <c r="L693" t="n">
        <v/>
      </c>
    </row>
    <row r="694">
      <c r="A694" s="64" t="n">
        <v>38727</v>
      </c>
      <c r="B694" t="n">
        <v>21734</v>
      </c>
      <c r="C694" t="n">
        <v/>
      </c>
      <c r="D694" t="n">
        <v>23317</v>
      </c>
      <c r="E694" t="n">
        <v>-240</v>
      </c>
      <c r="F694" t="n">
        <v>21961</v>
      </c>
      <c r="G694" t="n">
        <v>-4773</v>
      </c>
      <c r="H694" t="n">
        <v>-19529</v>
      </c>
      <c r="I694" t="n">
        <v>40139</v>
      </c>
      <c r="J694" t="n">
        <v>3744</v>
      </c>
      <c r="K694" t="n">
        <v/>
      </c>
      <c r="L694" t="n">
        <v/>
      </c>
    </row>
    <row r="695">
      <c r="A695" s="64" t="n">
        <v>38734</v>
      </c>
      <c r="B695" t="n">
        <v>22709</v>
      </c>
      <c r="C695" t="n">
        <v/>
      </c>
      <c r="D695" t="n">
        <v>26933</v>
      </c>
      <c r="E695" t="n">
        <v>1460</v>
      </c>
      <c r="F695" t="n">
        <v>21211</v>
      </c>
      <c r="G695" t="n">
        <v>-3303</v>
      </c>
      <c r="H695" t="n">
        <v>-18259</v>
      </c>
      <c r="I695" t="n">
        <v>44070</v>
      </c>
      <c r="J695" t="n">
        <v>4827</v>
      </c>
      <c r="K695" t="n">
        <v/>
      </c>
      <c r="L695" t="n">
        <v/>
      </c>
    </row>
    <row r="696">
      <c r="A696" s="64" t="n">
        <v>38741</v>
      </c>
      <c r="B696" t="n">
        <v>19376</v>
      </c>
      <c r="C696" t="n">
        <v/>
      </c>
      <c r="D696" t="n">
        <v>27133</v>
      </c>
      <c r="E696" t="n">
        <v>4363</v>
      </c>
      <c r="F696" t="n">
        <v>37464</v>
      </c>
      <c r="G696" t="n">
        <v>2848</v>
      </c>
      <c r="H696" t="n">
        <v>-19278</v>
      </c>
      <c r="I696" t="n">
        <v>44557</v>
      </c>
      <c r="J696" t="n">
        <v>3849</v>
      </c>
      <c r="K696" t="n">
        <v/>
      </c>
      <c r="L696" t="n">
        <v/>
      </c>
    </row>
    <row r="697">
      <c r="A697" s="64" t="n">
        <v>38748</v>
      </c>
      <c r="B697" t="n">
        <v>29258</v>
      </c>
      <c r="C697" t="n">
        <v/>
      </c>
      <c r="D697" t="n">
        <v>37484</v>
      </c>
      <c r="E697" t="n">
        <v>983</v>
      </c>
      <c r="F697" t="n">
        <v>36382</v>
      </c>
      <c r="G697" t="n">
        <v>-1910</v>
      </c>
      <c r="H697" t="n">
        <v>-41745</v>
      </c>
      <c r="I697" t="n">
        <v>66098</v>
      </c>
      <c r="J697" t="n">
        <v>3774</v>
      </c>
      <c r="K697" t="n">
        <v/>
      </c>
      <c r="L697" t="n">
        <v/>
      </c>
    </row>
    <row r="698">
      <c r="A698" s="64" t="n">
        <v>38755</v>
      </c>
      <c r="B698" t="n">
        <v>20781</v>
      </c>
      <c r="C698" t="n">
        <v/>
      </c>
      <c r="D698" t="n">
        <v>44845</v>
      </c>
      <c r="E698" t="n">
        <v>-14690</v>
      </c>
      <c r="F698" t="n">
        <v>18965</v>
      </c>
      <c r="G698" t="n">
        <v>-14062</v>
      </c>
      <c r="H698" t="n">
        <v>-56347</v>
      </c>
      <c r="I698" t="n">
        <v>60973</v>
      </c>
      <c r="J698" t="n">
        <v>4101</v>
      </c>
      <c r="K698" t="n">
        <v/>
      </c>
      <c r="L698" t="n">
        <v/>
      </c>
    </row>
    <row r="699">
      <c r="A699" s="64" t="n">
        <v>38762</v>
      </c>
      <c r="B699" t="n">
        <v>8051</v>
      </c>
      <c r="C699" t="n">
        <v/>
      </c>
      <c r="D699" t="n">
        <v>40464</v>
      </c>
      <c r="E699" t="n">
        <v>-31188</v>
      </c>
      <c r="F699" t="n">
        <v>11956</v>
      </c>
      <c r="G699" t="n">
        <v>-24644</v>
      </c>
      <c r="H699" t="n">
        <v>-55057</v>
      </c>
      <c r="I699" t="n">
        <v>66476</v>
      </c>
      <c r="J699" t="n">
        <v>4011</v>
      </c>
      <c r="K699" t="n">
        <v/>
      </c>
      <c r="L699" t="n">
        <v/>
      </c>
    </row>
    <row r="700">
      <c r="A700" s="64" t="n">
        <v>38769</v>
      </c>
      <c r="B700" t="n">
        <v>4001</v>
      </c>
      <c r="C700" t="n">
        <v/>
      </c>
      <c r="D700" t="n">
        <v>35197</v>
      </c>
      <c r="E700" t="n">
        <v>-36975</v>
      </c>
      <c r="F700" t="n">
        <v>10085</v>
      </c>
      <c r="G700" t="n">
        <v>-19881</v>
      </c>
      <c r="H700" t="n">
        <v>-71184</v>
      </c>
      <c r="I700" t="n">
        <v>64703</v>
      </c>
      <c r="J700" t="n">
        <v>3623</v>
      </c>
      <c r="K700" t="n">
        <v/>
      </c>
      <c r="L700" t="n">
        <v/>
      </c>
    </row>
    <row r="701">
      <c r="A701" s="64" t="n">
        <v>38776</v>
      </c>
      <c r="B701" t="n">
        <v>1375</v>
      </c>
      <c r="C701" t="n">
        <v/>
      </c>
      <c r="D701" t="n">
        <v>40634</v>
      </c>
      <c r="E701" t="n">
        <v>-68262</v>
      </c>
      <c r="F701" t="n">
        <v>18402</v>
      </c>
      <c r="G701" t="n">
        <v>-8189</v>
      </c>
      <c r="H701" t="n">
        <v>-22821</v>
      </c>
      <c r="I701" t="n">
        <v>62905</v>
      </c>
      <c r="J701" t="n">
        <v>2900</v>
      </c>
      <c r="K701" t="n">
        <v/>
      </c>
      <c r="L701" t="n">
        <v/>
      </c>
    </row>
    <row r="702">
      <c r="A702" s="64" t="n">
        <v>38783</v>
      </c>
      <c r="B702" t="n">
        <v>-2896</v>
      </c>
      <c r="C702" t="n">
        <v/>
      </c>
      <c r="D702" t="n">
        <v>41323</v>
      </c>
      <c r="E702" t="n">
        <v>-46223</v>
      </c>
      <c r="F702" t="n">
        <v>13878</v>
      </c>
      <c r="G702" t="n">
        <v>-12344</v>
      </c>
      <c r="H702" t="n">
        <v>-41831</v>
      </c>
      <c r="I702" t="n">
        <v>34560</v>
      </c>
      <c r="J702" t="n">
        <v>2846</v>
      </c>
      <c r="K702" t="n">
        <v/>
      </c>
      <c r="L702" t="n">
        <v/>
      </c>
    </row>
    <row r="703">
      <c r="A703" s="64" t="n">
        <v>38790</v>
      </c>
      <c r="B703" t="n">
        <v>1634</v>
      </c>
      <c r="C703" t="n">
        <v/>
      </c>
      <c r="D703" t="n">
        <v>14021</v>
      </c>
      <c r="E703" t="n">
        <v>-48378</v>
      </c>
      <c r="F703" t="n">
        <v>27984</v>
      </c>
      <c r="G703" t="n">
        <v>-14632</v>
      </c>
      <c r="H703" t="n">
        <v>-45289</v>
      </c>
      <c r="I703" t="n">
        <v>29930</v>
      </c>
      <c r="J703" t="n">
        <v>2603</v>
      </c>
      <c r="K703" t="n">
        <v/>
      </c>
      <c r="L703" t="n">
        <v/>
      </c>
    </row>
    <row r="704">
      <c r="A704" s="64" t="n">
        <v>38797</v>
      </c>
      <c r="B704" t="n">
        <v>-11327</v>
      </c>
      <c r="C704" t="n">
        <v/>
      </c>
      <c r="D704" t="n">
        <v>-3742</v>
      </c>
      <c r="E704" t="n">
        <v>-46865</v>
      </c>
      <c r="F704" t="n">
        <v>41452</v>
      </c>
      <c r="G704" t="n">
        <v>-5235</v>
      </c>
      <c r="H704" t="n">
        <v>-29356</v>
      </c>
      <c r="I704" t="n">
        <v>21010</v>
      </c>
      <c r="J704" t="n">
        <v>1737</v>
      </c>
      <c r="K704" t="n">
        <v/>
      </c>
      <c r="L704" t="n">
        <v/>
      </c>
    </row>
    <row r="705">
      <c r="A705" s="64" t="n">
        <v>38804</v>
      </c>
      <c r="B705" t="n">
        <v>-13332</v>
      </c>
      <c r="C705" t="n">
        <v/>
      </c>
      <c r="D705" t="n">
        <v>-7811</v>
      </c>
      <c r="E705" t="n">
        <v>-45335</v>
      </c>
      <c r="F705" t="n">
        <v>40811</v>
      </c>
      <c r="G705" t="n">
        <v>-6284</v>
      </c>
      <c r="H705" t="n">
        <v>-30412</v>
      </c>
      <c r="I705" t="n">
        <v>11222</v>
      </c>
      <c r="J705" t="n">
        <v>899</v>
      </c>
      <c r="K705" t="n">
        <v/>
      </c>
      <c r="L705" t="n">
        <v/>
      </c>
    </row>
    <row r="706">
      <c r="A706" s="64" t="n">
        <v>38811</v>
      </c>
      <c r="B706" t="n">
        <v>-5850</v>
      </c>
      <c r="C706" t="n">
        <v/>
      </c>
      <c r="D706" t="n">
        <v>-4146</v>
      </c>
      <c r="E706" t="n">
        <v>-38128</v>
      </c>
      <c r="F706" t="n">
        <v>52392</v>
      </c>
      <c r="G706" t="n">
        <v>-10684</v>
      </c>
      <c r="H706" t="n">
        <v>-32716</v>
      </c>
      <c r="I706" t="n">
        <v>-3206</v>
      </c>
      <c r="J706" t="n">
        <v>388</v>
      </c>
      <c r="K706" t="n">
        <v/>
      </c>
      <c r="L706" t="n">
        <v/>
      </c>
    </row>
    <row r="707">
      <c r="A707" s="64" t="n">
        <v>38818</v>
      </c>
      <c r="B707" t="n">
        <v>6937</v>
      </c>
      <c r="C707" t="n">
        <v/>
      </c>
      <c r="D707" t="n">
        <v>13942</v>
      </c>
      <c r="E707" t="n">
        <v>-28651</v>
      </c>
      <c r="F707" t="n">
        <v>41630</v>
      </c>
      <c r="G707" t="n">
        <v>-5624</v>
      </c>
      <c r="H707" t="n">
        <v>-54471</v>
      </c>
      <c r="I707" t="n">
        <v>-4624</v>
      </c>
      <c r="J707" t="n">
        <v>2336</v>
      </c>
      <c r="K707" t="n">
        <v/>
      </c>
      <c r="L707" t="n">
        <v/>
      </c>
    </row>
    <row r="708">
      <c r="A708" s="64" t="n">
        <v>38825</v>
      </c>
      <c r="B708" t="n">
        <v>11161</v>
      </c>
      <c r="C708" t="n">
        <v/>
      </c>
      <c r="D708" t="n">
        <v>6918</v>
      </c>
      <c r="E708" t="n">
        <v>-22168</v>
      </c>
      <c r="F708" t="n">
        <v>55342</v>
      </c>
      <c r="G708" t="n">
        <v>5094</v>
      </c>
      <c r="H708" t="n">
        <v>-41141</v>
      </c>
      <c r="I708" t="n">
        <v>-6967</v>
      </c>
      <c r="J708" t="n">
        <v>4472</v>
      </c>
      <c r="K708" t="n">
        <v/>
      </c>
      <c r="L708" t="n">
        <v/>
      </c>
    </row>
    <row r="709">
      <c r="A709" s="64" t="n">
        <v>38832</v>
      </c>
      <c r="B709" t="n">
        <v>7757</v>
      </c>
      <c r="C709" t="n">
        <v/>
      </c>
      <c r="D709" t="n">
        <v>15623</v>
      </c>
      <c r="E709" t="n">
        <v>-24429</v>
      </c>
      <c r="F709" t="n">
        <v>65525</v>
      </c>
      <c r="G709" t="n">
        <v>12290</v>
      </c>
      <c r="H709" t="n">
        <v>-6490</v>
      </c>
      <c r="I709" t="n">
        <v>-13050</v>
      </c>
      <c r="J709" t="n">
        <v>4808</v>
      </c>
      <c r="K709" t="n">
        <v/>
      </c>
      <c r="L709" t="n">
        <v/>
      </c>
    </row>
    <row r="710">
      <c r="A710" s="64" t="n">
        <v>38839</v>
      </c>
      <c r="B710" t="n">
        <v>21773</v>
      </c>
      <c r="C710" t="n">
        <v/>
      </c>
      <c r="D710" t="n">
        <v>32152</v>
      </c>
      <c r="E710" t="n">
        <v>-12629</v>
      </c>
      <c r="F710" t="n">
        <v>74474</v>
      </c>
      <c r="G710" t="n">
        <v>18624</v>
      </c>
      <c r="H710" t="n">
        <v>2689</v>
      </c>
      <c r="I710" t="n">
        <v>-6657</v>
      </c>
      <c r="J710" t="n">
        <v>6203</v>
      </c>
      <c r="K710" t="n">
        <v/>
      </c>
      <c r="L710" t="n">
        <v/>
      </c>
    </row>
    <row r="711">
      <c r="A711" s="64" t="n">
        <v>38846</v>
      </c>
      <c r="B711" t="n">
        <v>28854</v>
      </c>
      <c r="C711" t="n">
        <v/>
      </c>
      <c r="D711" t="n">
        <v>28873</v>
      </c>
      <c r="E711" t="n">
        <v>-11013</v>
      </c>
      <c r="F711" t="n">
        <v>72911</v>
      </c>
      <c r="G711" t="n">
        <v>25767</v>
      </c>
      <c r="H711" t="n">
        <v>18844</v>
      </c>
      <c r="I711" t="n">
        <v>-3305</v>
      </c>
      <c r="J711" t="n">
        <v>6886</v>
      </c>
      <c r="K711" t="n">
        <v/>
      </c>
      <c r="L711" t="n">
        <v/>
      </c>
    </row>
    <row r="712">
      <c r="A712" s="64" t="n">
        <v>38853</v>
      </c>
      <c r="B712" t="n">
        <v>30585</v>
      </c>
      <c r="C712" t="n">
        <v/>
      </c>
      <c r="D712" t="n">
        <v>19528</v>
      </c>
      <c r="E712" t="n">
        <v>-1581</v>
      </c>
      <c r="F712" t="n">
        <v>73376</v>
      </c>
      <c r="G712" t="n">
        <v>24272</v>
      </c>
      <c r="H712" t="n">
        <v>19121</v>
      </c>
      <c r="I712" t="n">
        <v>-11072</v>
      </c>
      <c r="J712" t="n">
        <v>7366</v>
      </c>
      <c r="K712" t="n">
        <v/>
      </c>
      <c r="L712" t="n">
        <v/>
      </c>
    </row>
    <row r="713">
      <c r="A713" s="64" t="n">
        <v>38860</v>
      </c>
      <c r="B713" t="n">
        <v>16310</v>
      </c>
      <c r="C713" t="n">
        <v/>
      </c>
      <c r="D713" t="n">
        <v>15702</v>
      </c>
      <c r="E713" t="n">
        <v>8382</v>
      </c>
      <c r="F713" t="n">
        <v>72076</v>
      </c>
      <c r="G713" t="n">
        <v>30558</v>
      </c>
      <c r="H713" t="n">
        <v>18329</v>
      </c>
      <c r="I713" t="n">
        <v>-18521</v>
      </c>
      <c r="J713" t="n">
        <v>7267</v>
      </c>
      <c r="K713" t="n">
        <v/>
      </c>
      <c r="L713" t="n">
        <v/>
      </c>
    </row>
    <row r="714">
      <c r="A714" s="64" t="n">
        <v>38867</v>
      </c>
      <c r="B714" t="n">
        <v>26788</v>
      </c>
      <c r="C714" t="n">
        <v/>
      </c>
      <c r="D714" t="n">
        <v>31707</v>
      </c>
      <c r="E714" t="n">
        <v>10531</v>
      </c>
      <c r="F714" t="n">
        <v>79884</v>
      </c>
      <c r="G714" t="n">
        <v>39697</v>
      </c>
      <c r="H714" t="n">
        <v>25741</v>
      </c>
      <c r="I714" t="n">
        <v>-28860</v>
      </c>
      <c r="J714" t="n">
        <v>2828</v>
      </c>
      <c r="K714" t="n">
        <v/>
      </c>
      <c r="L714" t="n">
        <v/>
      </c>
    </row>
    <row r="715">
      <c r="A715" s="64" t="n">
        <v>38874</v>
      </c>
      <c r="B715" t="n">
        <v>13918</v>
      </c>
      <c r="C715" t="n">
        <v/>
      </c>
      <c r="D715" t="n">
        <v>22862</v>
      </c>
      <c r="E715" t="n">
        <v>9320</v>
      </c>
      <c r="F715" t="n">
        <v>88196</v>
      </c>
      <c r="G715" t="n">
        <v>22286</v>
      </c>
      <c r="H715" t="n">
        <v>21003</v>
      </c>
      <c r="I715" t="n">
        <v>-27896</v>
      </c>
      <c r="J715" t="n">
        <v>2158</v>
      </c>
      <c r="K715" t="n">
        <v/>
      </c>
      <c r="L715" t="n">
        <v/>
      </c>
    </row>
    <row r="716">
      <c r="A716" s="64" t="n">
        <v>38881</v>
      </c>
      <c r="B716" t="n">
        <v>11952</v>
      </c>
      <c r="C716" t="n">
        <v/>
      </c>
      <c r="D716" t="n">
        <v>33351</v>
      </c>
      <c r="E716" t="n">
        <v>-2882</v>
      </c>
      <c r="F716" t="n">
        <v>61846</v>
      </c>
      <c r="G716" t="n">
        <v>22094</v>
      </c>
      <c r="H716" t="n">
        <v>-9597</v>
      </c>
      <c r="I716" t="n">
        <v>-26231</v>
      </c>
      <c r="J716" t="n">
        <v>2313</v>
      </c>
      <c r="K716" t="n">
        <v/>
      </c>
      <c r="L716" t="n">
        <v/>
      </c>
    </row>
    <row r="717">
      <c r="A717" s="64" t="n">
        <v>38888</v>
      </c>
      <c r="B717" t="n">
        <v>-2412</v>
      </c>
      <c r="C717" t="n">
        <v/>
      </c>
      <c r="D717" t="n">
        <v>23978</v>
      </c>
      <c r="E717" t="n">
        <v>-5472</v>
      </c>
      <c r="F717" t="n">
        <v>52490</v>
      </c>
      <c r="G717" t="n">
        <v>23402</v>
      </c>
      <c r="H717" t="n">
        <v>-23007</v>
      </c>
      <c r="I717" t="n">
        <v>-29043</v>
      </c>
      <c r="J717" t="n">
        <v/>
      </c>
      <c r="K717" t="n">
        <v/>
      </c>
      <c r="L717" t="n">
        <v/>
      </c>
    </row>
    <row r="718">
      <c r="A718" s="64" t="n">
        <v>38895</v>
      </c>
      <c r="B718" t="n">
        <v>2706</v>
      </c>
      <c r="C718" t="n">
        <v/>
      </c>
      <c r="D718" t="n">
        <v>30309</v>
      </c>
      <c r="E718" t="n">
        <v>-15889</v>
      </c>
      <c r="F718" t="n">
        <v>64670</v>
      </c>
      <c r="G718" t="n">
        <v>6571</v>
      </c>
      <c r="H718" t="n">
        <v>-35572</v>
      </c>
      <c r="I718" t="n">
        <v>-27818</v>
      </c>
      <c r="J718" t="n">
        <v/>
      </c>
      <c r="K718" t="n">
        <v/>
      </c>
      <c r="L718" t="n">
        <v/>
      </c>
    </row>
    <row r="719">
      <c r="A719" s="64" t="n">
        <v>38902</v>
      </c>
      <c r="B719" t="n">
        <v>5061</v>
      </c>
      <c r="C719" t="n">
        <v/>
      </c>
      <c r="D719" t="n">
        <v>36447</v>
      </c>
      <c r="E719" t="n">
        <v>-4314</v>
      </c>
      <c r="F719" t="n">
        <v>68545</v>
      </c>
      <c r="G719" t="n">
        <v>11863</v>
      </c>
      <c r="H719" t="n">
        <v>-23909</v>
      </c>
      <c r="I719" t="n">
        <v>-11636</v>
      </c>
      <c r="J719" t="n">
        <v/>
      </c>
      <c r="K719" t="n">
        <v/>
      </c>
      <c r="L719" t="n">
        <v/>
      </c>
    </row>
    <row r="720">
      <c r="A720" s="64" t="n">
        <v>38909</v>
      </c>
      <c r="B720" t="n">
        <v>16936</v>
      </c>
      <c r="C720" t="n">
        <v/>
      </c>
      <c r="D720" t="n">
        <v>11621</v>
      </c>
      <c r="E720" t="n">
        <v>-7259</v>
      </c>
      <c r="F720" t="n">
        <v>77895</v>
      </c>
      <c r="G720" t="n">
        <v>13749</v>
      </c>
      <c r="H720" t="n">
        <v>-20704</v>
      </c>
      <c r="I720" t="n">
        <v>-4357</v>
      </c>
      <c r="J720" t="n">
        <v>-943</v>
      </c>
      <c r="K720" t="n">
        <v/>
      </c>
      <c r="L720" t="n">
        <v/>
      </c>
    </row>
    <row r="721">
      <c r="A721" s="64" t="n">
        <v>38916</v>
      </c>
      <c r="B721" t="n">
        <v>28215</v>
      </c>
      <c r="C721" t="n">
        <v/>
      </c>
      <c r="D721" t="n">
        <v>9284</v>
      </c>
      <c r="E721" t="n">
        <v>-15417</v>
      </c>
      <c r="F721" t="n">
        <v>51694</v>
      </c>
      <c r="G721" t="n">
        <v>17077</v>
      </c>
      <c r="H721" t="n">
        <v>-69049</v>
      </c>
      <c r="I721" t="n">
        <v>6426</v>
      </c>
      <c r="J721" t="n">
        <v>3568</v>
      </c>
      <c r="K721" t="n">
        <v/>
      </c>
      <c r="L721" t="n">
        <v/>
      </c>
    </row>
    <row r="722">
      <c r="A722" s="64" t="n">
        <v>38923</v>
      </c>
      <c r="B722" t="n">
        <v>33392</v>
      </c>
      <c r="C722" t="n">
        <v/>
      </c>
      <c r="D722" t="n">
        <v>-5419</v>
      </c>
      <c r="E722" t="n">
        <v>-20960</v>
      </c>
      <c r="F722" t="n">
        <v>50301</v>
      </c>
      <c r="G722" t="n">
        <v>22659</v>
      </c>
      <c r="H722" t="n">
        <v>-76886</v>
      </c>
      <c r="I722" t="n">
        <v>8071</v>
      </c>
      <c r="J722" t="n">
        <v>5445</v>
      </c>
      <c r="K722" t="n">
        <v/>
      </c>
      <c r="L722" t="n">
        <v/>
      </c>
    </row>
    <row r="723">
      <c r="A723" s="64" t="n">
        <v>38930</v>
      </c>
      <c r="B723" t="n">
        <v>38113</v>
      </c>
      <c r="C723" t="n">
        <v/>
      </c>
      <c r="D723" t="n">
        <v>-7416</v>
      </c>
      <c r="E723" t="n">
        <v>-9394</v>
      </c>
      <c r="F723" t="n">
        <v>73429</v>
      </c>
      <c r="G723" t="n">
        <v>45003</v>
      </c>
      <c r="H723" t="n">
        <v>-42984</v>
      </c>
      <c r="I723" t="n">
        <v>17675</v>
      </c>
      <c r="J723" t="n">
        <v>8203</v>
      </c>
      <c r="K723" t="n">
        <v/>
      </c>
      <c r="L723" t="n">
        <v/>
      </c>
    </row>
    <row r="724">
      <c r="A724" s="64" t="n">
        <v>38937</v>
      </c>
      <c r="B724" t="n">
        <v>33057</v>
      </c>
      <c r="C724" t="n">
        <v/>
      </c>
      <c r="D724" t="n">
        <v>9830</v>
      </c>
      <c r="E724" t="n">
        <v>-14853</v>
      </c>
      <c r="F724" t="n">
        <v>92108</v>
      </c>
      <c r="G724" t="n">
        <v>55626</v>
      </c>
      <c r="H724" t="n">
        <v>-51791</v>
      </c>
      <c r="I724" t="n">
        <v>21909</v>
      </c>
      <c r="J724" t="n">
        <v>6945</v>
      </c>
      <c r="K724" t="n">
        <v/>
      </c>
      <c r="L724" t="n">
        <v/>
      </c>
    </row>
    <row r="725">
      <c r="A725" s="64" t="n">
        <v>38944</v>
      </c>
      <c r="B725" t="n">
        <v>39092</v>
      </c>
      <c r="C725" t="n">
        <v/>
      </c>
      <c r="D725" t="n">
        <v>8597</v>
      </c>
      <c r="E725" t="n">
        <v>-15247</v>
      </c>
      <c r="F725" t="n">
        <v>90204</v>
      </c>
      <c r="G725" t="n">
        <v>63196</v>
      </c>
      <c r="H725" t="n">
        <v>-62274</v>
      </c>
      <c r="I725" t="n">
        <v>35634</v>
      </c>
      <c r="J725" t="n">
        <v>13262</v>
      </c>
      <c r="K725" t="n">
        <v/>
      </c>
      <c r="L725" t="n">
        <v/>
      </c>
    </row>
    <row r="726">
      <c r="A726" s="64" t="n">
        <v>38951</v>
      </c>
      <c r="B726" t="n">
        <v>30075</v>
      </c>
      <c r="C726" t="n">
        <v/>
      </c>
      <c r="D726" t="n">
        <v>15493</v>
      </c>
      <c r="E726" t="n">
        <v>-10465</v>
      </c>
      <c r="F726" t="n">
        <v>81470</v>
      </c>
      <c r="G726" t="n">
        <v>56816</v>
      </c>
      <c r="H726" t="n">
        <v>-75077</v>
      </c>
      <c r="I726" t="n">
        <v>24841</v>
      </c>
      <c r="J726" t="n">
        <v>11491</v>
      </c>
      <c r="K726" t="n">
        <v/>
      </c>
      <c r="L726" t="n">
        <v/>
      </c>
    </row>
    <row r="727">
      <c r="A727" s="64" t="n">
        <v>38958</v>
      </c>
      <c r="B727" t="n">
        <v>33241</v>
      </c>
      <c r="C727" t="n">
        <v/>
      </c>
      <c r="D727" t="n">
        <v>30605</v>
      </c>
      <c r="E727" t="n">
        <v>-12635</v>
      </c>
      <c r="F727" t="n">
        <v>79637</v>
      </c>
      <c r="G727" t="n">
        <v>56125</v>
      </c>
      <c r="H727" t="n">
        <v>-88329</v>
      </c>
      <c r="I727" t="n">
        <v>22805</v>
      </c>
      <c r="J727" t="n">
        <v>10516</v>
      </c>
      <c r="K727" t="n">
        <v/>
      </c>
      <c r="L727" t="n">
        <v/>
      </c>
    </row>
    <row r="728">
      <c r="A728" s="64" t="n">
        <v>38965</v>
      </c>
      <c r="B728" t="n">
        <v>47946</v>
      </c>
      <c r="C728" t="n">
        <v/>
      </c>
      <c r="D728" t="n">
        <v>27466</v>
      </c>
      <c r="E728" t="n">
        <v>-19146</v>
      </c>
      <c r="F728" t="n">
        <v>75016</v>
      </c>
      <c r="G728" t="n">
        <v>53932</v>
      </c>
      <c r="H728" t="n">
        <v>-69498</v>
      </c>
      <c r="I728" t="n">
        <v>27671</v>
      </c>
      <c r="J728" t="n">
        <v>11043</v>
      </c>
      <c r="K728" t="n">
        <v/>
      </c>
      <c r="L728" t="n">
        <v/>
      </c>
    </row>
    <row r="729">
      <c r="A729" s="64" t="n">
        <v>38972</v>
      </c>
      <c r="B729" t="n">
        <v>24534</v>
      </c>
      <c r="C729" t="n">
        <v/>
      </c>
      <c r="D729" t="n">
        <v>14782</v>
      </c>
      <c r="E729" t="n">
        <v>-33241</v>
      </c>
      <c r="F729" t="n">
        <v>66717</v>
      </c>
      <c r="G729" t="n">
        <v>37581</v>
      </c>
      <c r="H729" t="n">
        <v>-99452</v>
      </c>
      <c r="I729" t="n">
        <v>8074</v>
      </c>
      <c r="J729" t="n">
        <v>9511</v>
      </c>
      <c r="K729" t="n">
        <v/>
      </c>
      <c r="L729" t="n">
        <v/>
      </c>
    </row>
    <row r="730">
      <c r="A730" s="64" t="n">
        <v>38979</v>
      </c>
      <c r="B730" t="n">
        <v>33632</v>
      </c>
      <c r="C730" t="n">
        <v/>
      </c>
      <c r="D730" t="n">
        <v>855</v>
      </c>
      <c r="E730" t="n">
        <v>-44034</v>
      </c>
      <c r="F730" t="n">
        <v>51114</v>
      </c>
      <c r="G730" t="n">
        <v>42953</v>
      </c>
      <c r="H730" t="n">
        <v>-90804</v>
      </c>
      <c r="I730" t="n">
        <v>2462</v>
      </c>
      <c r="J730" t="n">
        <v>12882</v>
      </c>
      <c r="K730" t="n">
        <v/>
      </c>
      <c r="L730" t="n">
        <v/>
      </c>
    </row>
    <row r="731">
      <c r="A731" s="64" t="n">
        <v>38986</v>
      </c>
      <c r="B731" t="n">
        <v>30089</v>
      </c>
      <c r="C731" t="n">
        <v/>
      </c>
      <c r="D731" t="n">
        <v>6510</v>
      </c>
      <c r="E731" t="n">
        <v>-29020</v>
      </c>
      <c r="F731" t="n">
        <v>49942</v>
      </c>
      <c r="G731" t="n">
        <v>56967</v>
      </c>
      <c r="H731" t="n">
        <v>-87358</v>
      </c>
      <c r="I731" t="n">
        <v>-4267</v>
      </c>
      <c r="J731" t="n">
        <v>12673</v>
      </c>
      <c r="K731" t="n">
        <v/>
      </c>
      <c r="L731" t="n">
        <v/>
      </c>
    </row>
    <row r="732">
      <c r="A732" s="64" t="n">
        <v>38993</v>
      </c>
      <c r="B732" t="n">
        <v>21581</v>
      </c>
      <c r="C732" t="n">
        <v/>
      </c>
      <c r="D732" t="n">
        <v>9279</v>
      </c>
      <c r="E732" t="n">
        <v>-30127</v>
      </c>
      <c r="F732" t="n">
        <v>56217</v>
      </c>
      <c r="G732" t="n">
        <v>44946</v>
      </c>
      <c r="H732" t="n">
        <v>-104151</v>
      </c>
      <c r="I732" t="n">
        <v>5664</v>
      </c>
      <c r="J732" t="n">
        <v>7775</v>
      </c>
      <c r="K732" t="n">
        <v/>
      </c>
      <c r="L732" t="n">
        <v/>
      </c>
    </row>
    <row r="733">
      <c r="A733" s="64" t="n">
        <v>39000</v>
      </c>
      <c r="B733" t="n">
        <v>35250</v>
      </c>
      <c r="C733" t="n">
        <v/>
      </c>
      <c r="D733" t="n">
        <v>1859</v>
      </c>
      <c r="E733" t="n">
        <v>-60420</v>
      </c>
      <c r="F733" t="n">
        <v>36528</v>
      </c>
      <c r="G733" t="n">
        <v>19835</v>
      </c>
      <c r="H733" t="n">
        <v>-123598</v>
      </c>
      <c r="I733" t="n">
        <v>9772</v>
      </c>
      <c r="J733" t="n">
        <v>10109</v>
      </c>
      <c r="K733" t="n">
        <v/>
      </c>
      <c r="L733" t="n">
        <v/>
      </c>
    </row>
    <row r="734">
      <c r="A734" s="64" t="n">
        <v>39007</v>
      </c>
      <c r="B734" t="n">
        <v>39689</v>
      </c>
      <c r="C734" t="n">
        <v/>
      </c>
      <c r="D734" t="n">
        <v>-24498</v>
      </c>
      <c r="E734" t="n">
        <v>-67208</v>
      </c>
      <c r="F734" t="n">
        <v>26592</v>
      </c>
      <c r="G734" t="n">
        <v>33305</v>
      </c>
      <c r="H734" t="n">
        <v>-112578</v>
      </c>
      <c r="I734" t="n">
        <v>52477</v>
      </c>
      <c r="J734" t="n">
        <v>13802</v>
      </c>
      <c r="K734" t="n">
        <v/>
      </c>
      <c r="L734" t="n">
        <v/>
      </c>
    </row>
    <row r="735">
      <c r="A735" s="64" t="n">
        <v>39014</v>
      </c>
      <c r="B735" t="n">
        <v>56424</v>
      </c>
      <c r="C735" t="n">
        <v/>
      </c>
      <c r="D735" t="n">
        <v>-14233</v>
      </c>
      <c r="E735" t="n">
        <v>-70223</v>
      </c>
      <c r="F735" t="n">
        <v>27151</v>
      </c>
      <c r="G735" t="n">
        <v>37165</v>
      </c>
      <c r="H735" t="n">
        <v>-137290</v>
      </c>
      <c r="I735" t="n">
        <v>67083</v>
      </c>
      <c r="J735" t="n">
        <v>15235</v>
      </c>
      <c r="K735" t="n">
        <v/>
      </c>
      <c r="L735" t="n">
        <v/>
      </c>
    </row>
    <row r="736">
      <c r="A736" s="64" t="n">
        <v>39021</v>
      </c>
      <c r="B736" t="n">
        <v>71353</v>
      </c>
      <c r="C736" t="n">
        <v/>
      </c>
      <c r="D736" t="n">
        <v>-23678</v>
      </c>
      <c r="E736" t="n">
        <v>-47069</v>
      </c>
      <c r="F736" t="n">
        <v>60048</v>
      </c>
      <c r="G736" t="n">
        <v>59864</v>
      </c>
      <c r="H736" t="n">
        <v>-59600</v>
      </c>
      <c r="I736" t="n">
        <v>82181</v>
      </c>
      <c r="J736" t="n">
        <v>12257</v>
      </c>
      <c r="K736" t="n">
        <v/>
      </c>
      <c r="L736" t="n">
        <v/>
      </c>
    </row>
    <row r="737">
      <c r="A737" s="64" t="n">
        <v>39028</v>
      </c>
      <c r="B737" t="n">
        <v>85615</v>
      </c>
      <c r="C737" t="n">
        <v/>
      </c>
      <c r="D737" t="n">
        <v>-20342</v>
      </c>
      <c r="E737" t="n">
        <v>-55701</v>
      </c>
      <c r="F737" t="n">
        <v>68925</v>
      </c>
      <c r="G737" t="n">
        <v>84280</v>
      </c>
      <c r="H737" t="n">
        <v>-63512</v>
      </c>
      <c r="I737" t="n">
        <v>58060</v>
      </c>
      <c r="J737" t="n">
        <v>13919</v>
      </c>
      <c r="K737" t="n">
        <v/>
      </c>
      <c r="L737" t="n">
        <v/>
      </c>
    </row>
    <row r="738">
      <c r="A738" s="64" t="n">
        <v>39035</v>
      </c>
      <c r="B738" t="n">
        <v>64950</v>
      </c>
      <c r="C738" t="n">
        <v/>
      </c>
      <c r="D738" t="n">
        <v>-47375</v>
      </c>
      <c r="E738" t="n">
        <v>-42545</v>
      </c>
      <c r="F738" t="n">
        <v>60475</v>
      </c>
      <c r="G738" t="n">
        <v>62252</v>
      </c>
      <c r="H738" t="n">
        <v>-55012</v>
      </c>
      <c r="I738" t="n">
        <v>34160</v>
      </c>
      <c r="J738" t="n">
        <v>10295</v>
      </c>
      <c r="K738" t="n">
        <v/>
      </c>
      <c r="L738" t="n">
        <v/>
      </c>
    </row>
    <row r="739">
      <c r="A739" s="64" t="n">
        <v>39042</v>
      </c>
      <c r="B739" t="n">
        <v>67461</v>
      </c>
      <c r="C739" t="n">
        <v/>
      </c>
      <c r="D739" t="n">
        <v>-58893</v>
      </c>
      <c r="E739" t="n">
        <v>-38797</v>
      </c>
      <c r="F739" t="n">
        <v>65306</v>
      </c>
      <c r="G739" t="n">
        <v>69089</v>
      </c>
      <c r="H739" t="n">
        <v>-80421</v>
      </c>
      <c r="I739" t="n">
        <v>12139</v>
      </c>
      <c r="J739" t="n">
        <v>12846</v>
      </c>
      <c r="K739" t="n">
        <v/>
      </c>
      <c r="L739" t="n">
        <v/>
      </c>
    </row>
    <row r="740">
      <c r="A740" s="64" t="n">
        <v>39049</v>
      </c>
      <c r="B740" t="n">
        <v>79758</v>
      </c>
      <c r="C740" t="n">
        <v/>
      </c>
      <c r="D740" t="n">
        <v>-40282</v>
      </c>
      <c r="E740" t="n">
        <v>-13903</v>
      </c>
      <c r="F740" t="n">
        <v>89594</v>
      </c>
      <c r="G740" t="n">
        <v>80626</v>
      </c>
      <c r="H740" t="n">
        <v>-41958</v>
      </c>
      <c r="I740" t="n">
        <v>3289</v>
      </c>
      <c r="J740" t="n">
        <v>12923</v>
      </c>
      <c r="K740" t="n">
        <v/>
      </c>
      <c r="L740" t="n">
        <v/>
      </c>
    </row>
    <row r="741">
      <c r="A741" s="64" t="n">
        <v>39056</v>
      </c>
      <c r="B741" t="n">
        <v>75311</v>
      </c>
      <c r="C741" t="n">
        <v/>
      </c>
      <c r="D741" t="n">
        <v>-46479</v>
      </c>
      <c r="E741" t="n">
        <v>-6468</v>
      </c>
      <c r="F741" t="n">
        <v>98265</v>
      </c>
      <c r="G741" t="n">
        <v>75832</v>
      </c>
      <c r="H741" t="n">
        <v>-23537</v>
      </c>
      <c r="I741" t="n">
        <v>25349</v>
      </c>
      <c r="J741" t="n">
        <v>14470</v>
      </c>
      <c r="K741" t="n">
        <v/>
      </c>
      <c r="L741" t="n">
        <v/>
      </c>
    </row>
    <row r="742">
      <c r="A742" s="64" t="n">
        <v>39063</v>
      </c>
      <c r="B742" t="n">
        <v>80914</v>
      </c>
      <c r="C742" t="n">
        <v/>
      </c>
      <c r="D742" t="n">
        <v>-52008</v>
      </c>
      <c r="E742" t="n">
        <v>-9772</v>
      </c>
      <c r="F742" t="n">
        <v>96683</v>
      </c>
      <c r="G742" t="n">
        <v>79169</v>
      </c>
      <c r="H742" t="n">
        <v>-55560</v>
      </c>
      <c r="I742" t="n">
        <v>47636</v>
      </c>
      <c r="J742" t="n">
        <v>16567</v>
      </c>
      <c r="K742" t="n">
        <v/>
      </c>
      <c r="L742" t="n">
        <v/>
      </c>
    </row>
    <row r="743">
      <c r="A743" s="64" t="n">
        <v>39070</v>
      </c>
      <c r="B743" t="n">
        <v>88900</v>
      </c>
      <c r="C743" t="n">
        <v/>
      </c>
      <c r="D743" t="n">
        <v>-57392</v>
      </c>
      <c r="E743" t="n">
        <v>-10838</v>
      </c>
      <c r="F743" t="n">
        <v>91970</v>
      </c>
      <c r="G743" t="n">
        <v>85598</v>
      </c>
      <c r="H743" t="n">
        <v>-92519</v>
      </c>
      <c r="I743" t="n">
        <v>60003</v>
      </c>
      <c r="J743" t="n">
        <v>17889</v>
      </c>
      <c r="K743" t="n">
        <v/>
      </c>
      <c r="L743" t="n">
        <v/>
      </c>
    </row>
    <row r="744">
      <c r="A744" s="64" t="n">
        <v>39077</v>
      </c>
      <c r="B744" t="n">
        <v>85035</v>
      </c>
      <c r="C744" t="n">
        <v/>
      </c>
      <c r="D744" t="n">
        <v>-66294</v>
      </c>
      <c r="E744" t="n">
        <v>-12285</v>
      </c>
      <c r="F744" t="n">
        <v>79970</v>
      </c>
      <c r="G744" t="n">
        <v>73844</v>
      </c>
      <c r="H744" t="n">
        <v>-104914</v>
      </c>
      <c r="I744" t="n">
        <v>54781</v>
      </c>
      <c r="J744" t="n">
        <v>17589</v>
      </c>
      <c r="K744" t="n">
        <v/>
      </c>
      <c r="L744" t="n">
        <v/>
      </c>
    </row>
    <row r="745">
      <c r="A745" s="64" t="n">
        <v>39084</v>
      </c>
      <c r="B745" t="n">
        <v>88823</v>
      </c>
      <c r="C745" t="n">
        <v/>
      </c>
      <c r="D745" t="n">
        <v>-74268</v>
      </c>
      <c r="E745" t="n">
        <v>-22798</v>
      </c>
      <c r="F745" t="n">
        <v>77456</v>
      </c>
      <c r="G745" t="n">
        <v>65157</v>
      </c>
      <c r="H745" t="n">
        <v>-118592</v>
      </c>
      <c r="I745" t="n">
        <v>67873</v>
      </c>
      <c r="J745" t="n">
        <v>18352</v>
      </c>
      <c r="K745" t="n">
        <v/>
      </c>
      <c r="L745" t="n">
        <v/>
      </c>
    </row>
    <row r="746">
      <c r="A746" s="64" t="n">
        <v>39091</v>
      </c>
      <c r="B746" t="n">
        <v>49878</v>
      </c>
      <c r="C746" t="n">
        <v/>
      </c>
      <c r="D746" t="n">
        <v>-84906</v>
      </c>
      <c r="E746" t="n">
        <v>-40371</v>
      </c>
      <c r="F746" t="n">
        <v>75172</v>
      </c>
      <c r="G746" t="n">
        <v>58653</v>
      </c>
      <c r="H746" t="n">
        <v>-123343</v>
      </c>
      <c r="I746" t="n">
        <v>27866</v>
      </c>
      <c r="J746" t="n">
        <v>14618</v>
      </c>
      <c r="K746" t="n">
        <v/>
      </c>
      <c r="L746" t="n">
        <v/>
      </c>
    </row>
    <row r="747">
      <c r="A747" s="64" t="n">
        <v>39098</v>
      </c>
      <c r="B747" t="n">
        <v>66756</v>
      </c>
      <c r="C747" t="n">
        <v/>
      </c>
      <c r="D747" t="n">
        <v>-78967</v>
      </c>
      <c r="E747" t="n">
        <v>-42248</v>
      </c>
      <c r="F747" t="n">
        <v>53542</v>
      </c>
      <c r="G747" t="n">
        <v>84318</v>
      </c>
      <c r="H747" t="n">
        <v>-138146</v>
      </c>
      <c r="I747" t="n">
        <v>26500</v>
      </c>
      <c r="J747" t="n">
        <v>13401</v>
      </c>
      <c r="K747" t="n">
        <v/>
      </c>
      <c r="L747" t="n">
        <v/>
      </c>
    </row>
    <row r="748">
      <c r="A748" s="64" t="n">
        <v>39105</v>
      </c>
      <c r="B748" t="n">
        <v>77248</v>
      </c>
      <c r="C748" t="n">
        <v/>
      </c>
      <c r="D748" t="n">
        <v>-77857</v>
      </c>
      <c r="E748" t="n">
        <v>-44081</v>
      </c>
      <c r="F748" t="n">
        <v>61010</v>
      </c>
      <c r="G748" t="n">
        <v>94728</v>
      </c>
      <c r="H748" t="n">
        <v>-164860</v>
      </c>
      <c r="I748" t="n">
        <v>18105</v>
      </c>
      <c r="J748" t="n">
        <v>10195</v>
      </c>
      <c r="K748" t="n">
        <v/>
      </c>
      <c r="L748" t="n">
        <v/>
      </c>
    </row>
    <row r="749">
      <c r="A749" s="64" t="n">
        <v>39112</v>
      </c>
      <c r="B749" t="n">
        <v>64205</v>
      </c>
      <c r="C749" t="n">
        <v/>
      </c>
      <c r="D749" t="n">
        <v>-70876</v>
      </c>
      <c r="E749" t="n">
        <v>-59580</v>
      </c>
      <c r="F749" t="n">
        <v>62579</v>
      </c>
      <c r="G749" t="n">
        <v>76927</v>
      </c>
      <c r="H749" t="n">
        <v>-173005</v>
      </c>
      <c r="I749" t="n">
        <v>10515</v>
      </c>
      <c r="J749" t="n">
        <v>8121</v>
      </c>
      <c r="K749" t="n">
        <v/>
      </c>
      <c r="L749" t="n">
        <v/>
      </c>
    </row>
    <row r="750">
      <c r="A750" s="64" t="n">
        <v>39119</v>
      </c>
      <c r="B750" t="n">
        <v>61245</v>
      </c>
      <c r="C750" t="n">
        <v/>
      </c>
      <c r="D750" t="n">
        <v>-80646</v>
      </c>
      <c r="E750" t="n">
        <v>-42925</v>
      </c>
      <c r="F750" t="n">
        <v>45330</v>
      </c>
      <c r="G750" t="n">
        <v>92728</v>
      </c>
      <c r="H750" t="n">
        <v>-128526</v>
      </c>
      <c r="I750" t="n">
        <v>16714</v>
      </c>
      <c r="J750" t="n">
        <v>10121</v>
      </c>
      <c r="K750" t="n">
        <v/>
      </c>
      <c r="L750" t="n">
        <v/>
      </c>
    </row>
    <row r="751">
      <c r="A751" s="64" t="n">
        <v>39126</v>
      </c>
      <c r="B751" t="n">
        <v>64868</v>
      </c>
      <c r="C751" t="n">
        <v/>
      </c>
      <c r="D751" t="n">
        <v>-56695</v>
      </c>
      <c r="E751" t="n">
        <v>-63406</v>
      </c>
      <c r="F751" t="n">
        <v>83795</v>
      </c>
      <c r="G751" t="n">
        <v>48598</v>
      </c>
      <c r="H751" t="n">
        <v>-167505</v>
      </c>
      <c r="I751" t="n">
        <v>21407</v>
      </c>
      <c r="J751" t="n">
        <v>12473</v>
      </c>
      <c r="K751" t="n">
        <v/>
      </c>
      <c r="L751" t="n">
        <v/>
      </c>
    </row>
    <row r="752">
      <c r="A752" s="64" t="n">
        <v>39133</v>
      </c>
      <c r="B752" t="n">
        <v>69617</v>
      </c>
      <c r="C752" t="n">
        <v/>
      </c>
      <c r="D752" t="n">
        <v>-65426</v>
      </c>
      <c r="E752" t="n">
        <v>-55553</v>
      </c>
      <c r="F752" t="n">
        <v>99326</v>
      </c>
      <c r="G752" t="n">
        <v>59153</v>
      </c>
      <c r="H752" t="n">
        <v>-116195</v>
      </c>
      <c r="I752" t="n">
        <v>17618</v>
      </c>
      <c r="J752" t="n">
        <v>15868</v>
      </c>
      <c r="K752" t="n">
        <v/>
      </c>
      <c r="L752" t="n">
        <v/>
      </c>
    </row>
    <row r="753">
      <c r="A753" s="64" t="n">
        <v>39140</v>
      </c>
      <c r="B753" t="n">
        <v>83075</v>
      </c>
      <c r="C753" t="n">
        <v/>
      </c>
      <c r="D753" t="n">
        <v>-56424</v>
      </c>
      <c r="E753" t="n">
        <v>-44685</v>
      </c>
      <c r="F753" t="n">
        <v>102598</v>
      </c>
      <c r="G753" t="n">
        <v>68028</v>
      </c>
      <c r="H753" t="n">
        <v>-114626</v>
      </c>
      <c r="I753" t="n">
        <v>182</v>
      </c>
      <c r="J753" t="n">
        <v>16506</v>
      </c>
      <c r="K753" t="n">
        <v/>
      </c>
      <c r="L753" t="n">
        <v/>
      </c>
    </row>
    <row r="754">
      <c r="A754" s="64" t="n">
        <v>39147</v>
      </c>
      <c r="B754" t="n">
        <v>27010</v>
      </c>
      <c r="C754" t="n">
        <v/>
      </c>
      <c r="D754" t="n">
        <v>-74925</v>
      </c>
      <c r="E754" t="n">
        <v>-21867</v>
      </c>
      <c r="F754" t="n">
        <v>88679</v>
      </c>
      <c r="G754" t="n">
        <v>27393</v>
      </c>
      <c r="H754" t="n">
        <v>-62886</v>
      </c>
      <c r="I754" t="n">
        <v>-15595</v>
      </c>
      <c r="J754" t="n">
        <v>14289</v>
      </c>
      <c r="K754" t="n">
        <v/>
      </c>
      <c r="L754" t="n">
        <v/>
      </c>
    </row>
    <row r="755">
      <c r="A755" s="64" t="n">
        <v>39154</v>
      </c>
      <c r="B755" t="n">
        <v>48107</v>
      </c>
      <c r="C755" t="n">
        <v/>
      </c>
      <c r="D755" t="n">
        <v>-74139</v>
      </c>
      <c r="E755" t="n">
        <v>-24891</v>
      </c>
      <c r="F755" t="n">
        <v>96155</v>
      </c>
      <c r="G755" t="n">
        <v>20403</v>
      </c>
      <c r="H755" t="n">
        <v>-52853</v>
      </c>
      <c r="I755" t="n">
        <v>-14528</v>
      </c>
      <c r="J755" t="n">
        <v>14762</v>
      </c>
      <c r="K755" t="n">
        <v/>
      </c>
      <c r="L755" t="n">
        <v/>
      </c>
    </row>
    <row r="756">
      <c r="A756" s="64" t="n">
        <v>39161</v>
      </c>
      <c r="B756" t="n">
        <v>63165</v>
      </c>
      <c r="C756" t="n">
        <v/>
      </c>
      <c r="D756" t="n">
        <v>-51153</v>
      </c>
      <c r="E756" t="n">
        <v>-15002</v>
      </c>
      <c r="F756" t="n">
        <v>87956</v>
      </c>
      <c r="G756" t="n">
        <v>46129</v>
      </c>
      <c r="H756" t="n">
        <v>-49953</v>
      </c>
      <c r="I756" t="n">
        <v>-19016</v>
      </c>
      <c r="J756" t="n">
        <v>18856</v>
      </c>
      <c r="K756" t="n">
        <v/>
      </c>
      <c r="L756" t="n">
        <v/>
      </c>
    </row>
    <row r="757">
      <c r="A757" s="64" t="n">
        <v>39168</v>
      </c>
      <c r="B757" t="n">
        <v>80597</v>
      </c>
      <c r="C757" t="n">
        <v/>
      </c>
      <c r="D757" t="n">
        <v>-31982</v>
      </c>
      <c r="E757" t="n">
        <v>-11559</v>
      </c>
      <c r="F757" t="n">
        <v>93741</v>
      </c>
      <c r="G757" t="n">
        <v>42578</v>
      </c>
      <c r="H757" t="n">
        <v>-47480</v>
      </c>
      <c r="I757" t="n">
        <v>3544</v>
      </c>
      <c r="J757" t="n">
        <v>22788</v>
      </c>
      <c r="K757" t="n">
        <v/>
      </c>
      <c r="L757" t="n">
        <v/>
      </c>
    </row>
    <row r="758">
      <c r="A758" s="64" t="n">
        <v>39175</v>
      </c>
      <c r="B758" t="n">
        <v>81831</v>
      </c>
      <c r="C758" t="n">
        <v/>
      </c>
      <c r="D758" t="n">
        <v>-35165</v>
      </c>
      <c r="E758" t="n">
        <v>-27265</v>
      </c>
      <c r="F758" t="n">
        <v>95078</v>
      </c>
      <c r="G758" t="n">
        <v>55843</v>
      </c>
      <c r="H758" t="n">
        <v>-63858</v>
      </c>
      <c r="I758" t="n">
        <v>1783</v>
      </c>
      <c r="J758" t="n">
        <v>22525</v>
      </c>
      <c r="K758" t="n">
        <v/>
      </c>
      <c r="L758" t="n">
        <v/>
      </c>
    </row>
    <row r="759">
      <c r="A759" s="64" t="n">
        <v>39182</v>
      </c>
      <c r="B759" t="n">
        <v>74355</v>
      </c>
      <c r="C759" t="n">
        <v/>
      </c>
      <c r="D759" t="n">
        <v>-15564</v>
      </c>
      <c r="E759" t="n">
        <v>-23206</v>
      </c>
      <c r="F759" t="n">
        <v>104394</v>
      </c>
      <c r="G759" t="n">
        <v>48417</v>
      </c>
      <c r="H759" t="n">
        <v>-64841</v>
      </c>
      <c r="I759" t="n">
        <v>13744</v>
      </c>
      <c r="J759" t="n">
        <v>20067</v>
      </c>
      <c r="K759" t="n">
        <v/>
      </c>
      <c r="L759" t="n">
        <v/>
      </c>
    </row>
    <row r="760">
      <c r="A760" s="64" t="n">
        <v>39189</v>
      </c>
      <c r="B760" t="n">
        <v>78317</v>
      </c>
      <c r="C760" t="n">
        <v/>
      </c>
      <c r="D760" t="n">
        <v>-15991</v>
      </c>
      <c r="E760" t="n">
        <v>-22372</v>
      </c>
      <c r="F760" t="n">
        <v>106770</v>
      </c>
      <c r="G760" t="n">
        <v>59667</v>
      </c>
      <c r="H760" t="n">
        <v>-70519</v>
      </c>
      <c r="I760" t="n">
        <v>9759</v>
      </c>
      <c r="J760" t="n">
        <v>23097</v>
      </c>
      <c r="K760" t="n">
        <v/>
      </c>
      <c r="L760" t="n">
        <v/>
      </c>
    </row>
    <row r="761">
      <c r="A761" s="64" t="n">
        <v>39196</v>
      </c>
      <c r="B761" t="n">
        <v>76477</v>
      </c>
      <c r="C761" t="n">
        <v/>
      </c>
      <c r="D761" t="n">
        <v>-1631</v>
      </c>
      <c r="E761" t="n">
        <v>-16851</v>
      </c>
      <c r="F761" t="n">
        <v>111282</v>
      </c>
      <c r="G761" t="n">
        <v>70066</v>
      </c>
      <c r="H761" t="n">
        <v>-81772</v>
      </c>
      <c r="I761" t="n">
        <v>5729</v>
      </c>
      <c r="J761" t="n">
        <v>21103</v>
      </c>
      <c r="K761" t="n">
        <v/>
      </c>
      <c r="L761" t="n">
        <v/>
      </c>
    </row>
    <row r="762">
      <c r="A762" s="64" t="n">
        <v>39203</v>
      </c>
      <c r="B762" t="n">
        <v>63845</v>
      </c>
      <c r="C762" t="n">
        <v/>
      </c>
      <c r="D762" t="n">
        <v>8851</v>
      </c>
      <c r="E762" t="n">
        <v>-31170</v>
      </c>
      <c r="F762" t="n">
        <v>106688</v>
      </c>
      <c r="G762" t="n">
        <v>63993</v>
      </c>
      <c r="H762" t="n">
        <v>-118782</v>
      </c>
      <c r="I762" t="n">
        <v>26567</v>
      </c>
      <c r="J762" t="n">
        <v>17523</v>
      </c>
      <c r="K762" t="n">
        <v/>
      </c>
      <c r="L762" t="n">
        <v/>
      </c>
    </row>
    <row r="763">
      <c r="A763" s="64" t="n">
        <v>39210</v>
      </c>
      <c r="B763" t="n">
        <v>73626</v>
      </c>
      <c r="C763" t="n">
        <v/>
      </c>
      <c r="D763" t="n">
        <v>17819</v>
      </c>
      <c r="E763" t="n">
        <v>-34352</v>
      </c>
      <c r="F763" t="n">
        <v>105270</v>
      </c>
      <c r="G763" t="n">
        <v>51997</v>
      </c>
      <c r="H763" t="n">
        <v>-112259</v>
      </c>
      <c r="I763" t="n">
        <v>48327</v>
      </c>
      <c r="J763" t="n">
        <v>15255</v>
      </c>
      <c r="K763" t="n">
        <v/>
      </c>
      <c r="L763" t="n">
        <v/>
      </c>
    </row>
    <row r="764">
      <c r="A764" s="64" t="n">
        <v>39217</v>
      </c>
      <c r="B764" t="n">
        <v>75138</v>
      </c>
      <c r="C764" t="n">
        <v/>
      </c>
      <c r="D764" t="n">
        <v>43097</v>
      </c>
      <c r="E764" t="n">
        <v>-34745</v>
      </c>
      <c r="F764" t="n">
        <v>119538</v>
      </c>
      <c r="G764" t="n">
        <v>41078</v>
      </c>
      <c r="H764" t="n">
        <v>-127896</v>
      </c>
      <c r="I764" t="n">
        <v>63062</v>
      </c>
      <c r="J764" t="n">
        <v>19239</v>
      </c>
      <c r="K764" t="n">
        <v/>
      </c>
      <c r="L764" t="n">
        <v/>
      </c>
    </row>
    <row r="765">
      <c r="A765" s="64" t="n">
        <v>39224</v>
      </c>
      <c r="B765" t="n">
        <v>47300</v>
      </c>
      <c r="C765" t="n">
        <v/>
      </c>
      <c r="D765" t="n">
        <v>38967</v>
      </c>
      <c r="E765" t="n">
        <v>-65869</v>
      </c>
      <c r="F765" t="n">
        <v>95287</v>
      </c>
      <c r="G765" t="n">
        <v>35338</v>
      </c>
      <c r="H765" t="n">
        <v>-151746</v>
      </c>
      <c r="I765" t="n">
        <v>69238</v>
      </c>
      <c r="J765" t="n">
        <v>15807</v>
      </c>
      <c r="K765" t="n">
        <v/>
      </c>
      <c r="L765" t="n">
        <v/>
      </c>
    </row>
    <row r="766">
      <c r="A766" s="64" t="n">
        <v>39231</v>
      </c>
      <c r="B766" t="n">
        <v>39338</v>
      </c>
      <c r="C766" t="n">
        <v/>
      </c>
      <c r="D766" t="n">
        <v>52020</v>
      </c>
      <c r="E766" t="n">
        <v>-59208</v>
      </c>
      <c r="F766" t="n">
        <v>94319</v>
      </c>
      <c r="G766" t="n">
        <v>47410</v>
      </c>
      <c r="H766" t="n">
        <v>-146243</v>
      </c>
      <c r="I766" t="n">
        <v>86137</v>
      </c>
      <c r="J766" t="n">
        <v>14911</v>
      </c>
      <c r="K766" t="n">
        <v/>
      </c>
      <c r="L766" t="n">
        <v/>
      </c>
    </row>
    <row r="767">
      <c r="A767" s="64" t="n">
        <v>39238</v>
      </c>
      <c r="B767" t="n">
        <v>77256</v>
      </c>
      <c r="C767" t="n">
        <v/>
      </c>
      <c r="D767" t="n">
        <v>43858</v>
      </c>
      <c r="E767" t="n">
        <v>-58252</v>
      </c>
      <c r="F767" t="n">
        <v>84965</v>
      </c>
      <c r="G767" t="n">
        <v>61860</v>
      </c>
      <c r="H767" t="n">
        <v>-124006</v>
      </c>
      <c r="I767" t="n">
        <v>91056</v>
      </c>
      <c r="J767" t="n">
        <v>19918</v>
      </c>
      <c r="K767" t="n">
        <v/>
      </c>
      <c r="L767" t="n">
        <v/>
      </c>
    </row>
    <row r="768">
      <c r="A768" s="64" t="n">
        <v>39245</v>
      </c>
      <c r="B768" t="n">
        <v>73374</v>
      </c>
      <c r="C768" t="n">
        <v/>
      </c>
      <c r="D768" t="n">
        <v>62005</v>
      </c>
      <c r="E768" t="n">
        <v>-79181</v>
      </c>
      <c r="F768" t="n">
        <v>50638</v>
      </c>
      <c r="G768" t="n">
        <v>39417</v>
      </c>
      <c r="H768" t="n">
        <v>-127562</v>
      </c>
      <c r="I768" t="n">
        <v>56330</v>
      </c>
      <c r="J768" t="n">
        <v>26396</v>
      </c>
      <c r="K768" t="n">
        <v/>
      </c>
      <c r="L768" t="n">
        <v/>
      </c>
    </row>
    <row r="769">
      <c r="A769" s="64" t="n">
        <v>39252</v>
      </c>
      <c r="B769" t="n">
        <v>65213</v>
      </c>
      <c r="C769" t="n">
        <v/>
      </c>
      <c r="D769" t="n">
        <v>58796</v>
      </c>
      <c r="E769" t="n">
        <v>-79331</v>
      </c>
      <c r="F769" t="n">
        <v>46341</v>
      </c>
      <c r="G769" t="n">
        <v>71693</v>
      </c>
      <c r="H769" t="n">
        <v>-161361</v>
      </c>
      <c r="I769" t="n">
        <v>64573</v>
      </c>
      <c r="J769" t="n">
        <v>24316</v>
      </c>
      <c r="K769" t="n">
        <v/>
      </c>
      <c r="L769" t="n">
        <v/>
      </c>
    </row>
    <row r="770">
      <c r="A770" s="64" t="n">
        <v>39259</v>
      </c>
      <c r="B770" t="n">
        <v>66975</v>
      </c>
      <c r="C770" t="n">
        <v/>
      </c>
      <c r="D770" t="n">
        <v>68863</v>
      </c>
      <c r="E770" t="n">
        <v>-58831</v>
      </c>
      <c r="F770" t="n">
        <v>67433</v>
      </c>
      <c r="G770" t="n">
        <v>96134</v>
      </c>
      <c r="H770" t="n">
        <v>-188077</v>
      </c>
      <c r="I770" t="n">
        <v>41980</v>
      </c>
      <c r="J770" t="n">
        <v>23874</v>
      </c>
      <c r="K770" t="n">
        <v/>
      </c>
      <c r="L770" t="n">
        <v/>
      </c>
    </row>
    <row r="771">
      <c r="A771" s="64" t="n">
        <v>39266</v>
      </c>
      <c r="B771" t="n">
        <v>58097</v>
      </c>
      <c r="C771" t="n">
        <v/>
      </c>
      <c r="D771" t="n">
        <v>65253</v>
      </c>
      <c r="E771" t="n">
        <v>-33575</v>
      </c>
      <c r="F771" t="n">
        <v>76524</v>
      </c>
      <c r="G771" t="n">
        <v>98173</v>
      </c>
      <c r="H771" t="n">
        <v>-155138</v>
      </c>
      <c r="I771" t="n">
        <v>48780</v>
      </c>
      <c r="J771" t="n">
        <v>22894</v>
      </c>
      <c r="K771" t="n">
        <v/>
      </c>
      <c r="L771" t="n">
        <v/>
      </c>
    </row>
    <row r="772">
      <c r="A772" s="64" t="n">
        <v>39273</v>
      </c>
      <c r="B772" t="n">
        <v>65158</v>
      </c>
      <c r="C772" t="n">
        <v/>
      </c>
      <c r="D772" t="n">
        <v>67378</v>
      </c>
      <c r="E772" t="n">
        <v>-38072</v>
      </c>
      <c r="F772" t="n">
        <v>102896</v>
      </c>
      <c r="G772" t="n">
        <v>88531</v>
      </c>
      <c r="H772" t="n">
        <v>-125890</v>
      </c>
      <c r="I772" t="n">
        <v>52212</v>
      </c>
      <c r="J772" t="n">
        <v>23250</v>
      </c>
      <c r="K772" t="n">
        <v/>
      </c>
      <c r="L772" t="n">
        <v/>
      </c>
    </row>
    <row r="773">
      <c r="A773" s="64" t="n">
        <v>39280</v>
      </c>
      <c r="B773" t="n">
        <v>68256</v>
      </c>
      <c r="C773" t="n">
        <v/>
      </c>
      <c r="D773" t="n">
        <v>67272</v>
      </c>
      <c r="E773" t="n">
        <v>-35554</v>
      </c>
      <c r="F773" t="n">
        <v>99185</v>
      </c>
      <c r="G773" t="n">
        <v>98366</v>
      </c>
      <c r="H773" t="n">
        <v>-126773</v>
      </c>
      <c r="I773" t="n">
        <v>58167</v>
      </c>
      <c r="J773" t="n">
        <v>24386</v>
      </c>
      <c r="K773" t="n">
        <v/>
      </c>
      <c r="L773" t="n">
        <v/>
      </c>
    </row>
    <row r="774">
      <c r="A774" s="64" t="n">
        <v>39287</v>
      </c>
      <c r="B774" t="n">
        <v>66843</v>
      </c>
      <c r="C774" t="n">
        <v/>
      </c>
      <c r="D774" t="n">
        <v>76964</v>
      </c>
      <c r="E774" t="n">
        <v>-42877</v>
      </c>
      <c r="F774" t="n">
        <v>96415</v>
      </c>
      <c r="G774" t="n">
        <v>83504</v>
      </c>
      <c r="H774" t="n">
        <v>-92415</v>
      </c>
      <c r="I774" t="n">
        <v>47728</v>
      </c>
      <c r="J774" t="n">
        <v>27844</v>
      </c>
      <c r="K774" t="n">
        <v/>
      </c>
      <c r="L774" t="n">
        <v/>
      </c>
    </row>
    <row r="775">
      <c r="A775" s="64" t="n">
        <v>39294</v>
      </c>
      <c r="B775" t="n">
        <v>35773</v>
      </c>
      <c r="C775" t="n">
        <v/>
      </c>
      <c r="D775" t="n">
        <v>49698</v>
      </c>
      <c r="E775" t="n">
        <v>-14633</v>
      </c>
      <c r="F775" t="n">
        <v>78453</v>
      </c>
      <c r="G775" t="n">
        <v>68713</v>
      </c>
      <c r="H775" t="n">
        <v>-51162</v>
      </c>
      <c r="I775" t="n">
        <v>22606</v>
      </c>
      <c r="J775" t="n">
        <v>14264</v>
      </c>
      <c r="K775" t="n">
        <v/>
      </c>
      <c r="L775" t="n">
        <v/>
      </c>
    </row>
    <row r="776">
      <c r="A776" s="64" t="n">
        <v>39301</v>
      </c>
      <c r="B776" t="n">
        <v>30719</v>
      </c>
      <c r="C776" t="n">
        <v/>
      </c>
      <c r="D776" t="n">
        <v>51938</v>
      </c>
      <c r="E776" t="n">
        <v>-2304</v>
      </c>
      <c r="F776" t="n">
        <v>79029</v>
      </c>
      <c r="G776" t="n">
        <v>54133</v>
      </c>
      <c r="H776" t="n">
        <v>-34493</v>
      </c>
      <c r="I776" t="n">
        <v>16370</v>
      </c>
      <c r="J776" t="n">
        <v>16660</v>
      </c>
      <c r="K776" t="n">
        <v/>
      </c>
      <c r="L776" t="n">
        <v/>
      </c>
    </row>
    <row r="777">
      <c r="A777" s="64" t="n">
        <v>39308</v>
      </c>
      <c r="B777" t="n">
        <v>23320</v>
      </c>
      <c r="C777" t="n">
        <v/>
      </c>
      <c r="D777" t="n">
        <v>47810</v>
      </c>
      <c r="E777" t="n">
        <v>-13990</v>
      </c>
      <c r="F777" t="n">
        <v>64674</v>
      </c>
      <c r="G777" t="n">
        <v>41358</v>
      </c>
      <c r="H777" t="n">
        <v>-21889</v>
      </c>
      <c r="I777" t="n">
        <v>11715</v>
      </c>
      <c r="J777" t="n">
        <v>14037</v>
      </c>
      <c r="K777" t="n">
        <v/>
      </c>
      <c r="L777" t="n">
        <v/>
      </c>
    </row>
    <row r="778">
      <c r="A778" s="64" t="n">
        <v>39315</v>
      </c>
      <c r="B778" t="n">
        <v>4976</v>
      </c>
      <c r="C778" t="n">
        <v/>
      </c>
      <c r="D778" t="n">
        <v>40033</v>
      </c>
      <c r="E778" t="n">
        <v>-17279</v>
      </c>
      <c r="F778" t="n">
        <v>38463</v>
      </c>
      <c r="G778" t="n">
        <v>29139</v>
      </c>
      <c r="H778" t="n">
        <v>1516</v>
      </c>
      <c r="I778" t="n">
        <v>-24134</v>
      </c>
      <c r="J778" t="n">
        <v>8885</v>
      </c>
      <c r="K778" t="n">
        <v/>
      </c>
      <c r="L778" t="n">
        <v/>
      </c>
    </row>
    <row r="779">
      <c r="A779" s="64" t="n">
        <v>39322</v>
      </c>
      <c r="B779" t="n">
        <v>11959</v>
      </c>
      <c r="C779" t="n">
        <v/>
      </c>
      <c r="D779" t="n">
        <v>45094</v>
      </c>
      <c r="E779" t="n">
        <v>-18123</v>
      </c>
      <c r="F779" t="n">
        <v>42826</v>
      </c>
      <c r="G779" t="n">
        <v>34571</v>
      </c>
      <c r="H779" t="n">
        <v>9846</v>
      </c>
      <c r="I779" t="n">
        <v>-20202</v>
      </c>
      <c r="J779" t="n">
        <v>3825</v>
      </c>
      <c r="K779" t="n">
        <v/>
      </c>
      <c r="L779" t="n">
        <v/>
      </c>
    </row>
    <row r="780">
      <c r="A780" s="64" t="n">
        <v>39329</v>
      </c>
      <c r="B780" t="n">
        <v>26520</v>
      </c>
      <c r="C780" t="n">
        <v/>
      </c>
      <c r="D780" t="n">
        <v>51345</v>
      </c>
      <c r="E780" t="n">
        <v>-34475</v>
      </c>
      <c r="F780" t="n">
        <v>46645</v>
      </c>
      <c r="G780" t="n">
        <v>32574</v>
      </c>
      <c r="H780" t="n">
        <v>-7053</v>
      </c>
      <c r="I780" t="n">
        <v>-15920</v>
      </c>
      <c r="J780" t="n">
        <v>6343</v>
      </c>
      <c r="K780" t="n">
        <v/>
      </c>
      <c r="L780" t="n">
        <v/>
      </c>
    </row>
    <row r="781">
      <c r="A781" s="64" t="n">
        <v>39336</v>
      </c>
      <c r="B781" t="n">
        <v>30447</v>
      </c>
      <c r="C781" t="n">
        <v/>
      </c>
      <c r="D781" t="n">
        <v>58754</v>
      </c>
      <c r="E781" t="n">
        <v>2661</v>
      </c>
      <c r="F781" t="n">
        <v>58214</v>
      </c>
      <c r="G781" t="n">
        <v>41591</v>
      </c>
      <c r="H781" t="n">
        <v>5585</v>
      </c>
      <c r="I781" t="n">
        <v>-13133</v>
      </c>
      <c r="J781" t="n">
        <v>9674</v>
      </c>
      <c r="K781" t="n">
        <v/>
      </c>
      <c r="L781" t="n">
        <v/>
      </c>
    </row>
    <row r="782">
      <c r="A782" s="64" t="n">
        <v>39343</v>
      </c>
      <c r="B782" t="n">
        <v>23116</v>
      </c>
      <c r="C782" t="n">
        <v/>
      </c>
      <c r="D782" t="n">
        <v>79828</v>
      </c>
      <c r="E782" t="n">
        <v>5489</v>
      </c>
      <c r="F782" t="n">
        <v>86049</v>
      </c>
      <c r="G782" t="n">
        <v>13393</v>
      </c>
      <c r="H782" t="n">
        <v>-21067</v>
      </c>
      <c r="I782" t="n">
        <v>-28072</v>
      </c>
      <c r="J782" t="n">
        <v>11172</v>
      </c>
      <c r="K782" t="n">
        <v/>
      </c>
      <c r="L782" t="n">
        <v/>
      </c>
    </row>
    <row r="783">
      <c r="A783" s="64" t="n">
        <v>39350</v>
      </c>
      <c r="B783" t="n">
        <v>39042</v>
      </c>
      <c r="C783" t="n">
        <v/>
      </c>
      <c r="D783" t="n">
        <v>59162</v>
      </c>
      <c r="E783" t="n">
        <v>6292</v>
      </c>
      <c r="F783" t="n">
        <v>83448</v>
      </c>
      <c r="G783" t="n">
        <v>24557</v>
      </c>
      <c r="H783" t="n">
        <v>-2449</v>
      </c>
      <c r="I783" t="n">
        <v>-12921</v>
      </c>
      <c r="J783" t="n">
        <v>12722</v>
      </c>
      <c r="K783" t="n">
        <v/>
      </c>
      <c r="L783" t="n">
        <v/>
      </c>
    </row>
    <row r="784">
      <c r="A784" s="64" t="n">
        <v>39357</v>
      </c>
      <c r="B784" t="n">
        <v>54632</v>
      </c>
      <c r="C784" t="n">
        <v/>
      </c>
      <c r="D784" t="n">
        <v>69179</v>
      </c>
      <c r="E784" t="n">
        <v>-3078</v>
      </c>
      <c r="F784" t="n">
        <v>94440</v>
      </c>
      <c r="G784" t="n">
        <v>26554</v>
      </c>
      <c r="H784" t="n">
        <v>-28069</v>
      </c>
      <c r="I784" t="n">
        <v>-2143</v>
      </c>
      <c r="J784" t="n">
        <v>18494</v>
      </c>
      <c r="K784" t="n">
        <v/>
      </c>
      <c r="L784" t="n">
        <v/>
      </c>
    </row>
    <row r="785">
      <c r="A785" s="64" t="n">
        <v>39364</v>
      </c>
      <c r="B785" t="n">
        <v>49051</v>
      </c>
      <c r="C785" t="n">
        <v/>
      </c>
      <c r="D785" t="n">
        <v>83001</v>
      </c>
      <c r="E785" t="n">
        <v>-4091</v>
      </c>
      <c r="F785" t="n">
        <v>87166</v>
      </c>
      <c r="G785" t="n">
        <v>30488</v>
      </c>
      <c r="H785" t="n">
        <v>-45757</v>
      </c>
      <c r="I785" t="n">
        <v>10720</v>
      </c>
      <c r="J785" t="n">
        <v>21085</v>
      </c>
      <c r="K785" t="n">
        <v/>
      </c>
      <c r="L785" t="n">
        <v/>
      </c>
    </row>
    <row r="786">
      <c r="A786" s="64" t="n">
        <v>39371</v>
      </c>
      <c r="B786" t="n">
        <v>55589</v>
      </c>
      <c r="C786" t="n">
        <v/>
      </c>
      <c r="D786" t="n">
        <v>76949</v>
      </c>
      <c r="E786" t="n">
        <v>-8189</v>
      </c>
      <c r="F786" t="n">
        <v>86604</v>
      </c>
      <c r="G786" t="n">
        <v>35704</v>
      </c>
      <c r="H786" t="n">
        <v>-38613</v>
      </c>
      <c r="I786" t="n">
        <v>30194</v>
      </c>
      <c r="J786" t="n">
        <v>22385</v>
      </c>
      <c r="K786" t="n">
        <v/>
      </c>
      <c r="L786" t="n">
        <v/>
      </c>
    </row>
    <row r="787">
      <c r="A787" s="64" t="n">
        <v>39378</v>
      </c>
      <c r="B787" t="n">
        <v>43653</v>
      </c>
      <c r="C787" t="n">
        <v/>
      </c>
      <c r="D787" t="n">
        <v>71323</v>
      </c>
      <c r="E787" t="n">
        <v>2510</v>
      </c>
      <c r="F787" t="n">
        <v>69016</v>
      </c>
      <c r="G787" t="n">
        <v>45421</v>
      </c>
      <c r="H787" t="n">
        <v>-21354</v>
      </c>
      <c r="I787" t="n">
        <v>45259</v>
      </c>
      <c r="J787" t="n">
        <v>19451</v>
      </c>
      <c r="K787" t="n">
        <v/>
      </c>
      <c r="L787" t="n">
        <v/>
      </c>
    </row>
    <row r="788">
      <c r="A788" s="64" t="n">
        <v>39385</v>
      </c>
      <c r="B788" t="n">
        <v>46022</v>
      </c>
      <c r="C788" t="n">
        <v/>
      </c>
      <c r="D788" t="n">
        <v>68831</v>
      </c>
      <c r="E788" t="n">
        <v>10790</v>
      </c>
      <c r="F788" t="n">
        <v>68848</v>
      </c>
      <c r="G788" t="n">
        <v>52928</v>
      </c>
      <c r="H788" t="n">
        <v>-9949</v>
      </c>
      <c r="I788" t="n">
        <v>69765</v>
      </c>
      <c r="J788" t="n">
        <v>14668</v>
      </c>
      <c r="K788" t="n">
        <v/>
      </c>
      <c r="L788" t="n">
        <v/>
      </c>
    </row>
    <row r="789">
      <c r="A789" s="64" t="n">
        <v>39392</v>
      </c>
      <c r="B789" t="n">
        <v>50637</v>
      </c>
      <c r="C789" t="n">
        <v/>
      </c>
      <c r="D789" t="n">
        <v>63588</v>
      </c>
      <c r="E789" t="n">
        <v>2419</v>
      </c>
      <c r="F789" t="n">
        <v>76048</v>
      </c>
      <c r="G789" t="n">
        <v>60326</v>
      </c>
      <c r="H789" t="n">
        <v>-8897</v>
      </c>
      <c r="I789" t="n">
        <v>53575</v>
      </c>
      <c r="J789" t="n">
        <v>13381</v>
      </c>
      <c r="K789" t="n">
        <v/>
      </c>
      <c r="L789" t="n">
        <v/>
      </c>
    </row>
    <row r="790">
      <c r="A790" s="64" t="n">
        <v>39399</v>
      </c>
      <c r="B790" t="n">
        <v>32828</v>
      </c>
      <c r="C790" t="n">
        <v/>
      </c>
      <c r="D790" t="n">
        <v>46723</v>
      </c>
      <c r="E790" t="n">
        <v>15503</v>
      </c>
      <c r="F790" t="n">
        <v>69429</v>
      </c>
      <c r="G790" t="n">
        <v>43625</v>
      </c>
      <c r="H790" t="n">
        <v>20796</v>
      </c>
      <c r="I790" t="n">
        <v>34239</v>
      </c>
      <c r="J790" t="n">
        <v>10423</v>
      </c>
      <c r="K790" t="n">
        <v/>
      </c>
      <c r="L790" t="n">
        <v/>
      </c>
    </row>
    <row r="791">
      <c r="A791" s="64" t="n">
        <v>39406</v>
      </c>
      <c r="B791" t="n">
        <v>30496</v>
      </c>
      <c r="C791" t="n">
        <v/>
      </c>
      <c r="D791" t="n">
        <v>32292</v>
      </c>
      <c r="E791" t="n">
        <v>13732</v>
      </c>
      <c r="F791" t="n">
        <v>70028</v>
      </c>
      <c r="G791" t="n">
        <v>34385</v>
      </c>
      <c r="H791" t="n">
        <v>30401</v>
      </c>
      <c r="I791" t="n">
        <v>16907</v>
      </c>
      <c r="J791" t="n">
        <v>7054</v>
      </c>
      <c r="K791" t="n">
        <v/>
      </c>
      <c r="L791" t="n">
        <v/>
      </c>
    </row>
    <row r="792">
      <c r="A792" s="64" t="n">
        <v>39413</v>
      </c>
      <c r="B792" t="n">
        <v>25654</v>
      </c>
      <c r="C792" t="n">
        <v/>
      </c>
      <c r="D792" t="n">
        <v>28999</v>
      </c>
      <c r="E792" t="n">
        <v>13202</v>
      </c>
      <c r="F792" t="n">
        <v>66556</v>
      </c>
      <c r="G792" t="n">
        <v>35062</v>
      </c>
      <c r="H792" t="n">
        <v>31332</v>
      </c>
      <c r="I792" t="n">
        <v>11769</v>
      </c>
      <c r="J792" t="n">
        <v>6859</v>
      </c>
      <c r="K792" t="n">
        <v/>
      </c>
      <c r="L792" t="n">
        <v/>
      </c>
    </row>
    <row r="793">
      <c r="A793" s="64" t="n">
        <v>39420</v>
      </c>
      <c r="B793" t="n">
        <v>23519</v>
      </c>
      <c r="C793" t="n">
        <v/>
      </c>
      <c r="D793" t="n">
        <v>15324</v>
      </c>
      <c r="E793" t="n">
        <v>7043</v>
      </c>
      <c r="F793" t="n">
        <v>69117</v>
      </c>
      <c r="G793" t="n">
        <v>31528</v>
      </c>
      <c r="H793" t="n">
        <v>34085</v>
      </c>
      <c r="I793" t="n">
        <v>10036</v>
      </c>
      <c r="J793" t="n">
        <v>10999</v>
      </c>
      <c r="K793" t="n">
        <v/>
      </c>
      <c r="L793" t="n">
        <v/>
      </c>
    </row>
    <row r="794">
      <c r="A794" s="64" t="n">
        <v>39427</v>
      </c>
      <c r="B794" t="n">
        <v>32965</v>
      </c>
      <c r="C794" t="n">
        <v/>
      </c>
      <c r="D794" t="n">
        <v>18664</v>
      </c>
      <c r="E794" t="n">
        <v>1933</v>
      </c>
      <c r="F794" t="n">
        <v>63374</v>
      </c>
      <c r="G794" t="n">
        <v>56998</v>
      </c>
      <c r="H794" t="n">
        <v>30903</v>
      </c>
      <c r="I794" t="n">
        <v>38903</v>
      </c>
      <c r="J794" t="n">
        <v>11341</v>
      </c>
      <c r="K794" t="n">
        <v/>
      </c>
      <c r="L794" t="n">
        <v/>
      </c>
    </row>
    <row r="795">
      <c r="A795" s="64" t="n">
        <v>39434</v>
      </c>
      <c r="B795" t="n">
        <v>11037</v>
      </c>
      <c r="C795" t="n">
        <v/>
      </c>
      <c r="D795" t="n">
        <v>23287</v>
      </c>
      <c r="E795" t="n">
        <v>-6984</v>
      </c>
      <c r="F795" t="n">
        <v>31149</v>
      </c>
      <c r="G795" t="n">
        <v>11537</v>
      </c>
      <c r="H795" t="n">
        <v>13357</v>
      </c>
      <c r="I795" t="n">
        <v>66889</v>
      </c>
      <c r="J795" t="n">
        <v>9626</v>
      </c>
      <c r="K795" t="n">
        <v/>
      </c>
      <c r="L795" t="n">
        <v/>
      </c>
    </row>
    <row r="796">
      <c r="A796" s="64" t="n">
        <v>39441</v>
      </c>
      <c r="B796" t="n">
        <v>13540</v>
      </c>
      <c r="C796" t="n">
        <v/>
      </c>
      <c r="D796" t="n">
        <v>14723</v>
      </c>
      <c r="E796" t="n">
        <v>-11497</v>
      </c>
      <c r="F796" t="n">
        <v>30641</v>
      </c>
      <c r="G796" t="n">
        <v>9126</v>
      </c>
      <c r="H796" t="n">
        <v>4013</v>
      </c>
      <c r="I796" t="n">
        <v>71808</v>
      </c>
      <c r="J796" t="n">
        <v>12247</v>
      </c>
      <c r="K796" t="n">
        <v/>
      </c>
      <c r="L796" t="n">
        <v/>
      </c>
    </row>
    <row r="797">
      <c r="A797" s="64" t="n">
        <v>39448</v>
      </c>
      <c r="B797" t="n">
        <v>18024</v>
      </c>
      <c r="C797" t="n">
        <v/>
      </c>
      <c r="D797" t="n">
        <v>22998</v>
      </c>
      <c r="E797" t="n">
        <v>-4619</v>
      </c>
      <c r="F797" t="n">
        <v>36655</v>
      </c>
      <c r="G797" t="n">
        <v>-2809</v>
      </c>
      <c r="H797" t="n">
        <v>920</v>
      </c>
      <c r="I797" t="n">
        <v>56290</v>
      </c>
      <c r="J797" t="n">
        <v>13965</v>
      </c>
      <c r="K797" t="n">
        <v/>
      </c>
      <c r="L797" t="n">
        <v/>
      </c>
    </row>
    <row r="798">
      <c r="A798" s="64" t="n">
        <v>39455</v>
      </c>
      <c r="B798" t="n">
        <v>23396</v>
      </c>
      <c r="C798" t="n">
        <v/>
      </c>
      <c r="D798" t="n">
        <v>16424</v>
      </c>
      <c r="E798" t="n">
        <v>-2171</v>
      </c>
      <c r="F798" t="n">
        <v>51902</v>
      </c>
      <c r="G798" t="n">
        <v>-3262</v>
      </c>
      <c r="H798" t="n">
        <v>37473</v>
      </c>
      <c r="I798" t="n">
        <v>55866</v>
      </c>
      <c r="J798" t="n">
        <v>13503</v>
      </c>
      <c r="K798" t="n">
        <v/>
      </c>
      <c r="L798" t="n">
        <v/>
      </c>
    </row>
    <row r="799">
      <c r="A799" s="64" t="n">
        <v>39462</v>
      </c>
      <c r="B799" t="n">
        <v>25460</v>
      </c>
      <c r="C799" t="n">
        <v/>
      </c>
      <c r="D799" t="n">
        <v>7765</v>
      </c>
      <c r="E799" t="n">
        <v>5162</v>
      </c>
      <c r="F799" t="n">
        <v>44982</v>
      </c>
      <c r="G799" t="n">
        <v>307</v>
      </c>
      <c r="H799" t="n">
        <v>37199</v>
      </c>
      <c r="I799" t="n">
        <v>29952</v>
      </c>
      <c r="J799" t="n">
        <v>15749</v>
      </c>
      <c r="K799" t="n">
        <v/>
      </c>
      <c r="L799" t="n">
        <v/>
      </c>
    </row>
    <row r="800">
      <c r="A800" s="64" t="n">
        <v>39469</v>
      </c>
      <c r="B800" t="n">
        <v>5607</v>
      </c>
      <c r="C800" t="n">
        <v/>
      </c>
      <c r="D800" t="n">
        <v>7677</v>
      </c>
      <c r="E800" t="n">
        <v>15376</v>
      </c>
      <c r="F800" t="n">
        <v>23745</v>
      </c>
      <c r="G800" t="n">
        <v>-729</v>
      </c>
      <c r="H800" t="n">
        <v>41842</v>
      </c>
      <c r="I800" t="n">
        <v>23963</v>
      </c>
      <c r="J800" t="n">
        <v>11455</v>
      </c>
      <c r="K800" t="n">
        <v/>
      </c>
      <c r="L800" t="n">
        <v/>
      </c>
    </row>
    <row r="801">
      <c r="A801" s="64" t="n">
        <v>39476</v>
      </c>
      <c r="B801" t="n">
        <v>16309</v>
      </c>
      <c r="C801" t="n">
        <v/>
      </c>
      <c r="D801" t="n">
        <v>4295</v>
      </c>
      <c r="E801" t="n">
        <v>9233</v>
      </c>
      <c r="F801" t="n">
        <v>22456</v>
      </c>
      <c r="G801" t="n">
        <v>5358</v>
      </c>
      <c r="H801" t="n">
        <v>52928</v>
      </c>
      <c r="I801" t="n">
        <v>41786</v>
      </c>
      <c r="J801" t="n">
        <v>10722</v>
      </c>
      <c r="K801" t="n">
        <v/>
      </c>
      <c r="L801" t="n">
        <v/>
      </c>
    </row>
    <row r="802">
      <c r="A802" s="64" t="n">
        <v>39483</v>
      </c>
      <c r="B802" t="n">
        <v>32897</v>
      </c>
      <c r="C802" t="n">
        <v/>
      </c>
      <c r="D802" t="n">
        <v>10240</v>
      </c>
      <c r="E802" t="n">
        <v>2786</v>
      </c>
      <c r="F802" t="n">
        <v>12564</v>
      </c>
      <c r="G802" t="n">
        <v>-7809</v>
      </c>
      <c r="H802" t="n">
        <v>54690</v>
      </c>
      <c r="I802" t="n">
        <v>72055</v>
      </c>
      <c r="J802" t="n">
        <v>14789</v>
      </c>
      <c r="K802" t="n">
        <v/>
      </c>
      <c r="L802" t="n">
        <v/>
      </c>
    </row>
    <row r="803">
      <c r="A803" s="64" t="n">
        <v>39490</v>
      </c>
      <c r="B803" t="n">
        <v>35868</v>
      </c>
      <c r="C803" t="n">
        <v/>
      </c>
      <c r="D803" t="n">
        <v>20435</v>
      </c>
      <c r="E803" t="n">
        <v>3180</v>
      </c>
      <c r="F803" t="n">
        <v>10295</v>
      </c>
      <c r="G803" t="n">
        <v>-13933</v>
      </c>
      <c r="H803" t="n">
        <v>43471</v>
      </c>
      <c r="I803" t="n">
        <v>106022</v>
      </c>
      <c r="J803" t="n">
        <v>15979</v>
      </c>
      <c r="K803" t="n">
        <v/>
      </c>
      <c r="L803" t="n">
        <v/>
      </c>
    </row>
    <row r="804">
      <c r="A804" s="64" t="n">
        <v>39497</v>
      </c>
      <c r="B804" t="n">
        <v>40420</v>
      </c>
      <c r="C804" t="n">
        <v/>
      </c>
      <c r="D804" t="n">
        <v>11947</v>
      </c>
      <c r="E804" t="n">
        <v>987</v>
      </c>
      <c r="F804" t="n">
        <v>14730</v>
      </c>
      <c r="G804" t="n">
        <v>-12157</v>
      </c>
      <c r="H804" t="n">
        <v>50444</v>
      </c>
      <c r="I804" t="n">
        <v>116507</v>
      </c>
      <c r="J804" t="n">
        <v>15127</v>
      </c>
      <c r="K804" t="n">
        <v/>
      </c>
      <c r="L804" t="n">
        <v/>
      </c>
    </row>
    <row r="805">
      <c r="A805" s="64" t="n">
        <v>39504</v>
      </c>
      <c r="B805" t="n">
        <v>36844</v>
      </c>
      <c r="C805" t="n">
        <v/>
      </c>
      <c r="D805" t="n">
        <v>26184</v>
      </c>
      <c r="E805" t="n">
        <v>8772</v>
      </c>
      <c r="F805" t="n">
        <v>31778</v>
      </c>
      <c r="G805" t="n">
        <v>3637</v>
      </c>
      <c r="H805" t="n">
        <v>34289</v>
      </c>
      <c r="I805" t="n">
        <v>125334</v>
      </c>
      <c r="J805" t="n">
        <v>15533</v>
      </c>
      <c r="K805" t="n">
        <v/>
      </c>
      <c r="L805" t="n">
        <v/>
      </c>
    </row>
    <row r="806">
      <c r="A806" s="64" t="n">
        <v>39511</v>
      </c>
      <c r="B806" t="n">
        <v>37386</v>
      </c>
      <c r="C806" t="n">
        <v/>
      </c>
      <c r="D806" t="n">
        <v>36406</v>
      </c>
      <c r="E806" t="n">
        <v>167</v>
      </c>
      <c r="F806" t="n">
        <v>32010</v>
      </c>
      <c r="G806" t="n">
        <v>15714</v>
      </c>
      <c r="H806" t="n">
        <v>56285</v>
      </c>
      <c r="I806" t="n">
        <v>112883</v>
      </c>
      <c r="J806" t="n">
        <v>13631</v>
      </c>
      <c r="K806" t="n">
        <v/>
      </c>
      <c r="L806" t="n">
        <v/>
      </c>
    </row>
    <row r="807">
      <c r="A807" s="64" t="n">
        <v>39518</v>
      </c>
      <c r="B807" t="n">
        <v>31692</v>
      </c>
      <c r="C807" t="n">
        <v/>
      </c>
      <c r="D807" t="n">
        <v>28931</v>
      </c>
      <c r="E807" t="n">
        <v>-4248</v>
      </c>
      <c r="F807" t="n">
        <v>29099</v>
      </c>
      <c r="G807" t="n">
        <v>21229</v>
      </c>
      <c r="H807" t="n">
        <v>50153</v>
      </c>
      <c r="I807" t="n">
        <v>73734</v>
      </c>
      <c r="J807" t="n">
        <v>12396</v>
      </c>
      <c r="K807" t="n">
        <v/>
      </c>
      <c r="L807" t="n">
        <v/>
      </c>
    </row>
    <row r="808">
      <c r="A808" s="64" t="n">
        <v>39525</v>
      </c>
      <c r="B808" t="n">
        <v>35565</v>
      </c>
      <c r="C808" t="n">
        <v/>
      </c>
      <c r="D808" t="n">
        <v>20899</v>
      </c>
      <c r="E808" t="n">
        <v>11224</v>
      </c>
      <c r="F808" t="n">
        <v>26521</v>
      </c>
      <c r="G808" t="n">
        <v>29140</v>
      </c>
      <c r="H808" t="n">
        <v>55759</v>
      </c>
      <c r="I808" t="n">
        <v>89304</v>
      </c>
      <c r="J808" t="n">
        <v>10378</v>
      </c>
      <c r="K808" t="n">
        <v/>
      </c>
      <c r="L808" t="n">
        <v/>
      </c>
    </row>
    <row r="809">
      <c r="A809" s="64" t="n">
        <v>39532</v>
      </c>
      <c r="B809" t="n">
        <v>35620</v>
      </c>
      <c r="C809" t="n">
        <v/>
      </c>
      <c r="D809" t="n">
        <v>2178</v>
      </c>
      <c r="E809" t="n">
        <v>10781</v>
      </c>
      <c r="F809" t="n">
        <v>42771</v>
      </c>
      <c r="G809" t="n">
        <v>19728</v>
      </c>
      <c r="H809" t="n">
        <v>65920</v>
      </c>
      <c r="I809" t="n">
        <v>103851</v>
      </c>
      <c r="J809" t="n">
        <v>9451</v>
      </c>
      <c r="K809" t="n">
        <v/>
      </c>
      <c r="L809" t="n">
        <v/>
      </c>
    </row>
    <row r="810">
      <c r="A810" s="64" t="n">
        <v>39539</v>
      </c>
      <c r="B810" t="n">
        <v>36968</v>
      </c>
      <c r="C810" t="n">
        <v/>
      </c>
      <c r="D810" t="n">
        <v>723</v>
      </c>
      <c r="E810" t="n">
        <v>8881</v>
      </c>
      <c r="F810" t="n">
        <v>29072</v>
      </c>
      <c r="G810" t="n">
        <v>-2760</v>
      </c>
      <c r="H810" t="n">
        <v>52298</v>
      </c>
      <c r="I810" t="n">
        <v>120903</v>
      </c>
      <c r="J810" t="n">
        <v>7454</v>
      </c>
      <c r="K810" t="n">
        <v/>
      </c>
      <c r="L810" t="n">
        <v/>
      </c>
    </row>
    <row r="811">
      <c r="A811" s="64" t="n">
        <v>39546</v>
      </c>
      <c r="B811" t="n">
        <v>51689</v>
      </c>
      <c r="C811" t="n">
        <v/>
      </c>
      <c r="D811" t="n">
        <v>6564</v>
      </c>
      <c r="E811" t="n">
        <v>917</v>
      </c>
      <c r="F811" t="n">
        <v>29435</v>
      </c>
      <c r="G811" t="n">
        <v>-12560</v>
      </c>
      <c r="H811" t="n">
        <v>43067</v>
      </c>
      <c r="I811" t="n">
        <v>115403</v>
      </c>
      <c r="J811" t="n">
        <v>8372</v>
      </c>
      <c r="K811" t="n">
        <v/>
      </c>
      <c r="L811" t="n">
        <v/>
      </c>
    </row>
    <row r="812">
      <c r="A812" s="64" t="n">
        <v>39553</v>
      </c>
      <c r="B812" t="n">
        <v>44645</v>
      </c>
      <c r="C812" t="n">
        <v/>
      </c>
      <c r="D812" t="n">
        <v>5503</v>
      </c>
      <c r="E812" t="n">
        <v>5234</v>
      </c>
      <c r="F812" t="n">
        <v>20093</v>
      </c>
      <c r="G812" t="n">
        <v>-16136</v>
      </c>
      <c r="H812" t="n">
        <v>47972</v>
      </c>
      <c r="I812" t="n">
        <v>114894</v>
      </c>
      <c r="J812" t="n">
        <v>6594</v>
      </c>
      <c r="K812" t="n">
        <v/>
      </c>
      <c r="L812" t="n">
        <v/>
      </c>
    </row>
    <row r="813">
      <c r="A813" s="64" t="n">
        <v>39560</v>
      </c>
      <c r="B813" t="n">
        <v>58498</v>
      </c>
      <c r="C813" t="n">
        <v/>
      </c>
      <c r="D813" t="n">
        <v>17370</v>
      </c>
      <c r="E813" t="n">
        <v>3009</v>
      </c>
      <c r="F813" t="n">
        <v>18907</v>
      </c>
      <c r="G813" t="n">
        <v>4663</v>
      </c>
      <c r="H813" t="n">
        <v>35087</v>
      </c>
      <c r="I813" t="n">
        <v>120857</v>
      </c>
      <c r="J813" t="n">
        <v>7894</v>
      </c>
      <c r="K813" t="n">
        <v/>
      </c>
      <c r="L813" t="n">
        <v/>
      </c>
    </row>
    <row r="814">
      <c r="A814" s="64" t="n">
        <v>39567</v>
      </c>
      <c r="B814" t="n">
        <v>50465</v>
      </c>
      <c r="C814" t="n">
        <v/>
      </c>
      <c r="D814" t="n">
        <v>7428</v>
      </c>
      <c r="E814" t="n">
        <v>7001</v>
      </c>
      <c r="F814" t="n">
        <v>-21315</v>
      </c>
      <c r="G814" t="n">
        <v>-24848</v>
      </c>
      <c r="H814" t="n">
        <v>55450</v>
      </c>
      <c r="I814" t="n">
        <v>90796</v>
      </c>
      <c r="J814" t="n">
        <v>5489</v>
      </c>
      <c r="K814" t="n">
        <v/>
      </c>
      <c r="L814" t="n">
        <v/>
      </c>
    </row>
    <row r="815">
      <c r="A815" s="64" t="n">
        <v>39574</v>
      </c>
      <c r="B815" t="n">
        <v>65421</v>
      </c>
      <c r="C815" t="n">
        <v/>
      </c>
      <c r="D815" t="n">
        <v>31712</v>
      </c>
      <c r="E815" t="n">
        <v>-4137</v>
      </c>
      <c r="F815" t="n">
        <v>-12512</v>
      </c>
      <c r="G815" t="n">
        <v>-30437</v>
      </c>
      <c r="H815" t="n">
        <v>48735</v>
      </c>
      <c r="I815" t="n">
        <v>101511</v>
      </c>
      <c r="J815" t="n">
        <v>6337</v>
      </c>
      <c r="K815" t="n">
        <v/>
      </c>
      <c r="L815" t="n">
        <v/>
      </c>
    </row>
    <row r="816">
      <c r="A816" s="64" t="n">
        <v>39581</v>
      </c>
      <c r="B816" t="n">
        <v>57454</v>
      </c>
      <c r="C816" t="n">
        <v/>
      </c>
      <c r="D816" t="n">
        <v>29409</v>
      </c>
      <c r="E816" t="n">
        <v>-17436</v>
      </c>
      <c r="F816" t="n">
        <v>-9499</v>
      </c>
      <c r="G816" t="n">
        <v>-24804</v>
      </c>
      <c r="H816" t="n">
        <v>33816</v>
      </c>
      <c r="I816" t="n">
        <v>99028</v>
      </c>
      <c r="J816" t="n">
        <v>3444</v>
      </c>
      <c r="K816" t="n">
        <v/>
      </c>
      <c r="L816" t="n">
        <v/>
      </c>
    </row>
    <row r="817">
      <c r="A817" s="64" t="n">
        <v>39588</v>
      </c>
      <c r="B817" t="n">
        <v>61301</v>
      </c>
      <c r="C817" t="n">
        <v/>
      </c>
      <c r="D817" t="n">
        <v>31418</v>
      </c>
      <c r="E817" t="n">
        <v>-4943</v>
      </c>
      <c r="F817" t="n">
        <v>6841</v>
      </c>
      <c r="G817" t="n">
        <v>-25340</v>
      </c>
      <c r="H817" t="n">
        <v>40048</v>
      </c>
      <c r="I817" t="n">
        <v>90599</v>
      </c>
      <c r="J817" t="n">
        <v>4541</v>
      </c>
      <c r="K817" t="n">
        <v/>
      </c>
      <c r="L817" t="n">
        <v/>
      </c>
    </row>
    <row r="818">
      <c r="A818" s="64" t="n">
        <v>39595</v>
      </c>
      <c r="B818" t="n">
        <v>57292</v>
      </c>
      <c r="C818" t="n">
        <v/>
      </c>
      <c r="D818" t="n">
        <v>50125</v>
      </c>
      <c r="E818" t="n">
        <v>-9849</v>
      </c>
      <c r="F818" t="n">
        <v>-3390</v>
      </c>
      <c r="G818" t="n">
        <v>-24888</v>
      </c>
      <c r="H818" t="n">
        <v>33304</v>
      </c>
      <c r="I818" t="n">
        <v>94756</v>
      </c>
      <c r="J818" t="n">
        <v>4964</v>
      </c>
      <c r="K818" t="n">
        <v/>
      </c>
      <c r="L818" t="n">
        <v/>
      </c>
    </row>
    <row r="819">
      <c r="A819" s="64" t="n">
        <v>39602</v>
      </c>
      <c r="B819" t="n">
        <v>53307</v>
      </c>
      <c r="C819" t="n">
        <v/>
      </c>
      <c r="D819" t="n">
        <v>45738</v>
      </c>
      <c r="E819" t="n">
        <v>-7271</v>
      </c>
      <c r="F819" t="n">
        <v>-14454</v>
      </c>
      <c r="G819" t="n">
        <v>-29028</v>
      </c>
      <c r="H819" t="n">
        <v>23365</v>
      </c>
      <c r="I819" t="n">
        <v>98835</v>
      </c>
      <c r="J819" t="n">
        <v>6328</v>
      </c>
      <c r="K819" t="n">
        <v/>
      </c>
      <c r="L819" t="n">
        <v/>
      </c>
    </row>
    <row r="820">
      <c r="A820" s="64" t="n">
        <v>39609</v>
      </c>
      <c r="B820" t="n">
        <v>47497</v>
      </c>
      <c r="C820" t="n">
        <v/>
      </c>
      <c r="D820" t="n">
        <v>17579</v>
      </c>
      <c r="E820" t="n">
        <v>-3732</v>
      </c>
      <c r="F820" t="n">
        <v>-7540</v>
      </c>
      <c r="G820" t="n">
        <v>-21051</v>
      </c>
      <c r="H820" t="n">
        <v>7716</v>
      </c>
      <c r="I820" t="n">
        <v>84162</v>
      </c>
      <c r="J820" t="n">
        <v>3200</v>
      </c>
      <c r="K820" t="n">
        <v/>
      </c>
      <c r="L820" t="n">
        <v/>
      </c>
    </row>
    <row r="821">
      <c r="A821" s="64" t="n">
        <v>39616</v>
      </c>
      <c r="B821" t="n">
        <v>36987</v>
      </c>
      <c r="C821" t="n">
        <v/>
      </c>
      <c r="D821" t="n">
        <v>-951</v>
      </c>
      <c r="E821" t="n">
        <v>-8914</v>
      </c>
      <c r="F821" t="n">
        <v>-9290</v>
      </c>
      <c r="G821" t="n">
        <v>-31248</v>
      </c>
      <c r="H821" t="n">
        <v>5857</v>
      </c>
      <c r="I821" t="n">
        <v>95847</v>
      </c>
      <c r="J821" t="n">
        <v>1566</v>
      </c>
      <c r="K821" t="n">
        <v/>
      </c>
      <c r="L821" t="n">
        <v/>
      </c>
    </row>
    <row r="822">
      <c r="A822" s="64" t="n">
        <v>39623</v>
      </c>
      <c r="B822" t="n">
        <v>49382</v>
      </c>
      <c r="C822" t="n">
        <v/>
      </c>
      <c r="D822" t="n">
        <v>-4489</v>
      </c>
      <c r="E822" t="n">
        <v>-2401</v>
      </c>
      <c r="F822" t="n">
        <v>1432</v>
      </c>
      <c r="G822" t="n">
        <v>-12843</v>
      </c>
      <c r="H822" t="n">
        <v>-12747</v>
      </c>
      <c r="I822" t="n">
        <v>98170</v>
      </c>
      <c r="J822" t="n">
        <v>2650</v>
      </c>
      <c r="K822" t="n">
        <v/>
      </c>
      <c r="L822" t="n">
        <v/>
      </c>
    </row>
    <row r="823">
      <c r="A823" s="64" t="n">
        <v>39630</v>
      </c>
      <c r="B823" t="n">
        <v>51409</v>
      </c>
      <c r="C823" t="n">
        <v/>
      </c>
      <c r="D823" t="n">
        <v>-9790</v>
      </c>
      <c r="E823" t="n">
        <v>6607</v>
      </c>
      <c r="F823" t="n">
        <v>27683</v>
      </c>
      <c r="G823" t="n">
        <v>-2631</v>
      </c>
      <c r="H823" t="n">
        <v>16005</v>
      </c>
      <c r="I823" t="n">
        <v>73935</v>
      </c>
      <c r="J823" t="n">
        <v>3166</v>
      </c>
      <c r="K823" t="n">
        <v/>
      </c>
      <c r="L823" t="n">
        <v/>
      </c>
    </row>
    <row r="824">
      <c r="A824" s="64" t="n">
        <v>39637</v>
      </c>
      <c r="B824" t="n">
        <v>49306</v>
      </c>
      <c r="C824" t="n">
        <v/>
      </c>
      <c r="D824" t="n">
        <v>-5952</v>
      </c>
      <c r="E824" t="n">
        <v>-4697</v>
      </c>
      <c r="F824" t="n">
        <v>24007</v>
      </c>
      <c r="G824" t="n">
        <v>-8298</v>
      </c>
      <c r="H824" t="n">
        <v>5325</v>
      </c>
      <c r="I824" t="n">
        <v>72190</v>
      </c>
      <c r="J824" t="n">
        <v>2141</v>
      </c>
      <c r="K824" t="n">
        <v/>
      </c>
      <c r="L824" t="n">
        <v/>
      </c>
    </row>
    <row r="825">
      <c r="A825" s="64" t="n">
        <v>39644</v>
      </c>
      <c r="B825" t="n">
        <v>56068</v>
      </c>
      <c r="C825" t="n">
        <v/>
      </c>
      <c r="D825" t="n">
        <v>12859</v>
      </c>
      <c r="E825" t="n">
        <v>15044</v>
      </c>
      <c r="F825" t="n">
        <v>23049</v>
      </c>
      <c r="G825" t="n">
        <v>6423</v>
      </c>
      <c r="H825" t="n">
        <v>50105</v>
      </c>
      <c r="I825" t="n">
        <v>72341</v>
      </c>
      <c r="J825" t="n">
        <v>5327</v>
      </c>
      <c r="K825" t="n">
        <v/>
      </c>
      <c r="L825" t="n">
        <v/>
      </c>
    </row>
    <row r="826">
      <c r="A826" s="64" t="n">
        <v>39651</v>
      </c>
      <c r="B826" t="n">
        <v>53588</v>
      </c>
      <c r="C826" t="n">
        <v/>
      </c>
      <c r="D826" t="n">
        <v>21889</v>
      </c>
      <c r="E826" t="n">
        <v>-1666</v>
      </c>
      <c r="F826" t="n">
        <v>4071</v>
      </c>
      <c r="G826" t="n">
        <v>3322</v>
      </c>
      <c r="H826" t="n">
        <v>10524</v>
      </c>
      <c r="I826" t="n">
        <v>90137</v>
      </c>
      <c r="J826" t="n">
        <v>4984</v>
      </c>
      <c r="K826" t="n">
        <v/>
      </c>
      <c r="L826" t="n">
        <v/>
      </c>
    </row>
    <row r="827">
      <c r="A827" s="64" t="n">
        <v>39658</v>
      </c>
      <c r="B827" t="n">
        <v>28919</v>
      </c>
      <c r="C827" t="n">
        <v/>
      </c>
      <c r="D827" t="n">
        <v>-2246</v>
      </c>
      <c r="E827" t="n">
        <v>-4655</v>
      </c>
      <c r="F827" t="n">
        <v>-16218</v>
      </c>
      <c r="G827" t="n">
        <v>1460</v>
      </c>
      <c r="H827" t="n">
        <v>-6280</v>
      </c>
      <c r="I827" t="n">
        <v>78768</v>
      </c>
      <c r="J827" t="n">
        <v>1584</v>
      </c>
      <c r="K827" t="n">
        <v/>
      </c>
      <c r="L827" t="n">
        <v/>
      </c>
    </row>
    <row r="828">
      <c r="A828" s="64" t="n">
        <v>39665</v>
      </c>
      <c r="B828" t="n">
        <v>14747</v>
      </c>
      <c r="C828" t="n">
        <v/>
      </c>
      <c r="D828" t="n">
        <v>-18772</v>
      </c>
      <c r="E828" t="n">
        <v>-8983</v>
      </c>
      <c r="F828" t="n">
        <v>-9447</v>
      </c>
      <c r="G828" t="n">
        <v>-25875</v>
      </c>
      <c r="H828" t="n">
        <v>-12081</v>
      </c>
      <c r="I828" t="n">
        <v>72293</v>
      </c>
      <c r="J828" t="n">
        <v>-1381</v>
      </c>
      <c r="K828" t="n">
        <v/>
      </c>
      <c r="L828" t="n">
        <v/>
      </c>
    </row>
    <row r="829">
      <c r="A829" s="64" t="n">
        <v>39672</v>
      </c>
      <c r="B829" t="n">
        <v>9053</v>
      </c>
      <c r="C829" t="n">
        <v/>
      </c>
      <c r="D829" t="n">
        <v>-25329</v>
      </c>
      <c r="E829" t="n">
        <v>-8383</v>
      </c>
      <c r="F829" t="n">
        <v>-19427</v>
      </c>
      <c r="G829" t="n">
        <v>-32946</v>
      </c>
      <c r="H829" t="n">
        <v>-13249</v>
      </c>
      <c r="I829" t="n">
        <v>50524</v>
      </c>
      <c r="J829" t="n">
        <v>-1451</v>
      </c>
      <c r="K829" t="n">
        <v/>
      </c>
      <c r="L829" t="n">
        <v/>
      </c>
    </row>
    <row r="830">
      <c r="A830" s="64" t="n">
        <v>39679</v>
      </c>
      <c r="B830" t="n">
        <v>5950</v>
      </c>
      <c r="C830" t="n">
        <v/>
      </c>
      <c r="D830" t="n">
        <v>-28085</v>
      </c>
      <c r="E830" t="n">
        <v>-13402</v>
      </c>
      <c r="F830" t="n">
        <v>-20364</v>
      </c>
      <c r="G830" t="n">
        <v>-43728</v>
      </c>
      <c r="H830" t="n">
        <v>-23138</v>
      </c>
      <c r="I830" t="n">
        <v>50315</v>
      </c>
      <c r="J830" t="n">
        <v>-597</v>
      </c>
      <c r="K830" t="n">
        <v/>
      </c>
      <c r="L830" t="n">
        <v/>
      </c>
    </row>
    <row r="831">
      <c r="A831" s="64" t="n">
        <v>39686</v>
      </c>
      <c r="B831" t="n">
        <v>1377</v>
      </c>
      <c r="C831" t="n">
        <v/>
      </c>
      <c r="D831" t="n">
        <v>-15764</v>
      </c>
      <c r="E831" t="n">
        <v>-13329</v>
      </c>
      <c r="F831" t="n">
        <v>-33778</v>
      </c>
      <c r="G831" t="n">
        <v>-45109</v>
      </c>
      <c r="H831" t="n">
        <v>-19970</v>
      </c>
      <c r="I831" t="n">
        <v>53868</v>
      </c>
      <c r="J831" t="n">
        <v>-463</v>
      </c>
      <c r="K831" t="n">
        <v/>
      </c>
      <c r="L831" t="n">
        <v/>
      </c>
    </row>
    <row r="832">
      <c r="A832" s="64" t="n">
        <v>39693</v>
      </c>
      <c r="B832" t="n">
        <v>1511</v>
      </c>
      <c r="C832" t="n">
        <v/>
      </c>
      <c r="D832" t="n">
        <v>-17574</v>
      </c>
      <c r="E832" t="n">
        <v>-13263</v>
      </c>
      <c r="F832" t="n">
        <v>-38623</v>
      </c>
      <c r="G832" t="n">
        <v>-47285</v>
      </c>
      <c r="H832" t="n">
        <v>-5020</v>
      </c>
      <c r="I832" t="n">
        <v>43577</v>
      </c>
      <c r="J832" t="n">
        <v>-1814</v>
      </c>
      <c r="K832" t="n">
        <v/>
      </c>
      <c r="L832" t="n">
        <v/>
      </c>
    </row>
    <row r="833">
      <c r="A833" s="64" t="n">
        <v>39700</v>
      </c>
      <c r="B833" t="n">
        <v>1586</v>
      </c>
      <c r="C833" t="n">
        <v/>
      </c>
      <c r="D833" t="n">
        <v>-9984</v>
      </c>
      <c r="E833" t="n">
        <v>-14915</v>
      </c>
      <c r="F833" t="n">
        <v>-36432</v>
      </c>
      <c r="G833" t="n">
        <v>-47520</v>
      </c>
      <c r="H833" t="n">
        <v>14821</v>
      </c>
      <c r="I833" t="n">
        <v>25479</v>
      </c>
      <c r="J833" t="n">
        <v>-2950</v>
      </c>
      <c r="K833" t="n">
        <v/>
      </c>
      <c r="L833" t="n">
        <v/>
      </c>
    </row>
    <row r="834">
      <c r="A834" s="64" t="n">
        <v>39707</v>
      </c>
      <c r="B834" t="n">
        <v>-17026</v>
      </c>
      <c r="C834" t="n">
        <v/>
      </c>
      <c r="D834" t="n">
        <v>-10222</v>
      </c>
      <c r="E834" t="n">
        <v>-13448</v>
      </c>
      <c r="F834" t="n">
        <v>-40654</v>
      </c>
      <c r="G834" t="n">
        <v>-49359</v>
      </c>
      <c r="H834" t="n">
        <v>26600</v>
      </c>
      <c r="I834" t="n">
        <v>17308</v>
      </c>
      <c r="J834" t="n">
        <v>-3900</v>
      </c>
      <c r="K834" t="n">
        <v/>
      </c>
      <c r="L834" t="n">
        <v/>
      </c>
    </row>
    <row r="835">
      <c r="A835" s="64" t="n">
        <v>39714</v>
      </c>
      <c r="B835" t="n">
        <v>-19462</v>
      </c>
      <c r="C835" t="n">
        <v/>
      </c>
      <c r="D835" t="n">
        <v>-18653</v>
      </c>
      <c r="E835" t="n">
        <v>-8107</v>
      </c>
      <c r="F835" t="n">
        <v>-31057</v>
      </c>
      <c r="G835" t="n">
        <v>-47771</v>
      </c>
      <c r="H835" t="n">
        <v>31939</v>
      </c>
      <c r="I835" t="n">
        <v>6429</v>
      </c>
      <c r="J835" t="n">
        <v>-4586</v>
      </c>
      <c r="K835" t="n">
        <v/>
      </c>
      <c r="L835" t="n">
        <v/>
      </c>
    </row>
    <row r="836">
      <c r="A836" s="64" t="n">
        <v>39721</v>
      </c>
      <c r="B836" t="n">
        <v>-14347</v>
      </c>
      <c r="C836" t="n">
        <v/>
      </c>
      <c r="D836" t="n">
        <v>-18021</v>
      </c>
      <c r="E836" t="n">
        <v>-11449</v>
      </c>
      <c r="F836" t="n">
        <v>-28932</v>
      </c>
      <c r="G836" t="n">
        <v>-33036</v>
      </c>
      <c r="H836" t="n">
        <v>43022</v>
      </c>
      <c r="I836" t="n">
        <v>12016</v>
      </c>
      <c r="J836" t="n">
        <v>-4781</v>
      </c>
      <c r="K836" t="n">
        <v/>
      </c>
      <c r="L836" t="n">
        <v/>
      </c>
    </row>
    <row r="837">
      <c r="A837" s="64" t="n">
        <v>39728</v>
      </c>
      <c r="B837" t="n">
        <v>-8347</v>
      </c>
      <c r="C837" t="n">
        <v/>
      </c>
      <c r="D837" t="n">
        <v>-17152</v>
      </c>
      <c r="E837" t="n">
        <v>-11529</v>
      </c>
      <c r="F837" t="n">
        <v>-18662</v>
      </c>
      <c r="G837" t="n">
        <v>-35224</v>
      </c>
      <c r="H837" t="n">
        <v>39813</v>
      </c>
      <c r="I837" t="n">
        <v>9935</v>
      </c>
      <c r="J837" t="n">
        <v>-4478</v>
      </c>
      <c r="K837" t="n">
        <v/>
      </c>
      <c r="L837" t="n">
        <v/>
      </c>
    </row>
    <row r="838">
      <c r="A838" s="64" t="n">
        <v>39735</v>
      </c>
      <c r="B838" t="n">
        <v>-6973</v>
      </c>
      <c r="C838" t="n">
        <v/>
      </c>
      <c r="D838" t="n">
        <v>-17884</v>
      </c>
      <c r="E838" t="n">
        <v>-13082</v>
      </c>
      <c r="F838" t="n">
        <v>-30100</v>
      </c>
      <c r="G838" t="n">
        <v>-31473</v>
      </c>
      <c r="H838" t="n">
        <v>29904</v>
      </c>
      <c r="I838" t="n">
        <v>3101</v>
      </c>
      <c r="J838" t="n">
        <v>-4560</v>
      </c>
      <c r="K838" t="n">
        <v/>
      </c>
      <c r="L838" t="n">
        <v/>
      </c>
    </row>
    <row r="839">
      <c r="A839" s="64" t="n">
        <v>39742</v>
      </c>
      <c r="B839" t="n">
        <v>-7234</v>
      </c>
      <c r="C839" t="n">
        <v/>
      </c>
      <c r="D839" t="n">
        <v>-12395</v>
      </c>
      <c r="E839" t="n">
        <v>-15922</v>
      </c>
      <c r="F839" t="n">
        <v>-30620</v>
      </c>
      <c r="G839" t="n">
        <v>-36701</v>
      </c>
      <c r="H839" t="n">
        <v>30121</v>
      </c>
      <c r="I839" t="n">
        <v>429</v>
      </c>
      <c r="J839" t="n">
        <v>-4171</v>
      </c>
      <c r="K839" t="n">
        <v/>
      </c>
      <c r="L839" t="n">
        <v/>
      </c>
    </row>
    <row r="840">
      <c r="A840" s="64" t="n">
        <v>39749</v>
      </c>
      <c r="B840" t="n">
        <v>-9819</v>
      </c>
      <c r="C840" t="n">
        <v/>
      </c>
      <c r="D840" t="n">
        <v>-9847</v>
      </c>
      <c r="E840" t="n">
        <v>-14316</v>
      </c>
      <c r="F840" t="n">
        <v>-29052</v>
      </c>
      <c r="G840" t="n">
        <v>-33090</v>
      </c>
      <c r="H840" t="n">
        <v>31826</v>
      </c>
      <c r="I840" t="n">
        <v>-2965</v>
      </c>
      <c r="J840" t="n">
        <v>-2447</v>
      </c>
      <c r="K840" t="n">
        <v/>
      </c>
      <c r="L840" t="n">
        <v/>
      </c>
    </row>
    <row r="841">
      <c r="A841" s="64" t="n">
        <v>39756</v>
      </c>
      <c r="B841" t="n">
        <v>-5513</v>
      </c>
      <c r="C841" t="n">
        <v/>
      </c>
      <c r="D841" t="n">
        <v>-7494</v>
      </c>
      <c r="E841" t="n">
        <v>-7201</v>
      </c>
      <c r="F841" t="n">
        <v>-21433</v>
      </c>
      <c r="G841" t="n">
        <v>-35265</v>
      </c>
      <c r="H841" t="n">
        <v>26494</v>
      </c>
      <c r="I841" t="n">
        <v>-4559</v>
      </c>
      <c r="J841" t="n">
        <v>-932</v>
      </c>
      <c r="K841" t="n">
        <v/>
      </c>
      <c r="L841" t="n">
        <v/>
      </c>
    </row>
    <row r="842">
      <c r="A842" s="64" t="n">
        <v>39763</v>
      </c>
      <c r="B842" t="n">
        <v>-8604</v>
      </c>
      <c r="C842" t="n">
        <v/>
      </c>
      <c r="D842" t="n">
        <v>-3245</v>
      </c>
      <c r="E842" t="n">
        <v>-10156</v>
      </c>
      <c r="F842" t="n">
        <v>-20621</v>
      </c>
      <c r="G842" t="n">
        <v>-39838</v>
      </c>
      <c r="H842" t="n">
        <v>24511</v>
      </c>
      <c r="I842" t="n">
        <v>-2335</v>
      </c>
      <c r="J842" t="n">
        <v>-1366</v>
      </c>
      <c r="K842" t="n">
        <v/>
      </c>
      <c r="L842" t="n">
        <v/>
      </c>
    </row>
    <row r="843">
      <c r="A843" s="64" t="n">
        <v>39770</v>
      </c>
      <c r="B843" t="n">
        <v>-5790</v>
      </c>
      <c r="C843" t="n">
        <v/>
      </c>
      <c r="D843" t="n">
        <v>-7177</v>
      </c>
      <c r="E843" t="n">
        <v>-13589</v>
      </c>
      <c r="F843" t="n">
        <v>-17358</v>
      </c>
      <c r="G843" t="n">
        <v>-42431</v>
      </c>
      <c r="H843" t="n">
        <v>24134</v>
      </c>
      <c r="I843" t="n">
        <v>-935</v>
      </c>
      <c r="J843" t="n">
        <v>-1641</v>
      </c>
      <c r="K843" t="n">
        <v/>
      </c>
      <c r="L843" t="n">
        <v/>
      </c>
    </row>
    <row r="844">
      <c r="A844" s="64" t="n">
        <v>39777</v>
      </c>
      <c r="B844" t="n">
        <v>-8624</v>
      </c>
      <c r="C844" t="n">
        <v/>
      </c>
      <c r="D844" t="n">
        <v>-6269</v>
      </c>
      <c r="E844" t="n">
        <v>-16413</v>
      </c>
      <c r="F844" t="n">
        <v>-21478</v>
      </c>
      <c r="G844" t="n">
        <v>-40244</v>
      </c>
      <c r="H844" t="n">
        <v>37166</v>
      </c>
      <c r="I844" t="n">
        <v>-2015</v>
      </c>
      <c r="J844" t="n">
        <v>-2378</v>
      </c>
      <c r="K844" t="n">
        <v/>
      </c>
      <c r="L844" t="n">
        <v/>
      </c>
    </row>
    <row r="845">
      <c r="A845" s="64" t="n">
        <v>39784</v>
      </c>
      <c r="B845" t="n">
        <v>-9878</v>
      </c>
      <c r="C845" t="n">
        <v/>
      </c>
      <c r="D845" t="n">
        <v>-9707</v>
      </c>
      <c r="E845" t="n">
        <v>-18240</v>
      </c>
      <c r="F845" t="n">
        <v>-20197</v>
      </c>
      <c r="G845" t="n">
        <v>-39225</v>
      </c>
      <c r="H845" t="n">
        <v>42903</v>
      </c>
      <c r="I845" t="n">
        <v>-1898</v>
      </c>
      <c r="J845" t="n">
        <v>-2562</v>
      </c>
      <c r="K845" t="n">
        <v/>
      </c>
      <c r="L845" t="n">
        <v/>
      </c>
    </row>
    <row r="846">
      <c r="A846" s="64" t="n">
        <v>39791</v>
      </c>
      <c r="B846" t="n">
        <v>-4452</v>
      </c>
      <c r="C846" t="n">
        <v/>
      </c>
      <c r="D846" t="n">
        <v>-8829</v>
      </c>
      <c r="E846" t="n">
        <v>-14074</v>
      </c>
      <c r="F846" t="n">
        <v>-16668</v>
      </c>
      <c r="G846" t="n">
        <v>-37426</v>
      </c>
      <c r="H846" t="n">
        <v>43259</v>
      </c>
      <c r="I846" t="n">
        <v>625</v>
      </c>
      <c r="J846" t="n">
        <v>-2293</v>
      </c>
      <c r="K846" t="n">
        <v/>
      </c>
      <c r="L846" t="n">
        <v/>
      </c>
    </row>
    <row r="847">
      <c r="A847" s="64" t="n">
        <v>39798</v>
      </c>
      <c r="B847" t="n">
        <v>-4199</v>
      </c>
      <c r="C847" t="n">
        <v/>
      </c>
      <c r="D847" t="n">
        <v>-6748</v>
      </c>
      <c r="E847" t="n">
        <v>-5311</v>
      </c>
      <c r="F847" t="n">
        <v>-6626</v>
      </c>
      <c r="G847" t="n">
        <v>-30400</v>
      </c>
      <c r="H847" t="n">
        <v>41381</v>
      </c>
      <c r="I847" t="n">
        <v>2286</v>
      </c>
      <c r="J847" t="n">
        <v>-1535</v>
      </c>
      <c r="K847" t="n">
        <v/>
      </c>
      <c r="L847" t="n">
        <v/>
      </c>
    </row>
    <row r="848">
      <c r="A848" s="64" t="n">
        <v>39805</v>
      </c>
      <c r="B848" t="n">
        <v>-1436</v>
      </c>
      <c r="C848" t="n">
        <v/>
      </c>
      <c r="D848" t="n">
        <v>-10030</v>
      </c>
      <c r="E848" t="n">
        <v>-4156</v>
      </c>
      <c r="F848" t="n">
        <v>-3645</v>
      </c>
      <c r="G848" t="n">
        <v>-31630</v>
      </c>
      <c r="H848" t="n">
        <v>40098</v>
      </c>
      <c r="I848" t="n">
        <v>1801</v>
      </c>
      <c r="J848" t="n">
        <v>-1200</v>
      </c>
      <c r="K848" t="n">
        <v/>
      </c>
      <c r="L848" t="n">
        <v/>
      </c>
    </row>
    <row r="849">
      <c r="A849" s="64" t="n">
        <v>39812</v>
      </c>
      <c r="B849" t="n">
        <v>-452</v>
      </c>
      <c r="C849" t="n">
        <v/>
      </c>
      <c r="D849" t="n">
        <v>-10355</v>
      </c>
      <c r="E849" t="n">
        <v>-3847</v>
      </c>
      <c r="F849" t="n">
        <v>-3204</v>
      </c>
      <c r="G849" t="n">
        <v>-35843</v>
      </c>
      <c r="H849" t="n">
        <v>43876</v>
      </c>
      <c r="I849" t="n">
        <v>-640</v>
      </c>
      <c r="J849" t="n">
        <v>-1009</v>
      </c>
      <c r="K849" t="n">
        <v/>
      </c>
      <c r="L849" t="n">
        <v/>
      </c>
    </row>
    <row r="850">
      <c r="A850" s="64" t="n">
        <v>39819</v>
      </c>
      <c r="B850" t="n">
        <v>595</v>
      </c>
      <c r="C850" t="n">
        <v/>
      </c>
      <c r="D850" t="n">
        <v>-13872</v>
      </c>
      <c r="E850" t="n">
        <v>-5867</v>
      </c>
      <c r="F850" t="n">
        <v>-2375</v>
      </c>
      <c r="G850" t="n">
        <v>-34684</v>
      </c>
      <c r="H850" t="n">
        <v>46394</v>
      </c>
      <c r="I850" t="n">
        <v>-414</v>
      </c>
      <c r="J850" t="n">
        <v>248</v>
      </c>
      <c r="K850" t="n">
        <v/>
      </c>
      <c r="L850" t="n">
        <v/>
      </c>
    </row>
    <row r="851">
      <c r="A851" s="64" t="n">
        <v>39826</v>
      </c>
      <c r="B851" t="n">
        <v>-4476</v>
      </c>
      <c r="C851" t="n">
        <v/>
      </c>
      <c r="D851" t="n">
        <v>-12204</v>
      </c>
      <c r="E851" t="n">
        <v>-6234</v>
      </c>
      <c r="F851" t="n">
        <v>-9348</v>
      </c>
      <c r="G851" t="n">
        <v>-34052</v>
      </c>
      <c r="H851" t="n">
        <v>44895</v>
      </c>
      <c r="I851" t="n">
        <v>-4258</v>
      </c>
      <c r="J851" t="n">
        <v>-193</v>
      </c>
      <c r="K851" t="n">
        <v/>
      </c>
      <c r="L851" t="n">
        <v/>
      </c>
    </row>
    <row r="852">
      <c r="A852" s="64" t="n">
        <v>39833</v>
      </c>
      <c r="B852" t="n">
        <v>-6115</v>
      </c>
      <c r="C852" t="n">
        <v/>
      </c>
      <c r="D852" t="n">
        <v>-14585</v>
      </c>
      <c r="E852" t="n">
        <v>-6374</v>
      </c>
      <c r="F852" t="n">
        <v>-7580</v>
      </c>
      <c r="G852" t="n">
        <v>-39037</v>
      </c>
      <c r="H852" t="n">
        <v>47090</v>
      </c>
      <c r="I852" t="n">
        <v>-8853</v>
      </c>
      <c r="J852" t="n">
        <v>-1937</v>
      </c>
      <c r="K852" t="n">
        <v/>
      </c>
      <c r="L852" t="n">
        <v/>
      </c>
    </row>
    <row r="853">
      <c r="A853" s="64" t="n">
        <v>39840</v>
      </c>
      <c r="B853" t="n">
        <v>-3415</v>
      </c>
      <c r="C853" t="n">
        <v/>
      </c>
      <c r="D853" t="n">
        <v>-14966</v>
      </c>
      <c r="E853" t="n">
        <v>-10188</v>
      </c>
      <c r="F853" t="n">
        <v>-7489</v>
      </c>
      <c r="G853" t="n">
        <v>-36994</v>
      </c>
      <c r="H853" t="n">
        <v>49007</v>
      </c>
      <c r="I853" t="n">
        <v>-10902</v>
      </c>
      <c r="J853" t="n">
        <v>-4297</v>
      </c>
      <c r="K853" t="n">
        <v/>
      </c>
      <c r="L853" t="n">
        <v/>
      </c>
    </row>
    <row r="854">
      <c r="A854" s="64" t="n">
        <v>39847</v>
      </c>
      <c r="B854" t="n">
        <v>-5119</v>
      </c>
      <c r="C854" t="n">
        <v/>
      </c>
      <c r="D854" t="n">
        <v>-12575</v>
      </c>
      <c r="E854" t="n">
        <v>-11140</v>
      </c>
      <c r="F854" t="n">
        <v>-9052</v>
      </c>
      <c r="G854" t="n">
        <v>-33423</v>
      </c>
      <c r="H854" t="n">
        <v>50518</v>
      </c>
      <c r="I854" t="n">
        <v>-9710</v>
      </c>
      <c r="J854" t="n">
        <v>-5978</v>
      </c>
      <c r="K854" t="n">
        <v/>
      </c>
      <c r="L854" t="n">
        <v/>
      </c>
    </row>
    <row r="855">
      <c r="A855" s="64" t="n">
        <v>39854</v>
      </c>
      <c r="B855" t="n">
        <v>-5848</v>
      </c>
      <c r="C855" t="n">
        <v/>
      </c>
      <c r="D855" t="n">
        <v>-11471</v>
      </c>
      <c r="E855" t="n">
        <v>-11521</v>
      </c>
      <c r="F855" t="n">
        <v>-9994</v>
      </c>
      <c r="G855" t="n">
        <v>-31930</v>
      </c>
      <c r="H855" t="n">
        <v>43597</v>
      </c>
      <c r="I855" t="n">
        <v>-11647</v>
      </c>
      <c r="J855" t="n">
        <v>-4339</v>
      </c>
      <c r="K855" t="n">
        <v/>
      </c>
      <c r="L855" t="n">
        <v/>
      </c>
    </row>
    <row r="856">
      <c r="A856" s="64" t="n">
        <v>39861</v>
      </c>
      <c r="B856" t="n">
        <v>-7290</v>
      </c>
      <c r="C856" t="n">
        <v/>
      </c>
      <c r="D856" t="n">
        <v>-12909</v>
      </c>
      <c r="E856" t="n">
        <v>-11138</v>
      </c>
      <c r="F856" t="n">
        <v>-15437</v>
      </c>
      <c r="G856" t="n">
        <v>-30570</v>
      </c>
      <c r="H856" t="n">
        <v>36188</v>
      </c>
      <c r="I856" t="n">
        <v>-11632</v>
      </c>
      <c r="J856" t="n">
        <v>-4582</v>
      </c>
      <c r="K856" t="n">
        <v/>
      </c>
      <c r="L856" t="n">
        <v/>
      </c>
    </row>
    <row r="857">
      <c r="A857" s="64" t="n">
        <v>39868</v>
      </c>
      <c r="B857" t="n">
        <v>-5583</v>
      </c>
      <c r="C857" t="n">
        <v/>
      </c>
      <c r="D857" t="n">
        <v>-12965</v>
      </c>
      <c r="E857" t="n">
        <v>-11188</v>
      </c>
      <c r="F857" t="n">
        <v>-10081</v>
      </c>
      <c r="G857" t="n">
        <v>-28282</v>
      </c>
      <c r="H857" t="n">
        <v>28635</v>
      </c>
      <c r="I857" t="n">
        <v>-14280</v>
      </c>
      <c r="J857" t="n">
        <v>-5930</v>
      </c>
      <c r="K857" t="n">
        <v/>
      </c>
      <c r="L857" t="n">
        <v/>
      </c>
    </row>
    <row r="858">
      <c r="A858" s="64" t="n">
        <v>39875</v>
      </c>
      <c r="B858" t="n">
        <v>-2786</v>
      </c>
      <c r="C858" t="n">
        <v/>
      </c>
      <c r="D858" t="n">
        <v>-19013</v>
      </c>
      <c r="E858" t="n">
        <v>-12910</v>
      </c>
      <c r="F858" t="n">
        <v>-19431</v>
      </c>
      <c r="G858" t="n">
        <v>-25449</v>
      </c>
      <c r="H858" t="n">
        <v>20070</v>
      </c>
      <c r="I858" t="n">
        <v>-17261</v>
      </c>
      <c r="J858" t="n">
        <v>-6768</v>
      </c>
      <c r="K858" t="n">
        <v/>
      </c>
      <c r="L858" t="n">
        <v/>
      </c>
    </row>
    <row r="859">
      <c r="A859" s="64" t="n">
        <v>39882</v>
      </c>
      <c r="B859" t="n">
        <v>-3945</v>
      </c>
      <c r="C859" t="n">
        <v/>
      </c>
      <c r="D859" t="n">
        <v>-20290</v>
      </c>
      <c r="E859" t="n">
        <v>-11453</v>
      </c>
      <c r="F859" t="n">
        <v>-10232</v>
      </c>
      <c r="G859" t="n">
        <v>-30680</v>
      </c>
      <c r="H859" t="n">
        <v>18906</v>
      </c>
      <c r="I859" t="n">
        <v>-16155</v>
      </c>
      <c r="J859" t="n">
        <v>-7979</v>
      </c>
      <c r="K859" t="n">
        <v/>
      </c>
      <c r="L859" t="n">
        <v/>
      </c>
    </row>
    <row r="860">
      <c r="A860" s="64" t="n">
        <v>39889</v>
      </c>
      <c r="B860" t="n">
        <v>-419</v>
      </c>
      <c r="C860" t="n">
        <v/>
      </c>
      <c r="D860" t="n">
        <v>-23950</v>
      </c>
      <c r="E860" t="n">
        <v>-8438</v>
      </c>
      <c r="F860" t="n">
        <v>-9039</v>
      </c>
      <c r="G860" t="n">
        <v>-32990</v>
      </c>
      <c r="H860" t="n">
        <v>-4696</v>
      </c>
      <c r="I860" t="n">
        <v>-7470</v>
      </c>
      <c r="J860" t="n">
        <v>-6080</v>
      </c>
      <c r="K860" t="n">
        <v/>
      </c>
      <c r="L860" t="n">
        <v/>
      </c>
    </row>
    <row r="861">
      <c r="A861" s="64" t="n">
        <v>39896</v>
      </c>
      <c r="B861" t="n">
        <v>8413</v>
      </c>
      <c r="C861" t="n">
        <v/>
      </c>
      <c r="D861" t="n">
        <v>-20672</v>
      </c>
      <c r="E861" t="n">
        <v>-3148</v>
      </c>
      <c r="F861" t="n">
        <v>-5458</v>
      </c>
      <c r="G861" t="n">
        <v>-30746</v>
      </c>
      <c r="H861" t="n">
        <v>-7662</v>
      </c>
      <c r="I861" t="n">
        <v>-1130</v>
      </c>
      <c r="J861" t="n">
        <v>-2885</v>
      </c>
      <c r="K861" t="n">
        <v/>
      </c>
      <c r="L861" t="n">
        <v/>
      </c>
    </row>
    <row r="862">
      <c r="A862" s="64" t="n">
        <v>39903</v>
      </c>
      <c r="B862" t="n">
        <v>11287</v>
      </c>
      <c r="C862" t="n">
        <v/>
      </c>
      <c r="D862" t="n">
        <v>-23346</v>
      </c>
      <c r="E862" t="n">
        <v>-4411</v>
      </c>
      <c r="F862" t="n">
        <v>2265</v>
      </c>
      <c r="G862" t="n">
        <v>-31136</v>
      </c>
      <c r="H862" t="n">
        <v>-9463</v>
      </c>
      <c r="I862" t="n">
        <v>-2966</v>
      </c>
      <c r="J862" t="n">
        <v>-939</v>
      </c>
      <c r="K862" t="n">
        <v/>
      </c>
      <c r="L862" t="n">
        <v/>
      </c>
    </row>
    <row r="863">
      <c r="A863" s="64" t="n">
        <v>39910</v>
      </c>
      <c r="B863" t="n">
        <v>18116</v>
      </c>
      <c r="C863" t="n">
        <v/>
      </c>
      <c r="D863" t="n">
        <v>-23311</v>
      </c>
      <c r="E863" t="n">
        <v>-3541</v>
      </c>
      <c r="F863" t="n">
        <v>3872</v>
      </c>
      <c r="G863" t="n">
        <v>-34462</v>
      </c>
      <c r="H863" t="n">
        <v>-6998</v>
      </c>
      <c r="I863" t="n">
        <v>5572</v>
      </c>
      <c r="J863" t="n">
        <v>2968</v>
      </c>
      <c r="K863" t="n">
        <v/>
      </c>
      <c r="L863" t="n">
        <v/>
      </c>
    </row>
    <row r="864">
      <c r="A864" s="64" t="n">
        <v>39917</v>
      </c>
      <c r="B864" t="n">
        <v>20789</v>
      </c>
      <c r="C864" t="n">
        <v/>
      </c>
      <c r="D864" t="n">
        <v>-17729</v>
      </c>
      <c r="E864" t="n">
        <v>-5055</v>
      </c>
      <c r="F864" t="n">
        <v>5575</v>
      </c>
      <c r="G864" t="n">
        <v>-26510</v>
      </c>
      <c r="H864" t="n">
        <v>-6095</v>
      </c>
      <c r="I864" t="n">
        <v>12698</v>
      </c>
      <c r="J864" t="n">
        <v>4360</v>
      </c>
      <c r="K864" t="n">
        <v/>
      </c>
      <c r="L864" t="n">
        <v/>
      </c>
    </row>
    <row r="865">
      <c r="A865" s="64" t="n">
        <v>39924</v>
      </c>
      <c r="B865" t="n">
        <v>17250</v>
      </c>
      <c r="C865" t="n">
        <v/>
      </c>
      <c r="D865" t="n">
        <v>-12707</v>
      </c>
      <c r="E865" t="n">
        <v>-12085</v>
      </c>
      <c r="F865" t="n">
        <v>1597</v>
      </c>
      <c r="G865" t="n">
        <v>-24160</v>
      </c>
      <c r="H865" t="n">
        <v>-13695</v>
      </c>
      <c r="I865" t="n">
        <v>30107</v>
      </c>
      <c r="J865" t="n">
        <v>3505</v>
      </c>
      <c r="K865" t="n">
        <v/>
      </c>
      <c r="L865" t="n">
        <v/>
      </c>
    </row>
    <row r="866">
      <c r="A866" s="64" t="n">
        <v>39931</v>
      </c>
      <c r="B866" t="n">
        <v>16692</v>
      </c>
      <c r="C866" t="n">
        <v/>
      </c>
      <c r="D866" t="n">
        <v>-7707</v>
      </c>
      <c r="E866" t="n">
        <v>-4922</v>
      </c>
      <c r="F866" t="n">
        <v>-2073</v>
      </c>
      <c r="G866" t="n">
        <v>-22913</v>
      </c>
      <c r="H866" t="n">
        <v>-4579</v>
      </c>
      <c r="I866" t="n">
        <v>29131</v>
      </c>
      <c r="J866" t="n">
        <v>3648</v>
      </c>
      <c r="K866" t="n">
        <v/>
      </c>
      <c r="L866" t="n">
        <v/>
      </c>
    </row>
    <row r="867">
      <c r="A867" s="64" t="n">
        <v>39938</v>
      </c>
      <c r="B867" t="n">
        <v>23064</v>
      </c>
      <c r="C867" t="n">
        <v/>
      </c>
      <c r="D867" t="n">
        <v>2014</v>
      </c>
      <c r="E867" t="n">
        <v>-743</v>
      </c>
      <c r="F867" t="n">
        <v>3368</v>
      </c>
      <c r="G867" t="n">
        <v>-22437</v>
      </c>
      <c r="H867" t="n">
        <v>-6518</v>
      </c>
      <c r="I867" t="n">
        <v>18905</v>
      </c>
      <c r="J867" t="n">
        <v>3809</v>
      </c>
      <c r="K867" t="n">
        <v/>
      </c>
      <c r="L867" t="n">
        <v/>
      </c>
    </row>
    <row r="868">
      <c r="A868" s="64" t="n">
        <v>39945</v>
      </c>
      <c r="B868" t="n">
        <v>28231</v>
      </c>
      <c r="C868" t="n">
        <v/>
      </c>
      <c r="D868" t="n">
        <v>5449</v>
      </c>
      <c r="E868" t="n">
        <v>1619</v>
      </c>
      <c r="F868" t="n">
        <v>10415</v>
      </c>
      <c r="G868" t="n">
        <v>-22506</v>
      </c>
      <c r="H868" t="n">
        <v>2388</v>
      </c>
      <c r="I868" t="n">
        <v>21468</v>
      </c>
      <c r="J868" t="n">
        <v>6258</v>
      </c>
      <c r="K868" t="n">
        <v/>
      </c>
      <c r="L868" t="n">
        <v/>
      </c>
    </row>
    <row r="869">
      <c r="A869" s="64" t="n">
        <v>39952</v>
      </c>
      <c r="B869" t="n">
        <v>29295</v>
      </c>
      <c r="C869" t="n">
        <v/>
      </c>
      <c r="D869" t="n">
        <v>5425</v>
      </c>
      <c r="E869" t="n">
        <v>4609</v>
      </c>
      <c r="F869" t="n">
        <v>12250</v>
      </c>
      <c r="G869" t="n">
        <v>-25928</v>
      </c>
      <c r="H869" t="n">
        <v>6000</v>
      </c>
      <c r="I869" t="n">
        <v>21129</v>
      </c>
      <c r="J869" t="n">
        <v>6819</v>
      </c>
      <c r="K869" t="n">
        <v/>
      </c>
      <c r="L869" t="n">
        <v/>
      </c>
    </row>
    <row r="870">
      <c r="A870" s="64" t="n">
        <v>39959</v>
      </c>
      <c r="B870" t="n">
        <v>32469</v>
      </c>
      <c r="C870" t="n">
        <v/>
      </c>
      <c r="D870" t="n">
        <v>11532</v>
      </c>
      <c r="E870" t="n">
        <v>6674</v>
      </c>
      <c r="F870" t="n">
        <v>15584</v>
      </c>
      <c r="G870" t="n">
        <v>-24805</v>
      </c>
      <c r="H870" t="n">
        <v>8009</v>
      </c>
      <c r="I870" t="n">
        <v>23804</v>
      </c>
      <c r="J870" t="n">
        <v>12532</v>
      </c>
      <c r="K870" t="n">
        <v/>
      </c>
      <c r="L870" t="n">
        <v/>
      </c>
    </row>
    <row r="871">
      <c r="A871" s="64" t="n">
        <v>39966</v>
      </c>
      <c r="B871" t="n">
        <v>30744</v>
      </c>
      <c r="C871" t="n">
        <v/>
      </c>
      <c r="D871" t="n">
        <v>6594</v>
      </c>
      <c r="E871" t="n">
        <v>8599</v>
      </c>
      <c r="F871" t="n">
        <v>6793</v>
      </c>
      <c r="G871" t="n">
        <v>-20160</v>
      </c>
      <c r="H871" t="n">
        <v>9621</v>
      </c>
      <c r="I871" t="n">
        <v>25388</v>
      </c>
      <c r="J871" t="n">
        <v>14132</v>
      </c>
      <c r="K871" t="n">
        <v/>
      </c>
      <c r="L871" t="n">
        <v/>
      </c>
    </row>
    <row r="872">
      <c r="A872" s="64" t="n">
        <v>39973</v>
      </c>
      <c r="B872" t="n">
        <v>31883</v>
      </c>
      <c r="C872" t="n">
        <v/>
      </c>
      <c r="D872" t="n">
        <v>12966</v>
      </c>
      <c r="E872" t="n">
        <v>8474</v>
      </c>
      <c r="F872" t="n">
        <v>15024</v>
      </c>
      <c r="G872" t="n">
        <v>-15333</v>
      </c>
      <c r="H872" t="n">
        <v>-2299</v>
      </c>
      <c r="I872" t="n">
        <v>13808</v>
      </c>
      <c r="J872" t="n">
        <v>14773</v>
      </c>
      <c r="K872" t="n">
        <v/>
      </c>
      <c r="L872" t="n">
        <v/>
      </c>
    </row>
    <row r="873">
      <c r="A873" s="64" t="n">
        <v>39980</v>
      </c>
      <c r="B873" t="n">
        <v>32203</v>
      </c>
      <c r="C873" t="n">
        <v/>
      </c>
      <c r="D873" t="n">
        <v>15460</v>
      </c>
      <c r="E873" t="n">
        <v>7902</v>
      </c>
      <c r="F873" t="n">
        <v>12485</v>
      </c>
      <c r="G873" t="n">
        <v>-8474</v>
      </c>
      <c r="H873" t="n">
        <v>-8563</v>
      </c>
      <c r="I873" t="n">
        <v>12741</v>
      </c>
      <c r="J873" t="n">
        <v>15460</v>
      </c>
      <c r="K873" t="n">
        <v/>
      </c>
      <c r="L873" t="n">
        <v/>
      </c>
    </row>
    <row r="874">
      <c r="A874" s="64" t="n">
        <v>39987</v>
      </c>
      <c r="B874" t="n">
        <v>29368</v>
      </c>
      <c r="C874" t="n">
        <v/>
      </c>
      <c r="D874" t="n">
        <v>11347</v>
      </c>
      <c r="E874" t="n">
        <v>14408</v>
      </c>
      <c r="F874" t="n">
        <v>17423</v>
      </c>
      <c r="G874" t="n">
        <v>-12158</v>
      </c>
      <c r="H874" t="n">
        <v>-4007</v>
      </c>
      <c r="I874" t="n">
        <v>15247</v>
      </c>
      <c r="J874" t="n">
        <v>16956</v>
      </c>
      <c r="K874" t="n">
        <v/>
      </c>
      <c r="L874" t="n">
        <v/>
      </c>
    </row>
    <row r="875">
      <c r="A875" s="64" t="n">
        <v>39994</v>
      </c>
      <c r="B875" t="n">
        <v>34990</v>
      </c>
      <c r="C875" t="n">
        <v/>
      </c>
      <c r="D875" t="n">
        <v>9272</v>
      </c>
      <c r="E875" t="n">
        <v>10690</v>
      </c>
      <c r="F875" t="n">
        <v>17219</v>
      </c>
      <c r="G875" t="n">
        <v>-4101</v>
      </c>
      <c r="H875" t="n">
        <v>-1047</v>
      </c>
      <c r="I875" t="n">
        <v>28951</v>
      </c>
      <c r="J875" t="n">
        <v>17683</v>
      </c>
      <c r="K875" t="n">
        <v/>
      </c>
      <c r="L875" t="n">
        <v/>
      </c>
    </row>
    <row r="876">
      <c r="A876" s="64" t="n">
        <v>40001</v>
      </c>
      <c r="B876" t="n">
        <v>31886</v>
      </c>
      <c r="C876" t="n">
        <v/>
      </c>
      <c r="D876" t="n">
        <v>6552</v>
      </c>
      <c r="E876" t="n">
        <v>11054</v>
      </c>
      <c r="F876" t="n">
        <v>10312</v>
      </c>
      <c r="G876" t="n">
        <v>-9150</v>
      </c>
      <c r="H876" t="n">
        <v>17117</v>
      </c>
      <c r="I876" t="n">
        <v>39020</v>
      </c>
      <c r="J876" t="n">
        <v>15357</v>
      </c>
      <c r="K876" t="n">
        <v/>
      </c>
      <c r="L876" t="n">
        <v/>
      </c>
    </row>
    <row r="877">
      <c r="A877" s="64" t="n">
        <v>40008</v>
      </c>
      <c r="B877" t="n">
        <v>25593</v>
      </c>
      <c r="C877" t="n">
        <v/>
      </c>
      <c r="D877" t="n">
        <v>5893</v>
      </c>
      <c r="E877" t="n">
        <v>10792</v>
      </c>
      <c r="F877" t="n">
        <v>13899</v>
      </c>
      <c r="G877" t="n">
        <v>-12654</v>
      </c>
      <c r="H877" t="n">
        <v>33567</v>
      </c>
      <c r="I877" t="n">
        <v>13614</v>
      </c>
      <c r="J877" t="n">
        <v>14969</v>
      </c>
      <c r="K877" t="n">
        <v/>
      </c>
      <c r="L877" t="n">
        <v/>
      </c>
    </row>
    <row r="878">
      <c r="A878" s="64" t="n">
        <v>40015</v>
      </c>
      <c r="B878" t="n">
        <v>38788</v>
      </c>
      <c r="C878" t="n">
        <v/>
      </c>
      <c r="D878" t="n">
        <v>16506</v>
      </c>
      <c r="E878" t="n">
        <v>13197</v>
      </c>
      <c r="F878" t="n">
        <v>34772</v>
      </c>
      <c r="G878" t="n">
        <v>-5691</v>
      </c>
      <c r="H878" t="n">
        <v>36188</v>
      </c>
      <c r="I878" t="n">
        <v>11215</v>
      </c>
      <c r="J878" t="n">
        <v>16183</v>
      </c>
      <c r="K878" t="n">
        <v/>
      </c>
      <c r="L878" t="n">
        <v/>
      </c>
    </row>
    <row r="879">
      <c r="A879" s="64" t="n">
        <v>40022</v>
      </c>
      <c r="B879" t="n">
        <v>43495</v>
      </c>
      <c r="C879" t="n">
        <v/>
      </c>
      <c r="D879" t="n">
        <v>29068</v>
      </c>
      <c r="E879" t="n">
        <v>14170</v>
      </c>
      <c r="F879" t="n">
        <v>20287</v>
      </c>
      <c r="G879" t="n">
        <v>-8043</v>
      </c>
      <c r="H879" t="n">
        <v>24302</v>
      </c>
      <c r="I879" t="n">
        <v>30207</v>
      </c>
      <c r="J879" t="n">
        <v>17567</v>
      </c>
      <c r="K879" t="n">
        <v/>
      </c>
      <c r="L879" t="n">
        <v/>
      </c>
    </row>
    <row r="880">
      <c r="A880" s="64" t="n">
        <v>40029</v>
      </c>
      <c r="B880" t="n">
        <v>46410</v>
      </c>
      <c r="C880" t="n">
        <v/>
      </c>
      <c r="D880" t="n">
        <v>36592</v>
      </c>
      <c r="E880" t="n">
        <v>14512</v>
      </c>
      <c r="F880" t="n">
        <v>27106</v>
      </c>
      <c r="G880" t="n">
        <v>-2228</v>
      </c>
      <c r="H880" t="n">
        <v>10615</v>
      </c>
      <c r="I880" t="n">
        <v>35931</v>
      </c>
      <c r="J880" t="n">
        <v>18200</v>
      </c>
      <c r="K880" t="n">
        <v/>
      </c>
      <c r="L880" t="n">
        <v/>
      </c>
    </row>
    <row r="881">
      <c r="A881" s="64" t="n">
        <v>40036</v>
      </c>
      <c r="B881" t="n">
        <v>48846</v>
      </c>
      <c r="C881" t="n">
        <v/>
      </c>
      <c r="D881" t="n">
        <v>33889</v>
      </c>
      <c r="E881" t="n">
        <v>-37</v>
      </c>
      <c r="F881" t="n">
        <v>16811</v>
      </c>
      <c r="G881" t="n">
        <v>-4256</v>
      </c>
      <c r="H881" t="n">
        <v>824</v>
      </c>
      <c r="I881" t="n">
        <v>48462</v>
      </c>
      <c r="J881" t="n">
        <v>18811</v>
      </c>
      <c r="K881" t="n">
        <v/>
      </c>
      <c r="L881" t="n">
        <v/>
      </c>
    </row>
    <row r="882">
      <c r="A882" s="64" t="n">
        <v>40043</v>
      </c>
      <c r="B882" t="n">
        <v>44120</v>
      </c>
      <c r="C882" t="n">
        <v/>
      </c>
      <c r="D882" t="n">
        <v>37458</v>
      </c>
      <c r="E882" t="n">
        <v>6755</v>
      </c>
      <c r="F882" t="n">
        <v>5732</v>
      </c>
      <c r="G882" t="n">
        <v>-1658</v>
      </c>
      <c r="H882" t="n">
        <v>2353</v>
      </c>
      <c r="I882" t="n">
        <v>64413</v>
      </c>
      <c r="J882" t="n">
        <v>17436</v>
      </c>
      <c r="K882" t="n">
        <v/>
      </c>
      <c r="L882" t="n">
        <v/>
      </c>
    </row>
    <row r="883">
      <c r="A883" s="64" t="n">
        <v>40050</v>
      </c>
      <c r="B883" t="n">
        <v>48287</v>
      </c>
      <c r="C883" t="n">
        <v/>
      </c>
      <c r="D883" t="n">
        <v>39989</v>
      </c>
      <c r="E883" t="n">
        <v>16798</v>
      </c>
      <c r="F883" t="n">
        <v>18171</v>
      </c>
      <c r="G883" t="n">
        <v>-7017</v>
      </c>
      <c r="H883" t="n">
        <v>11647</v>
      </c>
      <c r="I883" t="n">
        <v>70843</v>
      </c>
      <c r="J883" t="n">
        <v>18649</v>
      </c>
      <c r="K883" t="n">
        <v/>
      </c>
      <c r="L883" t="n">
        <v/>
      </c>
    </row>
    <row r="884">
      <c r="A884" s="64" t="n">
        <v>40057</v>
      </c>
      <c r="B884" t="n">
        <v>41936</v>
      </c>
      <c r="C884" t="n">
        <v/>
      </c>
      <c r="D884" t="n">
        <v>32889</v>
      </c>
      <c r="E884" t="n">
        <v>14252</v>
      </c>
      <c r="F884" t="n">
        <v>9017</v>
      </c>
      <c r="G884" t="n">
        <v>-17518</v>
      </c>
      <c r="H884" t="n">
        <v>32365</v>
      </c>
      <c r="I884" t="n">
        <v>30047</v>
      </c>
      <c r="J884" t="n">
        <v>17664</v>
      </c>
      <c r="K884" t="n">
        <v/>
      </c>
      <c r="L884" t="n">
        <v/>
      </c>
    </row>
    <row r="885">
      <c r="A885" s="64" t="n">
        <v>40064</v>
      </c>
      <c r="B885" t="n">
        <v>48384</v>
      </c>
      <c r="C885" t="n">
        <v/>
      </c>
      <c r="D885" t="n">
        <v>36818</v>
      </c>
      <c r="E885" t="n">
        <v>18137</v>
      </c>
      <c r="F885" t="n">
        <v>18033</v>
      </c>
      <c r="G885" t="n">
        <v>-5960</v>
      </c>
      <c r="H885" t="n">
        <v>40799</v>
      </c>
      <c r="I885" t="n">
        <v>4064</v>
      </c>
      <c r="J885" t="n">
        <v>18123</v>
      </c>
      <c r="K885" t="n">
        <v/>
      </c>
      <c r="L885" t="n">
        <v/>
      </c>
    </row>
    <row r="886">
      <c r="A886" s="64" t="n">
        <v>40071</v>
      </c>
      <c r="B886" t="n">
        <v>48601</v>
      </c>
      <c r="C886" t="n">
        <v/>
      </c>
      <c r="D886" t="n">
        <v>38032</v>
      </c>
      <c r="E886" t="n">
        <v>18191</v>
      </c>
      <c r="F886" t="n">
        <v>37772</v>
      </c>
      <c r="G886" t="n">
        <v>-12487</v>
      </c>
      <c r="H886" t="n">
        <v>37107</v>
      </c>
      <c r="I886" t="n">
        <v>-1292</v>
      </c>
      <c r="J886" t="n">
        <v>18995</v>
      </c>
      <c r="K886" t="n">
        <v/>
      </c>
      <c r="L886" t="n">
        <v/>
      </c>
    </row>
    <row r="887">
      <c r="A887" s="64" t="n">
        <v>40078</v>
      </c>
      <c r="B887" t="n">
        <v>51524</v>
      </c>
      <c r="C887" t="n">
        <v/>
      </c>
      <c r="D887" t="n">
        <v>34552</v>
      </c>
      <c r="E887" t="n">
        <v>23791</v>
      </c>
      <c r="F887" t="n">
        <v>38000</v>
      </c>
      <c r="G887" t="n">
        <v>-31595</v>
      </c>
      <c r="H887" t="n">
        <v>45615</v>
      </c>
      <c r="I887" t="n">
        <v>4301</v>
      </c>
      <c r="J887" t="n">
        <v>18645</v>
      </c>
      <c r="K887" t="n">
        <v/>
      </c>
      <c r="L887" t="n">
        <v/>
      </c>
    </row>
    <row r="888">
      <c r="A888" s="64" t="n">
        <v>40085</v>
      </c>
      <c r="B888" t="n">
        <v>47698</v>
      </c>
      <c r="C888" t="n">
        <v/>
      </c>
      <c r="D888" t="n">
        <v>18209</v>
      </c>
      <c r="E888" t="n">
        <v>17593</v>
      </c>
      <c r="F888" t="n">
        <v>39766</v>
      </c>
      <c r="G888" t="n">
        <v>-47826</v>
      </c>
      <c r="H888" t="n">
        <v>44856</v>
      </c>
      <c r="I888" t="n">
        <v>-10859</v>
      </c>
      <c r="J888" t="n">
        <v>17503</v>
      </c>
      <c r="K888" t="n">
        <v/>
      </c>
      <c r="L888" t="n">
        <v/>
      </c>
    </row>
    <row r="889">
      <c r="A889" s="64" t="n">
        <v>40092</v>
      </c>
      <c r="B889" t="n">
        <v>50165</v>
      </c>
      <c r="C889" t="n">
        <v/>
      </c>
      <c r="D889" t="n">
        <v>35775</v>
      </c>
      <c r="E889" t="n">
        <v>23470</v>
      </c>
      <c r="F889" t="n">
        <v>51045</v>
      </c>
      <c r="G889" t="n">
        <v>-62106</v>
      </c>
      <c r="H889" t="n">
        <v>44643</v>
      </c>
      <c r="I889" t="n">
        <v>-20553</v>
      </c>
      <c r="J889" t="n">
        <v>18093</v>
      </c>
      <c r="K889" t="n">
        <v/>
      </c>
      <c r="L889" t="n">
        <v/>
      </c>
    </row>
    <row r="890">
      <c r="A890" s="64" t="n">
        <v>40099</v>
      </c>
      <c r="B890" t="n">
        <v>52647</v>
      </c>
      <c r="C890" t="n">
        <v/>
      </c>
      <c r="D890" t="n">
        <v>44196</v>
      </c>
      <c r="E890" t="n">
        <v>22279</v>
      </c>
      <c r="F890" t="n">
        <v>43367</v>
      </c>
      <c r="G890" t="n">
        <v>-65346</v>
      </c>
      <c r="H890" t="n">
        <v>33339</v>
      </c>
      <c r="I890" t="n">
        <v>7949</v>
      </c>
      <c r="J890" t="n">
        <v>17630</v>
      </c>
      <c r="K890" t="n">
        <v/>
      </c>
      <c r="L890" t="n">
        <v/>
      </c>
    </row>
    <row r="891">
      <c r="A891" s="64" t="n">
        <v>40106</v>
      </c>
      <c r="B891" t="n">
        <v>53990</v>
      </c>
      <c r="C891" t="n">
        <v/>
      </c>
      <c r="D891" t="n">
        <v>43537</v>
      </c>
      <c r="E891" t="n">
        <v>23853</v>
      </c>
      <c r="F891" t="n">
        <v>36033</v>
      </c>
      <c r="G891" t="n">
        <v>-43318</v>
      </c>
      <c r="H891" t="n">
        <v>31185</v>
      </c>
      <c r="I891" t="n">
        <v>55184</v>
      </c>
      <c r="J891" t="n">
        <v>17158</v>
      </c>
      <c r="K891" t="n">
        <v/>
      </c>
      <c r="L891" t="n">
        <v/>
      </c>
    </row>
    <row r="892">
      <c r="A892" s="64" t="n">
        <v>40113</v>
      </c>
      <c r="B892" t="n">
        <v>52887</v>
      </c>
      <c r="C892" t="n">
        <v/>
      </c>
      <c r="D892" t="n">
        <v>35455</v>
      </c>
      <c r="E892" t="n">
        <v>17845</v>
      </c>
      <c r="F892" t="n">
        <v>32869</v>
      </c>
      <c r="G892" t="n">
        <v>-31431</v>
      </c>
      <c r="H892" t="n">
        <v>17530</v>
      </c>
      <c r="I892" t="n">
        <v>66795</v>
      </c>
      <c r="J892" t="n">
        <v>15028</v>
      </c>
      <c r="K892" t="n">
        <v/>
      </c>
      <c r="L892" t="n">
        <v/>
      </c>
    </row>
    <row r="893">
      <c r="A893" s="64" t="n">
        <v>40120</v>
      </c>
      <c r="B893" t="n">
        <v>50383</v>
      </c>
      <c r="C893" t="n">
        <v/>
      </c>
      <c r="D893" t="n">
        <v>23369</v>
      </c>
      <c r="E893" t="n">
        <v>18665</v>
      </c>
      <c r="F893" t="n">
        <v>22191</v>
      </c>
      <c r="G893" t="n">
        <v>-18905</v>
      </c>
      <c r="H893" t="n">
        <v>19832</v>
      </c>
      <c r="I893" t="n">
        <v>59927</v>
      </c>
      <c r="J893" t="n">
        <v>13316</v>
      </c>
      <c r="K893" t="n">
        <v/>
      </c>
      <c r="L893" t="n">
        <v/>
      </c>
    </row>
    <row r="894">
      <c r="A894" s="64" t="n">
        <v>40127</v>
      </c>
      <c r="B894" t="n">
        <v>47434</v>
      </c>
      <c r="C894" t="n">
        <v/>
      </c>
      <c r="D894" t="n">
        <v>21984</v>
      </c>
      <c r="E894" t="n">
        <v>23298</v>
      </c>
      <c r="F894" t="n">
        <v>25173</v>
      </c>
      <c r="G894" t="n">
        <v>-15857</v>
      </c>
      <c r="H894" t="n">
        <v>21878</v>
      </c>
      <c r="I894" t="n">
        <v>40450</v>
      </c>
      <c r="J894" t="n">
        <v>11255</v>
      </c>
      <c r="K894" t="n">
        <v/>
      </c>
      <c r="L894" t="n">
        <v/>
      </c>
    </row>
    <row r="895">
      <c r="A895" s="64" t="n">
        <v>40134</v>
      </c>
      <c r="B895" t="n">
        <v>46888</v>
      </c>
      <c r="C895" t="n">
        <v/>
      </c>
      <c r="D895" t="n">
        <v>23606</v>
      </c>
      <c r="E895" t="n">
        <v>22199</v>
      </c>
      <c r="F895" t="n">
        <v>11956</v>
      </c>
      <c r="G895" t="n">
        <v>-6585</v>
      </c>
      <c r="H895" t="n">
        <v>35552</v>
      </c>
      <c r="I895" t="n">
        <v>55308</v>
      </c>
      <c r="J895" t="n">
        <v>12674</v>
      </c>
      <c r="K895" t="n">
        <v/>
      </c>
      <c r="L895" t="n">
        <v/>
      </c>
    </row>
    <row r="896">
      <c r="A896" s="64" t="n">
        <v>40141</v>
      </c>
      <c r="B896" t="n">
        <v>43564</v>
      </c>
      <c r="C896" t="n">
        <v/>
      </c>
      <c r="D896" t="n">
        <v>24653</v>
      </c>
      <c r="E896" t="n">
        <v>22117</v>
      </c>
      <c r="F896" t="n">
        <v>18467</v>
      </c>
      <c r="G896" t="n">
        <v>-11355</v>
      </c>
      <c r="H896" t="n">
        <v>51710</v>
      </c>
      <c r="I896" t="n">
        <v>89266</v>
      </c>
      <c r="J896" t="n">
        <v>11584</v>
      </c>
      <c r="K896" t="n">
        <v/>
      </c>
      <c r="L896" t="n">
        <v/>
      </c>
    </row>
    <row r="897">
      <c r="A897" s="64" t="n">
        <v>40148</v>
      </c>
      <c r="B897" t="n">
        <v>48438</v>
      </c>
      <c r="C897" t="n">
        <v/>
      </c>
      <c r="D897" t="n">
        <v>30809</v>
      </c>
      <c r="E897" t="n">
        <v>24725</v>
      </c>
      <c r="F897" t="n">
        <v>22151</v>
      </c>
      <c r="G897" t="n">
        <v>-10663</v>
      </c>
      <c r="H897" t="n">
        <v>56907</v>
      </c>
      <c r="I897" t="n">
        <v>100385</v>
      </c>
      <c r="J897" t="n">
        <v>8103</v>
      </c>
      <c r="K897" t="n">
        <v/>
      </c>
      <c r="L897" t="n">
        <v/>
      </c>
    </row>
    <row r="898">
      <c r="A898" s="64" t="n">
        <v>40155</v>
      </c>
      <c r="B898" t="n">
        <v>46682</v>
      </c>
      <c r="C898" t="n">
        <v/>
      </c>
      <c r="D898" t="n">
        <v>29459</v>
      </c>
      <c r="E898" t="n">
        <v>13348</v>
      </c>
      <c r="F898" t="n">
        <v>-511</v>
      </c>
      <c r="G898" t="n">
        <v>-16876</v>
      </c>
      <c r="H898" t="n">
        <v>35182</v>
      </c>
      <c r="I898" t="n">
        <v>106183</v>
      </c>
      <c r="J898" t="n">
        <v>7795</v>
      </c>
      <c r="K898" t="n">
        <v/>
      </c>
      <c r="L898" t="n">
        <v/>
      </c>
    </row>
    <row r="899">
      <c r="A899" s="64" t="n">
        <v>40162</v>
      </c>
      <c r="B899" t="n">
        <v>40983</v>
      </c>
      <c r="C899" t="n">
        <v/>
      </c>
      <c r="D899" t="n">
        <v>25625</v>
      </c>
      <c r="E899" t="n">
        <v>461</v>
      </c>
      <c r="F899" t="n">
        <v>-16448</v>
      </c>
      <c r="G899" t="n">
        <v>-23444</v>
      </c>
      <c r="H899" t="n">
        <v>8372</v>
      </c>
      <c r="I899" t="n">
        <v>91562</v>
      </c>
      <c r="J899" t="n">
        <v>9452</v>
      </c>
      <c r="K899" t="n">
        <v/>
      </c>
      <c r="L899" t="n">
        <v/>
      </c>
    </row>
    <row r="900">
      <c r="A900" s="64" t="n">
        <v>40169</v>
      </c>
      <c r="B900" t="n">
        <v>32425</v>
      </c>
      <c r="C900" t="n">
        <v/>
      </c>
      <c r="D900" t="n">
        <v>22701</v>
      </c>
      <c r="E900" t="n">
        <v>-4568</v>
      </c>
      <c r="F900" t="n">
        <v>-14327</v>
      </c>
      <c r="G900" t="n">
        <v>-24577</v>
      </c>
      <c r="H900" t="n">
        <v>-1011</v>
      </c>
      <c r="I900" t="n">
        <v>72998</v>
      </c>
      <c r="J900" t="n">
        <v>9746</v>
      </c>
      <c r="K900" t="n">
        <v/>
      </c>
      <c r="L900" t="n">
        <v/>
      </c>
    </row>
    <row r="901">
      <c r="A901" s="64" t="n">
        <v>40176</v>
      </c>
      <c r="B901" t="n">
        <v>36531</v>
      </c>
      <c r="C901" t="n">
        <v/>
      </c>
      <c r="D901" t="n">
        <v>39989</v>
      </c>
      <c r="E901" t="n">
        <v>-7051</v>
      </c>
      <c r="F901" t="n">
        <v>-33797</v>
      </c>
      <c r="G901" t="n">
        <v>-29475</v>
      </c>
      <c r="H901" t="n">
        <v>-14903</v>
      </c>
      <c r="I901" t="n">
        <v>64633</v>
      </c>
      <c r="J901" t="n">
        <v>8805</v>
      </c>
      <c r="K901" t="n">
        <v/>
      </c>
      <c r="L901" t="n">
        <v/>
      </c>
    </row>
    <row r="902">
      <c r="A902" s="64" t="n">
        <v>40183</v>
      </c>
      <c r="B902" t="n">
        <v>47108</v>
      </c>
      <c r="C902" t="n">
        <v/>
      </c>
      <c r="D902" t="n">
        <v>40196</v>
      </c>
      <c r="E902" t="n">
        <v>-2780</v>
      </c>
      <c r="F902" t="n">
        <v>-35788</v>
      </c>
      <c r="G902" t="n">
        <v>-33564</v>
      </c>
      <c r="H902" t="n">
        <v>-16811</v>
      </c>
      <c r="I902" t="n">
        <v>61987</v>
      </c>
      <c r="J902" t="n">
        <v>12973</v>
      </c>
      <c r="K902" t="n">
        <v/>
      </c>
      <c r="L902" t="n">
        <v/>
      </c>
    </row>
    <row r="903">
      <c r="A903" s="64" t="n">
        <v>40190</v>
      </c>
      <c r="B903" t="n">
        <v>59352</v>
      </c>
      <c r="C903" t="n">
        <v/>
      </c>
      <c r="D903" t="n">
        <v>48695</v>
      </c>
      <c r="E903" t="n">
        <v>13926</v>
      </c>
      <c r="F903" t="n">
        <v>-17917</v>
      </c>
      <c r="G903" t="n">
        <v>-35467</v>
      </c>
      <c r="H903" t="n">
        <v>-16744</v>
      </c>
      <c r="I903" t="n">
        <v>75897</v>
      </c>
      <c r="J903" t="n">
        <v>15683</v>
      </c>
      <c r="K903" t="n">
        <v/>
      </c>
      <c r="L903" t="n">
        <v/>
      </c>
    </row>
    <row r="904">
      <c r="A904" s="64" t="n">
        <v>40197</v>
      </c>
      <c r="B904" t="n">
        <v>62851</v>
      </c>
      <c r="C904" t="n">
        <v/>
      </c>
      <c r="D904" t="n">
        <v>46803</v>
      </c>
      <c r="E904" t="n">
        <v>13971</v>
      </c>
      <c r="F904" t="n">
        <v>-25282</v>
      </c>
      <c r="G904" t="n">
        <v>-20171</v>
      </c>
      <c r="H904" t="n">
        <v>-17096</v>
      </c>
      <c r="I904" t="n">
        <v>79247</v>
      </c>
      <c r="J904" t="n">
        <v>16356</v>
      </c>
      <c r="K904" t="n">
        <v/>
      </c>
      <c r="L904" t="n">
        <v/>
      </c>
    </row>
    <row r="905">
      <c r="A905" s="64" t="n">
        <v>40204</v>
      </c>
      <c r="B905" t="n">
        <v>45318</v>
      </c>
      <c r="C905" t="n">
        <v/>
      </c>
      <c r="D905" t="n">
        <v>25809</v>
      </c>
      <c r="E905" t="n">
        <v>5705</v>
      </c>
      <c r="F905" t="n">
        <v>-39539</v>
      </c>
      <c r="G905" t="n">
        <v>-27153</v>
      </c>
      <c r="H905" t="n">
        <v>-4347</v>
      </c>
      <c r="I905" t="n">
        <v>58139</v>
      </c>
      <c r="J905" t="n">
        <v>8471</v>
      </c>
      <c r="K905" t="n">
        <v/>
      </c>
      <c r="L905" t="n">
        <v/>
      </c>
    </row>
    <row r="906">
      <c r="A906" s="64" t="n">
        <v>40211</v>
      </c>
      <c r="B906" t="n">
        <v>33271</v>
      </c>
      <c r="C906" t="n">
        <v/>
      </c>
      <c r="D906" t="n">
        <v>15355</v>
      </c>
      <c r="E906" t="n">
        <v>-1775</v>
      </c>
      <c r="F906" t="n">
        <v>-43741</v>
      </c>
      <c r="G906" t="n">
        <v>-33968</v>
      </c>
      <c r="H906" t="n">
        <v>7135</v>
      </c>
      <c r="I906" t="n">
        <v>42653</v>
      </c>
      <c r="J906" t="n">
        <v>5383</v>
      </c>
      <c r="K906" t="n">
        <v/>
      </c>
      <c r="L906" t="n">
        <v/>
      </c>
    </row>
    <row r="907">
      <c r="A907" s="64" t="n">
        <v>40218</v>
      </c>
      <c r="B907" t="n">
        <v>27606</v>
      </c>
      <c r="C907" t="n">
        <v/>
      </c>
      <c r="D907" t="n">
        <v>8863</v>
      </c>
      <c r="E907" t="n">
        <v>-6896</v>
      </c>
      <c r="F907" t="n">
        <v>-57152</v>
      </c>
      <c r="G907" t="n">
        <v>-52756</v>
      </c>
      <c r="H907" t="n">
        <v>22396</v>
      </c>
      <c r="I907" t="n">
        <v>32274</v>
      </c>
      <c r="J907" t="n">
        <v>4723</v>
      </c>
      <c r="K907" t="n">
        <v/>
      </c>
      <c r="L907" t="n">
        <v/>
      </c>
    </row>
    <row r="908">
      <c r="A908" s="64" t="n">
        <v>40225</v>
      </c>
      <c r="B908" t="n">
        <v>27003</v>
      </c>
      <c r="C908" t="n">
        <v/>
      </c>
      <c r="D908" t="n">
        <v>23455</v>
      </c>
      <c r="E908" t="n">
        <v>-4667</v>
      </c>
      <c r="F908" t="n">
        <v>-59422</v>
      </c>
      <c r="G908" t="n">
        <v>-56079</v>
      </c>
      <c r="H908" t="n">
        <v>13912</v>
      </c>
      <c r="I908" t="n">
        <v>34464</v>
      </c>
      <c r="J908" t="n">
        <v>7435</v>
      </c>
      <c r="K908" t="n">
        <v/>
      </c>
      <c r="L908" t="n">
        <v/>
      </c>
    </row>
    <row r="909">
      <c r="A909" s="64" t="n">
        <v>40232</v>
      </c>
      <c r="B909" t="n">
        <v>38992</v>
      </c>
      <c r="C909" t="n">
        <v/>
      </c>
      <c r="D909" t="n">
        <v>28421</v>
      </c>
      <c r="E909" t="n">
        <v>-8819</v>
      </c>
      <c r="F909" t="n">
        <v>-71623</v>
      </c>
      <c r="G909" t="n">
        <v>-62884</v>
      </c>
      <c r="H909" t="n">
        <v>1717</v>
      </c>
      <c r="I909" t="n">
        <v>57345</v>
      </c>
      <c r="J909" t="n">
        <v>6392</v>
      </c>
      <c r="K909" t="n">
        <v/>
      </c>
      <c r="L909" t="n">
        <v/>
      </c>
    </row>
    <row r="910">
      <c r="A910" s="64" t="n">
        <v>40239</v>
      </c>
      <c r="B910" t="n">
        <v>48761</v>
      </c>
      <c r="C910" t="n">
        <v/>
      </c>
      <c r="D910" t="n">
        <v>38289</v>
      </c>
      <c r="E910" t="n">
        <v>-6310</v>
      </c>
      <c r="F910" t="n">
        <v>-66770</v>
      </c>
      <c r="G910" t="n">
        <v>-67549</v>
      </c>
      <c r="H910" t="n">
        <v>32552</v>
      </c>
      <c r="I910" t="n">
        <v>79779</v>
      </c>
      <c r="J910" t="n">
        <v>5112</v>
      </c>
      <c r="K910" t="n">
        <v/>
      </c>
      <c r="L910" t="n">
        <v/>
      </c>
    </row>
    <row r="911">
      <c r="A911" s="64" t="n">
        <v>40246</v>
      </c>
      <c r="B911" t="n">
        <v>61285</v>
      </c>
      <c r="C911" t="n">
        <v/>
      </c>
      <c r="D911" t="n">
        <v>61399</v>
      </c>
      <c r="E911" t="n">
        <v>-5145</v>
      </c>
      <c r="F911" t="n">
        <v>-74551</v>
      </c>
      <c r="G911" t="n">
        <v>-63473</v>
      </c>
      <c r="H911" t="n">
        <v>26288</v>
      </c>
      <c r="I911" t="n">
        <v>93474</v>
      </c>
      <c r="J911" t="n">
        <v>3247</v>
      </c>
      <c r="K911" t="n">
        <v/>
      </c>
      <c r="L911" t="n">
        <v/>
      </c>
    </row>
    <row r="912">
      <c r="A912" s="64" t="n">
        <v>40253</v>
      </c>
      <c r="B912" t="n">
        <v>63494</v>
      </c>
      <c r="C912" t="n">
        <v/>
      </c>
      <c r="D912" t="n">
        <v>69640</v>
      </c>
      <c r="E912" t="n">
        <v>-5233</v>
      </c>
      <c r="F912" t="n">
        <v>-46341</v>
      </c>
      <c r="G912" t="n">
        <v>-63987</v>
      </c>
      <c r="H912" t="n">
        <v>15197</v>
      </c>
      <c r="I912" t="n">
        <v>103254</v>
      </c>
      <c r="J912" t="n">
        <v>2809</v>
      </c>
      <c r="K912" t="n">
        <v/>
      </c>
      <c r="L912" t="n">
        <v/>
      </c>
    </row>
    <row r="913">
      <c r="A913" s="64" t="n">
        <v>40260</v>
      </c>
      <c r="B913" t="n">
        <v>74339</v>
      </c>
      <c r="C913" t="n">
        <v/>
      </c>
      <c r="D913" t="n">
        <v>73027</v>
      </c>
      <c r="E913" t="n">
        <v>-1088</v>
      </c>
      <c r="F913" t="n">
        <v>-74917</v>
      </c>
      <c r="G913" t="n">
        <v>-71624</v>
      </c>
      <c r="H913" t="n">
        <v>10161</v>
      </c>
      <c r="I913" t="n">
        <v>109862</v>
      </c>
      <c r="J913" t="n">
        <v>5489</v>
      </c>
      <c r="K913" t="n">
        <v/>
      </c>
      <c r="L913" t="n">
        <v/>
      </c>
    </row>
    <row r="914">
      <c r="A914" s="64" t="n">
        <v>40267</v>
      </c>
      <c r="B914" t="n">
        <v>69340</v>
      </c>
      <c r="C914" t="n">
        <v/>
      </c>
      <c r="D914" t="n">
        <v>70296</v>
      </c>
      <c r="E914" t="n">
        <v>-6540</v>
      </c>
      <c r="F914" t="n">
        <v>-85326</v>
      </c>
      <c r="G914" t="n">
        <v>-67073</v>
      </c>
      <c r="H914" t="n">
        <v>-30866</v>
      </c>
      <c r="I914" t="n">
        <v>109598</v>
      </c>
      <c r="J914" t="n">
        <v>5806</v>
      </c>
      <c r="K914" t="n">
        <v/>
      </c>
      <c r="L914" t="n">
        <v/>
      </c>
    </row>
    <row r="915">
      <c r="A915" s="64" t="n">
        <v>40274</v>
      </c>
      <c r="B915" t="n">
        <v>73198</v>
      </c>
      <c r="C915" t="n">
        <v/>
      </c>
      <c r="D915" t="n">
        <v>69312</v>
      </c>
      <c r="E915" t="n">
        <v>-4152</v>
      </c>
      <c r="F915" t="n">
        <v>-67223</v>
      </c>
      <c r="G915" t="n">
        <v>-59474</v>
      </c>
      <c r="H915" t="n">
        <v>-42305</v>
      </c>
      <c r="I915" t="n">
        <v>111210</v>
      </c>
      <c r="J915" t="n">
        <v>5503</v>
      </c>
      <c r="K915" t="n">
        <v/>
      </c>
      <c r="L915" t="n">
        <v/>
      </c>
    </row>
    <row r="916">
      <c r="A916" s="64" t="n">
        <v>40281</v>
      </c>
      <c r="B916" t="n">
        <v>80674</v>
      </c>
      <c r="C916" t="n">
        <v/>
      </c>
      <c r="D916" t="n">
        <v>70475</v>
      </c>
      <c r="E916" t="n">
        <v>-4954</v>
      </c>
      <c r="F916" t="n">
        <v>-55464</v>
      </c>
      <c r="G916" t="n">
        <v>-57391</v>
      </c>
      <c r="H916" t="n">
        <v>-55746</v>
      </c>
      <c r="I916" t="n">
        <v>112226</v>
      </c>
      <c r="J916" t="n">
        <v>7151</v>
      </c>
      <c r="K916" t="n">
        <v/>
      </c>
      <c r="L916" t="n">
        <v/>
      </c>
    </row>
    <row r="917">
      <c r="A917" s="64" t="n">
        <v>40288</v>
      </c>
      <c r="B917" t="n">
        <v>78904</v>
      </c>
      <c r="C917" t="n">
        <v/>
      </c>
      <c r="D917" t="n">
        <v>69656</v>
      </c>
      <c r="E917" t="n">
        <v>-5382</v>
      </c>
      <c r="F917" t="n">
        <v>-71424</v>
      </c>
      <c r="G917" t="n">
        <v>-49298</v>
      </c>
      <c r="H917" t="n">
        <v>-50338</v>
      </c>
      <c r="I917" t="n">
        <v>110152</v>
      </c>
      <c r="J917" t="n">
        <v>8752</v>
      </c>
      <c r="K917" t="n">
        <v/>
      </c>
      <c r="L917" t="n">
        <v/>
      </c>
    </row>
    <row r="918">
      <c r="A918" s="64" t="n">
        <v>40295</v>
      </c>
      <c r="B918" t="n">
        <v>66068</v>
      </c>
      <c r="C918" t="n">
        <v/>
      </c>
      <c r="D918" t="n">
        <v>59198</v>
      </c>
      <c r="E918" t="n">
        <v>-13613</v>
      </c>
      <c r="F918" t="n">
        <v>-89013</v>
      </c>
      <c r="G918" t="n">
        <v>-54666</v>
      </c>
      <c r="H918" t="n">
        <v>-49777</v>
      </c>
      <c r="I918" t="n">
        <v>98041</v>
      </c>
      <c r="J918" t="n">
        <v>12909</v>
      </c>
      <c r="K918" t="n">
        <v/>
      </c>
      <c r="L918" t="n">
        <v/>
      </c>
    </row>
    <row r="919">
      <c r="A919" s="64" t="n">
        <v>40302</v>
      </c>
      <c r="B919" t="n">
        <v>56982</v>
      </c>
      <c r="C919" t="n">
        <v/>
      </c>
      <c r="D919" t="n">
        <v>52012</v>
      </c>
      <c r="E919" t="n">
        <v>-16592</v>
      </c>
      <c r="F919" t="n">
        <v>-103402</v>
      </c>
      <c r="G919" t="n">
        <v>-65616</v>
      </c>
      <c r="H919" t="n">
        <v>-65612</v>
      </c>
      <c r="I919" t="n">
        <v>83043</v>
      </c>
      <c r="J919" t="n">
        <v>14976</v>
      </c>
      <c r="K919" t="n">
        <v/>
      </c>
      <c r="L919" t="n">
        <v/>
      </c>
    </row>
    <row r="920">
      <c r="A920" s="64" t="n">
        <v>40309</v>
      </c>
      <c r="B920" t="n">
        <v>49198</v>
      </c>
      <c r="C920" t="n">
        <v/>
      </c>
      <c r="D920" t="n">
        <v>50454</v>
      </c>
      <c r="E920" t="n">
        <v>-17527</v>
      </c>
      <c r="F920" t="n">
        <v>-113890</v>
      </c>
      <c r="G920" t="n">
        <v>-72188</v>
      </c>
      <c r="H920" t="n">
        <v>-34669</v>
      </c>
      <c r="I920" t="n">
        <v>41958</v>
      </c>
      <c r="J920" t="n">
        <v>16892</v>
      </c>
      <c r="K920" t="n">
        <v/>
      </c>
      <c r="L920" t="n">
        <v/>
      </c>
    </row>
    <row r="921">
      <c r="A921" s="64" t="n">
        <v>40316</v>
      </c>
      <c r="B921" t="n">
        <v>38380</v>
      </c>
      <c r="C921" t="n">
        <v/>
      </c>
      <c r="D921" t="n">
        <v>44885</v>
      </c>
      <c r="E921" t="n">
        <v>-14558</v>
      </c>
      <c r="F921" t="n">
        <v>-107143</v>
      </c>
      <c r="G921" t="n">
        <v>-76745</v>
      </c>
      <c r="H921" t="n">
        <v>-34289</v>
      </c>
      <c r="I921" t="n">
        <v>35702</v>
      </c>
      <c r="J921" t="n">
        <v>12553</v>
      </c>
      <c r="K921" t="n">
        <v/>
      </c>
      <c r="L921" t="n">
        <v/>
      </c>
    </row>
    <row r="922">
      <c r="A922" s="64" t="n">
        <v>40323</v>
      </c>
      <c r="B922" t="n">
        <v>19523</v>
      </c>
      <c r="C922" t="n">
        <v/>
      </c>
      <c r="D922" t="n">
        <v>23872</v>
      </c>
      <c r="E922" t="n">
        <v>-12619</v>
      </c>
      <c r="F922" t="n">
        <v>-106736</v>
      </c>
      <c r="G922" t="n">
        <v>-75079</v>
      </c>
      <c r="H922" t="n">
        <v>-10238</v>
      </c>
      <c r="I922" t="n">
        <v>28857</v>
      </c>
      <c r="J922" t="n">
        <v>7662</v>
      </c>
      <c r="K922" t="n">
        <v/>
      </c>
      <c r="L922" t="n">
        <v/>
      </c>
    </row>
    <row r="923">
      <c r="A923" s="64" t="n">
        <v>40330</v>
      </c>
      <c r="B923" t="n">
        <v>15045</v>
      </c>
      <c r="C923" t="n">
        <v/>
      </c>
      <c r="D923" t="n">
        <v>22154</v>
      </c>
      <c r="E923" t="n">
        <v>-14724</v>
      </c>
      <c r="F923" t="n">
        <v>-93325</v>
      </c>
      <c r="G923" t="n">
        <v>-70454</v>
      </c>
      <c r="H923" t="n">
        <v>-6484</v>
      </c>
      <c r="I923" t="n">
        <v>19773</v>
      </c>
      <c r="J923" t="n">
        <v>2204</v>
      </c>
      <c r="K923" t="n">
        <v/>
      </c>
      <c r="L923" t="n">
        <v/>
      </c>
    </row>
    <row r="924">
      <c r="A924" s="64" t="n">
        <v>40337</v>
      </c>
      <c r="B924" t="n">
        <v>8435</v>
      </c>
      <c r="C924" t="n">
        <v/>
      </c>
      <c r="D924" t="n">
        <v>22510</v>
      </c>
      <c r="E924" t="n">
        <v>-11415</v>
      </c>
      <c r="F924" t="n">
        <v>-111945</v>
      </c>
      <c r="G924" t="n">
        <v>-74680</v>
      </c>
      <c r="H924" t="n">
        <v>-12547</v>
      </c>
      <c r="I924" t="n">
        <v>17426</v>
      </c>
      <c r="J924" t="n">
        <v>-869</v>
      </c>
      <c r="K924" t="n">
        <v/>
      </c>
      <c r="L924" t="n">
        <v/>
      </c>
    </row>
    <row r="925">
      <c r="A925" s="64" t="n">
        <v>40344</v>
      </c>
      <c r="B925" t="n">
        <v>12406</v>
      </c>
      <c r="C925" t="n">
        <v/>
      </c>
      <c r="D925" t="n">
        <v>27354</v>
      </c>
      <c r="E925" t="n">
        <v>-16476</v>
      </c>
      <c r="F925" t="n">
        <v>-62360</v>
      </c>
      <c r="G925" t="n">
        <v>-48134</v>
      </c>
      <c r="H925" t="n">
        <v>-3680</v>
      </c>
      <c r="I925" t="n">
        <v>28297</v>
      </c>
      <c r="J925" t="n">
        <v>-2129</v>
      </c>
      <c r="K925" t="n">
        <v/>
      </c>
      <c r="L925" t="n">
        <v/>
      </c>
    </row>
    <row r="926">
      <c r="A926" s="64" t="n">
        <v>40351</v>
      </c>
      <c r="B926" t="n">
        <v>11806</v>
      </c>
      <c r="C926" t="n">
        <v/>
      </c>
      <c r="D926" t="n">
        <v>26353</v>
      </c>
      <c r="E926" t="n">
        <v>-10265</v>
      </c>
      <c r="F926" t="n">
        <v>-70974</v>
      </c>
      <c r="G926" t="n">
        <v>-46346</v>
      </c>
      <c r="H926" t="n">
        <v>3630</v>
      </c>
      <c r="I926" t="n">
        <v>35639</v>
      </c>
      <c r="J926" t="n">
        <v>822</v>
      </c>
      <c r="K926" t="n">
        <v/>
      </c>
      <c r="L926" t="n">
        <v/>
      </c>
    </row>
    <row r="927">
      <c r="A927" s="64" t="n">
        <v>40358</v>
      </c>
      <c r="B927" t="n">
        <v>12854</v>
      </c>
      <c r="C927" t="n">
        <v/>
      </c>
      <c r="D927" t="n">
        <v>15894</v>
      </c>
      <c r="E927" t="n">
        <v>-12848</v>
      </c>
      <c r="F927" t="n">
        <v>-73670</v>
      </c>
      <c r="G927" t="n">
        <v>-34771</v>
      </c>
      <c r="H927" t="n">
        <v>27427</v>
      </c>
      <c r="I927" t="n">
        <v>42496</v>
      </c>
      <c r="J927" t="n">
        <v>2486</v>
      </c>
      <c r="K927" t="n">
        <v/>
      </c>
      <c r="L927" t="n">
        <v/>
      </c>
    </row>
    <row r="928">
      <c r="A928" s="64" t="n">
        <v>40365</v>
      </c>
      <c r="B928" t="n">
        <v>7246</v>
      </c>
      <c r="C928" t="n">
        <v/>
      </c>
      <c r="D928" t="n">
        <v>8094</v>
      </c>
      <c r="E928" t="n">
        <v>-7455</v>
      </c>
      <c r="F928" t="n">
        <v>-38909</v>
      </c>
      <c r="G928" t="n">
        <v>-38077</v>
      </c>
      <c r="H928" t="n">
        <v>37926</v>
      </c>
      <c r="I928" t="n">
        <v>22725</v>
      </c>
      <c r="J928" t="n">
        <v>2577</v>
      </c>
      <c r="K928" t="n">
        <v/>
      </c>
      <c r="L928" t="n">
        <v/>
      </c>
    </row>
    <row r="929">
      <c r="A929" s="64" t="n">
        <v>40372</v>
      </c>
      <c r="B929" t="n">
        <v>23480</v>
      </c>
      <c r="C929" t="n">
        <v/>
      </c>
      <c r="D929" t="n">
        <v>22038</v>
      </c>
      <c r="E929" t="n">
        <v>14590</v>
      </c>
      <c r="F929" t="n">
        <v>-27050</v>
      </c>
      <c r="G929" t="n">
        <v>-34671</v>
      </c>
      <c r="H929" t="n">
        <v>47359</v>
      </c>
      <c r="I929" t="n">
        <v>28135</v>
      </c>
      <c r="J929" t="n">
        <v>5452</v>
      </c>
      <c r="K929" t="n">
        <v/>
      </c>
      <c r="L929" t="n">
        <v/>
      </c>
    </row>
    <row r="930">
      <c r="A930" s="64" t="n">
        <v>40379</v>
      </c>
      <c r="B930" t="n">
        <v>32886</v>
      </c>
      <c r="C930" t="n">
        <v/>
      </c>
      <c r="D930" t="n">
        <v>16424</v>
      </c>
      <c r="E930" t="n">
        <v>15113</v>
      </c>
      <c r="F930" t="n">
        <v>-24251</v>
      </c>
      <c r="G930" t="n">
        <v>-26767</v>
      </c>
      <c r="H930" t="n">
        <v>40911</v>
      </c>
      <c r="I930" t="n">
        <v>35886</v>
      </c>
      <c r="J930" t="n">
        <v>8973</v>
      </c>
      <c r="K930" t="n">
        <v/>
      </c>
      <c r="L930" t="n">
        <v/>
      </c>
    </row>
    <row r="931">
      <c r="A931" s="64" t="n">
        <v>40386</v>
      </c>
      <c r="B931" t="n">
        <v>40533</v>
      </c>
      <c r="C931" t="n">
        <v/>
      </c>
      <c r="D931" t="n">
        <v>23868</v>
      </c>
      <c r="E931" t="n">
        <v>6216</v>
      </c>
      <c r="F931" t="n">
        <v>-21339</v>
      </c>
      <c r="G931" t="n">
        <v>-17940</v>
      </c>
      <c r="H931" t="n">
        <v>29921</v>
      </c>
      <c r="I931" t="n">
        <v>45318</v>
      </c>
      <c r="J931" t="n">
        <v>13674</v>
      </c>
      <c r="K931" t="n">
        <v/>
      </c>
      <c r="L931" t="n">
        <v/>
      </c>
    </row>
    <row r="932">
      <c r="A932" s="64" t="n">
        <v>40393</v>
      </c>
      <c r="B932" t="n">
        <v>48715</v>
      </c>
      <c r="C932" t="n">
        <v/>
      </c>
      <c r="D932" t="n">
        <v>34182</v>
      </c>
      <c r="E932" t="n">
        <v>16223</v>
      </c>
      <c r="F932" t="n">
        <v>-7297</v>
      </c>
      <c r="G932" t="n">
        <v>-250</v>
      </c>
      <c r="H932" t="n">
        <v>47998</v>
      </c>
      <c r="I932" t="n">
        <v>55141</v>
      </c>
      <c r="J932" t="n">
        <v>15059</v>
      </c>
      <c r="K932" t="n">
        <v/>
      </c>
      <c r="L932" t="n">
        <v/>
      </c>
    </row>
    <row r="933">
      <c r="A933" s="64" t="n">
        <v>40400</v>
      </c>
      <c r="B933" t="n">
        <v>54370</v>
      </c>
      <c r="C933" t="n">
        <v/>
      </c>
      <c r="D933" t="n">
        <v>41179</v>
      </c>
      <c r="E933" t="n">
        <v>10901</v>
      </c>
      <c r="F933" t="n">
        <v>-3731</v>
      </c>
      <c r="G933" t="n">
        <v>5021</v>
      </c>
      <c r="H933" t="n">
        <v>52478</v>
      </c>
      <c r="I933" t="n">
        <v>72369</v>
      </c>
      <c r="J933" t="n">
        <v>12544</v>
      </c>
      <c r="K933" t="n">
        <v/>
      </c>
      <c r="L933" t="n">
        <v/>
      </c>
    </row>
    <row r="934">
      <c r="A934" s="64" t="n">
        <v>40407</v>
      </c>
      <c r="B934" t="n">
        <v>57697</v>
      </c>
      <c r="C934" t="n">
        <v/>
      </c>
      <c r="D934" t="n">
        <v>29514</v>
      </c>
      <c r="E934" t="n">
        <v>11750</v>
      </c>
      <c r="F934" t="n">
        <v>-14627</v>
      </c>
      <c r="G934" t="n">
        <v>-4431</v>
      </c>
      <c r="H934" t="n">
        <v>49969</v>
      </c>
      <c r="I934" t="n">
        <v>70553</v>
      </c>
      <c r="J934" t="n">
        <v>12139</v>
      </c>
      <c r="K934" t="n">
        <v/>
      </c>
      <c r="L934" t="n">
        <v/>
      </c>
    </row>
    <row r="935">
      <c r="A935" s="64" t="n">
        <v>40414</v>
      </c>
      <c r="B935" t="n">
        <v>47017</v>
      </c>
      <c r="C935" t="n">
        <v/>
      </c>
      <c r="D935" t="n">
        <v>16147</v>
      </c>
      <c r="E935" t="n">
        <v>13868</v>
      </c>
      <c r="F935" t="n">
        <v>-21603</v>
      </c>
      <c r="G935" t="n">
        <v>-4365</v>
      </c>
      <c r="H935" t="n">
        <v>51069</v>
      </c>
      <c r="I935" t="n">
        <v>59370</v>
      </c>
      <c r="J935" t="n">
        <v>10683</v>
      </c>
      <c r="K935" t="n">
        <v/>
      </c>
      <c r="L935" t="n">
        <v/>
      </c>
    </row>
    <row r="936">
      <c r="A936" s="64" t="n">
        <v>40421</v>
      </c>
      <c r="B936" t="n">
        <v>43808</v>
      </c>
      <c r="C936" t="n">
        <v/>
      </c>
      <c r="D936" t="n">
        <v>-4764</v>
      </c>
      <c r="E936" t="n">
        <v>14281</v>
      </c>
      <c r="F936" t="n">
        <v>-25569</v>
      </c>
      <c r="G936" t="n">
        <v>-15266</v>
      </c>
      <c r="H936" t="n">
        <v>49904</v>
      </c>
      <c r="I936" t="n">
        <v>21004</v>
      </c>
      <c r="J936" t="n">
        <v>6957</v>
      </c>
      <c r="K936" t="n">
        <v/>
      </c>
      <c r="L936" t="n">
        <v/>
      </c>
    </row>
    <row r="937">
      <c r="A937" s="64" t="n">
        <v>40428</v>
      </c>
      <c r="B937" t="n">
        <v>56966</v>
      </c>
      <c r="C937" t="n">
        <v/>
      </c>
      <c r="D937" t="n">
        <v>452</v>
      </c>
      <c r="E937" t="n">
        <v>16627</v>
      </c>
      <c r="F937" t="n">
        <v>-23699</v>
      </c>
      <c r="G937" t="n">
        <v>-16068</v>
      </c>
      <c r="H937" t="n">
        <v>52183</v>
      </c>
      <c r="I937" t="n">
        <v>14064</v>
      </c>
      <c r="J937" t="n">
        <v>9377</v>
      </c>
      <c r="K937" t="n">
        <v/>
      </c>
      <c r="L937" t="n">
        <v/>
      </c>
    </row>
    <row r="938">
      <c r="A938" s="64" t="n">
        <v>40435</v>
      </c>
      <c r="B938" t="n">
        <v>56669</v>
      </c>
      <c r="C938" t="n">
        <v/>
      </c>
      <c r="D938" t="n">
        <v>17695</v>
      </c>
      <c r="E938" t="n">
        <v>14236</v>
      </c>
      <c r="F938" t="n">
        <v>-9644</v>
      </c>
      <c r="G938" t="n">
        <v>-9127</v>
      </c>
      <c r="H938" t="n">
        <v>47642</v>
      </c>
      <c r="I938" t="n">
        <v>14957</v>
      </c>
      <c r="J938" t="n">
        <v>16839</v>
      </c>
      <c r="K938" t="n">
        <v/>
      </c>
      <c r="L938" t="n">
        <v/>
      </c>
    </row>
    <row r="939">
      <c r="A939" s="64" t="n">
        <v>40442</v>
      </c>
      <c r="B939" t="n">
        <v>64324</v>
      </c>
      <c r="C939" t="n">
        <v/>
      </c>
      <c r="D939" t="n">
        <v>29815</v>
      </c>
      <c r="E939" t="n">
        <v>14462</v>
      </c>
      <c r="F939" t="n">
        <v>5097</v>
      </c>
      <c r="G939" t="n">
        <v>-8989</v>
      </c>
      <c r="H939" t="n">
        <v>23100</v>
      </c>
      <c r="I939" t="n">
        <v>26376</v>
      </c>
      <c r="J939" t="n">
        <v>18408</v>
      </c>
      <c r="K939" t="n">
        <v/>
      </c>
      <c r="L939" t="n">
        <v/>
      </c>
    </row>
    <row r="940">
      <c r="A940" s="64" t="n">
        <v>40449</v>
      </c>
      <c r="B940" t="n">
        <v>69533</v>
      </c>
      <c r="C940" t="n">
        <v/>
      </c>
      <c r="D940" t="n">
        <v>27870</v>
      </c>
      <c r="E940" t="n">
        <v>19993</v>
      </c>
      <c r="F940" t="n">
        <v>35330</v>
      </c>
      <c r="G940" t="n">
        <v>-2194</v>
      </c>
      <c r="H940" t="n">
        <v>28666</v>
      </c>
      <c r="I940" t="n">
        <v>66591</v>
      </c>
      <c r="J940" t="n">
        <v>17270</v>
      </c>
      <c r="K940" t="n">
        <v/>
      </c>
      <c r="L940" t="n">
        <v/>
      </c>
    </row>
    <row r="941">
      <c r="A941" s="64" t="n">
        <v>40456</v>
      </c>
      <c r="B941" t="n">
        <v>69036</v>
      </c>
      <c r="C941" t="n">
        <v/>
      </c>
      <c r="D941" t="n">
        <v>42678</v>
      </c>
      <c r="E941" t="n">
        <v>22599</v>
      </c>
      <c r="F941" t="n">
        <v>48243</v>
      </c>
      <c r="G941" t="n">
        <v>9403</v>
      </c>
      <c r="H941" t="n">
        <v>49206</v>
      </c>
      <c r="I941" t="n">
        <v>85764</v>
      </c>
      <c r="J941" t="n">
        <v>16334</v>
      </c>
      <c r="K941" t="n">
        <v/>
      </c>
      <c r="L941" t="n">
        <v/>
      </c>
    </row>
    <row r="942">
      <c r="A942" s="64" t="n">
        <v>40463</v>
      </c>
      <c r="B942" t="n">
        <v>67691</v>
      </c>
      <c r="C942" t="n">
        <v/>
      </c>
      <c r="D942" t="n">
        <v>43786</v>
      </c>
      <c r="E942" t="n">
        <v>19947</v>
      </c>
      <c r="F942" t="n">
        <v>41511</v>
      </c>
      <c r="G942" t="n">
        <v>8066</v>
      </c>
      <c r="H942" t="n">
        <v>48285</v>
      </c>
      <c r="I942" t="n">
        <v>86218</v>
      </c>
      <c r="J942" t="n">
        <v>16573</v>
      </c>
      <c r="K942" t="n">
        <v/>
      </c>
      <c r="L942" t="n">
        <v/>
      </c>
    </row>
    <row r="943">
      <c r="A943" s="64" t="n">
        <v>40470</v>
      </c>
      <c r="B943" t="n">
        <v>59181</v>
      </c>
      <c r="C943" t="n">
        <v/>
      </c>
      <c r="D943" t="n">
        <v>30740</v>
      </c>
      <c r="E943" t="n">
        <v>11235</v>
      </c>
      <c r="F943" t="n">
        <v>46748</v>
      </c>
      <c r="G943" t="n">
        <v>5796</v>
      </c>
      <c r="H943" t="n">
        <v>45856</v>
      </c>
      <c r="I943" t="n">
        <v>82125</v>
      </c>
      <c r="J943" t="n">
        <v>15331</v>
      </c>
      <c r="K943" t="n">
        <v/>
      </c>
      <c r="L943" t="n">
        <v/>
      </c>
    </row>
    <row r="944">
      <c r="A944" s="64" t="n">
        <v>40477</v>
      </c>
      <c r="B944" t="n">
        <v>55115</v>
      </c>
      <c r="C944" t="n">
        <v/>
      </c>
      <c r="D944" t="n">
        <v>19875</v>
      </c>
      <c r="E944" t="n">
        <v>12519</v>
      </c>
      <c r="F944" t="n">
        <v>40505</v>
      </c>
      <c r="G944" t="n">
        <v>5089</v>
      </c>
      <c r="H944" t="n">
        <v>43129</v>
      </c>
      <c r="I944" t="n">
        <v>80143</v>
      </c>
      <c r="J944" t="n">
        <v>15871</v>
      </c>
      <c r="K944" t="n">
        <v/>
      </c>
      <c r="L944" t="n">
        <v/>
      </c>
    </row>
    <row r="945">
      <c r="A945" s="64" t="n">
        <v>40484</v>
      </c>
      <c r="B945" t="n">
        <v>51180</v>
      </c>
      <c r="C945" t="n">
        <v/>
      </c>
      <c r="D945" t="n">
        <v>23365</v>
      </c>
      <c r="E945" t="n">
        <v>12465</v>
      </c>
      <c r="F945" t="n">
        <v>38610</v>
      </c>
      <c r="G945" t="n">
        <v>15182</v>
      </c>
      <c r="H945" t="n">
        <v>46455</v>
      </c>
      <c r="I945" t="n">
        <v>82272</v>
      </c>
      <c r="J945" t="n">
        <v>19148</v>
      </c>
      <c r="K945" t="n">
        <v/>
      </c>
      <c r="L945" t="n">
        <v/>
      </c>
    </row>
    <row r="946">
      <c r="A946" s="64" t="n">
        <v>40491</v>
      </c>
      <c r="B946" t="n">
        <v>47616</v>
      </c>
      <c r="C946" t="n">
        <v/>
      </c>
      <c r="D946" t="n">
        <v>37338</v>
      </c>
      <c r="E946" t="n">
        <v>12615</v>
      </c>
      <c r="F946" t="n">
        <v>23283</v>
      </c>
      <c r="G946" t="n">
        <v>21266</v>
      </c>
      <c r="H946" t="n">
        <v>36654</v>
      </c>
      <c r="I946" t="n">
        <v>88746</v>
      </c>
      <c r="J946" t="n">
        <v>22250</v>
      </c>
      <c r="K946" t="n">
        <v/>
      </c>
      <c r="L946" t="n">
        <v/>
      </c>
    </row>
    <row r="947">
      <c r="A947" s="64" t="n">
        <v>40498</v>
      </c>
      <c r="B947" t="n">
        <v>36202</v>
      </c>
      <c r="C947" t="n">
        <v/>
      </c>
      <c r="D947" t="n">
        <v>38441</v>
      </c>
      <c r="E947" t="n">
        <v>7803</v>
      </c>
      <c r="F947" t="n">
        <v>8606</v>
      </c>
      <c r="G947" t="n">
        <v>23771</v>
      </c>
      <c r="H947" t="n">
        <v>22858</v>
      </c>
      <c r="I947" t="n">
        <v>93217</v>
      </c>
      <c r="J947" t="n">
        <v>23445</v>
      </c>
      <c r="K947" t="n">
        <v/>
      </c>
      <c r="L947" t="n">
        <v/>
      </c>
    </row>
    <row r="948">
      <c r="A948" s="64" t="n">
        <v>40505</v>
      </c>
      <c r="B948" t="n">
        <v>28471</v>
      </c>
      <c r="C948" t="n">
        <v/>
      </c>
      <c r="D948" t="n">
        <v>22499</v>
      </c>
      <c r="E948" t="n">
        <v>8511</v>
      </c>
      <c r="F948" t="n">
        <v>-8293</v>
      </c>
      <c r="G948" t="n">
        <v>10197</v>
      </c>
      <c r="H948" t="n">
        <v>27192</v>
      </c>
      <c r="I948" t="n">
        <v>87246</v>
      </c>
      <c r="J948" t="n">
        <v>21069</v>
      </c>
      <c r="K948" t="n">
        <v/>
      </c>
      <c r="L948" t="n">
        <v/>
      </c>
    </row>
    <row r="949">
      <c r="A949" s="64" t="n">
        <v>40512</v>
      </c>
      <c r="B949" t="n">
        <v>26643</v>
      </c>
      <c r="C949" t="n">
        <v/>
      </c>
      <c r="D949" t="n">
        <v>19155</v>
      </c>
      <c r="E949" t="n">
        <v>7824</v>
      </c>
      <c r="F949" t="n">
        <v>-7248</v>
      </c>
      <c r="G949" t="n">
        <v>-4864</v>
      </c>
      <c r="H949" t="n">
        <v>30006</v>
      </c>
      <c r="I949" t="n">
        <v>78906</v>
      </c>
      <c r="J949" t="n">
        <v>18445</v>
      </c>
      <c r="K949" t="n">
        <v/>
      </c>
      <c r="L949" t="n">
        <v/>
      </c>
    </row>
    <row r="950">
      <c r="A950" s="64" t="n">
        <v>40519</v>
      </c>
      <c r="B950" t="n">
        <v>43352</v>
      </c>
      <c r="C950" t="n">
        <v/>
      </c>
      <c r="D950" t="n">
        <v>33722</v>
      </c>
      <c r="E950" t="n">
        <v>8987</v>
      </c>
      <c r="F950" t="n">
        <v>-15290</v>
      </c>
      <c r="G950" t="n">
        <v>-12920</v>
      </c>
      <c r="H950" t="n">
        <v>23288</v>
      </c>
      <c r="I950" t="n">
        <v>59482</v>
      </c>
      <c r="J950" t="n">
        <v>18261</v>
      </c>
      <c r="K950" t="n">
        <v/>
      </c>
      <c r="L950" t="n">
        <v/>
      </c>
    </row>
    <row r="951">
      <c r="A951" s="64" t="n">
        <v>40526</v>
      </c>
      <c r="B951" t="n">
        <v>53778</v>
      </c>
      <c r="C951" t="n">
        <v/>
      </c>
      <c r="D951" t="n">
        <v>33396</v>
      </c>
      <c r="E951" t="n">
        <v>10716</v>
      </c>
      <c r="F951" t="n">
        <v>-10304</v>
      </c>
      <c r="G951" t="n">
        <v>-8186</v>
      </c>
      <c r="H951" t="n">
        <v>12735</v>
      </c>
      <c r="I951" t="n">
        <v>77168</v>
      </c>
      <c r="J951" t="n">
        <v>12521</v>
      </c>
      <c r="K951" t="n">
        <v/>
      </c>
      <c r="L951" t="n">
        <v/>
      </c>
    </row>
    <row r="952">
      <c r="A952" s="64" t="n">
        <v>40533</v>
      </c>
      <c r="B952" t="n">
        <v>60550</v>
      </c>
      <c r="C952" t="n">
        <v/>
      </c>
      <c r="D952" t="n">
        <v>24948</v>
      </c>
      <c r="E952" t="n">
        <v>12527</v>
      </c>
      <c r="F952" t="n">
        <v>-14093</v>
      </c>
      <c r="G952" t="n">
        <v>-7432</v>
      </c>
      <c r="H952" t="n">
        <v>12529</v>
      </c>
      <c r="I952" t="n">
        <v>78002</v>
      </c>
      <c r="J952" t="n">
        <v>7366</v>
      </c>
      <c r="K952" t="n">
        <v/>
      </c>
      <c r="L952" t="n">
        <v/>
      </c>
    </row>
    <row r="953">
      <c r="A953" s="64" t="n">
        <v>40540</v>
      </c>
      <c r="B953" t="n">
        <v>64316</v>
      </c>
      <c r="C953" t="n">
        <v/>
      </c>
      <c r="D953" t="n">
        <v>34787</v>
      </c>
      <c r="E953" t="n">
        <v>14002</v>
      </c>
      <c r="F953" t="n">
        <v>-26479</v>
      </c>
      <c r="G953" t="n">
        <v>-13121</v>
      </c>
      <c r="H953" t="n">
        <v>29641</v>
      </c>
      <c r="I953" t="n">
        <v>82246</v>
      </c>
      <c r="J953" t="n">
        <v>8115</v>
      </c>
      <c r="K953" t="n">
        <v/>
      </c>
      <c r="L953" t="n">
        <v/>
      </c>
    </row>
    <row r="954">
      <c r="A954" s="64" t="n">
        <v>40547</v>
      </c>
      <c r="B954" t="n">
        <v>62513</v>
      </c>
      <c r="C954" t="n">
        <v/>
      </c>
      <c r="D954" t="n">
        <v>38348</v>
      </c>
      <c r="E954" t="n">
        <v>13032</v>
      </c>
      <c r="F954" t="n">
        <v>-24201</v>
      </c>
      <c r="G954" t="n">
        <v>-14133</v>
      </c>
      <c r="H954" t="n">
        <v>39065</v>
      </c>
      <c r="I954" t="n">
        <v>74310</v>
      </c>
      <c r="J954" t="n">
        <v>10731</v>
      </c>
      <c r="K954" t="n">
        <v/>
      </c>
      <c r="L954" t="n">
        <v/>
      </c>
    </row>
    <row r="955">
      <c r="A955" s="64" t="n">
        <v>40554</v>
      </c>
      <c r="B955" t="n">
        <v>53497</v>
      </c>
      <c r="C955" t="n">
        <v/>
      </c>
      <c r="D955" t="n">
        <v>47757</v>
      </c>
      <c r="E955" t="n">
        <v>10818</v>
      </c>
      <c r="F955" t="n">
        <v>-45182</v>
      </c>
      <c r="G955" t="n">
        <v>-5090</v>
      </c>
      <c r="H955" t="n">
        <v>24736</v>
      </c>
      <c r="I955" t="n">
        <v>83572</v>
      </c>
      <c r="J955" t="n">
        <v>9620</v>
      </c>
      <c r="K955" t="n">
        <v/>
      </c>
      <c r="L955" t="n">
        <v/>
      </c>
    </row>
    <row r="956">
      <c r="A956" s="64" t="n">
        <v>40561</v>
      </c>
      <c r="B956" t="n">
        <v>53508</v>
      </c>
      <c r="C956" t="n">
        <v/>
      </c>
      <c r="D956" t="n">
        <v>44055</v>
      </c>
      <c r="E956" t="n">
        <v>6992</v>
      </c>
      <c r="F956" t="n">
        <v>4109</v>
      </c>
      <c r="G956" t="n">
        <v>5794</v>
      </c>
      <c r="H956" t="n">
        <v>20529</v>
      </c>
      <c r="I956" t="n">
        <v>90202</v>
      </c>
      <c r="J956" t="n">
        <v>11247</v>
      </c>
      <c r="K956" t="n">
        <v/>
      </c>
      <c r="L956" t="n">
        <v/>
      </c>
    </row>
    <row r="957">
      <c r="A957" s="64" t="n">
        <v>40568</v>
      </c>
      <c r="B957" t="n">
        <v>45458</v>
      </c>
      <c r="C957" t="n">
        <v/>
      </c>
      <c r="D957" t="n">
        <v>31719</v>
      </c>
      <c r="E957" t="n">
        <v>6594</v>
      </c>
      <c r="F957" t="n">
        <v>22901</v>
      </c>
      <c r="G957" t="n">
        <v>7888</v>
      </c>
      <c r="H957" t="n">
        <v>32218</v>
      </c>
      <c r="I957" t="n">
        <v>95245</v>
      </c>
      <c r="J957" t="n">
        <v>8627</v>
      </c>
      <c r="K957" t="n">
        <v/>
      </c>
      <c r="L957" t="n">
        <v/>
      </c>
    </row>
    <row r="958">
      <c r="A958" s="64" t="n">
        <v>40575</v>
      </c>
      <c r="B958" t="n">
        <v>60077</v>
      </c>
      <c r="C958" t="n">
        <v/>
      </c>
      <c r="D958" t="n">
        <v>33814</v>
      </c>
      <c r="E958" t="n">
        <v>10441</v>
      </c>
      <c r="F958" t="n">
        <v>39934</v>
      </c>
      <c r="G958" t="n">
        <v>22659</v>
      </c>
      <c r="H958" t="n">
        <v>31481</v>
      </c>
      <c r="I958" t="n">
        <v>103117</v>
      </c>
      <c r="J958" t="n">
        <v>10270</v>
      </c>
      <c r="K958" t="n">
        <v/>
      </c>
      <c r="L958" t="n">
        <v/>
      </c>
    </row>
    <row r="959">
      <c r="A959" s="64" t="n">
        <v>40582</v>
      </c>
      <c r="B959" t="n">
        <v>71979</v>
      </c>
      <c r="C959" t="n">
        <v/>
      </c>
      <c r="D959" t="n">
        <v>39790</v>
      </c>
      <c r="E959" t="n">
        <v>8181</v>
      </c>
      <c r="F959" t="n">
        <v>34734</v>
      </c>
      <c r="G959" t="n">
        <v>24475</v>
      </c>
      <c r="H959" t="n">
        <v>36731</v>
      </c>
      <c r="I959" t="n">
        <v>103812</v>
      </c>
      <c r="J959" t="n">
        <v>10857</v>
      </c>
      <c r="K959" t="n">
        <v/>
      </c>
      <c r="L959" t="n">
        <v/>
      </c>
    </row>
    <row r="960">
      <c r="A960" s="64" t="n">
        <v>40589</v>
      </c>
      <c r="B960" t="n">
        <v>65514</v>
      </c>
      <c r="C960" t="n">
        <v/>
      </c>
      <c r="D960" t="n">
        <v>72090</v>
      </c>
      <c r="E960" t="n">
        <v>10518</v>
      </c>
      <c r="F960" t="n">
        <v>32464</v>
      </c>
      <c r="G960" t="n">
        <v>52572</v>
      </c>
      <c r="H960" t="n">
        <v>-18548</v>
      </c>
      <c r="I960" t="n">
        <v>109096</v>
      </c>
      <c r="J960" t="n">
        <v>9810</v>
      </c>
      <c r="K960" t="n">
        <v/>
      </c>
      <c r="L960" t="n">
        <v/>
      </c>
    </row>
    <row r="961">
      <c r="A961" s="64" t="n">
        <v>40596</v>
      </c>
      <c r="B961" t="n">
        <v>66064</v>
      </c>
      <c r="C961" t="n">
        <v/>
      </c>
      <c r="D961" t="n">
        <v>68348</v>
      </c>
      <c r="E961" t="n">
        <v>12291</v>
      </c>
      <c r="F961" t="n">
        <v>45598</v>
      </c>
      <c r="G961" t="n">
        <v>36009</v>
      </c>
      <c r="H961" t="n">
        <v>-27746</v>
      </c>
      <c r="I961" t="n">
        <v>114276</v>
      </c>
      <c r="J961" t="n">
        <v>8101</v>
      </c>
      <c r="K961" t="n">
        <v/>
      </c>
      <c r="L961" t="n">
        <v/>
      </c>
    </row>
    <row r="962">
      <c r="A962" s="64" t="n">
        <v>40603</v>
      </c>
      <c r="B962" t="n">
        <v>71853</v>
      </c>
      <c r="C962" t="n">
        <v/>
      </c>
      <c r="D962" t="n">
        <v>72827</v>
      </c>
      <c r="E962" t="n">
        <v>18017</v>
      </c>
      <c r="F962" t="n">
        <v>51308</v>
      </c>
      <c r="G962" t="n">
        <v>25809</v>
      </c>
      <c r="H962" t="n">
        <v>41274</v>
      </c>
      <c r="I962" t="n">
        <v>97202</v>
      </c>
      <c r="J962" t="n">
        <v>7411</v>
      </c>
      <c r="K962" t="n">
        <v/>
      </c>
      <c r="L962" t="n">
        <v/>
      </c>
    </row>
    <row r="963">
      <c r="A963" s="64" t="n">
        <v>40610</v>
      </c>
      <c r="B963" t="n">
        <v>73695</v>
      </c>
      <c r="C963" t="n">
        <v/>
      </c>
      <c r="D963" t="n">
        <v>77544</v>
      </c>
      <c r="E963" t="n">
        <v>23661</v>
      </c>
      <c r="F963" t="n">
        <v>62294</v>
      </c>
      <c r="G963" t="n">
        <v>33906</v>
      </c>
      <c r="H963" t="n">
        <v>16656</v>
      </c>
      <c r="I963" t="n">
        <v>113165</v>
      </c>
      <c r="J963" t="n">
        <v>4346</v>
      </c>
      <c r="K963" t="n">
        <v/>
      </c>
      <c r="L963" t="n">
        <v/>
      </c>
    </row>
    <row r="964">
      <c r="A964" s="64" t="n">
        <v>40617</v>
      </c>
      <c r="B964" t="n">
        <v>47951</v>
      </c>
      <c r="C964" t="n">
        <v/>
      </c>
      <c r="D964" t="n">
        <v>56991</v>
      </c>
      <c r="E964" t="n">
        <v>27640</v>
      </c>
      <c r="F964" t="n">
        <v>46316</v>
      </c>
      <c r="G964" t="n">
        <v>-225</v>
      </c>
      <c r="H964" t="n">
        <v>30230</v>
      </c>
      <c r="I964" t="n">
        <v>121575</v>
      </c>
      <c r="J964" t="n">
        <v>-2809</v>
      </c>
      <c r="K964" t="n">
        <v/>
      </c>
      <c r="L964" t="n">
        <v/>
      </c>
    </row>
    <row r="965">
      <c r="A965" s="64" t="n">
        <v>40624</v>
      </c>
      <c r="B965" t="n">
        <v>51734</v>
      </c>
      <c r="C965" t="n">
        <v/>
      </c>
      <c r="D965" t="n">
        <v>45977</v>
      </c>
      <c r="E965" t="n">
        <v>21301</v>
      </c>
      <c r="F965" t="n">
        <v>48353</v>
      </c>
      <c r="G965" t="n">
        <v>29724</v>
      </c>
      <c r="H965" t="n">
        <v>34525</v>
      </c>
      <c r="I965" t="n">
        <v>87548</v>
      </c>
      <c r="J965" t="n">
        <v>-1482</v>
      </c>
      <c r="K965" t="n">
        <v/>
      </c>
      <c r="L965" t="n">
        <v/>
      </c>
    </row>
    <row r="966">
      <c r="A966" s="64" t="n">
        <v>40631</v>
      </c>
      <c r="B966" t="n">
        <v>85565</v>
      </c>
      <c r="C966" t="n">
        <v/>
      </c>
      <c r="D966" t="n">
        <v>51245</v>
      </c>
      <c r="E966" t="n">
        <v>18957</v>
      </c>
      <c r="F966" t="n">
        <v>56630</v>
      </c>
      <c r="G966" t="n">
        <v>743</v>
      </c>
      <c r="H966" t="n">
        <v>7052</v>
      </c>
      <c r="I966" t="n">
        <v>88075</v>
      </c>
      <c r="J966" t="n">
        <v>239</v>
      </c>
      <c r="K966" t="n">
        <v/>
      </c>
      <c r="L966" t="n">
        <v/>
      </c>
    </row>
    <row r="967">
      <c r="A967" s="64" t="n">
        <v>40638</v>
      </c>
      <c r="B967" t="n">
        <v>90938</v>
      </c>
      <c r="C967" t="n">
        <v/>
      </c>
      <c r="D967" t="n">
        <v>65030</v>
      </c>
      <c r="E967" t="n">
        <v>10843</v>
      </c>
      <c r="F967" t="n">
        <v>59857</v>
      </c>
      <c r="G967" t="n">
        <v>32414</v>
      </c>
      <c r="H967" t="n">
        <v>-43231</v>
      </c>
      <c r="I967" t="n">
        <v>119062</v>
      </c>
      <c r="J967" t="n">
        <v>2695</v>
      </c>
      <c r="K967" t="n">
        <v/>
      </c>
      <c r="L967" t="n">
        <v/>
      </c>
    </row>
    <row r="968">
      <c r="A968" s="64" t="n">
        <v>40645</v>
      </c>
      <c r="B968" t="n">
        <v>90651</v>
      </c>
      <c r="C968" t="n">
        <v/>
      </c>
      <c r="D968" t="n">
        <v>63741</v>
      </c>
      <c r="E968" t="n">
        <v>14657</v>
      </c>
      <c r="F968" t="n">
        <v>64985</v>
      </c>
      <c r="G968" t="n">
        <v>26671</v>
      </c>
      <c r="H968" t="n">
        <v>-52877</v>
      </c>
      <c r="I968" t="n">
        <v>124846</v>
      </c>
      <c r="J968" t="n">
        <v>6336</v>
      </c>
      <c r="K968" t="n">
        <v/>
      </c>
      <c r="L968" t="n">
        <v/>
      </c>
    </row>
    <row r="969">
      <c r="A969" s="64" t="n">
        <v>40652</v>
      </c>
      <c r="B969" t="n">
        <v>84961</v>
      </c>
      <c r="C969" t="n">
        <v/>
      </c>
      <c r="D969" t="n">
        <v>65035</v>
      </c>
      <c r="E969" t="n">
        <v>17374</v>
      </c>
      <c r="F969" t="n">
        <v>62195</v>
      </c>
      <c r="G969" t="n">
        <v>30175</v>
      </c>
      <c r="H969" t="n">
        <v>-52983</v>
      </c>
      <c r="I969" t="n">
        <v>134129</v>
      </c>
      <c r="J969" t="n">
        <v>9339</v>
      </c>
      <c r="K969" t="n">
        <v/>
      </c>
      <c r="L969" t="n">
        <v/>
      </c>
    </row>
    <row r="970">
      <c r="A970" s="64" t="n">
        <v>40659</v>
      </c>
      <c r="B970" t="n">
        <v>80867</v>
      </c>
      <c r="C970" t="n">
        <v/>
      </c>
      <c r="D970" t="n">
        <v>59063</v>
      </c>
      <c r="E970" t="n">
        <v>17841</v>
      </c>
      <c r="F970" t="n">
        <v>68279</v>
      </c>
      <c r="G970" t="n">
        <v>33583</v>
      </c>
      <c r="H970" t="n">
        <v>-36997</v>
      </c>
      <c r="I970" t="n">
        <v>131806</v>
      </c>
      <c r="J970" t="n">
        <v>11457</v>
      </c>
      <c r="K970" t="n">
        <v/>
      </c>
      <c r="L970" t="n">
        <v/>
      </c>
    </row>
    <row r="971">
      <c r="A971" s="64" t="n">
        <v>40666</v>
      </c>
      <c r="B971" t="n">
        <v>73421</v>
      </c>
      <c r="C971" t="n">
        <v/>
      </c>
      <c r="D971" t="n">
        <v>54041</v>
      </c>
      <c r="E971" t="n">
        <v>18381</v>
      </c>
      <c r="F971" t="n">
        <v>99516</v>
      </c>
      <c r="G971" t="n">
        <v>30807</v>
      </c>
      <c r="H971" t="n">
        <v>-18819</v>
      </c>
      <c r="I971" t="n">
        <v>124260</v>
      </c>
      <c r="J971" t="n">
        <v>12800</v>
      </c>
      <c r="K971" t="n">
        <v/>
      </c>
      <c r="L971" t="n">
        <v/>
      </c>
    </row>
    <row r="972">
      <c r="A972" s="64" t="n">
        <v>40673</v>
      </c>
      <c r="B972" t="n">
        <v>60321</v>
      </c>
      <c r="C972" t="n">
        <v/>
      </c>
      <c r="D972" t="n">
        <v>37203</v>
      </c>
      <c r="E972" t="n">
        <v>16336</v>
      </c>
      <c r="F972" t="n">
        <v>61447</v>
      </c>
      <c r="G972" t="n">
        <v>18118</v>
      </c>
      <c r="H972" t="n">
        <v>13054</v>
      </c>
      <c r="I972" t="n">
        <v>118065</v>
      </c>
      <c r="J972" t="n">
        <v>13714</v>
      </c>
      <c r="K972" t="n">
        <v/>
      </c>
      <c r="L972" t="n">
        <v/>
      </c>
    </row>
    <row r="973">
      <c r="A973" s="64" t="n">
        <v>40680</v>
      </c>
      <c r="B973" t="n">
        <v>50919</v>
      </c>
      <c r="C973" t="n">
        <v/>
      </c>
      <c r="D973" t="n">
        <v>26291</v>
      </c>
      <c r="E973" t="n">
        <v>15661</v>
      </c>
      <c r="F973" t="n">
        <v>41645</v>
      </c>
      <c r="G973" t="n">
        <v>-928</v>
      </c>
      <c r="H973" t="n">
        <v>15373</v>
      </c>
      <c r="I973" t="n">
        <v>104912</v>
      </c>
      <c r="J973" t="n">
        <v>12624</v>
      </c>
      <c r="K973" t="n">
        <v/>
      </c>
      <c r="L973" t="n">
        <v/>
      </c>
    </row>
    <row r="974">
      <c r="A974" s="64" t="n">
        <v>40687</v>
      </c>
      <c r="B974" t="n">
        <v>53043</v>
      </c>
      <c r="C974" t="n">
        <v/>
      </c>
      <c r="D974" t="n">
        <v>21277</v>
      </c>
      <c r="E974" t="n">
        <v>14725</v>
      </c>
      <c r="F974" t="n">
        <v>19129</v>
      </c>
      <c r="G974" t="n">
        <v>-14143</v>
      </c>
      <c r="H974" t="n">
        <v>8006</v>
      </c>
      <c r="I974" t="n">
        <v>108681</v>
      </c>
      <c r="J974" t="n">
        <v>13876</v>
      </c>
      <c r="K974" t="n">
        <v/>
      </c>
      <c r="L974" t="n">
        <v/>
      </c>
    </row>
    <row r="975">
      <c r="A975" s="64" t="n">
        <v>40694</v>
      </c>
      <c r="B975" t="n">
        <v>60015</v>
      </c>
      <c r="C975" t="n">
        <v/>
      </c>
      <c r="D975" t="n">
        <v>26402</v>
      </c>
      <c r="E975" t="n">
        <v>21119</v>
      </c>
      <c r="F975" t="n">
        <v>21970</v>
      </c>
      <c r="G975" t="n">
        <v>-1829</v>
      </c>
      <c r="H975" t="n">
        <v>-1648</v>
      </c>
      <c r="I975" t="n">
        <v>108268</v>
      </c>
      <c r="J975" t="n">
        <v>15724</v>
      </c>
      <c r="K975" t="n">
        <v/>
      </c>
      <c r="L975" t="n">
        <v/>
      </c>
    </row>
    <row r="976">
      <c r="A976" s="64" t="n">
        <v>40701</v>
      </c>
      <c r="B976" t="n">
        <v>65205</v>
      </c>
      <c r="C976" t="n">
        <v/>
      </c>
      <c r="D976" t="n">
        <v>13522</v>
      </c>
      <c r="E976" t="n">
        <v>16865</v>
      </c>
      <c r="F976" t="n">
        <v>51836</v>
      </c>
      <c r="G976" t="n">
        <v>-1750</v>
      </c>
      <c r="H976" t="n">
        <v>17631</v>
      </c>
      <c r="I976" t="n">
        <v>90198</v>
      </c>
      <c r="J976" t="n">
        <v>16004</v>
      </c>
      <c r="K976" t="n">
        <v/>
      </c>
      <c r="L976" t="n">
        <v/>
      </c>
    </row>
    <row r="977">
      <c r="A977" s="64" t="n">
        <v>40708</v>
      </c>
      <c r="B977" t="n">
        <v>67670</v>
      </c>
      <c r="C977" t="n">
        <v/>
      </c>
      <c r="D977" t="n">
        <v>18855</v>
      </c>
      <c r="E977" t="n">
        <v>13287</v>
      </c>
      <c r="F977" t="n">
        <v>49894</v>
      </c>
      <c r="G977" t="n">
        <v>11226</v>
      </c>
      <c r="H977" t="n">
        <v>24768</v>
      </c>
      <c r="I977" t="n">
        <v>48163</v>
      </c>
      <c r="J977" t="n">
        <v>19218</v>
      </c>
      <c r="K977" t="n">
        <v/>
      </c>
      <c r="L977" t="n">
        <v/>
      </c>
    </row>
    <row r="978">
      <c r="A978" s="64" t="n">
        <v>40715</v>
      </c>
      <c r="B978" t="n">
        <v>54571</v>
      </c>
      <c r="C978" t="n">
        <v/>
      </c>
      <c r="D978" t="n">
        <v>2204</v>
      </c>
      <c r="E978" t="n">
        <v>11813</v>
      </c>
      <c r="F978" t="n">
        <v>29771</v>
      </c>
      <c r="G978" t="n">
        <v>-11360</v>
      </c>
      <c r="H978" t="n">
        <v>32594</v>
      </c>
      <c r="I978" t="n">
        <v>41423</v>
      </c>
      <c r="J978" t="n">
        <v>18849</v>
      </c>
      <c r="K978" t="n">
        <v/>
      </c>
      <c r="L978" t="n">
        <v/>
      </c>
    </row>
    <row r="979">
      <c r="A979" s="64" t="n">
        <v>40722</v>
      </c>
      <c r="B979" t="n">
        <v>46897</v>
      </c>
      <c r="C979" t="n">
        <v/>
      </c>
      <c r="D979" t="n">
        <v>-1863</v>
      </c>
      <c r="E979" t="n">
        <v>9948</v>
      </c>
      <c r="F979" t="n">
        <v>32987</v>
      </c>
      <c r="G979" t="n">
        <v>-18349</v>
      </c>
      <c r="H979" t="n">
        <v>13623</v>
      </c>
      <c r="I979" t="n">
        <v>46077</v>
      </c>
      <c r="J979" t="n">
        <v>18364</v>
      </c>
      <c r="K979" t="n">
        <v/>
      </c>
      <c r="L979" t="n">
        <v/>
      </c>
    </row>
    <row r="980">
      <c r="A980" s="64" t="n">
        <v>40729</v>
      </c>
      <c r="B980" t="n">
        <v>63336</v>
      </c>
      <c r="C980" t="n">
        <v/>
      </c>
      <c r="D980" t="n">
        <v>6821</v>
      </c>
      <c r="E980" t="n">
        <v>5291</v>
      </c>
      <c r="F980" t="n">
        <v>43194</v>
      </c>
      <c r="G980" t="n">
        <v>-31669</v>
      </c>
      <c r="H980" t="n">
        <v>14327</v>
      </c>
      <c r="I980" t="n">
        <v>82944</v>
      </c>
      <c r="J980" t="n">
        <v>18986</v>
      </c>
      <c r="K980" t="n">
        <v/>
      </c>
      <c r="L980" t="n">
        <v/>
      </c>
    </row>
    <row r="981">
      <c r="A981" s="64" t="n">
        <v>40736</v>
      </c>
      <c r="B981" t="n">
        <v>67623</v>
      </c>
      <c r="C981" t="n">
        <v/>
      </c>
      <c r="D981" t="n">
        <v>15334</v>
      </c>
      <c r="E981" t="n">
        <v>8081</v>
      </c>
      <c r="F981" t="n">
        <v>12416</v>
      </c>
      <c r="G981" t="n">
        <v>-24801</v>
      </c>
      <c r="H981" t="n">
        <v>28288</v>
      </c>
      <c r="I981" t="n">
        <v>98447</v>
      </c>
      <c r="J981" t="n">
        <v>19584</v>
      </c>
      <c r="K981" t="n">
        <v/>
      </c>
      <c r="L981" t="n">
        <v/>
      </c>
    </row>
    <row r="982">
      <c r="A982" s="64" t="n">
        <v>40743</v>
      </c>
      <c r="B982" t="n">
        <v>77795</v>
      </c>
      <c r="C982" t="n">
        <v/>
      </c>
      <c r="D982" t="n">
        <v>27764</v>
      </c>
      <c r="E982" t="n">
        <v>11494</v>
      </c>
      <c r="F982" t="n">
        <v>9246</v>
      </c>
      <c r="G982" t="n">
        <v>-6714</v>
      </c>
      <c r="H982" t="n">
        <v>42155</v>
      </c>
      <c r="I982" t="n">
        <v>89266</v>
      </c>
      <c r="J982" t="n">
        <v>21438</v>
      </c>
      <c r="K982" t="n">
        <v/>
      </c>
      <c r="L982" t="n">
        <v/>
      </c>
    </row>
    <row r="983">
      <c r="A983" s="64" t="n">
        <v>40750</v>
      </c>
      <c r="B983" t="n">
        <v>81438</v>
      </c>
      <c r="C983" t="n">
        <v/>
      </c>
      <c r="D983" t="n">
        <v>36141</v>
      </c>
      <c r="E983" t="n">
        <v>7877</v>
      </c>
      <c r="F983" t="n">
        <v>17038</v>
      </c>
      <c r="G983" t="n">
        <v>1222</v>
      </c>
      <c r="H983" t="n">
        <v>51302</v>
      </c>
      <c r="I983" t="n">
        <v>91913</v>
      </c>
      <c r="J983" t="n">
        <v>23291</v>
      </c>
      <c r="K983" t="n">
        <v/>
      </c>
      <c r="L983" t="n">
        <v/>
      </c>
    </row>
    <row r="984">
      <c r="A984" s="64" t="n">
        <v>40757</v>
      </c>
      <c r="B984" t="n">
        <v>75598</v>
      </c>
      <c r="C984" t="n">
        <v/>
      </c>
      <c r="D984" t="n">
        <v>41037</v>
      </c>
      <c r="E984" t="n">
        <v>12341</v>
      </c>
      <c r="F984" t="n">
        <v>1763</v>
      </c>
      <c r="G984" t="n">
        <v>5139</v>
      </c>
      <c r="H984" t="n">
        <v>58833</v>
      </c>
      <c r="I984" t="n">
        <v>88484</v>
      </c>
      <c r="J984" t="n">
        <v>24126</v>
      </c>
      <c r="K984" t="n">
        <v/>
      </c>
      <c r="L984" t="n">
        <v/>
      </c>
    </row>
    <row r="985">
      <c r="A985" s="64" t="n">
        <v>40764</v>
      </c>
      <c r="B985" t="n">
        <v>29016</v>
      </c>
      <c r="C985" t="n">
        <v/>
      </c>
      <c r="D985" t="n">
        <v>23704</v>
      </c>
      <c r="E985" t="n">
        <v>4655</v>
      </c>
      <c r="F985" t="n">
        <v>-8273</v>
      </c>
      <c r="G985" t="n">
        <v>245</v>
      </c>
      <c r="H985" t="n">
        <v>42149</v>
      </c>
      <c r="I985" t="n">
        <v>41293</v>
      </c>
      <c r="J985" t="n">
        <v>20427</v>
      </c>
      <c r="K985" t="n">
        <v/>
      </c>
      <c r="L985" t="n">
        <v/>
      </c>
    </row>
    <row r="986">
      <c r="A986" s="64" t="n">
        <v>40771</v>
      </c>
      <c r="B986" t="n">
        <v>29723</v>
      </c>
      <c r="C986" t="n">
        <v/>
      </c>
      <c r="D986" t="n">
        <v>4121</v>
      </c>
      <c r="E986" t="n">
        <v>9008</v>
      </c>
      <c r="F986" t="n">
        <v>6726</v>
      </c>
      <c r="G986" t="n">
        <v>-3096</v>
      </c>
      <c r="H986" t="n">
        <v>47348</v>
      </c>
      <c r="I986" t="n">
        <v>22634</v>
      </c>
      <c r="J986" t="n">
        <v>18417</v>
      </c>
      <c r="K986" t="n">
        <v/>
      </c>
      <c r="L986" t="n">
        <v/>
      </c>
    </row>
    <row r="987">
      <c r="A987" s="64" t="n">
        <v>40778</v>
      </c>
      <c r="B987" t="n">
        <v>43574</v>
      </c>
      <c r="C987" t="n">
        <v/>
      </c>
      <c r="D987" t="n">
        <v>8804</v>
      </c>
      <c r="E987" t="n">
        <v>9637</v>
      </c>
      <c r="F987" t="n">
        <v>2539</v>
      </c>
      <c r="G987" t="n">
        <v>10961</v>
      </c>
      <c r="H987" t="n">
        <v>47139</v>
      </c>
      <c r="I987" t="n">
        <v>21835</v>
      </c>
      <c r="J987" t="n">
        <v>16876</v>
      </c>
      <c r="K987" t="n">
        <v/>
      </c>
      <c r="L987" t="n">
        <v/>
      </c>
    </row>
    <row r="988">
      <c r="A988" s="64" t="n">
        <v>40785</v>
      </c>
      <c r="B988" t="n">
        <v>47569</v>
      </c>
      <c r="C988" t="n">
        <v/>
      </c>
      <c r="D988" t="n">
        <v>13939</v>
      </c>
      <c r="E988" t="n">
        <v>9342</v>
      </c>
      <c r="F988" t="n">
        <v>-384</v>
      </c>
      <c r="G988" t="n">
        <v>444</v>
      </c>
      <c r="H988" t="n">
        <v>41185</v>
      </c>
      <c r="I988" t="n">
        <v>20880</v>
      </c>
      <c r="J988" t="n">
        <v>16565</v>
      </c>
      <c r="K988" t="n">
        <v/>
      </c>
      <c r="L988" t="n">
        <v/>
      </c>
    </row>
    <row r="989">
      <c r="A989" s="64" t="n">
        <v>40792</v>
      </c>
      <c r="B989" t="n">
        <v>48041</v>
      </c>
      <c r="C989" t="n">
        <v/>
      </c>
      <c r="D989" t="n">
        <v>2081</v>
      </c>
      <c r="E989" t="n">
        <v>7549</v>
      </c>
      <c r="F989" t="n">
        <v>-36443</v>
      </c>
      <c r="G989" t="n">
        <v>-13220</v>
      </c>
      <c r="H989" t="n">
        <v>32787</v>
      </c>
      <c r="I989" t="n">
        <v>13246</v>
      </c>
      <c r="J989" t="n">
        <v>17670</v>
      </c>
      <c r="K989" t="n">
        <v/>
      </c>
      <c r="L989" t="n">
        <v/>
      </c>
    </row>
    <row r="990">
      <c r="A990" s="64" t="n">
        <v>40799</v>
      </c>
      <c r="B990" t="n">
        <v>36934</v>
      </c>
      <c r="C990" t="n">
        <v/>
      </c>
      <c r="D990" t="n">
        <v>-6303</v>
      </c>
      <c r="E990" t="n">
        <v>5493</v>
      </c>
      <c r="F990" t="n">
        <v>-54459</v>
      </c>
      <c r="G990" t="n">
        <v>-26193</v>
      </c>
      <c r="H990" t="n">
        <v>34955</v>
      </c>
      <c r="I990" t="n">
        <v>-1209</v>
      </c>
      <c r="J990" t="n">
        <v>17664</v>
      </c>
      <c r="K990" t="n">
        <v/>
      </c>
      <c r="L990" t="n">
        <v/>
      </c>
    </row>
    <row r="991">
      <c r="A991" s="64" t="n">
        <v>40806</v>
      </c>
      <c r="B991" t="n">
        <v>23095</v>
      </c>
      <c r="C991" t="n">
        <v/>
      </c>
      <c r="D991" t="n">
        <v>-5458</v>
      </c>
      <c r="E991" t="n">
        <v>4221</v>
      </c>
      <c r="F991" t="n">
        <v>-79460</v>
      </c>
      <c r="G991" t="n">
        <v>-59755</v>
      </c>
      <c r="H991" t="n">
        <v>45617</v>
      </c>
      <c r="I991" t="n">
        <v>-16890</v>
      </c>
      <c r="J991" t="n">
        <v>13565</v>
      </c>
      <c r="K991" t="n">
        <v/>
      </c>
      <c r="L991" t="n">
        <v/>
      </c>
    </row>
    <row r="992">
      <c r="A992" s="64" t="n">
        <v>40813</v>
      </c>
      <c r="B992" t="n">
        <v>5167</v>
      </c>
      <c r="C992" t="n">
        <v/>
      </c>
      <c r="D992" t="n">
        <v>-20550</v>
      </c>
      <c r="E992" t="n">
        <v>2424</v>
      </c>
      <c r="F992" t="n">
        <v>-82473</v>
      </c>
      <c r="G992" t="n">
        <v>-64010</v>
      </c>
      <c r="H992" t="n">
        <v>42322</v>
      </c>
      <c r="I992" t="n">
        <v>-20626</v>
      </c>
      <c r="J992" t="n">
        <v>9591</v>
      </c>
      <c r="K992" t="n">
        <v/>
      </c>
      <c r="L992" t="n">
        <v/>
      </c>
    </row>
    <row r="993">
      <c r="A993" s="64" t="n">
        <v>40820</v>
      </c>
      <c r="B993" t="n">
        <v>12911</v>
      </c>
      <c r="C993" t="n">
        <v/>
      </c>
      <c r="D993" t="n">
        <v>-15682</v>
      </c>
      <c r="E993" t="n">
        <v>-1109</v>
      </c>
      <c r="F993" t="n">
        <v>-82697</v>
      </c>
      <c r="G993" t="n">
        <v>-68724</v>
      </c>
      <c r="H993" t="n">
        <v>43462</v>
      </c>
      <c r="I993" t="n">
        <v>-25431</v>
      </c>
      <c r="J993" t="n">
        <v>5566</v>
      </c>
      <c r="K993" t="n">
        <v/>
      </c>
      <c r="L993" t="n">
        <v/>
      </c>
    </row>
    <row r="994">
      <c r="A994" s="64" t="n">
        <v>40827</v>
      </c>
      <c r="B994" t="n">
        <v>10753</v>
      </c>
      <c r="C994" t="n">
        <v/>
      </c>
      <c r="D994" t="n">
        <v>-24913</v>
      </c>
      <c r="E994" t="n">
        <v>13</v>
      </c>
      <c r="F994" t="n">
        <v>-73795</v>
      </c>
      <c r="G994" t="n">
        <v>-61972</v>
      </c>
      <c r="H994" t="n">
        <v>35119</v>
      </c>
      <c r="I994" t="n">
        <v>-24878</v>
      </c>
      <c r="J994" t="n">
        <v>6838</v>
      </c>
      <c r="K994" t="n">
        <v/>
      </c>
      <c r="L994" t="n">
        <v/>
      </c>
    </row>
    <row r="995">
      <c r="A995" s="64" t="n">
        <v>40834</v>
      </c>
      <c r="B995" t="n">
        <v>20353</v>
      </c>
      <c r="C995" t="n">
        <v/>
      </c>
      <c r="D995" t="n">
        <v>-24795</v>
      </c>
      <c r="E995" t="n">
        <v>-2243</v>
      </c>
      <c r="F995" t="n">
        <v>-77720</v>
      </c>
      <c r="G995" t="n">
        <v>-53226</v>
      </c>
      <c r="H995" t="n">
        <v>26907</v>
      </c>
      <c r="I995" t="n">
        <v>-24129</v>
      </c>
      <c r="J995" t="n">
        <v>8225</v>
      </c>
      <c r="K995" t="n">
        <v/>
      </c>
      <c r="L995" t="n">
        <v/>
      </c>
    </row>
    <row r="996">
      <c r="A996" s="64" t="n">
        <v>40841</v>
      </c>
      <c r="B996" t="n">
        <v>23071</v>
      </c>
      <c r="C996" t="n">
        <v/>
      </c>
      <c r="D996" t="n">
        <v>-17923</v>
      </c>
      <c r="E996" t="n">
        <v>-1203</v>
      </c>
      <c r="F996" t="n">
        <v>-76512</v>
      </c>
      <c r="G996" t="n">
        <v>-50147</v>
      </c>
      <c r="H996" t="n">
        <v>54279</v>
      </c>
      <c r="I996" t="n">
        <v>-27055</v>
      </c>
      <c r="J996" t="n">
        <v>9219</v>
      </c>
      <c r="K996" t="n">
        <v/>
      </c>
      <c r="L996" t="n">
        <v/>
      </c>
    </row>
    <row r="997">
      <c r="A997" s="64" t="n">
        <v>40848</v>
      </c>
      <c r="B997" t="n">
        <v>25866</v>
      </c>
      <c r="C997" t="n">
        <v/>
      </c>
      <c r="D997" t="n">
        <v>-14820</v>
      </c>
      <c r="E997" t="n">
        <v>-1746</v>
      </c>
      <c r="F997" t="n">
        <v>-60060</v>
      </c>
      <c r="G997" t="n">
        <v>-47092</v>
      </c>
      <c r="H997" t="n">
        <v>25904</v>
      </c>
      <c r="I997" t="n">
        <v>-26588</v>
      </c>
      <c r="J997" t="n">
        <v>10655</v>
      </c>
      <c r="K997" t="n">
        <v/>
      </c>
      <c r="L997" t="n">
        <v/>
      </c>
    </row>
    <row r="998">
      <c r="A998" s="64" t="n">
        <v>40855</v>
      </c>
      <c r="B998" t="n">
        <v>27016</v>
      </c>
      <c r="C998" t="n">
        <v/>
      </c>
      <c r="D998" t="n">
        <v>-15568</v>
      </c>
      <c r="E998" t="n">
        <v>2162</v>
      </c>
      <c r="F998" t="n">
        <v>-54257</v>
      </c>
      <c r="G998" t="n">
        <v>-29122</v>
      </c>
      <c r="H998" t="n">
        <v>28077</v>
      </c>
      <c r="I998" t="n">
        <v>-18067</v>
      </c>
      <c r="J998" t="n">
        <v>11550</v>
      </c>
      <c r="K998" t="n">
        <v/>
      </c>
      <c r="L998" t="n">
        <v/>
      </c>
    </row>
    <row r="999">
      <c r="A999" s="64" t="n">
        <v>40862</v>
      </c>
      <c r="B999" t="n">
        <v>24330</v>
      </c>
      <c r="C999" t="n">
        <v/>
      </c>
      <c r="D999" t="n">
        <v>-17215</v>
      </c>
      <c r="E999" t="n">
        <v>-1904</v>
      </c>
      <c r="F999" t="n">
        <v>-76147</v>
      </c>
      <c r="G999" t="n">
        <v>-32864</v>
      </c>
      <c r="H999" t="n">
        <v>33680</v>
      </c>
      <c r="I999" t="n">
        <v>-15021</v>
      </c>
      <c r="J999" t="n">
        <v>10614</v>
      </c>
      <c r="K999" t="n">
        <v/>
      </c>
      <c r="L999" t="n">
        <v/>
      </c>
    </row>
    <row r="1000">
      <c r="A1000" s="64" t="n">
        <v>40869</v>
      </c>
      <c r="B1000" t="n">
        <v>17960</v>
      </c>
      <c r="C1000" t="n">
        <v/>
      </c>
      <c r="D1000" t="n">
        <v>-22144</v>
      </c>
      <c r="E1000" t="n">
        <v>-5870</v>
      </c>
      <c r="F1000" t="n">
        <v>-85068</v>
      </c>
      <c r="G1000" t="n">
        <v>-36634</v>
      </c>
      <c r="H1000" t="n">
        <v>43180</v>
      </c>
      <c r="I1000" t="n">
        <v>-31582</v>
      </c>
      <c r="J1000" t="n">
        <v>7916</v>
      </c>
      <c r="K1000" t="n">
        <v/>
      </c>
      <c r="L1000" t="n">
        <v/>
      </c>
    </row>
    <row r="1001">
      <c r="A1001" s="64" t="n">
        <v>40876</v>
      </c>
      <c r="B1001" t="n">
        <v>12542</v>
      </c>
      <c r="C1001" t="n">
        <v/>
      </c>
      <c r="D1001" t="n">
        <v>-26869</v>
      </c>
      <c r="E1001" t="n">
        <v>-9327</v>
      </c>
      <c r="F1001" t="n">
        <v>-104302</v>
      </c>
      <c r="G1001" t="n">
        <v>-46660</v>
      </c>
      <c r="H1001" t="n">
        <v>40547</v>
      </c>
      <c r="I1001" t="n">
        <v>-36240</v>
      </c>
      <c r="J1001" t="n">
        <v>3718</v>
      </c>
      <c r="K1001" t="n">
        <v/>
      </c>
      <c r="L1001" t="n">
        <v/>
      </c>
    </row>
    <row r="1002">
      <c r="A1002" s="64" t="n">
        <v>40883</v>
      </c>
      <c r="B1002" t="n">
        <v>29824</v>
      </c>
      <c r="C1002" t="n">
        <v/>
      </c>
      <c r="D1002" t="n">
        <v>-20171</v>
      </c>
      <c r="E1002" t="n">
        <v>-11158</v>
      </c>
      <c r="F1002" t="n">
        <v>-95814</v>
      </c>
      <c r="G1002" t="n">
        <v>-43560</v>
      </c>
      <c r="H1002" t="n">
        <v>38271</v>
      </c>
      <c r="I1002" t="n">
        <v>-20862</v>
      </c>
      <c r="J1002" t="n">
        <v>3857</v>
      </c>
      <c r="K1002" t="n">
        <v/>
      </c>
      <c r="L1002" t="n">
        <v/>
      </c>
    </row>
    <row r="1003">
      <c r="A1003" s="64" t="n">
        <v>40890</v>
      </c>
      <c r="B1003" t="n">
        <v>34429</v>
      </c>
      <c r="C1003" t="n">
        <v/>
      </c>
      <c r="D1003" t="n">
        <v>-13385</v>
      </c>
      <c r="E1003" t="n">
        <v>-10481</v>
      </c>
      <c r="F1003" t="n">
        <v>-116457</v>
      </c>
      <c r="G1003" t="n">
        <v>-39509</v>
      </c>
      <c r="H1003" t="n">
        <v>35600</v>
      </c>
      <c r="I1003" t="n">
        <v>-22894</v>
      </c>
      <c r="J1003" t="n">
        <v>5383</v>
      </c>
      <c r="K1003" t="n">
        <v/>
      </c>
      <c r="L1003" t="n">
        <v/>
      </c>
    </row>
    <row r="1004">
      <c r="A1004" s="64" t="n">
        <v>40897</v>
      </c>
      <c r="B1004" t="n">
        <v>25742</v>
      </c>
      <c r="C1004" t="n">
        <v/>
      </c>
      <c r="D1004" t="n">
        <v>-26868</v>
      </c>
      <c r="E1004" t="n">
        <v>-3136</v>
      </c>
      <c r="F1004" t="n">
        <v>-113697</v>
      </c>
      <c r="G1004" t="n">
        <v>-25939</v>
      </c>
      <c r="H1004" t="n">
        <v>24476</v>
      </c>
      <c r="I1004" t="n">
        <v>-18802</v>
      </c>
      <c r="J1004" t="n">
        <v>612</v>
      </c>
      <c r="K1004" t="n">
        <v/>
      </c>
      <c r="L1004" t="n">
        <v/>
      </c>
    </row>
    <row r="1005">
      <c r="A1005" s="64" t="n">
        <v>40904</v>
      </c>
      <c r="B1005" t="n">
        <v>32637</v>
      </c>
      <c r="C1005" t="n">
        <v/>
      </c>
      <c r="D1005" t="n">
        <v>-21812</v>
      </c>
      <c r="E1005" t="n">
        <v>-10798</v>
      </c>
      <c r="F1005" t="n">
        <v>-127879</v>
      </c>
      <c r="G1005" t="n">
        <v>-29172</v>
      </c>
      <c r="H1005" t="n">
        <v>22585</v>
      </c>
      <c r="I1005" t="n">
        <v>-25685</v>
      </c>
      <c r="J1005" t="n">
        <v>1405</v>
      </c>
      <c r="K1005" t="n">
        <v/>
      </c>
      <c r="L1005" t="n">
        <v/>
      </c>
    </row>
    <row r="1006">
      <c r="A1006" s="64" t="n">
        <v>40911</v>
      </c>
      <c r="B1006" t="n">
        <v>46537</v>
      </c>
      <c r="C1006" t="n">
        <v/>
      </c>
      <c r="D1006" t="n">
        <v>-23371</v>
      </c>
      <c r="E1006" t="n">
        <v>-12355</v>
      </c>
      <c r="F1006" t="n">
        <v>-138909</v>
      </c>
      <c r="G1006" t="n">
        <v>-31899</v>
      </c>
      <c r="H1006" t="n">
        <v>56481</v>
      </c>
      <c r="I1006" t="n">
        <v>-25829</v>
      </c>
      <c r="J1006" t="n">
        <v>2436</v>
      </c>
      <c r="K1006" t="n">
        <v/>
      </c>
      <c r="L1006" t="n">
        <v/>
      </c>
    </row>
    <row r="1007">
      <c r="A1007" s="64" t="n">
        <v>40918</v>
      </c>
      <c r="B1007" t="n">
        <v>53526</v>
      </c>
      <c r="C1007" t="n">
        <v/>
      </c>
      <c r="D1007" t="n">
        <v>-28649</v>
      </c>
      <c r="E1007" t="n">
        <v>-12097</v>
      </c>
      <c r="F1007" t="n">
        <v>-155195</v>
      </c>
      <c r="G1007" t="n">
        <v>-35853</v>
      </c>
      <c r="H1007" t="n">
        <v>59657</v>
      </c>
      <c r="I1007" t="n">
        <v>-22332</v>
      </c>
      <c r="J1007" t="n">
        <v>5029</v>
      </c>
      <c r="K1007" t="n">
        <v/>
      </c>
      <c r="L1007" t="n">
        <v/>
      </c>
    </row>
    <row r="1008">
      <c r="A1008" s="64" t="n">
        <v>40925</v>
      </c>
      <c r="B1008" t="n">
        <v>54306</v>
      </c>
      <c r="C1008" t="n">
        <v/>
      </c>
      <c r="D1008" t="n">
        <v>-28730</v>
      </c>
      <c r="E1008" t="n">
        <v>-12822</v>
      </c>
      <c r="F1008" t="n">
        <v>-160030</v>
      </c>
      <c r="G1008" t="n">
        <v>-41634</v>
      </c>
      <c r="H1008" t="n">
        <v>58862</v>
      </c>
      <c r="I1008" t="n">
        <v>-17328</v>
      </c>
      <c r="J1008" t="n">
        <v>9455</v>
      </c>
      <c r="K1008" t="n">
        <v/>
      </c>
      <c r="L1008" t="n">
        <v/>
      </c>
    </row>
    <row r="1009">
      <c r="A1009" s="64" t="n">
        <v>40932</v>
      </c>
      <c r="B1009" t="n">
        <v>69486</v>
      </c>
      <c r="C1009" t="n">
        <v/>
      </c>
      <c r="D1009" t="n">
        <v>-18909</v>
      </c>
      <c r="E1009" t="n">
        <v>-12514</v>
      </c>
      <c r="F1009" t="n">
        <v>-171347</v>
      </c>
      <c r="G1009" t="n">
        <v>-31361</v>
      </c>
      <c r="H1009" t="n">
        <v>44367</v>
      </c>
      <c r="I1009" t="n">
        <v>7418</v>
      </c>
      <c r="J1009" t="n">
        <v>12932</v>
      </c>
      <c r="K1009" t="n">
        <v/>
      </c>
      <c r="L1009" t="n">
        <v/>
      </c>
    </row>
    <row r="1010">
      <c r="A1010" s="64" t="n">
        <v>40939</v>
      </c>
      <c r="B1010" t="n">
        <v>78044</v>
      </c>
      <c r="C1010" t="n">
        <v/>
      </c>
      <c r="D1010" t="n">
        <v>-19409</v>
      </c>
      <c r="E1010" t="n">
        <v>-11222</v>
      </c>
      <c r="F1010" t="n">
        <v>-157546</v>
      </c>
      <c r="G1010" t="n">
        <v>-26214</v>
      </c>
      <c r="H1010" t="n">
        <v>56669</v>
      </c>
      <c r="I1010" t="n">
        <v>21481</v>
      </c>
      <c r="J1010" t="n">
        <v>14797</v>
      </c>
      <c r="K1010" t="n">
        <v/>
      </c>
      <c r="L1010" t="n">
        <v/>
      </c>
    </row>
    <row r="1011">
      <c r="A1011" s="64" t="n">
        <v>40946</v>
      </c>
      <c r="B1011" t="n">
        <v>75095</v>
      </c>
      <c r="C1011" t="n">
        <v/>
      </c>
      <c r="D1011" t="n">
        <v>2184</v>
      </c>
      <c r="E1011" t="n">
        <v>-9795</v>
      </c>
      <c r="F1011" t="n">
        <v>-140593</v>
      </c>
      <c r="G1011" t="n">
        <v>-33122</v>
      </c>
      <c r="H1011" t="n">
        <v>55171</v>
      </c>
      <c r="I1011" t="n">
        <v>34107</v>
      </c>
      <c r="J1011" t="n">
        <v>23335</v>
      </c>
      <c r="K1011" t="n">
        <v/>
      </c>
      <c r="L1011" t="n">
        <v/>
      </c>
    </row>
    <row r="1012">
      <c r="A1012" s="64" t="n">
        <v>40953</v>
      </c>
      <c r="B1012" t="n">
        <v>73741</v>
      </c>
      <c r="C1012" t="n">
        <v/>
      </c>
      <c r="D1012" t="n">
        <v>9566</v>
      </c>
      <c r="E1012" t="n">
        <v>-15863</v>
      </c>
      <c r="F1012" t="n">
        <v>-148641</v>
      </c>
      <c r="G1012" t="n">
        <v>-40599</v>
      </c>
      <c r="H1012" t="n">
        <v>29459</v>
      </c>
      <c r="I1012" t="n">
        <v>41239</v>
      </c>
      <c r="J1012" t="n">
        <v>23870</v>
      </c>
      <c r="K1012" t="n">
        <v/>
      </c>
      <c r="L1012" t="n">
        <v/>
      </c>
    </row>
    <row r="1013">
      <c r="A1013" s="64" t="n">
        <v>40960</v>
      </c>
      <c r="B1013" t="n">
        <v>74700</v>
      </c>
      <c r="C1013" t="n">
        <v/>
      </c>
      <c r="D1013" t="n">
        <v>14112</v>
      </c>
      <c r="E1013" t="n">
        <v>-19846</v>
      </c>
      <c r="F1013" t="n">
        <v>-142159</v>
      </c>
      <c r="G1013" t="n">
        <v>-31350</v>
      </c>
      <c r="H1013" t="n">
        <v>17257</v>
      </c>
      <c r="I1013" t="n">
        <v>49425</v>
      </c>
      <c r="J1013" t="n">
        <v>24211</v>
      </c>
      <c r="K1013" t="n">
        <v/>
      </c>
      <c r="L1013" t="n">
        <v/>
      </c>
    </row>
    <row r="1014">
      <c r="A1014" s="64" t="n">
        <v>40967</v>
      </c>
      <c r="B1014" t="n">
        <v>78201</v>
      </c>
      <c r="C1014" t="n">
        <v/>
      </c>
      <c r="D1014" t="n">
        <v>22480</v>
      </c>
      <c r="E1014" t="n">
        <v>-19391</v>
      </c>
      <c r="F1014" t="n">
        <v>-109674</v>
      </c>
      <c r="G1014" t="n">
        <v>-23235</v>
      </c>
      <c r="H1014" t="n">
        <v>-1203</v>
      </c>
      <c r="I1014" t="n">
        <v>60750</v>
      </c>
      <c r="J1014" t="n">
        <v>22114</v>
      </c>
      <c r="K1014" t="n">
        <v/>
      </c>
      <c r="L1014" t="n">
        <v/>
      </c>
    </row>
    <row r="1015">
      <c r="A1015" s="64" t="n">
        <v>40974</v>
      </c>
      <c r="B1015" t="n">
        <v>61720</v>
      </c>
      <c r="C1015" t="n">
        <v/>
      </c>
      <c r="D1015" t="n">
        <v>26032</v>
      </c>
      <c r="E1015" t="n">
        <v>-19478</v>
      </c>
      <c r="F1015" t="n">
        <v>-116473</v>
      </c>
      <c r="G1015" t="n">
        <v>-37099</v>
      </c>
      <c r="H1015" t="n">
        <v>-19358</v>
      </c>
      <c r="I1015" t="n">
        <v>66347</v>
      </c>
      <c r="J1015" t="n">
        <v>16788</v>
      </c>
      <c r="K1015" t="n">
        <v/>
      </c>
      <c r="L1015" t="n">
        <v/>
      </c>
    </row>
    <row r="1016">
      <c r="A1016" s="64" t="n">
        <v>40981</v>
      </c>
      <c r="B1016" t="n">
        <v>66756</v>
      </c>
      <c r="C1016" t="n">
        <v/>
      </c>
      <c r="D1016" t="n">
        <v>26721</v>
      </c>
      <c r="E1016" t="n">
        <v>-14798</v>
      </c>
      <c r="F1016" t="n">
        <v>-99336</v>
      </c>
      <c r="G1016" t="n">
        <v>-41848</v>
      </c>
      <c r="H1016" t="n">
        <v>-42380</v>
      </c>
      <c r="I1016" t="n">
        <v>78892</v>
      </c>
      <c r="J1016" t="n">
        <v>13223</v>
      </c>
      <c r="K1016" t="n">
        <v/>
      </c>
      <c r="L1016" t="n">
        <v/>
      </c>
    </row>
    <row r="1017">
      <c r="A1017" s="64" t="n">
        <v>40988</v>
      </c>
      <c r="B1017" t="n">
        <v>45191</v>
      </c>
      <c r="C1017" t="n">
        <v/>
      </c>
      <c r="D1017" t="n">
        <v>42315</v>
      </c>
      <c r="E1017" t="n">
        <v>-11191</v>
      </c>
      <c r="F1017" t="n">
        <v>-82954</v>
      </c>
      <c r="G1017" t="n">
        <v>-15852</v>
      </c>
      <c r="H1017" t="n">
        <v>-25821</v>
      </c>
      <c r="I1017" t="n">
        <v>24329</v>
      </c>
      <c r="J1017" t="n">
        <v>4210</v>
      </c>
      <c r="K1017" t="n">
        <v/>
      </c>
      <c r="L1017" t="n">
        <v/>
      </c>
    </row>
    <row r="1018">
      <c r="A1018" s="64" t="n">
        <v>40995</v>
      </c>
      <c r="B1018" t="n">
        <v>59574</v>
      </c>
      <c r="C1018" t="n">
        <v/>
      </c>
      <c r="D1018" t="n">
        <v>23737</v>
      </c>
      <c r="E1018" t="n">
        <v>-15096</v>
      </c>
      <c r="F1018" t="n">
        <v>-89129</v>
      </c>
      <c r="G1018" t="n">
        <v>-11110</v>
      </c>
      <c r="H1018" t="n">
        <v>-67622</v>
      </c>
      <c r="I1018" t="n">
        <v>82833</v>
      </c>
      <c r="J1018" t="n">
        <v>3984</v>
      </c>
      <c r="K1018" t="n">
        <v/>
      </c>
      <c r="L1018" t="n">
        <v/>
      </c>
    </row>
    <row r="1019">
      <c r="A1019" s="64" t="n">
        <v>41002</v>
      </c>
      <c r="B1019" t="n">
        <v>49319</v>
      </c>
      <c r="C1019" t="n">
        <v/>
      </c>
      <c r="D1019" t="n">
        <v>29487</v>
      </c>
      <c r="E1019" t="n">
        <v>-14676</v>
      </c>
      <c r="F1019" t="n">
        <v>-79480</v>
      </c>
      <c r="G1019" t="n">
        <v>-8807</v>
      </c>
      <c r="H1019" t="n">
        <v>-65108</v>
      </c>
      <c r="I1019" t="n">
        <v>84503</v>
      </c>
      <c r="J1019" t="n">
        <v>5846</v>
      </c>
      <c r="K1019" t="n">
        <v/>
      </c>
      <c r="L1019" t="n">
        <v/>
      </c>
    </row>
    <row r="1020">
      <c r="A1020" s="64" t="n">
        <v>41009</v>
      </c>
      <c r="B1020" t="n">
        <v>39429</v>
      </c>
      <c r="C1020" t="n">
        <v/>
      </c>
      <c r="D1020" t="n">
        <v>27967</v>
      </c>
      <c r="E1020" t="n">
        <v>-9919</v>
      </c>
      <c r="F1020" t="n">
        <v>-101364</v>
      </c>
      <c r="G1020" t="n">
        <v>-18784</v>
      </c>
      <c r="H1020" t="n">
        <v>-66084</v>
      </c>
      <c r="I1020" t="n">
        <v>68600</v>
      </c>
      <c r="J1020" t="n">
        <v>7170</v>
      </c>
      <c r="K1020" t="n">
        <v/>
      </c>
      <c r="L1020" t="n">
        <v/>
      </c>
    </row>
    <row r="1021">
      <c r="A1021" s="64" t="n">
        <v>41016</v>
      </c>
      <c r="B1021" t="n">
        <v>48421</v>
      </c>
      <c r="C1021" t="n">
        <v/>
      </c>
      <c r="D1021" t="n">
        <v>38028</v>
      </c>
      <c r="E1021" t="n">
        <v>-13762</v>
      </c>
      <c r="F1021" t="n">
        <v>-118125</v>
      </c>
      <c r="G1021" t="n">
        <v>-13051</v>
      </c>
      <c r="H1021" t="n">
        <v>-57803</v>
      </c>
      <c r="I1021" t="n">
        <v>46101</v>
      </c>
      <c r="J1021" t="n">
        <v>11939</v>
      </c>
      <c r="K1021" t="n">
        <v/>
      </c>
      <c r="L1021" t="n">
        <v/>
      </c>
    </row>
    <row r="1022">
      <c r="A1022" s="64" t="n">
        <v>41023</v>
      </c>
      <c r="B1022" t="n">
        <v>46041</v>
      </c>
      <c r="C1022" t="n">
        <v/>
      </c>
      <c r="D1022" t="n">
        <v>44224</v>
      </c>
      <c r="E1022" t="n">
        <v>-16641</v>
      </c>
      <c r="F1022" t="n">
        <v>-113367</v>
      </c>
      <c r="G1022" t="n">
        <v>7536</v>
      </c>
      <c r="H1022" t="n">
        <v>-55903</v>
      </c>
      <c r="I1022" t="n">
        <v>40208</v>
      </c>
      <c r="J1022" t="n">
        <v>9486</v>
      </c>
      <c r="K1022" t="n">
        <v/>
      </c>
      <c r="L1022" t="n">
        <v/>
      </c>
    </row>
    <row r="1023">
      <c r="A1023" s="64" t="n">
        <v>41030</v>
      </c>
      <c r="B1023" t="n">
        <v>52280</v>
      </c>
      <c r="C1023" t="n">
        <v/>
      </c>
      <c r="D1023" t="n">
        <v>70223</v>
      </c>
      <c r="E1023" t="n">
        <v>-14311</v>
      </c>
      <c r="F1023" t="n">
        <v>-106990</v>
      </c>
      <c r="G1023" t="n">
        <v>16493</v>
      </c>
      <c r="H1023" t="n">
        <v>-50173</v>
      </c>
      <c r="I1023" t="n">
        <v>42045</v>
      </c>
      <c r="J1023" t="n">
        <v>8025</v>
      </c>
      <c r="K1023" t="n">
        <v/>
      </c>
      <c r="L1023" t="n">
        <v/>
      </c>
    </row>
    <row r="1024">
      <c r="A1024" s="64" t="n">
        <v>41037</v>
      </c>
      <c r="B1024" t="n">
        <v>25104</v>
      </c>
      <c r="C1024" t="n">
        <v/>
      </c>
      <c r="D1024" t="n">
        <v>60095</v>
      </c>
      <c r="E1024" t="n">
        <v>-16494</v>
      </c>
      <c r="F1024" t="n">
        <v>-143984</v>
      </c>
      <c r="G1024" t="n">
        <v>25339</v>
      </c>
      <c r="H1024" t="n">
        <v>-41093</v>
      </c>
      <c r="I1024" t="n">
        <v>36928</v>
      </c>
      <c r="J1024" t="n">
        <v>6224</v>
      </c>
      <c r="K1024" t="n">
        <v/>
      </c>
      <c r="L1024" t="n">
        <v/>
      </c>
    </row>
    <row r="1025">
      <c r="A1025" s="64" t="n">
        <v>41044</v>
      </c>
      <c r="B1025" t="n">
        <v>4734</v>
      </c>
      <c r="C1025" t="n">
        <v/>
      </c>
      <c r="D1025" t="n">
        <v>51005</v>
      </c>
      <c r="E1025" t="n">
        <v>-26694</v>
      </c>
      <c r="F1025" t="n">
        <v>-173869</v>
      </c>
      <c r="G1025" t="n">
        <v>25021</v>
      </c>
      <c r="H1025" t="n">
        <v>-34315</v>
      </c>
      <c r="I1025" t="n">
        <v>14445</v>
      </c>
      <c r="J1025" t="n">
        <v>2597</v>
      </c>
      <c r="K1025" t="n">
        <v/>
      </c>
      <c r="L1025" t="n">
        <v/>
      </c>
    </row>
    <row r="1026">
      <c r="A1026" s="64" t="n">
        <v>41051</v>
      </c>
      <c r="B1026" t="n">
        <v>-16898</v>
      </c>
      <c r="C1026" t="n">
        <v/>
      </c>
      <c r="D1026" t="n">
        <v>38555</v>
      </c>
      <c r="E1026" t="n">
        <v>-34851</v>
      </c>
      <c r="F1026" t="n">
        <v>-195361</v>
      </c>
      <c r="G1026" t="n">
        <v>11340</v>
      </c>
      <c r="H1026" t="n">
        <v>-18015</v>
      </c>
      <c r="I1026" t="n">
        <v>-16116</v>
      </c>
      <c r="J1026" t="n">
        <v>-1509</v>
      </c>
      <c r="K1026" t="n">
        <v/>
      </c>
      <c r="L1026" t="n">
        <v/>
      </c>
    </row>
    <row r="1027">
      <c r="A1027" s="64" t="n">
        <v>41058</v>
      </c>
      <c r="B1027" t="n">
        <v>-35527</v>
      </c>
      <c r="C1027" t="n">
        <v/>
      </c>
      <c r="D1027" t="n">
        <v>34085</v>
      </c>
      <c r="E1027" t="n">
        <v>-30596</v>
      </c>
      <c r="F1027" t="n">
        <v>-203415</v>
      </c>
      <c r="G1027" t="n">
        <v>1475</v>
      </c>
      <c r="H1027" t="n">
        <v>-11330</v>
      </c>
      <c r="I1027" t="n">
        <v>-12995</v>
      </c>
      <c r="J1027" t="n">
        <v>-5208</v>
      </c>
      <c r="K1027" t="n">
        <v/>
      </c>
      <c r="L1027" t="n">
        <v/>
      </c>
    </row>
    <row r="1028">
      <c r="A1028" s="64" t="n">
        <v>41065</v>
      </c>
      <c r="B1028" t="n">
        <v>-51172</v>
      </c>
      <c r="C1028" t="n">
        <v/>
      </c>
      <c r="D1028" t="n">
        <v>14906</v>
      </c>
      <c r="E1028" t="n">
        <v>-33648</v>
      </c>
      <c r="F1028" t="n">
        <v>-214418</v>
      </c>
      <c r="G1028" t="n">
        <v>-2867</v>
      </c>
      <c r="H1028" t="n">
        <v>12073</v>
      </c>
      <c r="I1028" t="n">
        <v>-30396</v>
      </c>
      <c r="J1028" t="n">
        <v>-5530</v>
      </c>
      <c r="K1028" t="n">
        <v/>
      </c>
      <c r="L1028" t="n">
        <v/>
      </c>
    </row>
    <row r="1029">
      <c r="A1029" s="64" t="n">
        <v>41072</v>
      </c>
      <c r="B1029" t="n">
        <v>-45459</v>
      </c>
      <c r="C1029" t="n">
        <v/>
      </c>
      <c r="D1029" t="n">
        <v>9620</v>
      </c>
      <c r="E1029" t="n">
        <v>-33301</v>
      </c>
      <c r="F1029" t="n">
        <v>-195187</v>
      </c>
      <c r="G1029" t="n">
        <v>-23112</v>
      </c>
      <c r="H1029" t="n">
        <v>12307</v>
      </c>
      <c r="I1029" t="n">
        <v>-22004</v>
      </c>
      <c r="J1029" t="n">
        <v>-3885</v>
      </c>
      <c r="K1029" t="n">
        <v/>
      </c>
      <c r="L1029" t="n">
        <v/>
      </c>
    </row>
    <row r="1030">
      <c r="A1030" s="64" t="n">
        <v>41079</v>
      </c>
      <c r="B1030" t="n">
        <v>-3458</v>
      </c>
      <c r="C1030" t="n">
        <v/>
      </c>
      <c r="D1030" t="n">
        <v>8201</v>
      </c>
      <c r="E1030" t="n">
        <v>-7007</v>
      </c>
      <c r="F1030" t="n">
        <v>-141066</v>
      </c>
      <c r="G1030" t="n">
        <v>-17153</v>
      </c>
      <c r="H1030" t="n">
        <v>15137</v>
      </c>
      <c r="I1030" t="n">
        <v>-14674</v>
      </c>
      <c r="J1030" t="n">
        <v>-2213</v>
      </c>
      <c r="K1030" t="n">
        <v/>
      </c>
      <c r="L1030" t="n">
        <v/>
      </c>
    </row>
    <row r="1031">
      <c r="A1031" s="64" t="n">
        <v>41086</v>
      </c>
      <c r="B1031" t="n">
        <v>-2159</v>
      </c>
      <c r="C1031" t="n">
        <v/>
      </c>
      <c r="D1031" t="n">
        <v>9277</v>
      </c>
      <c r="E1031" t="n">
        <v>-23836</v>
      </c>
      <c r="F1031" t="n">
        <v>-159880</v>
      </c>
      <c r="G1031" t="n">
        <v>-758</v>
      </c>
      <c r="H1031" t="n">
        <v>4542</v>
      </c>
      <c r="I1031" t="n">
        <v>-7647</v>
      </c>
      <c r="J1031" t="n">
        <v>576</v>
      </c>
      <c r="K1031" t="n">
        <v/>
      </c>
      <c r="L1031" t="n">
        <v/>
      </c>
    </row>
    <row r="1032">
      <c r="A1032" s="64" t="n">
        <v>41093</v>
      </c>
      <c r="B1032" t="n">
        <v>9348</v>
      </c>
      <c r="C1032" t="n">
        <v/>
      </c>
      <c r="D1032" t="n">
        <v>8698</v>
      </c>
      <c r="E1032" t="n">
        <v>-19060</v>
      </c>
      <c r="F1032" t="n">
        <v>-146177</v>
      </c>
      <c r="G1032" t="n">
        <v>-5353</v>
      </c>
      <c r="H1032" t="n">
        <v>4175</v>
      </c>
      <c r="I1032" t="n">
        <v>17475</v>
      </c>
      <c r="J1032" t="n">
        <v>4320</v>
      </c>
      <c r="K1032" t="n">
        <v/>
      </c>
      <c r="L1032" t="n">
        <v/>
      </c>
    </row>
    <row r="1033">
      <c r="A1033" s="64" t="n">
        <v>41100</v>
      </c>
      <c r="B1033" t="n">
        <v>19065</v>
      </c>
      <c r="C1033" t="n">
        <v/>
      </c>
      <c r="D1033" t="n">
        <v>4338</v>
      </c>
      <c r="E1033" t="n">
        <v>-17584</v>
      </c>
      <c r="F1033" t="n">
        <v>-165705</v>
      </c>
      <c r="G1033" t="n">
        <v>-7622</v>
      </c>
      <c r="H1033" t="n">
        <v>8952</v>
      </c>
      <c r="I1033" t="n">
        <v>25222</v>
      </c>
      <c r="J1033" t="n">
        <v>5591</v>
      </c>
      <c r="K1033" t="n">
        <v/>
      </c>
      <c r="L1033" t="n">
        <v/>
      </c>
    </row>
    <row r="1034">
      <c r="A1034" s="64" t="n">
        <v>41107</v>
      </c>
      <c r="B1034" t="n">
        <v>13931</v>
      </c>
      <c r="C1034" t="n">
        <v/>
      </c>
      <c r="D1034" t="n">
        <v>-1208</v>
      </c>
      <c r="E1034" t="n">
        <v>-23090</v>
      </c>
      <c r="F1034" t="n">
        <v>-167249</v>
      </c>
      <c r="G1034" t="n">
        <v>-7453</v>
      </c>
      <c r="H1034" t="n">
        <v>11121</v>
      </c>
      <c r="I1034" t="n">
        <v>34989</v>
      </c>
      <c r="J1034" t="n">
        <v>6939</v>
      </c>
      <c r="K1034" t="n">
        <v/>
      </c>
      <c r="L1034" t="n">
        <v/>
      </c>
    </row>
    <row r="1035">
      <c r="A1035" s="64" t="n">
        <v>41114</v>
      </c>
      <c r="B1035" t="n">
        <v>26443</v>
      </c>
      <c r="C1035" t="n">
        <v/>
      </c>
      <c r="D1035" t="n">
        <v>-2432</v>
      </c>
      <c r="E1035" t="n">
        <v>-25945</v>
      </c>
      <c r="F1035" t="n">
        <v>-155066</v>
      </c>
      <c r="G1035" t="n">
        <v>-2934</v>
      </c>
      <c r="H1035" t="n">
        <v>25061</v>
      </c>
      <c r="I1035" t="n">
        <v>49662</v>
      </c>
      <c r="J1035" t="n">
        <v>7779</v>
      </c>
      <c r="K1035" t="n">
        <v/>
      </c>
      <c r="L1035" t="n">
        <v/>
      </c>
    </row>
    <row r="1036">
      <c r="A1036" s="64" t="n">
        <v>41121</v>
      </c>
      <c r="B1036" t="n">
        <v>37235</v>
      </c>
      <c r="C1036" t="n">
        <v/>
      </c>
      <c r="D1036" t="n">
        <v>12449</v>
      </c>
      <c r="E1036" t="n">
        <v>-18808</v>
      </c>
      <c r="F1036" t="n">
        <v>-138994</v>
      </c>
      <c r="G1036" t="n">
        <v>-1810</v>
      </c>
      <c r="H1036" t="n">
        <v>32254</v>
      </c>
      <c r="I1036" t="n">
        <v>47556</v>
      </c>
      <c r="J1036" t="n">
        <v>10347</v>
      </c>
      <c r="K1036" t="n">
        <v/>
      </c>
      <c r="L1036" t="n">
        <v/>
      </c>
    </row>
    <row r="1037">
      <c r="A1037" s="64" t="n">
        <v>41128</v>
      </c>
      <c r="B1037" t="n">
        <v>52894</v>
      </c>
      <c r="C1037" t="n">
        <v/>
      </c>
      <c r="D1037" t="n">
        <v>19122</v>
      </c>
      <c r="E1037" t="n">
        <v>-17915</v>
      </c>
      <c r="F1037" t="n">
        <v>-131711</v>
      </c>
      <c r="G1037" t="n">
        <v>-8275</v>
      </c>
      <c r="H1037" t="n">
        <v>27539</v>
      </c>
      <c r="I1037" t="n">
        <v>69378</v>
      </c>
      <c r="J1037" t="n">
        <v>14588</v>
      </c>
      <c r="K1037" t="n">
        <v/>
      </c>
      <c r="L1037" t="n">
        <v/>
      </c>
    </row>
    <row r="1038">
      <c r="A1038" s="64" t="n">
        <v>41135</v>
      </c>
      <c r="B1038" t="n">
        <v>66679</v>
      </c>
      <c r="C1038" t="n">
        <v/>
      </c>
      <c r="D1038" t="n">
        <v>28593</v>
      </c>
      <c r="E1038" t="n">
        <v>-18854</v>
      </c>
      <c r="F1038" t="n">
        <v>-137810</v>
      </c>
      <c r="G1038" t="n">
        <v>-288</v>
      </c>
      <c r="H1038" t="n">
        <v>30704</v>
      </c>
      <c r="I1038" t="n">
        <v>83511</v>
      </c>
      <c r="J1038" t="n">
        <v>15247</v>
      </c>
      <c r="K1038" t="n">
        <v/>
      </c>
      <c r="L1038" t="n">
        <v/>
      </c>
    </row>
    <row r="1039">
      <c r="A1039" s="64" t="n">
        <v>41142</v>
      </c>
      <c r="B1039" t="n">
        <v>86882</v>
      </c>
      <c r="C1039" t="n">
        <v/>
      </c>
      <c r="D1039" t="n">
        <v>50867</v>
      </c>
      <c r="E1039" t="n">
        <v>-15662</v>
      </c>
      <c r="F1039" t="n">
        <v>-123932</v>
      </c>
      <c r="G1039" t="n">
        <v>7833</v>
      </c>
      <c r="H1039" t="n">
        <v>11171</v>
      </c>
      <c r="I1039" t="n">
        <v>97981</v>
      </c>
      <c r="J1039" t="n">
        <v>16372</v>
      </c>
      <c r="K1039" t="n">
        <v/>
      </c>
      <c r="L1039" t="n">
        <v/>
      </c>
    </row>
    <row r="1040">
      <c r="A1040" s="64" t="n">
        <v>41149</v>
      </c>
      <c r="B1040" t="n">
        <v>78072</v>
      </c>
      <c r="C1040" t="n">
        <v/>
      </c>
      <c r="D1040" t="n">
        <v>60936</v>
      </c>
      <c r="E1040" t="n">
        <v>-11461</v>
      </c>
      <c r="F1040" t="n">
        <v>-101561</v>
      </c>
      <c r="G1040" t="n">
        <v>1968</v>
      </c>
      <c r="H1040" t="n">
        <v>21556</v>
      </c>
      <c r="I1040" t="n">
        <v>94626</v>
      </c>
      <c r="J1040" t="n">
        <v>14229</v>
      </c>
      <c r="K1040" t="n">
        <v/>
      </c>
      <c r="L1040" t="n">
        <v/>
      </c>
    </row>
    <row r="1041">
      <c r="A1041" s="64" t="n">
        <v>41156</v>
      </c>
      <c r="B1041" t="n">
        <v>62439</v>
      </c>
      <c r="C1041" t="n">
        <v/>
      </c>
      <c r="D1041" t="n">
        <v>66555</v>
      </c>
      <c r="E1041" t="n">
        <v>-13112</v>
      </c>
      <c r="F1041" t="n">
        <v>-102306</v>
      </c>
      <c r="G1041" t="n">
        <v>-6868</v>
      </c>
      <c r="H1041" t="n">
        <v>24007</v>
      </c>
      <c r="I1041" t="n">
        <v>90881</v>
      </c>
      <c r="J1041" t="n">
        <v>11401</v>
      </c>
      <c r="K1041" t="n">
        <v/>
      </c>
      <c r="L1041" t="n">
        <v/>
      </c>
    </row>
    <row r="1042">
      <c r="A1042" s="64" t="n">
        <v>41163</v>
      </c>
      <c r="B1042" t="n">
        <v>68259</v>
      </c>
      <c r="C1042" t="n">
        <v/>
      </c>
      <c r="D1042" t="n">
        <v>101860</v>
      </c>
      <c r="E1042" t="n">
        <v>-8967</v>
      </c>
      <c r="F1042" t="n">
        <v>-93658</v>
      </c>
      <c r="G1042" t="n">
        <v>-4366</v>
      </c>
      <c r="H1042" t="n">
        <v>32773</v>
      </c>
      <c r="I1042" t="n">
        <v>122243</v>
      </c>
      <c r="J1042" t="n">
        <v>10032</v>
      </c>
      <c r="K1042" t="n">
        <v/>
      </c>
      <c r="L1042" t="n">
        <v/>
      </c>
    </row>
    <row r="1043">
      <c r="A1043" s="64" t="n">
        <v>41170</v>
      </c>
      <c r="B1043" t="n">
        <v>69246</v>
      </c>
      <c r="C1043" t="n">
        <v/>
      </c>
      <c r="D1043" t="n">
        <v>111881</v>
      </c>
      <c r="E1043" t="n">
        <v>-4527</v>
      </c>
      <c r="F1043" t="n">
        <v>-73482</v>
      </c>
      <c r="G1043" t="n">
        <v>14412</v>
      </c>
      <c r="H1043" t="n">
        <v>15476</v>
      </c>
      <c r="I1043" t="n">
        <v>118147</v>
      </c>
      <c r="J1043" t="n">
        <v>16605</v>
      </c>
      <c r="K1043" t="n">
        <v/>
      </c>
      <c r="L1043" t="n">
        <v/>
      </c>
    </row>
    <row r="1044">
      <c r="A1044" s="64" t="n">
        <v>41177</v>
      </c>
      <c r="B1044" t="n">
        <v>89562</v>
      </c>
      <c r="C1044" t="n">
        <v/>
      </c>
      <c r="D1044" t="n">
        <v>105346</v>
      </c>
      <c r="E1044" t="n">
        <v>-904</v>
      </c>
      <c r="F1044" t="n">
        <v>-50238</v>
      </c>
      <c r="G1044" t="n">
        <v>27137</v>
      </c>
      <c r="H1044" t="n">
        <v>21111</v>
      </c>
      <c r="I1044" t="n">
        <v>141256</v>
      </c>
      <c r="J1044" t="n">
        <v>19965</v>
      </c>
      <c r="K1044" t="n">
        <v/>
      </c>
      <c r="L1044" t="n">
        <v/>
      </c>
    </row>
    <row r="1045">
      <c r="A1045" s="64" t="n">
        <v>41184</v>
      </c>
      <c r="B1045" t="n">
        <v>63743</v>
      </c>
      <c r="C1045" t="n">
        <v/>
      </c>
      <c r="D1045" t="n">
        <v>101176</v>
      </c>
      <c r="E1045" t="n">
        <v>-984</v>
      </c>
      <c r="F1045" t="n">
        <v>-50265</v>
      </c>
      <c r="G1045" t="n">
        <v>30094</v>
      </c>
      <c r="H1045" t="n">
        <v>29335</v>
      </c>
      <c r="I1045" t="n">
        <v>135865</v>
      </c>
      <c r="J1045" t="n">
        <v>21381</v>
      </c>
      <c r="K1045" t="n">
        <v/>
      </c>
      <c r="L1045" t="n">
        <v/>
      </c>
    </row>
    <row r="1046">
      <c r="A1046" s="64" t="n">
        <v>41191</v>
      </c>
      <c r="B1046" t="n">
        <v>39814</v>
      </c>
      <c r="C1046" t="n">
        <v/>
      </c>
      <c r="D1046" t="n">
        <v>95628</v>
      </c>
      <c r="E1046" t="n">
        <v>-306</v>
      </c>
      <c r="F1046" t="n">
        <v>-72570</v>
      </c>
      <c r="G1046" t="n">
        <v>22572</v>
      </c>
      <c r="H1046" t="n">
        <v>12914</v>
      </c>
      <c r="I1046" t="n">
        <v>136392</v>
      </c>
      <c r="J1046" t="n">
        <v>16710</v>
      </c>
      <c r="K1046" t="n">
        <v/>
      </c>
      <c r="L1046" t="n">
        <v/>
      </c>
    </row>
    <row r="1047">
      <c r="A1047" s="64" t="n">
        <v>41198</v>
      </c>
      <c r="B1047" t="n">
        <v>38444</v>
      </c>
      <c r="C1047" t="n">
        <v/>
      </c>
      <c r="D1047" t="n">
        <v>93750</v>
      </c>
      <c r="E1047" t="n">
        <v>-1192</v>
      </c>
      <c r="F1047" t="n">
        <v>-53495</v>
      </c>
      <c r="G1047" t="n">
        <v>19599</v>
      </c>
      <c r="H1047" t="n">
        <v>10086</v>
      </c>
      <c r="I1047" t="n">
        <v>135456</v>
      </c>
      <c r="J1047" t="n">
        <v>16284</v>
      </c>
      <c r="K1047" t="n">
        <v/>
      </c>
      <c r="L1047" t="n">
        <v/>
      </c>
    </row>
    <row r="1048">
      <c r="A1048" s="64" t="n">
        <v>41205</v>
      </c>
      <c r="B1048" t="n">
        <v>45651</v>
      </c>
      <c r="C1048" t="n">
        <v/>
      </c>
      <c r="D1048" t="n">
        <v>89088</v>
      </c>
      <c r="E1048" t="n">
        <v>2361</v>
      </c>
      <c r="F1048" t="n">
        <v>-55219</v>
      </c>
      <c r="G1048" t="n">
        <v>18397</v>
      </c>
      <c r="H1048" t="n">
        <v>-18196</v>
      </c>
      <c r="I1048" t="n">
        <v>132402</v>
      </c>
      <c r="J1048" t="n">
        <v>16349</v>
      </c>
      <c r="K1048" t="n">
        <v/>
      </c>
      <c r="L1048" t="n">
        <v/>
      </c>
    </row>
    <row r="1049">
      <c r="A1049" s="64" t="n">
        <v>41212</v>
      </c>
      <c r="B1049" t="n">
        <v>52090</v>
      </c>
      <c r="C1049" t="n">
        <v/>
      </c>
      <c r="D1049" t="n">
        <v>78771</v>
      </c>
      <c r="E1049" t="n">
        <v>2366</v>
      </c>
      <c r="F1049" t="n">
        <v>-58204</v>
      </c>
      <c r="G1049" t="n">
        <v>23403</v>
      </c>
      <c r="H1049" t="n">
        <v>-37020</v>
      </c>
      <c r="I1049" t="n">
        <v>126009</v>
      </c>
      <c r="J1049" t="n">
        <v>16745</v>
      </c>
      <c r="K1049" t="n">
        <v/>
      </c>
      <c r="L1049" t="n">
        <v/>
      </c>
    </row>
    <row r="1050">
      <c r="A1050" s="64" t="n">
        <v>41219</v>
      </c>
      <c r="B1050" t="n">
        <v>60317</v>
      </c>
      <c r="C1050" t="n">
        <v/>
      </c>
      <c r="D1050" t="n">
        <v>74762</v>
      </c>
      <c r="E1050" t="n">
        <v>-303</v>
      </c>
      <c r="F1050" t="n">
        <v>-67141</v>
      </c>
      <c r="G1050" t="n">
        <v>19279</v>
      </c>
      <c r="H1050" t="n">
        <v>-40104</v>
      </c>
      <c r="I1050" t="n">
        <v>114422</v>
      </c>
      <c r="J1050" t="n">
        <v>19388</v>
      </c>
      <c r="K1050" t="n">
        <v/>
      </c>
      <c r="L1050" t="n">
        <v/>
      </c>
    </row>
    <row r="1051">
      <c r="A1051" s="64" t="n">
        <v>41226</v>
      </c>
      <c r="B1051" t="n">
        <v>68146</v>
      </c>
      <c r="C1051" t="n">
        <v/>
      </c>
      <c r="D1051" t="n">
        <v>66119</v>
      </c>
      <c r="E1051" t="n">
        <v>-8888</v>
      </c>
      <c r="F1051" t="n">
        <v>-83646</v>
      </c>
      <c r="G1051" t="n">
        <v>8228</v>
      </c>
      <c r="H1051" t="n">
        <v>-30447</v>
      </c>
      <c r="I1051" t="n">
        <v>96994</v>
      </c>
      <c r="J1051" t="n">
        <v>19194</v>
      </c>
      <c r="K1051" t="n">
        <v/>
      </c>
      <c r="L1051" t="n">
        <v/>
      </c>
    </row>
    <row r="1052">
      <c r="A1052" s="64" t="n">
        <v>41233</v>
      </c>
      <c r="B1052" t="n">
        <v>64711</v>
      </c>
      <c r="C1052" t="n">
        <v/>
      </c>
      <c r="D1052" t="n">
        <v>61446</v>
      </c>
      <c r="E1052" t="n">
        <v>-12488</v>
      </c>
      <c r="F1052" t="n">
        <v>-91400</v>
      </c>
      <c r="G1052" t="n">
        <v>730</v>
      </c>
      <c r="H1052" t="n">
        <v>-51389</v>
      </c>
      <c r="I1052" t="n">
        <v>86787</v>
      </c>
      <c r="J1052" t="n">
        <v>17858</v>
      </c>
      <c r="K1052" t="n">
        <v/>
      </c>
      <c r="L1052" t="n">
        <v/>
      </c>
    </row>
    <row r="1053">
      <c r="A1053" s="64" t="n">
        <v>41240</v>
      </c>
      <c r="B1053" t="n">
        <v>76806</v>
      </c>
      <c r="C1053" t="n">
        <v/>
      </c>
      <c r="D1053" t="n">
        <v>62379</v>
      </c>
      <c r="E1053" t="n">
        <v>-3367</v>
      </c>
      <c r="F1053" t="n">
        <v>-66693</v>
      </c>
      <c r="G1053" t="n">
        <v>10278</v>
      </c>
      <c r="H1053" t="n">
        <v>-79466</v>
      </c>
      <c r="I1053" t="n">
        <v>93858</v>
      </c>
      <c r="J1053" t="n">
        <v>18710</v>
      </c>
      <c r="K1053" t="n">
        <v/>
      </c>
      <c r="L1053" t="n">
        <v/>
      </c>
    </row>
    <row r="1054">
      <c r="A1054" s="64" t="n">
        <v>41247</v>
      </c>
      <c r="B1054" t="n">
        <v>92229</v>
      </c>
      <c r="C1054" t="n">
        <v/>
      </c>
      <c r="D1054" t="n">
        <v>57071</v>
      </c>
      <c r="E1054" t="n">
        <v>636</v>
      </c>
      <c r="F1054" t="n">
        <v>-32795</v>
      </c>
      <c r="G1054" t="n">
        <v>27270</v>
      </c>
      <c r="H1054" t="n">
        <v>-90326</v>
      </c>
      <c r="I1054" t="n">
        <v>118962</v>
      </c>
      <c r="J1054" t="n">
        <v>21088</v>
      </c>
      <c r="K1054" t="n">
        <v/>
      </c>
      <c r="L1054" t="n">
        <v/>
      </c>
    </row>
    <row r="1055">
      <c r="A1055" s="64" t="n">
        <v>41254</v>
      </c>
      <c r="B1055" t="n">
        <v>103376</v>
      </c>
      <c r="C1055" t="n">
        <v/>
      </c>
      <c r="D1055" t="n">
        <v>62533</v>
      </c>
      <c r="E1055" t="n">
        <v>3209</v>
      </c>
      <c r="F1055" t="n">
        <v>-31623</v>
      </c>
      <c r="G1055" t="n">
        <v>27954</v>
      </c>
      <c r="H1055" t="n">
        <v>-94401</v>
      </c>
      <c r="I1055" t="n">
        <v>149271</v>
      </c>
      <c r="J1055" t="n">
        <v>24600</v>
      </c>
      <c r="K1055" t="n">
        <v/>
      </c>
      <c r="L1055" t="n">
        <v/>
      </c>
    </row>
    <row r="1056">
      <c r="A1056" s="64" t="n">
        <v>41261</v>
      </c>
      <c r="B1056" t="n">
        <v>97496</v>
      </c>
      <c r="C1056" t="n">
        <v/>
      </c>
      <c r="D1056" t="n">
        <v>74278</v>
      </c>
      <c r="E1056" t="n">
        <v>4280</v>
      </c>
      <c r="F1056" t="n">
        <v>-9736</v>
      </c>
      <c r="G1056" t="n">
        <v>28036</v>
      </c>
      <c r="H1056" t="n">
        <v>-89163</v>
      </c>
      <c r="I1056" t="n">
        <v>147749</v>
      </c>
      <c r="J1056" t="n">
        <v>14230</v>
      </c>
      <c r="K1056" t="n">
        <v/>
      </c>
      <c r="L1056" t="n">
        <v/>
      </c>
    </row>
    <row r="1057">
      <c r="A1057" s="64" t="n">
        <v>41268</v>
      </c>
      <c r="B1057" t="n">
        <v>75433</v>
      </c>
      <c r="C1057" t="n">
        <v/>
      </c>
      <c r="D1057" t="n">
        <v>63352</v>
      </c>
      <c r="E1057" t="n">
        <v>11435</v>
      </c>
      <c r="F1057" t="n">
        <v>-2549</v>
      </c>
      <c r="G1057" t="n">
        <v>37321</v>
      </c>
      <c r="H1057" t="n">
        <v>-85608</v>
      </c>
      <c r="I1057" t="n">
        <v>149355</v>
      </c>
      <c r="J1057" t="n">
        <v>14739</v>
      </c>
      <c r="K1057" t="n">
        <v/>
      </c>
      <c r="L1057" t="n">
        <v/>
      </c>
    </row>
    <row r="1058">
      <c r="A1058" s="64" t="n">
        <v>41275</v>
      </c>
      <c r="B1058" t="n">
        <v>79522</v>
      </c>
      <c r="C1058" t="n">
        <v/>
      </c>
      <c r="D1058" t="n">
        <v>65926</v>
      </c>
      <c r="E1058" t="n">
        <v>11631</v>
      </c>
      <c r="F1058" t="n">
        <v>5126</v>
      </c>
      <c r="G1058" t="n">
        <v>36308</v>
      </c>
      <c r="H1058" t="n">
        <v>-80517</v>
      </c>
      <c r="I1058" t="n">
        <v>141752</v>
      </c>
      <c r="J1058" t="n">
        <v>17082</v>
      </c>
      <c r="K1058" t="n">
        <v/>
      </c>
      <c r="L1058" t="n">
        <v/>
      </c>
    </row>
    <row r="1059">
      <c r="A1059" s="64" t="n">
        <v>41282</v>
      </c>
      <c r="B1059" t="n">
        <v>80315</v>
      </c>
      <c r="C1059" t="n">
        <v/>
      </c>
      <c r="D1059" t="n">
        <v>64005</v>
      </c>
      <c r="E1059" t="n">
        <v>10261</v>
      </c>
      <c r="F1059" t="n">
        <v>-8035</v>
      </c>
      <c r="G1059" t="n">
        <v>25949</v>
      </c>
      <c r="H1059" t="n">
        <v>-74096</v>
      </c>
      <c r="I1059" t="n">
        <v>139523</v>
      </c>
      <c r="J1059" t="n">
        <v>19220</v>
      </c>
      <c r="K1059" t="n">
        <v/>
      </c>
      <c r="L1059" t="n">
        <v/>
      </c>
    </row>
    <row r="1060">
      <c r="A1060" s="64" t="n">
        <v>41289</v>
      </c>
      <c r="B1060" t="n">
        <v>89057</v>
      </c>
      <c r="C1060" t="n">
        <v/>
      </c>
      <c r="D1060" t="n">
        <v>68668</v>
      </c>
      <c r="E1060" t="n">
        <v>12770</v>
      </c>
      <c r="F1060" t="n">
        <v>7315</v>
      </c>
      <c r="G1060" t="n">
        <v>28338</v>
      </c>
      <c r="H1060" t="n">
        <v>-65727</v>
      </c>
      <c r="I1060" t="n">
        <v>151665</v>
      </c>
      <c r="J1060" t="n">
        <v>22262</v>
      </c>
      <c r="K1060" t="n">
        <v/>
      </c>
      <c r="L1060" t="n">
        <v/>
      </c>
    </row>
    <row r="1061">
      <c r="A1061" s="64" t="n">
        <v>41296</v>
      </c>
      <c r="B1061" t="n">
        <v>97011</v>
      </c>
      <c r="C1061" t="n">
        <v/>
      </c>
      <c r="D1061" t="n">
        <v>57952</v>
      </c>
      <c r="E1061" t="n">
        <v>6384</v>
      </c>
      <c r="F1061" t="n">
        <v>21381</v>
      </c>
      <c r="G1061" t="n">
        <v>17938</v>
      </c>
      <c r="H1061" t="n">
        <v>-64068</v>
      </c>
      <c r="I1061" t="n">
        <v>150037</v>
      </c>
      <c r="J1061" t="n">
        <v>23532</v>
      </c>
      <c r="K1061" t="n">
        <v/>
      </c>
      <c r="L1061" t="n">
        <v/>
      </c>
    </row>
    <row r="1062">
      <c r="A1062" s="64" t="n">
        <v>41303</v>
      </c>
      <c r="B1062" t="n">
        <v>85296</v>
      </c>
      <c r="C1062" t="n">
        <v/>
      </c>
      <c r="D1062" t="n">
        <v>35057</v>
      </c>
      <c r="E1062" t="n">
        <v>4148</v>
      </c>
      <c r="F1062" t="n">
        <v>27472</v>
      </c>
      <c r="G1062" t="n">
        <v>10622</v>
      </c>
      <c r="H1062" t="n">
        <v>-71246</v>
      </c>
      <c r="I1062" t="n">
        <v>148871</v>
      </c>
      <c r="J1062" t="n">
        <v>21816</v>
      </c>
      <c r="K1062" t="n">
        <v/>
      </c>
      <c r="L1062" t="n">
        <v/>
      </c>
    </row>
    <row r="1063">
      <c r="A1063" s="64" t="n">
        <v>41310</v>
      </c>
      <c r="B1063" t="n">
        <v>80940</v>
      </c>
      <c r="C1063" t="n">
        <v/>
      </c>
      <c r="D1063" t="n">
        <v>27761</v>
      </c>
      <c r="E1063" t="n">
        <v>3876</v>
      </c>
      <c r="F1063" t="n">
        <v>37952</v>
      </c>
      <c r="G1063" t="n">
        <v>1174</v>
      </c>
      <c r="H1063" t="n">
        <v>-68413</v>
      </c>
      <c r="I1063" t="n">
        <v>141502</v>
      </c>
      <c r="J1063" t="n">
        <v>22700</v>
      </c>
      <c r="K1063" t="n">
        <v/>
      </c>
      <c r="L1063" t="n">
        <v/>
      </c>
    </row>
    <row r="1064">
      <c r="A1064" s="64" t="n">
        <v>41317</v>
      </c>
      <c r="B1064" t="n">
        <v>54114</v>
      </c>
      <c r="C1064" t="n">
        <v/>
      </c>
      <c r="D1064" t="n">
        <v>26565</v>
      </c>
      <c r="E1064" t="n">
        <v>4552</v>
      </c>
      <c r="F1064" t="n">
        <v>24181</v>
      </c>
      <c r="G1064" t="n">
        <v>-16776</v>
      </c>
      <c r="H1064" t="n">
        <v>-61306</v>
      </c>
      <c r="I1064" t="n">
        <v>124579</v>
      </c>
      <c r="J1064" t="n">
        <v>21338</v>
      </c>
      <c r="K1064" t="n">
        <v/>
      </c>
      <c r="L1064" t="n">
        <v/>
      </c>
    </row>
    <row r="1065">
      <c r="A1065" s="64" t="n">
        <v>41324</v>
      </c>
      <c r="B1065" t="n">
        <v>43981</v>
      </c>
      <c r="C1065" t="n">
        <v/>
      </c>
      <c r="D1065" t="n">
        <v>19379</v>
      </c>
      <c r="E1065" t="n">
        <v>-675</v>
      </c>
      <c r="F1065" t="n">
        <v>19103</v>
      </c>
      <c r="G1065" t="n">
        <v>-23365</v>
      </c>
      <c r="H1065" t="n">
        <v>-65891</v>
      </c>
      <c r="I1065" t="n">
        <v>116165</v>
      </c>
      <c r="J1065" t="n">
        <v>24693</v>
      </c>
      <c r="K1065" t="n">
        <v/>
      </c>
      <c r="L1065" t="n">
        <v/>
      </c>
    </row>
    <row r="1066">
      <c r="A1066" s="64" t="n">
        <v>41331</v>
      </c>
      <c r="B1066" t="n">
        <v>25695</v>
      </c>
      <c r="C1066" t="n">
        <v/>
      </c>
      <c r="D1066" t="n">
        <v>-21433</v>
      </c>
      <c r="E1066" t="n">
        <v>-8191</v>
      </c>
      <c r="F1066" t="n">
        <v>-9394</v>
      </c>
      <c r="G1066" t="n">
        <v>-36130</v>
      </c>
      <c r="H1066" t="n">
        <v>-65344</v>
      </c>
      <c r="I1066" t="n">
        <v>104804</v>
      </c>
      <c r="J1066" t="n">
        <v>20297</v>
      </c>
      <c r="K1066" t="n">
        <v/>
      </c>
      <c r="L1066" t="n">
        <v/>
      </c>
    </row>
    <row r="1067">
      <c r="A1067" s="64" t="n">
        <v>41338</v>
      </c>
      <c r="B1067" t="n">
        <v>7149</v>
      </c>
      <c r="C1067" t="n">
        <v/>
      </c>
      <c r="D1067" t="n">
        <v>-46663</v>
      </c>
      <c r="E1067" t="n">
        <v>-11450</v>
      </c>
      <c r="F1067" t="n">
        <v>-26116</v>
      </c>
      <c r="G1067" t="n">
        <v>-43849</v>
      </c>
      <c r="H1067" t="n">
        <v>-73351</v>
      </c>
      <c r="I1067" t="n">
        <v>93521</v>
      </c>
      <c r="J1067" t="n">
        <v>19044</v>
      </c>
      <c r="K1067" t="n">
        <v/>
      </c>
      <c r="L1067" t="n">
        <v/>
      </c>
    </row>
    <row r="1068">
      <c r="A1068" s="64" t="n">
        <v>41345</v>
      </c>
      <c r="B1068" t="n">
        <v>23266</v>
      </c>
      <c r="C1068" t="n">
        <v/>
      </c>
      <c r="D1068" t="n">
        <v>-53397</v>
      </c>
      <c r="E1068" t="n">
        <v>-13488</v>
      </c>
      <c r="F1068" t="n">
        <v>-24787</v>
      </c>
      <c r="G1068" t="n">
        <v>-49800</v>
      </c>
      <c r="H1068" t="n">
        <v>-93763</v>
      </c>
      <c r="I1068" t="n">
        <v>113770</v>
      </c>
      <c r="J1068" t="n">
        <v>19350</v>
      </c>
      <c r="K1068" t="n">
        <v/>
      </c>
      <c r="L1068" t="n">
        <v/>
      </c>
    </row>
    <row r="1069">
      <c r="A1069" s="64" t="n">
        <v>41352</v>
      </c>
      <c r="B1069" t="n">
        <v>54055</v>
      </c>
      <c r="C1069" t="n">
        <v/>
      </c>
      <c r="D1069" t="n">
        <v>-65331</v>
      </c>
      <c r="E1069" t="n">
        <v>-10996</v>
      </c>
      <c r="F1069" t="n">
        <v>-44884</v>
      </c>
      <c r="G1069" t="n">
        <v>-61480</v>
      </c>
      <c r="H1069" t="n">
        <v>-79993</v>
      </c>
      <c r="I1069" t="n">
        <v>109376</v>
      </c>
      <c r="J1069" t="n">
        <v>12477</v>
      </c>
      <c r="K1069" t="n">
        <v/>
      </c>
      <c r="L1069" t="n">
        <v/>
      </c>
    </row>
    <row r="1070">
      <c r="A1070" s="64" t="n">
        <v>41359</v>
      </c>
      <c r="B1070" t="n">
        <v>85515</v>
      </c>
      <c r="C1070" t="n">
        <v/>
      </c>
      <c r="D1070" t="n">
        <v>-62645</v>
      </c>
      <c r="E1070" t="n">
        <v>-12198</v>
      </c>
      <c r="F1070" t="n">
        <v>-49095</v>
      </c>
      <c r="G1070" t="n">
        <v>-66555</v>
      </c>
      <c r="H1070" t="n">
        <v>-89149</v>
      </c>
      <c r="I1070" t="n">
        <v>128162</v>
      </c>
      <c r="J1070" t="n">
        <v>16916</v>
      </c>
      <c r="K1070" t="n">
        <v/>
      </c>
      <c r="L1070" t="n">
        <v/>
      </c>
    </row>
    <row r="1071">
      <c r="A1071" s="64" t="n">
        <v>41366</v>
      </c>
      <c r="B1071" t="n">
        <v>83971</v>
      </c>
      <c r="C1071" t="n">
        <v/>
      </c>
      <c r="D1071" t="n">
        <v>-64544</v>
      </c>
      <c r="E1071" t="n">
        <v>-12015</v>
      </c>
      <c r="F1071" t="n">
        <v>-65701</v>
      </c>
      <c r="G1071" t="n">
        <v>-65020</v>
      </c>
      <c r="H1071" t="n">
        <v>-78171</v>
      </c>
      <c r="I1071" t="n">
        <v>142755</v>
      </c>
      <c r="J1071" t="n">
        <v>18387</v>
      </c>
      <c r="K1071" t="n">
        <v/>
      </c>
      <c r="L1071" t="n">
        <v/>
      </c>
    </row>
    <row r="1072">
      <c r="A1072" s="64" t="n">
        <v>41373</v>
      </c>
      <c r="B1072" t="n">
        <v>77879</v>
      </c>
      <c r="C1072" t="n">
        <v/>
      </c>
      <c r="D1072" t="n">
        <v>-71133</v>
      </c>
      <c r="E1072" t="n">
        <v>-10014</v>
      </c>
      <c r="F1072" t="n">
        <v>-50858</v>
      </c>
      <c r="G1072" t="n">
        <v>-69969</v>
      </c>
      <c r="H1072" t="n">
        <v>-77697</v>
      </c>
      <c r="I1072" t="n">
        <v>142542</v>
      </c>
      <c r="J1072" t="n">
        <v>25150</v>
      </c>
      <c r="K1072" t="n">
        <v/>
      </c>
      <c r="L1072" t="n">
        <v/>
      </c>
    </row>
    <row r="1073">
      <c r="A1073" s="64" t="n">
        <v>41380</v>
      </c>
      <c r="B1073" t="n">
        <v>53175</v>
      </c>
      <c r="C1073" t="n">
        <v/>
      </c>
      <c r="D1073" t="n">
        <v>-75913</v>
      </c>
      <c r="E1073" t="n">
        <v>-3253</v>
      </c>
      <c r="F1073" t="n">
        <v>-29764</v>
      </c>
      <c r="G1073" t="n">
        <v>-61975</v>
      </c>
      <c r="H1073" t="n">
        <v>-93411</v>
      </c>
      <c r="I1073" t="n">
        <v>151288</v>
      </c>
      <c r="J1073" t="n">
        <v>30808</v>
      </c>
      <c r="K1073" t="n">
        <v/>
      </c>
      <c r="L1073" t="n">
        <v/>
      </c>
    </row>
    <row r="1074">
      <c r="A1074" s="64" t="n">
        <v>41387</v>
      </c>
      <c r="B1074" t="n">
        <v>31257</v>
      </c>
      <c r="C1074" t="n">
        <v/>
      </c>
      <c r="D1074" t="n">
        <v>-71679</v>
      </c>
      <c r="E1074" t="n">
        <v>1179</v>
      </c>
      <c r="F1074" t="n">
        <v>-34275</v>
      </c>
      <c r="G1074" t="n">
        <v>-60112</v>
      </c>
      <c r="H1074" t="n">
        <v>-79730</v>
      </c>
      <c r="I1074" t="n">
        <v>146911</v>
      </c>
      <c r="J1074" t="n">
        <v>27705</v>
      </c>
      <c r="K1074" t="n">
        <v/>
      </c>
      <c r="L1074" t="n">
        <v/>
      </c>
    </row>
    <row r="1075">
      <c r="A1075" s="64" t="n">
        <v>41394</v>
      </c>
      <c r="B1075" t="n">
        <v>30234</v>
      </c>
      <c r="C1075" t="n">
        <v/>
      </c>
      <c r="D1075" t="n">
        <v>-67848</v>
      </c>
      <c r="E1075" t="n">
        <v>-8264</v>
      </c>
      <c r="F1075" t="n">
        <v>-30149</v>
      </c>
      <c r="G1075" t="n">
        <v>-58607</v>
      </c>
      <c r="H1075" t="n">
        <v>-71127</v>
      </c>
      <c r="I1075" t="n">
        <v>138551</v>
      </c>
      <c r="J1075" t="n">
        <v>29050</v>
      </c>
      <c r="K1075" t="n">
        <v/>
      </c>
      <c r="L1075" t="n">
        <v/>
      </c>
    </row>
    <row r="1076">
      <c r="A1076" s="64" t="n">
        <v>41401</v>
      </c>
      <c r="B1076" t="n">
        <v>6630</v>
      </c>
      <c r="C1076" t="n">
        <v/>
      </c>
      <c r="D1076" t="n">
        <v>-51916</v>
      </c>
      <c r="E1076" t="n">
        <v>-6235</v>
      </c>
      <c r="F1076" t="n">
        <v>-33533</v>
      </c>
      <c r="G1076" t="n">
        <v>-63086</v>
      </c>
      <c r="H1076" t="n">
        <v>-78560</v>
      </c>
      <c r="I1076" t="n">
        <v>138444</v>
      </c>
      <c r="J1076" t="n">
        <v>28536</v>
      </c>
      <c r="K1076" t="n">
        <v/>
      </c>
      <c r="L1076" t="n">
        <v/>
      </c>
    </row>
    <row r="1077">
      <c r="A1077" s="64" t="n">
        <v>41408</v>
      </c>
      <c r="B1077" t="n">
        <v>-13450</v>
      </c>
      <c r="C1077" t="n">
        <v/>
      </c>
      <c r="D1077" t="n">
        <v>-44417</v>
      </c>
      <c r="E1077" t="n">
        <v>-15410</v>
      </c>
      <c r="F1077" t="n">
        <v>-46921</v>
      </c>
      <c r="G1077" t="n">
        <v>-65355</v>
      </c>
      <c r="H1077" t="n">
        <v>-88407</v>
      </c>
      <c r="I1077" t="n">
        <v>140319</v>
      </c>
      <c r="J1077" t="n">
        <v>23216</v>
      </c>
      <c r="K1077" t="n">
        <v/>
      </c>
      <c r="L1077" t="n">
        <v/>
      </c>
    </row>
    <row r="1078">
      <c r="A1078" s="64" t="n">
        <v>41415</v>
      </c>
      <c r="B1078" t="n">
        <v>-32409</v>
      </c>
      <c r="C1078" t="n">
        <v/>
      </c>
      <c r="D1078" t="n">
        <v>-33852</v>
      </c>
      <c r="E1078" t="n">
        <v>-19930</v>
      </c>
      <c r="F1078" t="n">
        <v>-80949</v>
      </c>
      <c r="G1078" t="n">
        <v>-76976</v>
      </c>
      <c r="H1078" t="n">
        <v>-95186</v>
      </c>
      <c r="I1078" t="n">
        <v>136863</v>
      </c>
      <c r="J1078" t="n">
        <v>17782</v>
      </c>
      <c r="K1078" t="n">
        <v/>
      </c>
      <c r="L1078" t="n">
        <v/>
      </c>
    </row>
    <row r="1079">
      <c r="A1079" s="64" t="n">
        <v>41422</v>
      </c>
      <c r="B1079" t="n">
        <v>-42307</v>
      </c>
      <c r="C1079" t="n">
        <v/>
      </c>
      <c r="D1079" t="n">
        <v>-33359</v>
      </c>
      <c r="E1079" t="n">
        <v>-28972</v>
      </c>
      <c r="F1079" t="n">
        <v>-84644</v>
      </c>
      <c r="G1079" t="n">
        <v>-74525</v>
      </c>
      <c r="H1079" t="n">
        <v>-99769</v>
      </c>
      <c r="I1079" t="n">
        <v>120864</v>
      </c>
      <c r="J1079" t="n">
        <v>14011</v>
      </c>
      <c r="K1079" t="n">
        <v/>
      </c>
      <c r="L1079" t="n">
        <v/>
      </c>
    </row>
    <row r="1080">
      <c r="A1080" s="64" t="n">
        <v>41429</v>
      </c>
      <c r="B1080" t="n">
        <v>-58550</v>
      </c>
      <c r="C1080" t="n">
        <v/>
      </c>
      <c r="D1080" t="n">
        <v>-39776</v>
      </c>
      <c r="E1080" t="n">
        <v>-25803</v>
      </c>
      <c r="F1080" t="n">
        <v>-51621</v>
      </c>
      <c r="G1080" t="n">
        <v>-77738</v>
      </c>
      <c r="H1080" t="n">
        <v>-82744</v>
      </c>
      <c r="I1080" t="n">
        <v>82871</v>
      </c>
      <c r="J1080" t="n">
        <v>6013</v>
      </c>
      <c r="K1080" t="n">
        <v/>
      </c>
      <c r="L1080" t="n">
        <v/>
      </c>
    </row>
    <row r="1081">
      <c r="A1081" s="64" t="n">
        <v>41436</v>
      </c>
      <c r="B1081" t="n">
        <v>-63277</v>
      </c>
      <c r="C1081" t="n">
        <v/>
      </c>
      <c r="D1081" t="n">
        <v>-35907</v>
      </c>
      <c r="E1081" t="n">
        <v>-20738</v>
      </c>
      <c r="F1081" t="n">
        <v>-7533</v>
      </c>
      <c r="G1081" t="n">
        <v>-53687</v>
      </c>
      <c r="H1081" t="n">
        <v>-72906</v>
      </c>
      <c r="I1081" t="n">
        <v>63774</v>
      </c>
      <c r="J1081" t="n">
        <v>2653</v>
      </c>
      <c r="K1081" t="n">
        <v/>
      </c>
      <c r="L1081" t="n">
        <v/>
      </c>
    </row>
    <row r="1082">
      <c r="A1082" s="64" t="n">
        <v>41443</v>
      </c>
      <c r="B1082" t="n">
        <v>-63521</v>
      </c>
      <c r="C1082" t="n">
        <v/>
      </c>
      <c r="D1082" t="n">
        <v>-26087</v>
      </c>
      <c r="E1082" t="n">
        <v>5791</v>
      </c>
      <c r="F1082" t="n">
        <v>20030</v>
      </c>
      <c r="G1082" t="n">
        <v>-20406</v>
      </c>
      <c r="H1082" t="n">
        <v>-61890</v>
      </c>
      <c r="I1082" t="n">
        <v>20949</v>
      </c>
      <c r="J1082" t="n">
        <v>2126</v>
      </c>
      <c r="K1082" t="n">
        <v/>
      </c>
      <c r="L1082" t="n">
        <v/>
      </c>
    </row>
    <row r="1083">
      <c r="A1083" s="64" t="n">
        <v>41450</v>
      </c>
      <c r="B1083" t="n">
        <v>-61644</v>
      </c>
      <c r="C1083" t="n">
        <v/>
      </c>
      <c r="D1083" t="n">
        <v>-10638</v>
      </c>
      <c r="E1083" t="n">
        <v>2464</v>
      </c>
      <c r="F1083" t="n">
        <v>17357</v>
      </c>
      <c r="G1083" t="n">
        <v>-19429</v>
      </c>
      <c r="H1083" t="n">
        <v>-61462</v>
      </c>
      <c r="I1083" t="n">
        <v>4981</v>
      </c>
      <c r="J1083" t="n">
        <v>-711</v>
      </c>
      <c r="K1083" t="n">
        <v/>
      </c>
      <c r="L1083" t="n">
        <v/>
      </c>
    </row>
    <row r="1084">
      <c r="A1084" s="64" t="n">
        <v>41457</v>
      </c>
      <c r="B1084" t="n">
        <v>-70515</v>
      </c>
      <c r="C1084" t="n">
        <v/>
      </c>
      <c r="D1084" t="n">
        <v>-16250</v>
      </c>
      <c r="E1084" t="n">
        <v>-116</v>
      </c>
      <c r="F1084" t="n">
        <v>-16090</v>
      </c>
      <c r="G1084" t="n">
        <v>-31324</v>
      </c>
      <c r="H1084" t="n">
        <v>-70736</v>
      </c>
      <c r="I1084" t="n">
        <v>2847</v>
      </c>
      <c r="J1084" t="n">
        <v>-1174</v>
      </c>
      <c r="K1084" t="n">
        <v/>
      </c>
      <c r="L1084" t="n">
        <v/>
      </c>
    </row>
    <row r="1085">
      <c r="A1085" s="64" t="n">
        <v>41464</v>
      </c>
      <c r="B1085" t="n">
        <v>-63255</v>
      </c>
      <c r="C1085" t="n">
        <v/>
      </c>
      <c r="D1085" t="n">
        <v>-23829</v>
      </c>
      <c r="E1085" t="n">
        <v>-1776</v>
      </c>
      <c r="F1085" t="n">
        <v>-40900</v>
      </c>
      <c r="G1085" t="n">
        <v>-34259</v>
      </c>
      <c r="H1085" t="n">
        <v>-80305</v>
      </c>
      <c r="I1085" t="n">
        <v>8035</v>
      </c>
      <c r="J1085" t="n">
        <v>-1008</v>
      </c>
      <c r="K1085" t="n">
        <v/>
      </c>
      <c r="L1085" t="n">
        <v/>
      </c>
    </row>
    <row r="1086">
      <c r="A1086" s="64" t="n">
        <v>41471</v>
      </c>
      <c r="B1086" t="n">
        <v>-70686</v>
      </c>
      <c r="C1086" t="n">
        <v/>
      </c>
      <c r="D1086" t="n">
        <v>-20043</v>
      </c>
      <c r="E1086" t="n">
        <v>-4969</v>
      </c>
      <c r="F1086" t="n">
        <v>-37165</v>
      </c>
      <c r="G1086" t="n">
        <v>-37446</v>
      </c>
      <c r="H1086" t="n">
        <v>-85762</v>
      </c>
      <c r="I1086" t="n">
        <v>11366</v>
      </c>
      <c r="J1086" t="n">
        <v>-2744</v>
      </c>
      <c r="K1086" t="n">
        <v/>
      </c>
      <c r="L1086" t="n">
        <v/>
      </c>
    </row>
    <row r="1087">
      <c r="A1087" s="64" t="n">
        <v>41478</v>
      </c>
      <c r="B1087" t="n">
        <v>-63982</v>
      </c>
      <c r="C1087" t="n">
        <v/>
      </c>
      <c r="D1087" t="n">
        <v>-16758</v>
      </c>
      <c r="E1087" t="n">
        <v>-5433</v>
      </c>
      <c r="F1087" t="n">
        <v>-27900</v>
      </c>
      <c r="G1087" t="n">
        <v>-49653</v>
      </c>
      <c r="H1087" t="n">
        <v>-87496</v>
      </c>
      <c r="I1087" t="n">
        <v>19799</v>
      </c>
      <c r="J1087" t="n">
        <v>-1846</v>
      </c>
      <c r="K1087" t="n">
        <v/>
      </c>
      <c r="L1087" t="n">
        <v/>
      </c>
    </row>
    <row r="1088">
      <c r="A1088" s="64" t="n">
        <v>41485</v>
      </c>
      <c r="B1088" t="n">
        <v>-72573</v>
      </c>
      <c r="C1088" t="n">
        <v/>
      </c>
      <c r="D1088" t="n">
        <v>-11434</v>
      </c>
      <c r="E1088" t="n">
        <v>-1261</v>
      </c>
      <c r="F1088" t="n">
        <v>-8504</v>
      </c>
      <c r="G1088" t="n">
        <v>-49463</v>
      </c>
      <c r="H1088" t="n">
        <v>-82135</v>
      </c>
      <c r="I1088" t="n">
        <v>24888</v>
      </c>
      <c r="J1088" t="n">
        <v>-520</v>
      </c>
      <c r="K1088" t="n">
        <v/>
      </c>
      <c r="L1088" t="n">
        <v/>
      </c>
    </row>
    <row r="1089">
      <c r="A1089" s="64" t="n">
        <v>41492</v>
      </c>
      <c r="B1089" t="n">
        <v>-76779</v>
      </c>
      <c r="C1089" t="n">
        <v/>
      </c>
      <c r="D1089" t="n">
        <v>-10436</v>
      </c>
      <c r="E1089" t="n">
        <v>-325</v>
      </c>
      <c r="F1089" t="n">
        <v>6061</v>
      </c>
      <c r="G1089" t="n">
        <v>-46033</v>
      </c>
      <c r="H1089" t="n">
        <v>-80213</v>
      </c>
      <c r="I1089" t="n">
        <v>32125</v>
      </c>
      <c r="J1089" t="n">
        <v>-1539</v>
      </c>
      <c r="K1089" t="n">
        <v/>
      </c>
      <c r="L1089" t="n">
        <v/>
      </c>
    </row>
    <row r="1090">
      <c r="A1090" s="64" t="n">
        <v>41499</v>
      </c>
      <c r="B1090" t="n">
        <v>-62721</v>
      </c>
      <c r="C1090" t="n">
        <v/>
      </c>
      <c r="D1090" t="n">
        <v>-9081</v>
      </c>
      <c r="E1090" t="n">
        <v>2136</v>
      </c>
      <c r="F1090" t="n">
        <v>16057</v>
      </c>
      <c r="G1090" t="n">
        <v>-46521</v>
      </c>
      <c r="H1090" t="n">
        <v>-74462</v>
      </c>
      <c r="I1090" t="n">
        <v>36320</v>
      </c>
      <c r="J1090" t="n">
        <v>197</v>
      </c>
      <c r="K1090" t="n">
        <v/>
      </c>
      <c r="L1090" t="n">
        <v/>
      </c>
    </row>
    <row r="1091">
      <c r="A1091" s="64" t="n">
        <v>41506</v>
      </c>
      <c r="B1091" t="n">
        <v>-63183</v>
      </c>
      <c r="C1091" t="n">
        <v/>
      </c>
      <c r="D1091" t="n">
        <v>-9544</v>
      </c>
      <c r="E1091" t="n">
        <v>291</v>
      </c>
      <c r="F1091" t="n">
        <v>36746</v>
      </c>
      <c r="G1091" t="n">
        <v>-39522</v>
      </c>
      <c r="H1091" t="n">
        <v>-71721</v>
      </c>
      <c r="I1091" t="n">
        <v>36131</v>
      </c>
      <c r="J1091" t="n">
        <v>2390</v>
      </c>
      <c r="K1091" t="n">
        <v/>
      </c>
      <c r="L1091" t="n">
        <v/>
      </c>
    </row>
    <row r="1092">
      <c r="A1092" s="64" t="n">
        <v>41513</v>
      </c>
      <c r="B1092" t="n">
        <v>-71117</v>
      </c>
      <c r="C1092" t="n">
        <v/>
      </c>
      <c r="D1092" t="n">
        <v>-24959</v>
      </c>
      <c r="E1092" t="n">
        <v>402</v>
      </c>
      <c r="F1092" t="n">
        <v>40081</v>
      </c>
      <c r="G1092" t="n">
        <v>-38226</v>
      </c>
      <c r="H1092" t="n">
        <v>-78353</v>
      </c>
      <c r="I1092" t="n">
        <v>7198</v>
      </c>
      <c r="J1092" t="n">
        <v>252</v>
      </c>
      <c r="K1092" t="n">
        <v/>
      </c>
      <c r="L1092" t="n">
        <v/>
      </c>
    </row>
    <row r="1093">
      <c r="A1093" s="64" t="n">
        <v>41520</v>
      </c>
      <c r="B1093" t="n">
        <v>-71506</v>
      </c>
      <c r="C1093" t="n">
        <v/>
      </c>
      <c r="D1093" t="n">
        <v>-34639</v>
      </c>
      <c r="E1093" t="n">
        <v>1059</v>
      </c>
      <c r="F1093" t="n">
        <v>22738</v>
      </c>
      <c r="G1093" t="n">
        <v>-43046</v>
      </c>
      <c r="H1093" t="n">
        <v>-79761</v>
      </c>
      <c r="I1093" t="n">
        <v>688</v>
      </c>
      <c r="J1093" t="n">
        <v>-797</v>
      </c>
      <c r="K1093" t="n">
        <v/>
      </c>
      <c r="L1093" t="n">
        <v/>
      </c>
    </row>
    <row r="1094">
      <c r="A1094" s="64" t="n">
        <v>41527</v>
      </c>
      <c r="B1094" t="n">
        <v>-60032</v>
      </c>
      <c r="C1094" t="n">
        <v/>
      </c>
      <c r="D1094" t="n">
        <v>-30942</v>
      </c>
      <c r="E1094" t="n">
        <v>420</v>
      </c>
      <c r="F1094" t="n">
        <v>12696</v>
      </c>
      <c r="G1094" t="n">
        <v>-38166</v>
      </c>
      <c r="H1094" t="n">
        <v>-95066</v>
      </c>
      <c r="I1094" t="n">
        <v>8279</v>
      </c>
      <c r="J1094" t="n">
        <v>-601</v>
      </c>
      <c r="K1094" t="n">
        <v/>
      </c>
      <c r="L1094" t="n">
        <v/>
      </c>
    </row>
    <row r="1095">
      <c r="A1095" s="64" t="n">
        <v>41534</v>
      </c>
      <c r="B1095" t="n">
        <v>-27360</v>
      </c>
      <c r="C1095" t="n">
        <v/>
      </c>
      <c r="D1095" t="n">
        <v>-18764</v>
      </c>
      <c r="E1095" t="n">
        <v>616</v>
      </c>
      <c r="F1095" t="n">
        <v>31907</v>
      </c>
      <c r="G1095" t="n">
        <v>-6310</v>
      </c>
      <c r="H1095" t="n">
        <v>-88794</v>
      </c>
      <c r="I1095" t="n">
        <v>-10201</v>
      </c>
      <c r="J1095" t="n">
        <v>5657</v>
      </c>
      <c r="K1095" t="n">
        <v/>
      </c>
      <c r="L1095" t="n">
        <v/>
      </c>
    </row>
    <row r="1096">
      <c r="A1096" s="64" t="n">
        <v>41541</v>
      </c>
      <c r="B1096" t="n">
        <v>-34819</v>
      </c>
      <c r="C1096" t="n">
        <v/>
      </c>
      <c r="D1096" t="n">
        <v>-5675</v>
      </c>
      <c r="E1096" t="n">
        <v>5745</v>
      </c>
      <c r="F1096" t="n">
        <v>65844</v>
      </c>
      <c r="G1096" t="n">
        <v>1174</v>
      </c>
      <c r="H1096" t="n">
        <v>-92818</v>
      </c>
      <c r="I1096" t="n">
        <v>14023</v>
      </c>
      <c r="J1096" t="n">
        <v>8055</v>
      </c>
      <c r="K1096" t="n">
        <v/>
      </c>
      <c r="L1096" t="n">
        <v/>
      </c>
    </row>
    <row r="1097">
      <c r="A1097" s="64" t="n">
        <v>41548</v>
      </c>
      <c r="B1097" t="n">
        <v>-28804</v>
      </c>
      <c r="C1097" t="n">
        <v/>
      </c>
      <c r="D1097" t="n">
        <v>-955</v>
      </c>
      <c r="E1097" t="n">
        <v>6636</v>
      </c>
      <c r="F1097" t="n">
        <v>68276</v>
      </c>
      <c r="G1097" t="n">
        <v>1496</v>
      </c>
      <c r="H1097" t="n">
        <v>-82324</v>
      </c>
      <c r="I1097" t="n">
        <v>14601</v>
      </c>
      <c r="J1097" t="n">
        <v>10891</v>
      </c>
      <c r="K1097" t="n">
        <v/>
      </c>
      <c r="L1097" t="n">
        <v/>
      </c>
    </row>
    <row r="1098">
      <c r="A1098" s="64" t="n">
        <v>41555</v>
      </c>
      <c r="B1098" t="n">
        <v>-26404</v>
      </c>
      <c r="C1098" t="n">
        <v/>
      </c>
      <c r="D1098" t="n">
        <v>-8663</v>
      </c>
      <c r="E1098" t="n">
        <v>10415</v>
      </c>
      <c r="F1098" t="n">
        <v>68683</v>
      </c>
      <c r="G1098" t="n">
        <v>8771</v>
      </c>
      <c r="H1098" t="n">
        <v>-57097</v>
      </c>
      <c r="I1098" t="n">
        <v>10933</v>
      </c>
      <c r="J1098" t="n">
        <v>10766</v>
      </c>
      <c r="K1098" t="n">
        <v/>
      </c>
      <c r="L1098" t="n">
        <v/>
      </c>
    </row>
    <row r="1099">
      <c r="A1099" s="64" t="n">
        <v>41562</v>
      </c>
      <c r="B1099" t="n">
        <v>-32237</v>
      </c>
      <c r="C1099" t="n">
        <v/>
      </c>
      <c r="D1099" t="n">
        <v>-10814</v>
      </c>
      <c r="E1099" t="n">
        <v>10767</v>
      </c>
      <c r="F1099" t="n">
        <v>60374</v>
      </c>
      <c r="G1099" t="n">
        <v>12231</v>
      </c>
      <c r="H1099" t="n">
        <v>-59266</v>
      </c>
      <c r="I1099" t="n">
        <v>7761</v>
      </c>
      <c r="J1099" t="n">
        <v>12668</v>
      </c>
      <c r="K1099" t="n">
        <v/>
      </c>
      <c r="L1099" t="n">
        <v/>
      </c>
    </row>
    <row r="1100">
      <c r="A1100" s="64" t="n">
        <v>41569</v>
      </c>
      <c r="B1100" t="n">
        <v>-22111</v>
      </c>
      <c r="C1100" t="n">
        <v/>
      </c>
      <c r="D1100" t="n">
        <v>-5364</v>
      </c>
      <c r="E1100" t="n">
        <v>10931</v>
      </c>
      <c r="F1100" t="n">
        <v>72434</v>
      </c>
      <c r="G1100" t="n">
        <v>14262</v>
      </c>
      <c r="H1100" t="n">
        <v>-71802</v>
      </c>
      <c r="I1100" t="n">
        <v>7214</v>
      </c>
      <c r="J1100" t="n">
        <v>13114</v>
      </c>
      <c r="K1100" t="n">
        <v/>
      </c>
      <c r="L1100" t="n">
        <v/>
      </c>
    </row>
    <row r="1101">
      <c r="A1101" s="64" t="n">
        <v>41576</v>
      </c>
      <c r="B1101" t="n">
        <v>-23198</v>
      </c>
      <c r="C1101" t="n">
        <v/>
      </c>
      <c r="D1101" t="n">
        <v>-15237</v>
      </c>
      <c r="E1101" t="n">
        <v>11451</v>
      </c>
      <c r="F1101" t="n">
        <v>70617</v>
      </c>
      <c r="G1101" t="n">
        <v>10162</v>
      </c>
      <c r="H1101" t="n">
        <v>-62395</v>
      </c>
      <c r="I1101" t="n">
        <v>4896</v>
      </c>
      <c r="J1101" t="n">
        <v>10625</v>
      </c>
      <c r="K1101" t="n">
        <v/>
      </c>
      <c r="L1101" t="n">
        <v/>
      </c>
    </row>
    <row r="1102">
      <c r="A1102" s="64" t="n">
        <v>41583</v>
      </c>
      <c r="B1102" t="n">
        <v>-25067</v>
      </c>
      <c r="C1102" t="n">
        <v/>
      </c>
      <c r="D1102" t="n">
        <v>-18002</v>
      </c>
      <c r="E1102" t="n">
        <v>8095</v>
      </c>
      <c r="F1102" t="n">
        <v>33143</v>
      </c>
      <c r="G1102" t="n">
        <v>-2392</v>
      </c>
      <c r="H1102" t="n">
        <v>-73792</v>
      </c>
      <c r="I1102" t="n">
        <v>5180</v>
      </c>
      <c r="J1102" t="n">
        <v>9708</v>
      </c>
      <c r="K1102" t="n">
        <v/>
      </c>
      <c r="L1102" t="n">
        <v/>
      </c>
    </row>
    <row r="1103">
      <c r="A1103" s="64" t="n">
        <v>41590</v>
      </c>
      <c r="B1103" t="n">
        <v>-35809</v>
      </c>
      <c r="C1103" t="n">
        <v/>
      </c>
      <c r="D1103" t="n">
        <v>-16092</v>
      </c>
      <c r="E1103" t="n">
        <v>3189</v>
      </c>
      <c r="F1103" t="n">
        <v>16826</v>
      </c>
      <c r="G1103" t="n">
        <v>-9303</v>
      </c>
      <c r="H1103" t="n">
        <v>-95107</v>
      </c>
      <c r="I1103" t="n">
        <v>7017</v>
      </c>
      <c r="J1103" t="n">
        <v>10366</v>
      </c>
      <c r="K1103" t="n">
        <v/>
      </c>
      <c r="L1103" t="n">
        <v/>
      </c>
    </row>
    <row r="1104">
      <c r="A1104" s="64" t="n">
        <v>41597</v>
      </c>
      <c r="B1104" t="n">
        <v>-35762</v>
      </c>
      <c r="C1104" t="n">
        <v/>
      </c>
      <c r="D1104" t="n">
        <v>-16335</v>
      </c>
      <c r="E1104" t="n">
        <v>3669</v>
      </c>
      <c r="F1104" t="n">
        <v>8911</v>
      </c>
      <c r="G1104" t="n">
        <v>-1665</v>
      </c>
      <c r="H1104" t="n">
        <v>-112216</v>
      </c>
      <c r="I1104" t="n">
        <v>9539</v>
      </c>
      <c r="J1104" t="n">
        <v>12476</v>
      </c>
      <c r="K1104" t="n">
        <v/>
      </c>
      <c r="L1104" t="n">
        <v/>
      </c>
    </row>
    <row r="1105">
      <c r="A1105" s="64" t="n">
        <v>41604</v>
      </c>
      <c r="B1105" t="n">
        <v>-33511</v>
      </c>
      <c r="C1105" t="n">
        <v/>
      </c>
      <c r="D1105" t="n">
        <v>-28780</v>
      </c>
      <c r="E1105" t="n">
        <v>4652</v>
      </c>
      <c r="F1105" t="n">
        <v>-431</v>
      </c>
      <c r="G1105" t="n">
        <v>391</v>
      </c>
      <c r="H1105" t="n">
        <v>-123202</v>
      </c>
      <c r="I1105" t="n">
        <v>12463</v>
      </c>
      <c r="J1105" t="n">
        <v>10249</v>
      </c>
      <c r="K1105" t="n">
        <v/>
      </c>
      <c r="L1105" t="n">
        <v/>
      </c>
    </row>
    <row r="1106">
      <c r="A1106" s="64" t="n">
        <v>41611</v>
      </c>
      <c r="B1106" t="n">
        <v>-44311</v>
      </c>
      <c r="C1106" t="n">
        <v/>
      </c>
      <c r="D1106" t="n">
        <v>-41583</v>
      </c>
      <c r="E1106" t="n">
        <v>6547</v>
      </c>
      <c r="F1106" t="n">
        <v>9312</v>
      </c>
      <c r="G1106" t="n">
        <v>18369</v>
      </c>
      <c r="H1106" t="n">
        <v>-133383</v>
      </c>
      <c r="I1106" t="n">
        <v>8933</v>
      </c>
      <c r="J1106" t="n">
        <v>7639</v>
      </c>
      <c r="K1106" t="n">
        <v/>
      </c>
      <c r="L1106" t="n">
        <v/>
      </c>
    </row>
    <row r="1107">
      <c r="A1107" s="64" t="n">
        <v>41618</v>
      </c>
      <c r="B1107" t="n">
        <v>-45850</v>
      </c>
      <c r="C1107" t="n">
        <v/>
      </c>
      <c r="D1107" t="n">
        <v>-57514</v>
      </c>
      <c r="E1107" t="n">
        <v>11998</v>
      </c>
      <c r="F1107" t="n">
        <v>15930</v>
      </c>
      <c r="G1107" t="n">
        <v>18429</v>
      </c>
      <c r="H1107" t="n">
        <v>-129711</v>
      </c>
      <c r="I1107" t="n">
        <v>22530</v>
      </c>
      <c r="J1107" t="n">
        <v>8553</v>
      </c>
      <c r="K1107" t="n">
        <v/>
      </c>
      <c r="L1107" t="n">
        <v/>
      </c>
    </row>
    <row r="1108">
      <c r="A1108" s="64" t="n">
        <v>41625</v>
      </c>
      <c r="B1108" t="n">
        <v>-51653</v>
      </c>
      <c r="C1108" t="n">
        <v/>
      </c>
      <c r="D1108" t="n">
        <v>-65500</v>
      </c>
      <c r="E1108" t="n">
        <v>11955</v>
      </c>
      <c r="F1108" t="n">
        <v>27923</v>
      </c>
      <c r="G1108" t="n">
        <v>17825</v>
      </c>
      <c r="H1108" t="n">
        <v>-130223</v>
      </c>
      <c r="I1108" t="n">
        <v>15650</v>
      </c>
      <c r="J1108" t="n">
        <v>5673</v>
      </c>
      <c r="K1108" t="n">
        <v/>
      </c>
      <c r="L1108" t="n">
        <v/>
      </c>
    </row>
    <row r="1109">
      <c r="A1109" s="64" t="n">
        <v>41632</v>
      </c>
      <c r="B1109" t="n">
        <v>-54239</v>
      </c>
      <c r="C1109" t="n">
        <v/>
      </c>
      <c r="D1109" t="n">
        <v>-58432</v>
      </c>
      <c r="E1109" t="n">
        <v>11920</v>
      </c>
      <c r="F1109" t="n">
        <v>32172</v>
      </c>
      <c r="G1109" t="n">
        <v>14420</v>
      </c>
      <c r="H1109" t="n">
        <v>-143822</v>
      </c>
      <c r="I1109" t="n">
        <v>20178</v>
      </c>
      <c r="J1109" t="n">
        <v>6456</v>
      </c>
      <c r="K1109" t="n">
        <v/>
      </c>
      <c r="L1109" t="n">
        <v/>
      </c>
    </row>
    <row r="1110">
      <c r="A1110" s="64" t="n">
        <v>41639</v>
      </c>
      <c r="B1110" t="n">
        <v>-57414</v>
      </c>
      <c r="C1110" t="n">
        <v/>
      </c>
      <c r="D1110" t="n">
        <v>-57956</v>
      </c>
      <c r="E1110" t="n">
        <v>10889</v>
      </c>
      <c r="F1110" t="n">
        <v>30589</v>
      </c>
      <c r="G1110" t="n">
        <v>22781</v>
      </c>
      <c r="H1110" t="n">
        <v>-135228</v>
      </c>
      <c r="I1110" t="n">
        <v>15605</v>
      </c>
      <c r="J1110" t="n">
        <v>6707</v>
      </c>
      <c r="K1110" t="n">
        <v/>
      </c>
      <c r="L1110" t="n">
        <v/>
      </c>
    </row>
    <row r="1111">
      <c r="A1111" s="64" t="n">
        <v>41646</v>
      </c>
      <c r="B1111" t="n">
        <v>-56852</v>
      </c>
      <c r="C1111" t="n">
        <v/>
      </c>
      <c r="D1111" t="n">
        <v>-60542</v>
      </c>
      <c r="E1111" t="n">
        <v>4727</v>
      </c>
      <c r="F1111" t="n">
        <v>14498</v>
      </c>
      <c r="G1111" t="n">
        <v>18178</v>
      </c>
      <c r="H1111" t="n">
        <v>-128868</v>
      </c>
      <c r="I1111" t="n">
        <v>17607</v>
      </c>
      <c r="J1111" t="n">
        <v>7866</v>
      </c>
      <c r="K1111" t="n">
        <v/>
      </c>
      <c r="L1111" t="n">
        <v/>
      </c>
    </row>
    <row r="1112">
      <c r="A1112" s="64" t="n">
        <v>41653</v>
      </c>
      <c r="B1112" t="n">
        <v>-51988</v>
      </c>
      <c r="C1112" t="n">
        <v/>
      </c>
      <c r="D1112" t="n">
        <v>-67345</v>
      </c>
      <c r="E1112" t="n">
        <v>-2941</v>
      </c>
      <c r="F1112" t="n">
        <v>9246</v>
      </c>
      <c r="G1112" t="n">
        <v>11160</v>
      </c>
      <c r="H1112" t="n">
        <v>-118066</v>
      </c>
      <c r="I1112" t="n">
        <v>13717</v>
      </c>
      <c r="J1112" t="n">
        <v>9614</v>
      </c>
      <c r="K1112" t="n">
        <v/>
      </c>
      <c r="L1112" t="n">
        <v/>
      </c>
    </row>
    <row r="1113">
      <c r="A1113" s="64" t="n">
        <v>41660</v>
      </c>
      <c r="B1113" t="n">
        <v>-64654</v>
      </c>
      <c r="C1113" t="n">
        <v/>
      </c>
      <c r="D1113" t="n">
        <v>-70327</v>
      </c>
      <c r="E1113" t="n">
        <v>-1921</v>
      </c>
      <c r="F1113" t="n">
        <v>-3772</v>
      </c>
      <c r="G1113" t="n">
        <v>8720</v>
      </c>
      <c r="H1113" t="n">
        <v>-114961</v>
      </c>
      <c r="I1113" t="n">
        <v>-3628</v>
      </c>
      <c r="J1113" t="n">
        <v>8556</v>
      </c>
      <c r="K1113" t="n">
        <v/>
      </c>
      <c r="L1113" t="n">
        <v/>
      </c>
    </row>
    <row r="1114">
      <c r="A1114" s="64" t="n">
        <v>41667</v>
      </c>
      <c r="B1114" t="n">
        <v>-65723</v>
      </c>
      <c r="C1114" t="n">
        <v/>
      </c>
      <c r="D1114" t="n">
        <v>-62789</v>
      </c>
      <c r="E1114" t="n">
        <v>-441</v>
      </c>
      <c r="F1114" t="n">
        <v>14347</v>
      </c>
      <c r="G1114" t="n">
        <v>22172</v>
      </c>
      <c r="H1114" t="n">
        <v>-86192</v>
      </c>
      <c r="I1114" t="n">
        <v>-35316</v>
      </c>
      <c r="J1114" t="n">
        <v>9685</v>
      </c>
      <c r="K1114" t="n">
        <v/>
      </c>
      <c r="L1114" t="n">
        <v/>
      </c>
    </row>
    <row r="1115">
      <c r="A1115" s="64" t="n">
        <v>41674</v>
      </c>
      <c r="B1115" t="n">
        <v>-55523</v>
      </c>
      <c r="C1115" t="n">
        <v/>
      </c>
      <c r="D1115" t="n">
        <v>-60300</v>
      </c>
      <c r="E1115" t="n">
        <v>2220</v>
      </c>
      <c r="F1115" t="n">
        <v>-13610</v>
      </c>
      <c r="G1115" t="n">
        <v>10951</v>
      </c>
      <c r="H1115" t="n">
        <v>-76829</v>
      </c>
      <c r="I1115" t="n">
        <v>-34515</v>
      </c>
      <c r="J1115" t="n">
        <v>8032</v>
      </c>
      <c r="K1115" t="n">
        <v/>
      </c>
      <c r="L1115" t="n">
        <v/>
      </c>
    </row>
    <row r="1116">
      <c r="A1116" s="64" t="n">
        <v>41681</v>
      </c>
      <c r="B1116" t="n">
        <v>-47403</v>
      </c>
      <c r="C1116" t="n">
        <v/>
      </c>
      <c r="D1116" t="n">
        <v>-58928</v>
      </c>
      <c r="E1116" t="n">
        <v>555</v>
      </c>
      <c r="F1116" t="n">
        <v>-6929</v>
      </c>
      <c r="G1116" t="n">
        <v>10672</v>
      </c>
      <c r="H1116" t="n">
        <v>-78786</v>
      </c>
      <c r="I1116" t="n">
        <v>-33940</v>
      </c>
      <c r="J1116" t="n">
        <v>7641</v>
      </c>
      <c r="K1116" t="n">
        <v/>
      </c>
      <c r="L1116" t="n">
        <v/>
      </c>
    </row>
    <row r="1117">
      <c r="A1117" s="64" t="n">
        <v>41688</v>
      </c>
      <c r="B1117" t="n">
        <v>-44398</v>
      </c>
      <c r="C1117" t="n">
        <v/>
      </c>
      <c r="D1117" t="n">
        <v>-65000</v>
      </c>
      <c r="E1117" t="n">
        <v>-2828</v>
      </c>
      <c r="F1117" t="n">
        <v>8599</v>
      </c>
      <c r="G1117" t="n">
        <v>22323</v>
      </c>
      <c r="H1117" t="n">
        <v>-79784</v>
      </c>
      <c r="I1117" t="n">
        <v>-23312</v>
      </c>
      <c r="J1117" t="n">
        <v>8906</v>
      </c>
      <c r="K1117" t="n">
        <v/>
      </c>
      <c r="L1117" t="n">
        <v/>
      </c>
    </row>
    <row r="1118">
      <c r="A1118" s="64" t="n">
        <v>41695</v>
      </c>
      <c r="B1118" t="n">
        <v>-38991</v>
      </c>
      <c r="C1118" t="n">
        <v/>
      </c>
      <c r="D1118" t="n">
        <v>-58591</v>
      </c>
      <c r="E1118" t="n">
        <v>358</v>
      </c>
      <c r="F1118" t="n">
        <v>13900</v>
      </c>
      <c r="G1118" t="n">
        <v>28802</v>
      </c>
      <c r="H1118" t="n">
        <v>-85090</v>
      </c>
      <c r="I1118" t="n">
        <v>-21569</v>
      </c>
      <c r="J1118" t="n">
        <v>10982</v>
      </c>
      <c r="K1118" t="n">
        <v/>
      </c>
      <c r="L1118" t="n">
        <v/>
      </c>
    </row>
    <row r="1119">
      <c r="A1119" s="64" t="n">
        <v>41702</v>
      </c>
      <c r="B1119" t="n">
        <v>-41108</v>
      </c>
      <c r="C1119" t="n">
        <v/>
      </c>
      <c r="D1119" t="n">
        <v>-61096</v>
      </c>
      <c r="E1119" t="n">
        <v>2168</v>
      </c>
      <c r="F1119" t="n">
        <v>23452</v>
      </c>
      <c r="G1119" t="n">
        <v>29605</v>
      </c>
      <c r="H1119" t="n">
        <v>-79709</v>
      </c>
      <c r="I1119" t="n">
        <v>-20750</v>
      </c>
      <c r="J1119" t="n">
        <v>13432</v>
      </c>
      <c r="K1119" t="n">
        <v/>
      </c>
      <c r="L1119" t="n">
        <v/>
      </c>
    </row>
    <row r="1120">
      <c r="A1120" s="64" t="n">
        <v>41709</v>
      </c>
      <c r="B1120" t="n">
        <v>-40850</v>
      </c>
      <c r="C1120" t="n">
        <v/>
      </c>
      <c r="D1120" t="n">
        <v>-52191</v>
      </c>
      <c r="E1120" t="n">
        <v>8957</v>
      </c>
      <c r="F1120" t="n">
        <v>36385</v>
      </c>
      <c r="G1120" t="n">
        <v>21999</v>
      </c>
      <c r="H1120" t="n">
        <v>-99356</v>
      </c>
      <c r="I1120" t="n">
        <v>-8247</v>
      </c>
      <c r="J1120" t="n">
        <v>14449</v>
      </c>
      <c r="K1120" t="n">
        <v/>
      </c>
      <c r="L1120" t="n">
        <v/>
      </c>
    </row>
    <row r="1121">
      <c r="A1121" s="64" t="n">
        <v>41716</v>
      </c>
      <c r="B1121" t="n">
        <v>-24463</v>
      </c>
      <c r="C1121" t="n">
        <v/>
      </c>
      <c r="D1121" t="n">
        <v>-69805</v>
      </c>
      <c r="E1121" t="n">
        <v>15116</v>
      </c>
      <c r="F1121" t="n">
        <v>52991</v>
      </c>
      <c r="G1121" t="n">
        <v>25536</v>
      </c>
      <c r="H1121" t="n">
        <v>-61099</v>
      </c>
      <c r="I1121" t="n">
        <v>-1270</v>
      </c>
      <c r="J1121" t="n">
        <v>15751</v>
      </c>
      <c r="K1121" t="n">
        <v/>
      </c>
      <c r="L1121" t="n">
        <v/>
      </c>
    </row>
    <row r="1122">
      <c r="A1122" s="64" t="n">
        <v>41723</v>
      </c>
      <c r="B1122" t="n">
        <v>-20527</v>
      </c>
      <c r="C1122" t="n">
        <v/>
      </c>
      <c r="D1122" t="n">
        <v>-33215</v>
      </c>
      <c r="E1122" t="n">
        <v>14819</v>
      </c>
      <c r="F1122" t="n">
        <v>39634</v>
      </c>
      <c r="G1122" t="n">
        <v>29724</v>
      </c>
      <c r="H1122" t="n">
        <v>-68887</v>
      </c>
      <c r="I1122" t="n">
        <v>-1654</v>
      </c>
      <c r="J1122" t="n">
        <v>18213</v>
      </c>
      <c r="K1122" t="n">
        <v/>
      </c>
      <c r="L1122" t="n">
        <v/>
      </c>
    </row>
    <row r="1123">
      <c r="A1123" s="64" t="n">
        <v>41730</v>
      </c>
      <c r="B1123" t="n">
        <v>-4880</v>
      </c>
      <c r="C1123" t="n">
        <v/>
      </c>
      <c r="D1123" t="n">
        <v>-36994</v>
      </c>
      <c r="E1123" t="n">
        <v>14231</v>
      </c>
      <c r="F1123" t="n">
        <v>33238</v>
      </c>
      <c r="G1123" t="n">
        <v>33572</v>
      </c>
      <c r="H1123" t="n">
        <v>-88638</v>
      </c>
      <c r="I1123" t="n">
        <v>21784</v>
      </c>
      <c r="J1123" t="n">
        <v>18480</v>
      </c>
      <c r="K1123" t="n">
        <v/>
      </c>
      <c r="L1123" t="n">
        <v/>
      </c>
    </row>
    <row r="1124">
      <c r="A1124" s="64" t="n">
        <v>41737</v>
      </c>
      <c r="B1124" t="n">
        <v>3310</v>
      </c>
      <c r="C1124" t="n">
        <v/>
      </c>
      <c r="D1124" t="n">
        <v>-34307</v>
      </c>
      <c r="E1124" t="n">
        <v>11335</v>
      </c>
      <c r="F1124" t="n">
        <v>23300</v>
      </c>
      <c r="G1124" t="n">
        <v>46477</v>
      </c>
      <c r="H1124" t="n">
        <v>-87462</v>
      </c>
      <c r="I1124" t="n">
        <v>56501</v>
      </c>
      <c r="J1124" t="n">
        <v>19766</v>
      </c>
      <c r="K1124" t="n">
        <v/>
      </c>
      <c r="L1124" t="n">
        <v/>
      </c>
    </row>
    <row r="1125">
      <c r="A1125" s="64" t="n">
        <v>41744</v>
      </c>
      <c r="B1125" t="n">
        <v>8097</v>
      </c>
      <c r="C1125" t="n">
        <v/>
      </c>
      <c r="D1125" t="n">
        <v>-35426</v>
      </c>
      <c r="E1125" t="n">
        <v>14066</v>
      </c>
      <c r="F1125" t="n">
        <v>27688</v>
      </c>
      <c r="G1125" t="n">
        <v>50598</v>
      </c>
      <c r="H1125" t="n">
        <v>-68716</v>
      </c>
      <c r="I1125" t="n">
        <v>54237</v>
      </c>
      <c r="J1125" t="n">
        <v>19847</v>
      </c>
      <c r="K1125" t="n">
        <v/>
      </c>
      <c r="L1125" t="n">
        <v/>
      </c>
    </row>
    <row r="1126">
      <c r="A1126" s="64" t="n">
        <v>41751</v>
      </c>
      <c r="B1126" t="n">
        <v>16370</v>
      </c>
      <c r="C1126" t="n">
        <v/>
      </c>
      <c r="D1126" t="n">
        <v>-35455</v>
      </c>
      <c r="E1126" t="n">
        <v>14023</v>
      </c>
      <c r="F1126" t="n">
        <v>25774</v>
      </c>
      <c r="G1126" t="n">
        <v>47800</v>
      </c>
      <c r="H1126" t="n">
        <v>-67243</v>
      </c>
      <c r="I1126" t="n">
        <v>53511</v>
      </c>
      <c r="J1126" t="n">
        <v>20175</v>
      </c>
      <c r="K1126" t="n">
        <v/>
      </c>
      <c r="L1126" t="n">
        <v/>
      </c>
    </row>
    <row r="1127">
      <c r="A1127" s="64" t="n">
        <v>41758</v>
      </c>
      <c r="B1127" t="n">
        <v>10706</v>
      </c>
      <c r="C1127" t="n">
        <v/>
      </c>
      <c r="D1127" t="n">
        <v>-30295</v>
      </c>
      <c r="E1127" t="n">
        <v>13703</v>
      </c>
      <c r="F1127" t="n">
        <v>25734</v>
      </c>
      <c r="G1127" t="n">
        <v>44234</v>
      </c>
      <c r="H1127" t="n">
        <v>-70352</v>
      </c>
      <c r="I1127" t="n">
        <v>49618</v>
      </c>
      <c r="J1127" t="n">
        <v>18480</v>
      </c>
      <c r="K1127" t="n">
        <v/>
      </c>
      <c r="L1127" t="n">
        <v/>
      </c>
    </row>
    <row r="1128">
      <c r="A1128" s="64" t="n">
        <v>41765</v>
      </c>
      <c r="B1128" t="n">
        <v>8637</v>
      </c>
      <c r="C1128" t="n">
        <v/>
      </c>
      <c r="D1128" t="n">
        <v>-31600</v>
      </c>
      <c r="E1128" t="n">
        <v>13184</v>
      </c>
      <c r="F1128" t="n">
        <v>32551</v>
      </c>
      <c r="G1128" t="n">
        <v>40646</v>
      </c>
      <c r="H1128" t="n">
        <v>-60728</v>
      </c>
      <c r="I1128" t="n">
        <v>47884</v>
      </c>
      <c r="J1128" t="n">
        <v>20693</v>
      </c>
      <c r="K1128" t="n">
        <v/>
      </c>
      <c r="L1128" t="n">
        <v/>
      </c>
    </row>
    <row r="1129">
      <c r="A1129" s="64" t="n">
        <v>41772</v>
      </c>
      <c r="B1129" t="n">
        <v>17127</v>
      </c>
      <c r="C1129" t="n">
        <v/>
      </c>
      <c r="D1129" t="n">
        <v>-26037</v>
      </c>
      <c r="E1129" t="n">
        <v>6806</v>
      </c>
      <c r="F1129" t="n">
        <v>-2175</v>
      </c>
      <c r="G1129" t="n">
        <v>31755</v>
      </c>
      <c r="H1129" t="n">
        <v>-64707</v>
      </c>
      <c r="I1129" t="n">
        <v>68622</v>
      </c>
      <c r="J1129" t="n">
        <v>19340</v>
      </c>
      <c r="K1129" t="n">
        <v/>
      </c>
      <c r="L1129" t="n">
        <v/>
      </c>
    </row>
    <row r="1130">
      <c r="A1130" s="64" t="n">
        <v>41779</v>
      </c>
      <c r="B1130" t="n">
        <v>19462</v>
      </c>
      <c r="C1130" t="n">
        <v/>
      </c>
      <c r="D1130" t="n">
        <v>-26534</v>
      </c>
      <c r="E1130" t="n">
        <v>5019</v>
      </c>
      <c r="F1130" t="n">
        <v>-9220</v>
      </c>
      <c r="G1130" t="n">
        <v>33090</v>
      </c>
      <c r="H1130" t="n">
        <v>-53787</v>
      </c>
      <c r="I1130" t="n">
        <v>77266</v>
      </c>
      <c r="J1130" t="n">
        <v>17594</v>
      </c>
      <c r="K1130" t="n">
        <v/>
      </c>
      <c r="L1130" t="n">
        <v/>
      </c>
    </row>
    <row r="1131">
      <c r="A1131" s="64" t="n">
        <v>41786</v>
      </c>
      <c r="B1131" t="n">
        <v>15848</v>
      </c>
      <c r="C1131" t="n">
        <v/>
      </c>
      <c r="D1131" t="n">
        <v>-21810</v>
      </c>
      <c r="E1131" t="n">
        <v>-3872</v>
      </c>
      <c r="F1131" t="n">
        <v>-16633</v>
      </c>
      <c r="G1131" t="n">
        <v>35304</v>
      </c>
      <c r="H1131" t="n">
        <v>-59036</v>
      </c>
      <c r="I1131" t="n">
        <v>83301</v>
      </c>
      <c r="J1131" t="n">
        <v>17944</v>
      </c>
      <c r="K1131" t="n">
        <v/>
      </c>
      <c r="L1131" t="n">
        <v/>
      </c>
    </row>
    <row r="1132">
      <c r="A1132" s="64" t="n">
        <v>41793</v>
      </c>
      <c r="B1132" t="n">
        <v>21527</v>
      </c>
      <c r="C1132" t="n">
        <v/>
      </c>
      <c r="D1132" t="n">
        <v>-22731</v>
      </c>
      <c r="E1132" t="n">
        <v>-2012</v>
      </c>
      <c r="F1132" t="n">
        <v>-33025</v>
      </c>
      <c r="G1132" t="n">
        <v>34974</v>
      </c>
      <c r="H1132" t="n">
        <v>-74218</v>
      </c>
      <c r="I1132" t="n">
        <v>86016</v>
      </c>
      <c r="J1132" t="n">
        <v>17531</v>
      </c>
      <c r="K1132" t="n">
        <v/>
      </c>
      <c r="L1132" t="n">
        <v/>
      </c>
    </row>
    <row r="1133">
      <c r="A1133" s="64" t="n">
        <v>41800</v>
      </c>
      <c r="B1133" t="n">
        <v>28247</v>
      </c>
      <c r="C1133" t="n">
        <v/>
      </c>
      <c r="D1133" t="n">
        <v>-24108</v>
      </c>
      <c r="E1133" t="n">
        <v>-3030</v>
      </c>
      <c r="F1133" t="n">
        <v>-57185</v>
      </c>
      <c r="G1133" t="n">
        <v>35842</v>
      </c>
      <c r="H1133" t="n">
        <v>-82162</v>
      </c>
      <c r="I1133" t="n">
        <v>90203</v>
      </c>
      <c r="J1133" t="n">
        <v>16855</v>
      </c>
      <c r="K1133" t="n">
        <v/>
      </c>
      <c r="L1133" t="n">
        <v/>
      </c>
    </row>
    <row r="1134">
      <c r="A1134" s="64" t="n">
        <v>41807</v>
      </c>
      <c r="B1134" t="n">
        <v>27029</v>
      </c>
      <c r="C1134" t="n">
        <v/>
      </c>
      <c r="D1134" t="n">
        <v>-21533</v>
      </c>
      <c r="E1134" t="n">
        <v>3520</v>
      </c>
      <c r="F1134" t="n">
        <v>-61835</v>
      </c>
      <c r="G1134" t="n">
        <v>52596</v>
      </c>
      <c r="H1134" t="n">
        <v>-68038</v>
      </c>
      <c r="I1134" t="n">
        <v>69075</v>
      </c>
      <c r="J1134" t="n">
        <v>3733</v>
      </c>
      <c r="K1134" t="n">
        <v/>
      </c>
      <c r="L1134" t="n">
        <v/>
      </c>
    </row>
    <row r="1135">
      <c r="A1135" s="64" t="n">
        <v>41814</v>
      </c>
      <c r="B1135" t="n">
        <v>33463</v>
      </c>
      <c r="C1135" t="n">
        <v/>
      </c>
      <c r="D1135" t="n">
        <v>-5320</v>
      </c>
      <c r="E1135" t="n">
        <v>-5372</v>
      </c>
      <c r="F1135" t="n">
        <v>-57503</v>
      </c>
      <c r="G1135" t="n">
        <v>49751</v>
      </c>
      <c r="H1135" t="n">
        <v>-71223</v>
      </c>
      <c r="I1135" t="n">
        <v>68969</v>
      </c>
      <c r="J1135" t="n">
        <v>6152</v>
      </c>
      <c r="K1135" t="n">
        <v/>
      </c>
      <c r="L1135" t="n">
        <v/>
      </c>
    </row>
    <row r="1136">
      <c r="A1136" s="64" t="n">
        <v>41821</v>
      </c>
      <c r="B1136" t="n">
        <v>38879</v>
      </c>
      <c r="C1136" t="n">
        <v/>
      </c>
      <c r="D1136" t="n">
        <v>2695</v>
      </c>
      <c r="E1136" t="n">
        <v>-7260</v>
      </c>
      <c r="F1136" t="n">
        <v>-60776</v>
      </c>
      <c r="G1136" t="n">
        <v>56412</v>
      </c>
      <c r="H1136" t="n">
        <v>-58686</v>
      </c>
      <c r="I1136" t="n">
        <v>69562</v>
      </c>
      <c r="J1136" t="n">
        <v>8985</v>
      </c>
      <c r="K1136" t="n">
        <v/>
      </c>
      <c r="L1136" t="n">
        <v/>
      </c>
    </row>
    <row r="1137">
      <c r="A1137" s="64" t="n">
        <v>41828</v>
      </c>
      <c r="B1137" t="n">
        <v>36603</v>
      </c>
      <c r="C1137" t="n">
        <v/>
      </c>
      <c r="D1137" t="n">
        <v>10295</v>
      </c>
      <c r="E1137" t="n">
        <v>-6813</v>
      </c>
      <c r="F1137" t="n">
        <v>-59265</v>
      </c>
      <c r="G1137" t="n">
        <v>41639</v>
      </c>
      <c r="H1137" t="n">
        <v>-66375</v>
      </c>
      <c r="I1137" t="n">
        <v>68811</v>
      </c>
      <c r="J1137" t="n">
        <v>14416</v>
      </c>
      <c r="K1137" t="n">
        <v/>
      </c>
      <c r="L1137" t="n">
        <v/>
      </c>
    </row>
    <row r="1138">
      <c r="A1138" s="64" t="n">
        <v>41835</v>
      </c>
      <c r="B1138" t="n">
        <v>39743</v>
      </c>
      <c r="C1138" t="n">
        <v/>
      </c>
      <c r="D1138" t="n">
        <v>15621</v>
      </c>
      <c r="E1138" t="n">
        <v>-6262</v>
      </c>
      <c r="F1138" t="n">
        <v>-62846</v>
      </c>
      <c r="G1138" t="n">
        <v>38770</v>
      </c>
      <c r="H1138" t="n">
        <v>-62948</v>
      </c>
      <c r="I1138" t="n">
        <v>69637</v>
      </c>
      <c r="J1138" t="n">
        <v>15453</v>
      </c>
      <c r="K1138" t="n">
        <v/>
      </c>
      <c r="L1138" t="n">
        <v/>
      </c>
    </row>
    <row r="1139">
      <c r="A1139" s="64" t="n">
        <v>41842</v>
      </c>
      <c r="B1139" t="n">
        <v>38793</v>
      </c>
      <c r="C1139" t="n">
        <v/>
      </c>
      <c r="D1139" t="n">
        <v>20581</v>
      </c>
      <c r="E1139" t="n">
        <v>-7380</v>
      </c>
      <c r="F1139" t="n">
        <v>-88823</v>
      </c>
      <c r="G1139" t="n">
        <v>27497</v>
      </c>
      <c r="H1139" t="n">
        <v>-53916</v>
      </c>
      <c r="I1139" t="n">
        <v>79134</v>
      </c>
      <c r="J1139" t="n">
        <v>15132</v>
      </c>
      <c r="K1139" t="n">
        <v/>
      </c>
      <c r="L1139" t="n">
        <v/>
      </c>
    </row>
    <row r="1140">
      <c r="A1140" s="64" t="n">
        <v>41849</v>
      </c>
      <c r="B1140" t="n">
        <v>39606</v>
      </c>
      <c r="C1140" t="n">
        <v/>
      </c>
      <c r="D1140" t="n">
        <v>22691</v>
      </c>
      <c r="E1140" t="n">
        <v>-11764</v>
      </c>
      <c r="F1140" t="n">
        <v>-108075</v>
      </c>
      <c r="G1140" t="n">
        <v>24910</v>
      </c>
      <c r="H1140" t="n">
        <v>-73069</v>
      </c>
      <c r="I1140" t="n">
        <v>77115</v>
      </c>
      <c r="J1140" t="n">
        <v>15289</v>
      </c>
      <c r="K1140" t="n">
        <v/>
      </c>
      <c r="L1140" t="n">
        <v/>
      </c>
    </row>
    <row r="1141">
      <c r="A1141" s="64" t="n">
        <v>41856</v>
      </c>
      <c r="B1141" t="n">
        <v>33300</v>
      </c>
      <c r="C1141" t="n">
        <v/>
      </c>
      <c r="D1141" t="n">
        <v>21455</v>
      </c>
      <c r="E1141" t="n">
        <v>-18853</v>
      </c>
      <c r="F1141" t="n">
        <v>-128747</v>
      </c>
      <c r="G1141" t="n">
        <v>12121</v>
      </c>
      <c r="H1141" t="n">
        <v>-95399</v>
      </c>
      <c r="I1141" t="n">
        <v>32433</v>
      </c>
      <c r="J1141" t="n">
        <v>14500</v>
      </c>
      <c r="K1141" t="n">
        <v/>
      </c>
      <c r="L1141" t="n">
        <v/>
      </c>
    </row>
    <row r="1142">
      <c r="A1142" s="64" t="n">
        <v>41863</v>
      </c>
      <c r="B1142" t="n">
        <v>29546</v>
      </c>
      <c r="C1142" t="n">
        <v/>
      </c>
      <c r="D1142" t="n">
        <v>17998</v>
      </c>
      <c r="E1142" t="n">
        <v>-17359</v>
      </c>
      <c r="F1142" t="n">
        <v>-126017</v>
      </c>
      <c r="G1142" t="n">
        <v>18799</v>
      </c>
      <c r="H1142" t="n">
        <v>-81097</v>
      </c>
      <c r="I1142" t="n">
        <v>-41</v>
      </c>
      <c r="J1142" t="n">
        <v>13429</v>
      </c>
      <c r="K1142" t="n">
        <v/>
      </c>
      <c r="L1142" t="n">
        <v/>
      </c>
    </row>
    <row r="1143">
      <c r="A1143" s="64" t="n">
        <v>41870</v>
      </c>
      <c r="B1143" t="n">
        <v>36574</v>
      </c>
      <c r="C1143" t="n">
        <v/>
      </c>
      <c r="D1143" t="n">
        <v>7281</v>
      </c>
      <c r="E1143" t="n">
        <v>-15492</v>
      </c>
      <c r="F1143" t="n">
        <v>-138825</v>
      </c>
      <c r="G1143" t="n">
        <v>13287</v>
      </c>
      <c r="H1143" t="n">
        <v>-87271</v>
      </c>
      <c r="I1143" t="n">
        <v>12407</v>
      </c>
      <c r="J1143" t="n">
        <v>12032</v>
      </c>
      <c r="K1143" t="n">
        <v/>
      </c>
      <c r="L1143" t="n">
        <v/>
      </c>
    </row>
    <row r="1144">
      <c r="A1144" s="64" t="n">
        <v>41877</v>
      </c>
      <c r="B1144" t="n">
        <v>41938</v>
      </c>
      <c r="C1144" t="n">
        <v/>
      </c>
      <c r="D1144" t="n">
        <v>5663</v>
      </c>
      <c r="E1144" t="n">
        <v>-13039</v>
      </c>
      <c r="F1144" t="n">
        <v>-150657</v>
      </c>
      <c r="G1144" t="n">
        <v>15467</v>
      </c>
      <c r="H1144" t="n">
        <v>-102891</v>
      </c>
      <c r="I1144" t="n">
        <v>36670</v>
      </c>
      <c r="J1144" t="n">
        <v>11841</v>
      </c>
      <c r="K1144" t="n">
        <v/>
      </c>
      <c r="L1144" t="n">
        <v/>
      </c>
    </row>
    <row r="1145">
      <c r="A1145" s="64" t="n">
        <v>41884</v>
      </c>
      <c r="B1145" t="n">
        <v>49047</v>
      </c>
      <c r="C1145" t="n">
        <v/>
      </c>
      <c r="D1145" t="n">
        <v>9191</v>
      </c>
      <c r="E1145" t="n">
        <v>-13167</v>
      </c>
      <c r="F1145" t="n">
        <v>-161423</v>
      </c>
      <c r="G1145" t="n">
        <v>9448</v>
      </c>
      <c r="H1145" t="n">
        <v>-117308</v>
      </c>
      <c r="I1145" t="n">
        <v>39164</v>
      </c>
      <c r="J1145" t="n">
        <v>10172</v>
      </c>
      <c r="K1145" t="n">
        <v/>
      </c>
      <c r="L1145" t="n">
        <v/>
      </c>
    </row>
    <row r="1146">
      <c r="A1146" s="64" t="n">
        <v>41891</v>
      </c>
      <c r="B1146" t="n">
        <v>41229</v>
      </c>
      <c r="C1146" t="n">
        <v/>
      </c>
      <c r="D1146" t="n">
        <v>11630</v>
      </c>
      <c r="E1146" t="n">
        <v>-13825</v>
      </c>
      <c r="F1146" t="n">
        <v>-157505</v>
      </c>
      <c r="G1146" t="n">
        <v>26727</v>
      </c>
      <c r="H1146" t="n">
        <v>-100673</v>
      </c>
      <c r="I1146" t="n">
        <v>38518</v>
      </c>
      <c r="J1146" t="n">
        <v>9522</v>
      </c>
      <c r="K1146" t="n">
        <v/>
      </c>
      <c r="L1146" t="n">
        <v/>
      </c>
    </row>
    <row r="1147">
      <c r="A1147" s="64" t="n">
        <v>41898</v>
      </c>
      <c r="B1147" t="n">
        <v>22140</v>
      </c>
      <c r="C1147" t="n">
        <v/>
      </c>
      <c r="D1147" t="n">
        <v>7544</v>
      </c>
      <c r="E1147" t="n">
        <v>-11396</v>
      </c>
      <c r="F1147" t="n">
        <v>-137149</v>
      </c>
      <c r="G1147" t="n">
        <v>-6581</v>
      </c>
      <c r="H1147" t="n">
        <v>-83182</v>
      </c>
      <c r="I1147" t="n">
        <v>22046</v>
      </c>
      <c r="J1147" t="n">
        <v>1120</v>
      </c>
      <c r="K1147" t="n">
        <v/>
      </c>
      <c r="L1147" t="n">
        <v/>
      </c>
    </row>
    <row r="1148">
      <c r="A1148" s="64" t="n">
        <v>41905</v>
      </c>
      <c r="B1148" t="n">
        <v>8347</v>
      </c>
      <c r="C1148" t="n">
        <v/>
      </c>
      <c r="D1148" t="n">
        <v>3064</v>
      </c>
      <c r="E1148" t="n">
        <v>-13375</v>
      </c>
      <c r="F1148" t="n">
        <v>-141965</v>
      </c>
      <c r="G1148" t="n">
        <v>-1050</v>
      </c>
      <c r="H1148" t="n">
        <v>-105422</v>
      </c>
      <c r="I1148" t="n">
        <v>10504</v>
      </c>
      <c r="J1148" t="n">
        <v>1841</v>
      </c>
      <c r="K1148" t="n">
        <v/>
      </c>
      <c r="L1148" t="n">
        <v/>
      </c>
    </row>
    <row r="1149">
      <c r="A1149" s="64" t="n">
        <v>41912</v>
      </c>
      <c r="B1149" t="n">
        <v>-2017</v>
      </c>
      <c r="C1149" t="n">
        <v/>
      </c>
      <c r="D1149" t="n">
        <v>-4566</v>
      </c>
      <c r="E1149" t="n">
        <v>-12557</v>
      </c>
      <c r="F1149" t="n">
        <v>-137525</v>
      </c>
      <c r="G1149" t="n">
        <v>3589</v>
      </c>
      <c r="H1149" t="n">
        <v>-120878</v>
      </c>
      <c r="I1149" t="n">
        <v>-7314</v>
      </c>
      <c r="J1149" t="n">
        <v>64</v>
      </c>
      <c r="K1149" t="n">
        <v/>
      </c>
      <c r="L1149" t="n">
        <v/>
      </c>
    </row>
    <row r="1150">
      <c r="A1150" s="64" t="n">
        <v>41919</v>
      </c>
      <c r="B1150" t="n">
        <v>-26486</v>
      </c>
      <c r="C1150" t="n">
        <v/>
      </c>
      <c r="D1150" t="n">
        <v>-7452</v>
      </c>
      <c r="E1150" t="n">
        <v>-12419</v>
      </c>
      <c r="F1150" t="n">
        <v>-146212</v>
      </c>
      <c r="G1150" t="n">
        <v>-1075</v>
      </c>
      <c r="H1150" t="n">
        <v>-112551</v>
      </c>
      <c r="I1150" t="n">
        <v>-7583</v>
      </c>
      <c r="J1150" t="n">
        <v>-100</v>
      </c>
      <c r="K1150" t="n">
        <v/>
      </c>
      <c r="L1150" t="n">
        <v/>
      </c>
    </row>
    <row r="1151">
      <c r="A1151" s="64" t="n">
        <v>41926</v>
      </c>
      <c r="B1151" t="n">
        <v>-30271</v>
      </c>
      <c r="C1151" t="n">
        <v/>
      </c>
      <c r="D1151" t="n">
        <v>-16167</v>
      </c>
      <c r="E1151" t="n">
        <v>-17553</v>
      </c>
      <c r="F1151" t="n">
        <v>-155342</v>
      </c>
      <c r="G1151" t="n">
        <v>-2837</v>
      </c>
      <c r="H1151" t="n">
        <v>-101147</v>
      </c>
      <c r="I1151" t="n">
        <v>-5763</v>
      </c>
      <c r="J1151" t="n">
        <v>-2384</v>
      </c>
      <c r="K1151" t="n">
        <v/>
      </c>
      <c r="L1151" t="n">
        <v/>
      </c>
    </row>
    <row r="1152">
      <c r="A1152" s="64" t="n">
        <v>41933</v>
      </c>
      <c r="B1152" t="n">
        <v>-31509</v>
      </c>
      <c r="C1152" t="n">
        <v/>
      </c>
      <c r="D1152" t="n">
        <v>-21534</v>
      </c>
      <c r="E1152" t="n">
        <v>-17862</v>
      </c>
      <c r="F1152" t="n">
        <v>-159371</v>
      </c>
      <c r="G1152" t="n">
        <v>-4485</v>
      </c>
      <c r="H1152" t="n">
        <v>-71738</v>
      </c>
      <c r="I1152" t="n">
        <v>-21124</v>
      </c>
      <c r="J1152" t="n">
        <v>-2332</v>
      </c>
      <c r="K1152" t="n">
        <v/>
      </c>
      <c r="L1152" t="n">
        <v/>
      </c>
    </row>
    <row r="1153">
      <c r="A1153" s="64" t="n">
        <v>41940</v>
      </c>
      <c r="B1153" t="n">
        <v>-33851</v>
      </c>
      <c r="C1153" t="n">
        <v/>
      </c>
      <c r="D1153" t="n">
        <v>-21405</v>
      </c>
      <c r="E1153" t="n">
        <v>-20283</v>
      </c>
      <c r="F1153" t="n">
        <v>-165707</v>
      </c>
      <c r="G1153" t="n">
        <v>-6247</v>
      </c>
      <c r="H1153" t="n">
        <v>-67399</v>
      </c>
      <c r="I1153" t="n">
        <v>-26843</v>
      </c>
      <c r="J1153" t="n">
        <v>-3898</v>
      </c>
      <c r="K1153" t="n">
        <v/>
      </c>
      <c r="L1153" t="n">
        <v/>
      </c>
    </row>
    <row r="1154">
      <c r="A1154" s="64" t="n">
        <v>41947</v>
      </c>
      <c r="B1154" t="n">
        <v>-38268</v>
      </c>
      <c r="C1154" t="n">
        <v/>
      </c>
      <c r="D1154" t="n">
        <v>-19415</v>
      </c>
      <c r="E1154" t="n">
        <v>-20221</v>
      </c>
      <c r="F1154" t="n">
        <v>-179021</v>
      </c>
      <c r="G1154" t="n">
        <v>-7462</v>
      </c>
      <c r="H1154" t="n">
        <v>-71651</v>
      </c>
      <c r="I1154" t="n">
        <v>-26590</v>
      </c>
      <c r="J1154" t="n">
        <v>-4109</v>
      </c>
      <c r="K1154" t="n">
        <v/>
      </c>
      <c r="L1154" t="n">
        <v/>
      </c>
    </row>
    <row r="1155">
      <c r="A1155" s="64" t="n">
        <v>41954</v>
      </c>
      <c r="B1155" t="n">
        <v>-38027</v>
      </c>
      <c r="C1155" t="n">
        <v/>
      </c>
      <c r="D1155" t="n">
        <v>-21846</v>
      </c>
      <c r="E1155" t="n">
        <v>-22675</v>
      </c>
      <c r="F1155" t="n">
        <v>-163893</v>
      </c>
      <c r="G1155" t="n">
        <v>-12891</v>
      </c>
      <c r="H1155" t="n">
        <v>-82563</v>
      </c>
      <c r="I1155" t="n">
        <v>-29674</v>
      </c>
      <c r="J1155" t="n">
        <v>-989</v>
      </c>
      <c r="K1155" t="n">
        <v/>
      </c>
      <c r="L1155" t="n">
        <v/>
      </c>
    </row>
    <row r="1156">
      <c r="A1156" s="64" t="n">
        <v>41961</v>
      </c>
      <c r="B1156" t="n">
        <v>-37602</v>
      </c>
      <c r="C1156" t="n">
        <v/>
      </c>
      <c r="D1156" t="n">
        <v>-19517</v>
      </c>
      <c r="E1156" t="n">
        <v>-22116</v>
      </c>
      <c r="F1156" t="n">
        <v>-168730</v>
      </c>
      <c r="G1156" t="n">
        <v>-22829</v>
      </c>
      <c r="H1156" t="n">
        <v>-92454</v>
      </c>
      <c r="I1156" t="n">
        <v>-29034</v>
      </c>
      <c r="J1156" t="n">
        <v>-1247</v>
      </c>
      <c r="K1156" t="n">
        <v/>
      </c>
      <c r="L1156" t="n">
        <v/>
      </c>
    </row>
    <row r="1157">
      <c r="A1157" s="64" t="n">
        <v>41968</v>
      </c>
      <c r="B1157" t="n">
        <v>-44088</v>
      </c>
      <c r="C1157" t="n">
        <v/>
      </c>
      <c r="D1157" t="n">
        <v>-16341</v>
      </c>
      <c r="E1157" t="n">
        <v>-23424</v>
      </c>
      <c r="F1157" t="n">
        <v>-165080</v>
      </c>
      <c r="G1157" t="n">
        <v>-30666</v>
      </c>
      <c r="H1157" t="n">
        <v>-104380</v>
      </c>
      <c r="I1157" t="n">
        <v>-32552</v>
      </c>
      <c r="J1157" t="n">
        <v>-2294</v>
      </c>
      <c r="K1157" t="n">
        <v/>
      </c>
      <c r="L1157" t="n">
        <v/>
      </c>
    </row>
    <row r="1158">
      <c r="A1158" s="64" t="n">
        <v>41975</v>
      </c>
      <c r="B1158" t="n">
        <v>-41110</v>
      </c>
      <c r="C1158" t="n">
        <v/>
      </c>
      <c r="D1158" t="n">
        <v>-18389</v>
      </c>
      <c r="E1158" t="n">
        <v>-22922</v>
      </c>
      <c r="F1158" t="n">
        <v>-159279</v>
      </c>
      <c r="G1158" t="n">
        <v>-31014</v>
      </c>
      <c r="H1158" t="n">
        <v>-111160</v>
      </c>
      <c r="I1158" t="n">
        <v>-43004</v>
      </c>
      <c r="J1158" t="n">
        <v>-1680</v>
      </c>
      <c r="K1158" t="n">
        <v/>
      </c>
      <c r="L1158" t="n">
        <v/>
      </c>
    </row>
    <row r="1159">
      <c r="A1159" s="64" t="n">
        <v>41982</v>
      </c>
      <c r="B1159" t="n">
        <v>-45013</v>
      </c>
      <c r="C1159" t="n">
        <v/>
      </c>
      <c r="D1159" t="n">
        <v>-14362</v>
      </c>
      <c r="E1159" t="n">
        <v>-22097</v>
      </c>
      <c r="F1159" t="n">
        <v>-136912</v>
      </c>
      <c r="G1159" t="n">
        <v>-23602</v>
      </c>
      <c r="H1159" t="n">
        <v>-104136</v>
      </c>
      <c r="I1159" t="n">
        <v>-48594</v>
      </c>
      <c r="J1159" t="n">
        <v>-2295</v>
      </c>
      <c r="K1159" t="n">
        <v/>
      </c>
      <c r="L1159" t="n">
        <v/>
      </c>
    </row>
    <row r="1160">
      <c r="A1160" s="64" t="n">
        <v>41989</v>
      </c>
      <c r="B1160" t="n">
        <v>-34253</v>
      </c>
      <c r="C1160" t="n">
        <v/>
      </c>
      <c r="D1160" t="n">
        <v>-15694</v>
      </c>
      <c r="E1160" t="n">
        <v>-3655</v>
      </c>
      <c r="F1160" t="n">
        <v>-126655</v>
      </c>
      <c r="G1160" t="n">
        <v>-14552</v>
      </c>
      <c r="H1160" t="n">
        <v>-86927</v>
      </c>
      <c r="I1160" t="n">
        <v>-52756</v>
      </c>
      <c r="J1160" t="n">
        <v>-639</v>
      </c>
      <c r="K1160" t="n">
        <v/>
      </c>
      <c r="L1160" t="n">
        <v/>
      </c>
    </row>
    <row r="1161">
      <c r="A1161" s="64" t="n">
        <v>41996</v>
      </c>
      <c r="B1161" t="n">
        <v>-39236</v>
      </c>
      <c r="C1161" t="n">
        <v/>
      </c>
      <c r="D1161" t="n">
        <v>-12187</v>
      </c>
      <c r="E1161" t="n">
        <v>-16846</v>
      </c>
      <c r="F1161" t="n">
        <v>-146604</v>
      </c>
      <c r="G1161" t="n">
        <v>-15233</v>
      </c>
      <c r="H1161" t="n">
        <v>-93742</v>
      </c>
      <c r="I1161" t="n">
        <v>-63370</v>
      </c>
      <c r="J1161" t="n">
        <v>-1408</v>
      </c>
      <c r="K1161" t="n">
        <v/>
      </c>
      <c r="L1161" t="n">
        <v/>
      </c>
    </row>
    <row r="1162">
      <c r="A1162" s="64" t="n">
        <v>42003</v>
      </c>
      <c r="B1162" t="n">
        <v>-40697</v>
      </c>
      <c r="C1162" t="n">
        <v/>
      </c>
      <c r="D1162" t="n">
        <v>-14033</v>
      </c>
      <c r="E1162" t="n">
        <v>-16545</v>
      </c>
      <c r="F1162" t="n">
        <v>-152219</v>
      </c>
      <c r="G1162" t="n">
        <v>-19302</v>
      </c>
      <c r="H1162" t="n">
        <v>-96319</v>
      </c>
      <c r="I1162" t="n">
        <v>-63805</v>
      </c>
      <c r="J1162" t="n">
        <v>-1846</v>
      </c>
      <c r="K1162" t="n">
        <v/>
      </c>
      <c r="L1162" t="n">
        <v/>
      </c>
    </row>
    <row r="1163">
      <c r="A1163" s="64" t="n">
        <v>42010</v>
      </c>
      <c r="B1163" t="n">
        <v>-48652</v>
      </c>
      <c r="C1163" t="n">
        <v/>
      </c>
      <c r="D1163" t="n">
        <v>-17087</v>
      </c>
      <c r="E1163" t="n">
        <v>-24171</v>
      </c>
      <c r="F1163" t="n">
        <v>-161040</v>
      </c>
      <c r="G1163" t="n">
        <v>-25570</v>
      </c>
      <c r="H1163" t="n">
        <v>-90083</v>
      </c>
      <c r="I1163" t="n">
        <v>-64451</v>
      </c>
      <c r="J1163" t="n">
        <v>-907</v>
      </c>
      <c r="K1163" t="n">
        <v/>
      </c>
      <c r="L1163" t="n">
        <v/>
      </c>
    </row>
    <row r="1164">
      <c r="A1164" s="64" t="n">
        <v>42017</v>
      </c>
      <c r="B1164" t="n">
        <v>-45365</v>
      </c>
      <c r="C1164" t="n">
        <v/>
      </c>
      <c r="D1164" t="n">
        <v>-21179</v>
      </c>
      <c r="E1164" t="n">
        <v>-26444</v>
      </c>
      <c r="F1164" t="n">
        <v>-167851</v>
      </c>
      <c r="G1164" t="n">
        <v>-37140</v>
      </c>
      <c r="H1164" t="n">
        <v>-94625</v>
      </c>
      <c r="I1164" t="n">
        <v>-54295</v>
      </c>
      <c r="J1164" t="n">
        <v>-1776</v>
      </c>
      <c r="K1164" t="n">
        <v/>
      </c>
      <c r="L1164" t="n">
        <v/>
      </c>
    </row>
    <row r="1165">
      <c r="A1165" s="64" t="n">
        <v>42024</v>
      </c>
      <c r="B1165" t="n">
        <v>-46580</v>
      </c>
      <c r="C1165" t="n">
        <v/>
      </c>
      <c r="D1165" t="n">
        <v>-29080</v>
      </c>
      <c r="E1165" t="n">
        <v>-9809</v>
      </c>
      <c r="F1165" t="n">
        <v>-180730</v>
      </c>
      <c r="G1165" t="n">
        <v>-45708</v>
      </c>
      <c r="H1165" t="n">
        <v>-77886</v>
      </c>
      <c r="I1165" t="n">
        <v>-46263</v>
      </c>
      <c r="J1165" t="n">
        <v>-1817</v>
      </c>
      <c r="K1165" t="n">
        <v/>
      </c>
      <c r="L1165" t="n">
        <v/>
      </c>
    </row>
    <row r="1166">
      <c r="A1166" s="64" t="n">
        <v>42031</v>
      </c>
      <c r="B1166" t="n">
        <v>-48943</v>
      </c>
      <c r="C1166" t="n">
        <v/>
      </c>
      <c r="D1166" t="n">
        <v>-23963</v>
      </c>
      <c r="E1166" t="n">
        <v>-7373</v>
      </c>
      <c r="F1166" t="n">
        <v>-184745</v>
      </c>
      <c r="G1166" t="n">
        <v>-45340</v>
      </c>
      <c r="H1166" t="n">
        <v>-64658</v>
      </c>
      <c r="I1166" t="n">
        <v>-44573</v>
      </c>
      <c r="J1166" t="n">
        <v>-3659</v>
      </c>
      <c r="K1166" t="n">
        <v/>
      </c>
      <c r="L1166" t="n">
        <v/>
      </c>
    </row>
    <row r="1167">
      <c r="A1167" s="64" t="n">
        <v>42038</v>
      </c>
      <c r="B1167" t="n">
        <v>-56159</v>
      </c>
      <c r="C1167" t="n">
        <v/>
      </c>
      <c r="D1167" t="n">
        <v>-27321</v>
      </c>
      <c r="E1167" t="n">
        <v>-5350</v>
      </c>
      <c r="F1167" t="n">
        <v>-196309</v>
      </c>
      <c r="G1167" t="n">
        <v>-42398</v>
      </c>
      <c r="H1167" t="n">
        <v>-59571</v>
      </c>
      <c r="I1167" t="n">
        <v>-48237</v>
      </c>
      <c r="J1167" t="n">
        <v>-4497</v>
      </c>
      <c r="K1167" t="n">
        <v/>
      </c>
      <c r="L1167" t="n">
        <v/>
      </c>
    </row>
    <row r="1168">
      <c r="A1168" s="64" t="n">
        <v>42045</v>
      </c>
      <c r="B1168" t="n">
        <v>-53182</v>
      </c>
      <c r="C1168" t="n">
        <v/>
      </c>
      <c r="D1168" t="n">
        <v>-33333</v>
      </c>
      <c r="E1168" t="n">
        <v>-5486</v>
      </c>
      <c r="F1168" t="n">
        <v>-194641</v>
      </c>
      <c r="G1168" t="n">
        <v>-38603</v>
      </c>
      <c r="H1168" t="n">
        <v>-55124</v>
      </c>
      <c r="I1168" t="n">
        <v>-49235</v>
      </c>
      <c r="J1168" t="n">
        <v>-6200</v>
      </c>
      <c r="K1168" t="n">
        <v/>
      </c>
      <c r="L1168" t="n">
        <v/>
      </c>
    </row>
    <row r="1169">
      <c r="A1169" s="64" t="n">
        <v>42052</v>
      </c>
      <c r="B1169" t="n">
        <v>-53831</v>
      </c>
      <c r="C1169" t="n">
        <v/>
      </c>
      <c r="D1169" t="n">
        <v>-32842</v>
      </c>
      <c r="E1169" t="n">
        <v>-6044</v>
      </c>
      <c r="F1169" t="n">
        <v>-185582</v>
      </c>
      <c r="G1169" t="n">
        <v>-28798</v>
      </c>
      <c r="H1169" t="n">
        <v>-49091</v>
      </c>
      <c r="I1169" t="n">
        <v>-45445</v>
      </c>
      <c r="J1169" t="n">
        <v>-5753</v>
      </c>
      <c r="K1169" t="n">
        <v/>
      </c>
      <c r="L1169" t="n">
        <v/>
      </c>
    </row>
    <row r="1170">
      <c r="A1170" s="64" t="n">
        <v>42059</v>
      </c>
      <c r="B1170" t="n">
        <v>-63154</v>
      </c>
      <c r="C1170" t="n">
        <v/>
      </c>
      <c r="D1170" t="n">
        <v>-36245</v>
      </c>
      <c r="E1170" t="n">
        <v>-5085</v>
      </c>
      <c r="F1170" t="n">
        <v>-177736</v>
      </c>
      <c r="G1170" t="n">
        <v>-21870</v>
      </c>
      <c r="H1170" t="n">
        <v>-47512</v>
      </c>
      <c r="I1170" t="n">
        <v>-48344</v>
      </c>
      <c r="J1170" t="n">
        <v>-4330</v>
      </c>
      <c r="K1170" t="n">
        <v/>
      </c>
      <c r="L1170" t="n">
        <v/>
      </c>
    </row>
    <row r="1171">
      <c r="A1171" s="64" t="n">
        <v>42066</v>
      </c>
      <c r="B1171" t="n">
        <v>-61545</v>
      </c>
      <c r="C1171" t="n">
        <v/>
      </c>
      <c r="D1171" t="n">
        <v>-38863</v>
      </c>
      <c r="E1171" t="n">
        <v>-6062</v>
      </c>
      <c r="F1171" t="n">
        <v>-172389</v>
      </c>
      <c r="G1171" t="n">
        <v>-26908</v>
      </c>
      <c r="H1171" t="n">
        <v>-52521</v>
      </c>
      <c r="I1171" t="n">
        <v>-43407</v>
      </c>
      <c r="J1171" t="n">
        <v>-1367</v>
      </c>
      <c r="K1171" t="n">
        <v/>
      </c>
      <c r="L1171" t="n">
        <v/>
      </c>
    </row>
    <row r="1172">
      <c r="A1172" s="64" t="n">
        <v>42073</v>
      </c>
      <c r="B1172" t="n">
        <v>-76851</v>
      </c>
      <c r="C1172" t="n">
        <v/>
      </c>
      <c r="D1172" t="n">
        <v>-39030</v>
      </c>
      <c r="E1172" t="n">
        <v>-8380</v>
      </c>
      <c r="F1172" t="n">
        <v>-181073</v>
      </c>
      <c r="G1172" t="n">
        <v>-32591</v>
      </c>
      <c r="H1172" t="n">
        <v>-59387</v>
      </c>
      <c r="I1172" t="n">
        <v>-35647</v>
      </c>
      <c r="J1172" t="n">
        <v>-2480</v>
      </c>
      <c r="K1172" t="n">
        <v/>
      </c>
      <c r="L1172" t="n">
        <v/>
      </c>
    </row>
    <row r="1173">
      <c r="A1173" s="64" t="n">
        <v>42080</v>
      </c>
      <c r="B1173" t="n">
        <v>-28807</v>
      </c>
      <c r="C1173" t="n">
        <v/>
      </c>
      <c r="D1173" t="n">
        <v>-32822</v>
      </c>
      <c r="E1173" t="n">
        <v>2235</v>
      </c>
      <c r="F1173" t="n">
        <v>-193774</v>
      </c>
      <c r="G1173" t="n">
        <v>-37851</v>
      </c>
      <c r="H1173" t="n">
        <v>-48054</v>
      </c>
      <c r="I1173" t="n">
        <v>-55939</v>
      </c>
      <c r="J1173" t="n">
        <v>-1141</v>
      </c>
      <c r="K1173" t="n">
        <v/>
      </c>
      <c r="L1173" t="n">
        <v/>
      </c>
    </row>
    <row r="1174">
      <c r="A1174" s="64" t="n">
        <v>42087</v>
      </c>
      <c r="B1174" t="n">
        <v>-28368</v>
      </c>
      <c r="C1174" t="n">
        <v/>
      </c>
      <c r="D1174" t="n">
        <v>-32656</v>
      </c>
      <c r="E1174" t="n">
        <v>-3955</v>
      </c>
      <c r="F1174" t="n">
        <v>-220963</v>
      </c>
      <c r="G1174" t="n">
        <v>-38557</v>
      </c>
      <c r="H1174" t="n">
        <v>-45905</v>
      </c>
      <c r="I1174" t="n">
        <v>-41100</v>
      </c>
      <c r="J1174" t="n">
        <v>-866</v>
      </c>
      <c r="K1174" t="n">
        <v/>
      </c>
      <c r="L1174" t="n">
        <v/>
      </c>
    </row>
    <row r="1175">
      <c r="A1175" s="64" t="n">
        <v>42094</v>
      </c>
      <c r="B1175" t="n">
        <v>-24356</v>
      </c>
      <c r="C1175" t="n">
        <v/>
      </c>
      <c r="D1175" t="n">
        <v>-29618</v>
      </c>
      <c r="E1175" t="n">
        <v>706</v>
      </c>
      <c r="F1175" t="n">
        <v>-226560</v>
      </c>
      <c r="G1175" t="n">
        <v>-36630</v>
      </c>
      <c r="H1175" t="n">
        <v>-23924</v>
      </c>
      <c r="I1175" t="n">
        <v>-30289</v>
      </c>
      <c r="J1175" t="n">
        <v>4031</v>
      </c>
      <c r="K1175" t="n">
        <v/>
      </c>
      <c r="L1175" t="n">
        <v/>
      </c>
    </row>
    <row r="1176">
      <c r="A1176" s="64" t="n">
        <v>42101</v>
      </c>
      <c r="B1176" t="n">
        <v>-40281</v>
      </c>
      <c r="C1176" t="n">
        <v/>
      </c>
      <c r="D1176" t="n">
        <v>-30019</v>
      </c>
      <c r="E1176" t="n">
        <v>120</v>
      </c>
      <c r="F1176" t="n">
        <v>-215258</v>
      </c>
      <c r="G1176" t="n">
        <v>-34301</v>
      </c>
      <c r="H1176" t="n">
        <v>-24449</v>
      </c>
      <c r="I1176" t="n">
        <v>-22925</v>
      </c>
      <c r="J1176" t="n">
        <v>5778</v>
      </c>
      <c r="K1176" t="n">
        <v/>
      </c>
      <c r="L1176" t="n">
        <v/>
      </c>
    </row>
    <row r="1177">
      <c r="A1177" s="64" t="n">
        <v>42108</v>
      </c>
      <c r="B1177" t="n">
        <v>-42433</v>
      </c>
      <c r="C1177" t="n">
        <v/>
      </c>
      <c r="D1177" t="n">
        <v>-30578</v>
      </c>
      <c r="E1177" t="n">
        <v>170</v>
      </c>
      <c r="F1177" t="n">
        <v>-212347</v>
      </c>
      <c r="G1177" t="n">
        <v>-36045</v>
      </c>
      <c r="H1177" t="n">
        <v>-23070</v>
      </c>
      <c r="I1177" t="n">
        <v>8361</v>
      </c>
      <c r="J1177" t="n">
        <v>6003</v>
      </c>
      <c r="K1177" t="n">
        <v/>
      </c>
      <c r="L1177" t="n">
        <v/>
      </c>
    </row>
    <row r="1178">
      <c r="A1178" s="64" t="n">
        <v>42115</v>
      </c>
      <c r="B1178" t="n">
        <v>-34663</v>
      </c>
      <c r="C1178" t="n">
        <v/>
      </c>
      <c r="D1178" t="n">
        <v>-27051</v>
      </c>
      <c r="E1178" t="n">
        <v>335</v>
      </c>
      <c r="F1178" t="n">
        <v>-214645</v>
      </c>
      <c r="G1178" t="n">
        <v>-29281</v>
      </c>
      <c r="H1178" t="n">
        <v>-14448</v>
      </c>
      <c r="I1178" t="n">
        <v>-13675</v>
      </c>
      <c r="J1178" t="n">
        <v>8488</v>
      </c>
      <c r="K1178" t="n">
        <v/>
      </c>
      <c r="L1178" t="n">
        <v/>
      </c>
    </row>
    <row r="1179">
      <c r="A1179" s="64" t="n">
        <v>42122</v>
      </c>
      <c r="B1179" t="n">
        <v>-27405</v>
      </c>
      <c r="C1179" t="n">
        <v/>
      </c>
      <c r="D1179" t="n">
        <v>-20909</v>
      </c>
      <c r="E1179" t="n">
        <v>1335</v>
      </c>
      <c r="F1179" t="n">
        <v>-197766</v>
      </c>
      <c r="G1179" t="n">
        <v>-34128</v>
      </c>
      <c r="H1179" t="n">
        <v>-5493</v>
      </c>
      <c r="I1179" t="n">
        <v>-23391</v>
      </c>
      <c r="J1179" t="n">
        <v>10180</v>
      </c>
      <c r="K1179" t="n">
        <v/>
      </c>
      <c r="L1179" t="n">
        <v/>
      </c>
    </row>
    <row r="1180">
      <c r="A1180" s="64" t="n">
        <v>42129</v>
      </c>
      <c r="B1180" t="n">
        <v>626</v>
      </c>
      <c r="C1180" t="n">
        <v/>
      </c>
      <c r="D1180" t="n">
        <v>-10080</v>
      </c>
      <c r="E1180" t="n">
        <v>5331</v>
      </c>
      <c r="F1180" t="n">
        <v>-190127</v>
      </c>
      <c r="G1180" t="n">
        <v>-24758</v>
      </c>
      <c r="H1180" t="n">
        <v>-31183</v>
      </c>
      <c r="I1180" t="n">
        <v>-50116</v>
      </c>
      <c r="J1180" t="n">
        <v>9064</v>
      </c>
      <c r="K1180" t="n">
        <v/>
      </c>
      <c r="L1180" t="n">
        <v/>
      </c>
    </row>
    <row r="1181">
      <c r="A1181" s="64" t="n">
        <v>42136</v>
      </c>
      <c r="B1181" t="n">
        <v>4487</v>
      </c>
      <c r="C1181" t="n">
        <v/>
      </c>
      <c r="D1181" t="n">
        <v>-3982</v>
      </c>
      <c r="E1181" t="n">
        <v>10550</v>
      </c>
      <c r="F1181" t="n">
        <v>-178976</v>
      </c>
      <c r="G1181" t="n">
        <v>-30769</v>
      </c>
      <c r="H1181" t="n">
        <v>-23593</v>
      </c>
      <c r="I1181" t="n">
        <v>-27039</v>
      </c>
      <c r="J1181" t="n">
        <v>1770</v>
      </c>
      <c r="K1181" t="n">
        <v/>
      </c>
      <c r="L1181" t="n">
        <v/>
      </c>
    </row>
    <row r="1182">
      <c r="A1182" s="64" t="n">
        <v>42143</v>
      </c>
      <c r="B1182" t="n">
        <v>7323</v>
      </c>
      <c r="C1182" t="n">
        <v/>
      </c>
      <c r="D1182" t="n">
        <v>4348</v>
      </c>
      <c r="E1182" t="n">
        <v>9405</v>
      </c>
      <c r="F1182" t="n">
        <v>-168339</v>
      </c>
      <c r="G1182" t="n">
        <v>-23362</v>
      </c>
      <c r="H1182" t="n">
        <v>-22005</v>
      </c>
      <c r="I1182" t="n">
        <v>-31331</v>
      </c>
      <c r="J1182" t="n">
        <v>-2231</v>
      </c>
      <c r="K1182" t="n">
        <v/>
      </c>
      <c r="L1182" t="n">
        <v/>
      </c>
    </row>
    <row r="1183">
      <c r="A1183" s="64" t="n">
        <v>42150</v>
      </c>
      <c r="B1183" t="n">
        <v>6422</v>
      </c>
      <c r="C1183" t="n">
        <v/>
      </c>
      <c r="D1183" t="n">
        <v>7333</v>
      </c>
      <c r="E1183" t="n">
        <v>8330</v>
      </c>
      <c r="F1183" t="n">
        <v>-171740</v>
      </c>
      <c r="G1183" t="n">
        <v>-25539</v>
      </c>
      <c r="H1183" t="n">
        <v>-62224</v>
      </c>
      <c r="I1183" t="n">
        <v>-32516</v>
      </c>
      <c r="J1183" t="n">
        <v>-5087</v>
      </c>
      <c r="K1183" t="n">
        <v/>
      </c>
      <c r="L1183" t="n">
        <v>-2468</v>
      </c>
    </row>
    <row r="1184">
      <c r="A1184" s="64" t="n">
        <v>42157</v>
      </c>
      <c r="B1184" t="n">
        <v>-13256</v>
      </c>
      <c r="C1184" t="n">
        <v/>
      </c>
      <c r="D1184" t="n">
        <v>-1025</v>
      </c>
      <c r="E1184" t="n">
        <v>8359</v>
      </c>
      <c r="F1184" t="n">
        <v>-165512</v>
      </c>
      <c r="G1184" t="n">
        <v>-25658</v>
      </c>
      <c r="H1184" t="n">
        <v>-85693</v>
      </c>
      <c r="I1184" t="n">
        <v>-45127</v>
      </c>
      <c r="J1184" t="n">
        <v>-10539</v>
      </c>
      <c r="K1184" t="n">
        <v/>
      </c>
      <c r="L1184" t="n">
        <v/>
      </c>
    </row>
    <row r="1185">
      <c r="A1185" s="64" t="n">
        <v>42164</v>
      </c>
      <c r="B1185" t="n">
        <v>-14027</v>
      </c>
      <c r="C1185" t="n">
        <v/>
      </c>
      <c r="D1185" t="n">
        <v>-13745</v>
      </c>
      <c r="E1185" t="n">
        <v>10129</v>
      </c>
      <c r="F1185" t="n">
        <v>-137974</v>
      </c>
      <c r="G1185" t="n">
        <v>-28277</v>
      </c>
      <c r="H1185" t="n">
        <v>-116286</v>
      </c>
      <c r="I1185" t="n">
        <v>-51132</v>
      </c>
      <c r="J1185" t="n">
        <v>-11795</v>
      </c>
      <c r="K1185" t="n">
        <v/>
      </c>
      <c r="L1185" t="n">
        <v>-2449</v>
      </c>
    </row>
    <row r="1186">
      <c r="A1186" s="64" t="n">
        <v>42171</v>
      </c>
      <c r="B1186" t="n">
        <v>-4048</v>
      </c>
      <c r="C1186" t="n">
        <v/>
      </c>
      <c r="D1186" t="n">
        <v>-12281</v>
      </c>
      <c r="E1186" t="n">
        <v>5358</v>
      </c>
      <c r="F1186" t="n">
        <v>-89357</v>
      </c>
      <c r="G1186" t="n">
        <v>-25434</v>
      </c>
      <c r="H1186" t="n">
        <v>-80664</v>
      </c>
      <c r="I1186" t="n">
        <v>-52490</v>
      </c>
      <c r="J1186" t="n">
        <v>-9168</v>
      </c>
      <c r="K1186" t="n">
        <v/>
      </c>
      <c r="L1186" t="n">
        <v/>
      </c>
    </row>
    <row r="1187">
      <c r="A1187" s="64" t="n">
        <v>42178</v>
      </c>
      <c r="B1187" t="n">
        <v>-9052</v>
      </c>
      <c r="C1187" t="n">
        <v/>
      </c>
      <c r="D1187" t="n">
        <v>-17579</v>
      </c>
      <c r="E1187" t="n">
        <v>7072</v>
      </c>
      <c r="F1187" t="n">
        <v>-99306</v>
      </c>
      <c r="G1187" t="n">
        <v>-22194</v>
      </c>
      <c r="H1187" t="n">
        <v>-87717</v>
      </c>
      <c r="I1187" t="n">
        <v>-27867</v>
      </c>
      <c r="J1187" t="n">
        <v>-13563</v>
      </c>
      <c r="K1187" t="n">
        <v/>
      </c>
      <c r="L1187" t="n">
        <v/>
      </c>
    </row>
    <row r="1188">
      <c r="A1188" s="64" t="n">
        <v>42185</v>
      </c>
      <c r="B1188" t="n">
        <v>-12031</v>
      </c>
      <c r="C1188" t="n">
        <v/>
      </c>
      <c r="D1188" t="n">
        <v>-23450</v>
      </c>
      <c r="E1188" t="n">
        <v>6855</v>
      </c>
      <c r="F1188" t="n">
        <v>-100035</v>
      </c>
      <c r="G1188" t="n">
        <v>-12759</v>
      </c>
      <c r="H1188" t="n">
        <v>-78822</v>
      </c>
      <c r="I1188" t="n">
        <v>-38759</v>
      </c>
      <c r="J1188" t="n">
        <v>-16066</v>
      </c>
      <c r="K1188" t="n">
        <v/>
      </c>
      <c r="L1188" t="n">
        <v/>
      </c>
    </row>
    <row r="1189">
      <c r="A1189" s="64" t="n">
        <v>42192</v>
      </c>
      <c r="B1189" t="n">
        <v>-22197</v>
      </c>
      <c r="C1189" t="n">
        <v/>
      </c>
      <c r="D1189" t="n">
        <v>-32268</v>
      </c>
      <c r="E1189" t="n">
        <v>6121</v>
      </c>
      <c r="F1189" t="n">
        <v>-99266</v>
      </c>
      <c r="G1189" t="n">
        <v>-22973</v>
      </c>
      <c r="H1189" t="n">
        <v>-63629</v>
      </c>
      <c r="I1189" t="n">
        <v>-72415</v>
      </c>
      <c r="J1189" t="n">
        <v>-18348</v>
      </c>
      <c r="K1189" t="n">
        <v/>
      </c>
      <c r="L1189" t="n">
        <v/>
      </c>
    </row>
    <row r="1190">
      <c r="A1190" s="64" t="n">
        <v>42199</v>
      </c>
      <c r="B1190" t="n">
        <v>-33541</v>
      </c>
      <c r="C1190" t="n">
        <v/>
      </c>
      <c r="D1190" t="n">
        <v>-40726</v>
      </c>
      <c r="E1190" t="n">
        <v>3081</v>
      </c>
      <c r="F1190" t="n">
        <v>-107781</v>
      </c>
      <c r="G1190" t="n">
        <v>-24199</v>
      </c>
      <c r="H1190" t="n">
        <v>-47371</v>
      </c>
      <c r="I1190" t="n">
        <v>-72718</v>
      </c>
      <c r="J1190" t="n">
        <v>-19654</v>
      </c>
      <c r="K1190" t="n">
        <v/>
      </c>
      <c r="L1190" t="n">
        <v/>
      </c>
    </row>
    <row r="1191">
      <c r="A1191" s="64" t="n">
        <v>42206</v>
      </c>
      <c r="B1191" t="n">
        <v>-40850</v>
      </c>
      <c r="C1191" t="n">
        <v/>
      </c>
      <c r="D1191" t="n">
        <v>-43568</v>
      </c>
      <c r="E1191" t="n">
        <v>3417</v>
      </c>
      <c r="F1191" t="n">
        <v>-112976</v>
      </c>
      <c r="G1191" t="n">
        <v>-21468</v>
      </c>
      <c r="H1191" t="n">
        <v>-62314</v>
      </c>
      <c r="I1191" t="n">
        <v>-81424</v>
      </c>
      <c r="J1191" t="n">
        <v>-15954</v>
      </c>
      <c r="K1191" t="n">
        <v/>
      </c>
      <c r="L1191" t="n">
        <v/>
      </c>
    </row>
    <row r="1192">
      <c r="A1192" s="64" t="n">
        <v>42213</v>
      </c>
      <c r="B1192" t="n">
        <v>-50659</v>
      </c>
      <c r="C1192" t="n">
        <v/>
      </c>
      <c r="D1192" t="n">
        <v>-56067</v>
      </c>
      <c r="E1192" t="n">
        <v>124</v>
      </c>
      <c r="F1192" t="n">
        <v>-104008</v>
      </c>
      <c r="G1192" t="n">
        <v>-9788</v>
      </c>
      <c r="H1192" t="n">
        <v>-63538</v>
      </c>
      <c r="I1192" t="n">
        <v>-88843</v>
      </c>
      <c r="J1192" t="n">
        <v>-12765</v>
      </c>
      <c r="K1192" t="n">
        <v/>
      </c>
      <c r="L1192" t="n">
        <v>-3464</v>
      </c>
    </row>
    <row r="1193">
      <c r="A1193" s="64" t="n">
        <v>42220</v>
      </c>
      <c r="B1193" t="n">
        <v>-49412</v>
      </c>
      <c r="C1193" t="n">
        <v/>
      </c>
      <c r="D1193" t="n">
        <v>-64180</v>
      </c>
      <c r="E1193" t="n">
        <v>-1466</v>
      </c>
      <c r="F1193" t="n">
        <v>-113394</v>
      </c>
      <c r="G1193" t="n">
        <v>-6557</v>
      </c>
      <c r="H1193" t="n">
        <v>-79716</v>
      </c>
      <c r="I1193" t="n">
        <v>-82048</v>
      </c>
      <c r="J1193" t="n">
        <v>-11899</v>
      </c>
      <c r="K1193" t="n">
        <v/>
      </c>
      <c r="L1193" t="n">
        <v>-3636</v>
      </c>
    </row>
    <row r="1194">
      <c r="A1194" s="64" t="n">
        <v>42227</v>
      </c>
      <c r="B1194" t="n">
        <v>-51270</v>
      </c>
      <c r="C1194" t="n">
        <v/>
      </c>
      <c r="D1194" t="n">
        <v>-67405</v>
      </c>
      <c r="E1194" t="n">
        <v>-7012</v>
      </c>
      <c r="F1194" t="n">
        <v>-115210</v>
      </c>
      <c r="G1194" t="n">
        <v>-10371</v>
      </c>
      <c r="H1194" t="n">
        <v>-105226</v>
      </c>
      <c r="I1194" t="n">
        <v>-70569</v>
      </c>
      <c r="J1194" t="n">
        <v>-10572</v>
      </c>
      <c r="K1194" t="n">
        <v/>
      </c>
      <c r="L1194" t="n">
        <v>-3916</v>
      </c>
    </row>
    <row r="1195">
      <c r="A1195" s="64" t="n">
        <v>42234</v>
      </c>
      <c r="B1195" t="n">
        <v>-49883</v>
      </c>
      <c r="C1195" t="n">
        <v/>
      </c>
      <c r="D1195" t="n">
        <v>-66794</v>
      </c>
      <c r="E1195" t="n">
        <v>-9868</v>
      </c>
      <c r="F1195" t="n">
        <v>-92732</v>
      </c>
      <c r="G1195" t="n">
        <v>-3971</v>
      </c>
      <c r="H1195" t="n">
        <v>-90130</v>
      </c>
      <c r="I1195" t="n">
        <v>-60427</v>
      </c>
      <c r="J1195" t="n">
        <v>-9957</v>
      </c>
      <c r="K1195" t="n">
        <v/>
      </c>
      <c r="L1195" t="n">
        <v>-3831</v>
      </c>
    </row>
    <row r="1196">
      <c r="A1196" s="64" t="n">
        <v>42241</v>
      </c>
      <c r="B1196" t="n">
        <v>-63727</v>
      </c>
      <c r="C1196" t="n">
        <v/>
      </c>
      <c r="D1196" t="n">
        <v>-59712</v>
      </c>
      <c r="E1196" t="n">
        <v>-12597</v>
      </c>
      <c r="F1196" t="n">
        <v>-66078</v>
      </c>
      <c r="G1196" t="n">
        <v>3299</v>
      </c>
      <c r="H1196" t="n">
        <v>-39059</v>
      </c>
      <c r="I1196" t="n">
        <v>-83053</v>
      </c>
      <c r="J1196" t="n">
        <v>-6063</v>
      </c>
      <c r="K1196" t="n">
        <v/>
      </c>
      <c r="L1196" t="n">
        <v>-3831</v>
      </c>
    </row>
    <row r="1197">
      <c r="A1197" s="64" t="n">
        <v>42248</v>
      </c>
      <c r="B1197" t="n">
        <v>-55732</v>
      </c>
      <c r="C1197" t="n">
        <v/>
      </c>
      <c r="D1197" t="n">
        <v>-55119</v>
      </c>
      <c r="E1197" t="n">
        <v>-8503</v>
      </c>
      <c r="F1197" t="n">
        <v>-67857</v>
      </c>
      <c r="G1197" t="n">
        <v>-11239</v>
      </c>
      <c r="H1197" t="n">
        <v>-15555</v>
      </c>
      <c r="I1197" t="n">
        <v>-76937</v>
      </c>
      <c r="J1197" t="n">
        <v>-8279</v>
      </c>
      <c r="K1197" t="n">
        <v/>
      </c>
      <c r="L1197" t="n">
        <v>-4109</v>
      </c>
    </row>
    <row r="1198">
      <c r="A1198" s="64" t="n">
        <v>42255</v>
      </c>
      <c r="B1198" t="n">
        <v>-53316</v>
      </c>
      <c r="C1198" t="n">
        <v/>
      </c>
      <c r="D1198" t="n">
        <v>-48640</v>
      </c>
      <c r="E1198" t="n">
        <v>-6896</v>
      </c>
      <c r="F1198" t="n">
        <v>-81241</v>
      </c>
      <c r="G1198" t="n">
        <v>-17638</v>
      </c>
      <c r="H1198" t="n">
        <v>-6662</v>
      </c>
      <c r="I1198" t="n">
        <v>-70951</v>
      </c>
      <c r="J1198" t="n">
        <v>-11820</v>
      </c>
      <c r="K1198" t="n">
        <v/>
      </c>
      <c r="L1198" t="n">
        <v/>
      </c>
    </row>
    <row r="1199">
      <c r="A1199" s="64" t="n">
        <v>42262</v>
      </c>
      <c r="B1199" t="n">
        <v>-40729</v>
      </c>
      <c r="C1199" t="n">
        <v/>
      </c>
      <c r="D1199" t="n">
        <v>-47083</v>
      </c>
      <c r="E1199" t="n">
        <v>3782</v>
      </c>
      <c r="F1199" t="n">
        <v>-84202</v>
      </c>
      <c r="G1199" t="n">
        <v>-3619</v>
      </c>
      <c r="H1199" t="n">
        <v>-26814</v>
      </c>
      <c r="I1199" t="n">
        <v>-55285</v>
      </c>
      <c r="J1199" t="n">
        <v>-2094</v>
      </c>
      <c r="K1199" t="n">
        <v/>
      </c>
      <c r="L1199" t="n">
        <v>-1025</v>
      </c>
    </row>
    <row r="1200">
      <c r="A1200" s="64" t="n">
        <v>42269</v>
      </c>
      <c r="B1200" t="n">
        <v>-52832</v>
      </c>
      <c r="C1200" t="n">
        <v/>
      </c>
      <c r="D1200" t="n">
        <v>-38394</v>
      </c>
      <c r="E1200" t="n">
        <v>-1876</v>
      </c>
      <c r="F1200" t="n">
        <v>-81033</v>
      </c>
      <c r="G1200" t="n">
        <v>1267</v>
      </c>
      <c r="H1200" t="n">
        <v>-23678</v>
      </c>
      <c r="I1200" t="n">
        <v>-12356</v>
      </c>
      <c r="J1200" t="n">
        <v>-3529</v>
      </c>
      <c r="K1200" t="n">
        <v/>
      </c>
      <c r="L1200" t="n">
        <v/>
      </c>
    </row>
    <row r="1201">
      <c r="A1201" s="64" t="n">
        <v>42276</v>
      </c>
      <c r="B1201" t="n">
        <v>-48865</v>
      </c>
      <c r="C1201" t="n">
        <v/>
      </c>
      <c r="D1201" t="n">
        <v>-42235</v>
      </c>
      <c r="E1201" t="n">
        <v>-2715</v>
      </c>
      <c r="F1201" t="n">
        <v>-87660</v>
      </c>
      <c r="G1201" t="n">
        <v>-2047</v>
      </c>
      <c r="H1201" t="n">
        <v>-22052</v>
      </c>
      <c r="I1201" t="n">
        <v>-44451</v>
      </c>
      <c r="J1201" t="n">
        <v>-3062</v>
      </c>
      <c r="K1201" t="n">
        <v/>
      </c>
      <c r="L1201" t="n">
        <v>-2307</v>
      </c>
    </row>
    <row r="1202">
      <c r="A1202" s="64" t="n">
        <v>42283</v>
      </c>
      <c r="B1202" t="n">
        <v>-40839</v>
      </c>
      <c r="C1202" t="n">
        <v/>
      </c>
      <c r="D1202" t="n">
        <v>-35010</v>
      </c>
      <c r="E1202" t="n">
        <v>-3970</v>
      </c>
      <c r="F1202" t="n">
        <v>-88810</v>
      </c>
      <c r="G1202" t="n">
        <v>-4533</v>
      </c>
      <c r="H1202" t="n">
        <v>-17599</v>
      </c>
      <c r="I1202" t="n">
        <v>-5243</v>
      </c>
      <c r="J1202" t="n">
        <v>-971</v>
      </c>
      <c r="K1202" t="n">
        <v/>
      </c>
      <c r="L1202" t="n">
        <v/>
      </c>
    </row>
    <row r="1203">
      <c r="A1203" s="64" t="n">
        <v>42290</v>
      </c>
      <c r="B1203" t="n">
        <v>-33705</v>
      </c>
      <c r="C1203" t="n">
        <v/>
      </c>
      <c r="D1203" t="n">
        <v>-33949</v>
      </c>
      <c r="E1203" t="n">
        <v>-2352</v>
      </c>
      <c r="F1203" t="n">
        <v>-80576</v>
      </c>
      <c r="G1203" t="n">
        <v>-7527</v>
      </c>
      <c r="H1203" t="n">
        <v>-13832</v>
      </c>
      <c r="I1203" t="n">
        <v>-4143</v>
      </c>
      <c r="J1203" t="n">
        <v>692</v>
      </c>
      <c r="K1203" t="n">
        <v/>
      </c>
      <c r="L1203" t="n">
        <v>-2816</v>
      </c>
    </row>
    <row r="1204">
      <c r="A1204" s="64" t="n">
        <v>42297</v>
      </c>
      <c r="B1204" t="n">
        <v>-38412</v>
      </c>
      <c r="C1204" t="n">
        <v/>
      </c>
      <c r="D1204" t="n">
        <v>-27112</v>
      </c>
      <c r="E1204" t="n">
        <v>625</v>
      </c>
      <c r="F1204" t="n">
        <v>-62566</v>
      </c>
      <c r="G1204" t="n">
        <v>7537</v>
      </c>
      <c r="H1204" t="n">
        <v>-3639</v>
      </c>
      <c r="I1204" t="n">
        <v>-616</v>
      </c>
      <c r="J1204" t="n">
        <v>3759</v>
      </c>
      <c r="K1204" t="n">
        <v/>
      </c>
      <c r="L1204" t="n">
        <v/>
      </c>
    </row>
    <row r="1205">
      <c r="A1205" s="64" t="n">
        <v>42304</v>
      </c>
      <c r="B1205" t="n">
        <v>-36352</v>
      </c>
      <c r="C1205" t="n">
        <v/>
      </c>
      <c r="D1205" t="n">
        <v>-18895</v>
      </c>
      <c r="E1205" t="n">
        <v>1499</v>
      </c>
      <c r="F1205" t="n">
        <v>-105934</v>
      </c>
      <c r="G1205" t="n">
        <v>4134</v>
      </c>
      <c r="H1205" t="n">
        <v>-33911</v>
      </c>
      <c r="I1205" t="n">
        <v>-83</v>
      </c>
      <c r="J1205" t="n">
        <v>5589</v>
      </c>
      <c r="K1205" t="n">
        <v/>
      </c>
      <c r="L1205" t="n">
        <v/>
      </c>
    </row>
    <row r="1206">
      <c r="A1206" s="64" t="n">
        <v>42311</v>
      </c>
      <c r="B1206" t="n">
        <v>-38625</v>
      </c>
      <c r="C1206" t="n">
        <v/>
      </c>
      <c r="D1206" t="n">
        <v>-19491</v>
      </c>
      <c r="E1206" t="n">
        <v>-7035</v>
      </c>
      <c r="F1206" t="n">
        <v>-134334</v>
      </c>
      <c r="G1206" t="n">
        <v>188</v>
      </c>
      <c r="H1206" t="n">
        <v>-43787</v>
      </c>
      <c r="I1206" t="n">
        <v>-735</v>
      </c>
      <c r="J1206" t="n">
        <v>6618</v>
      </c>
      <c r="K1206" t="n">
        <v/>
      </c>
      <c r="L1206" t="n">
        <v>-3155</v>
      </c>
    </row>
    <row r="1207">
      <c r="A1207" s="64" t="n">
        <v>42318</v>
      </c>
      <c r="B1207" t="n">
        <v>-52830</v>
      </c>
      <c r="C1207" t="n">
        <v/>
      </c>
      <c r="D1207" t="n">
        <v>-17907</v>
      </c>
      <c r="E1207" t="n">
        <v>-9310</v>
      </c>
      <c r="F1207" t="n">
        <v>-142939</v>
      </c>
      <c r="G1207" t="n">
        <v>-15770</v>
      </c>
      <c r="H1207" t="n">
        <v>-66888</v>
      </c>
      <c r="I1207" t="n">
        <v>-18835</v>
      </c>
      <c r="J1207" t="n">
        <v>5564</v>
      </c>
      <c r="K1207" t="n">
        <v/>
      </c>
      <c r="L1207" t="n">
        <v>-3188</v>
      </c>
    </row>
    <row r="1208">
      <c r="A1208" s="64" t="n">
        <v>42325</v>
      </c>
      <c r="B1208" t="n">
        <v>-66464</v>
      </c>
      <c r="C1208" t="n">
        <v/>
      </c>
      <c r="D1208" t="n">
        <v>-28352</v>
      </c>
      <c r="E1208" t="n">
        <v>-15329</v>
      </c>
      <c r="F1208" t="n">
        <v>-164177</v>
      </c>
      <c r="G1208" t="n">
        <v>-25260</v>
      </c>
      <c r="H1208" t="n">
        <v>-78611</v>
      </c>
      <c r="I1208" t="n">
        <v>-38263</v>
      </c>
      <c r="J1208" t="n">
        <v>5248</v>
      </c>
      <c r="K1208" t="n">
        <v/>
      </c>
      <c r="L1208" t="n">
        <v>-2935</v>
      </c>
    </row>
    <row r="1209">
      <c r="A1209" s="64" t="n">
        <v>42332</v>
      </c>
      <c r="B1209" t="n">
        <v>-57145</v>
      </c>
      <c r="C1209" t="n">
        <v/>
      </c>
      <c r="D1209" t="n">
        <v>-38617</v>
      </c>
      <c r="E1209" t="n">
        <v>-22209</v>
      </c>
      <c r="F1209" t="n">
        <v>-175484</v>
      </c>
      <c r="G1209" t="n">
        <v>-32256</v>
      </c>
      <c r="H1209" t="n">
        <v>-77336</v>
      </c>
      <c r="I1209" t="n">
        <v>-29261</v>
      </c>
      <c r="J1209" t="n">
        <v>4010</v>
      </c>
      <c r="K1209" t="n">
        <v/>
      </c>
      <c r="L1209" t="n">
        <v>-2965</v>
      </c>
    </row>
    <row r="1210">
      <c r="A1210" s="64" t="n">
        <v>42339</v>
      </c>
      <c r="B1210" t="n">
        <v>-46648</v>
      </c>
      <c r="C1210" t="n">
        <v/>
      </c>
      <c r="D1210" t="n">
        <v>-38980</v>
      </c>
      <c r="E1210" t="n">
        <v>-24789</v>
      </c>
      <c r="F1210" t="n">
        <v>-182845</v>
      </c>
      <c r="G1210" t="n">
        <v>-28258</v>
      </c>
      <c r="H1210" t="n">
        <v>-74901</v>
      </c>
      <c r="I1210" t="n">
        <v>-25465</v>
      </c>
      <c r="J1210" t="n">
        <v>4757</v>
      </c>
      <c r="K1210" t="n">
        <v/>
      </c>
      <c r="L1210" t="n">
        <v>-3632</v>
      </c>
    </row>
    <row r="1211">
      <c r="A1211" s="64" t="n">
        <v>42346</v>
      </c>
      <c r="B1211" t="n">
        <v>-33579</v>
      </c>
      <c r="C1211" t="n">
        <v/>
      </c>
      <c r="D1211" t="n">
        <v>-40138</v>
      </c>
      <c r="E1211" t="n">
        <v>-25540</v>
      </c>
      <c r="F1211" t="n">
        <v>-172331</v>
      </c>
      <c r="G1211" t="n">
        <v>-23902</v>
      </c>
      <c r="H1211" t="n">
        <v>-68050</v>
      </c>
      <c r="I1211" t="n">
        <v>-24381</v>
      </c>
      <c r="J1211" t="n">
        <v>8881</v>
      </c>
      <c r="K1211" t="n">
        <v/>
      </c>
      <c r="L1211" t="n">
        <v>-3310</v>
      </c>
    </row>
    <row r="1212">
      <c r="A1212" s="64" t="n">
        <v>42353</v>
      </c>
      <c r="B1212" t="n">
        <v>-10452</v>
      </c>
      <c r="C1212" t="n">
        <v/>
      </c>
      <c r="D1212" t="n">
        <v>-51009</v>
      </c>
      <c r="E1212" t="n">
        <v>1951</v>
      </c>
      <c r="F1212" t="n">
        <v>-159961</v>
      </c>
      <c r="G1212" t="n">
        <v>-16920</v>
      </c>
      <c r="H1212" t="n">
        <v>-26580</v>
      </c>
      <c r="I1212" t="n">
        <v>-60372</v>
      </c>
      <c r="J1212" t="n">
        <v>1119</v>
      </c>
      <c r="K1212" t="n">
        <v/>
      </c>
      <c r="L1212" t="n">
        <v/>
      </c>
    </row>
    <row r="1213">
      <c r="A1213" s="64" t="n">
        <v>42360</v>
      </c>
      <c r="B1213" t="n">
        <v>-20854</v>
      </c>
      <c r="C1213" t="n">
        <v/>
      </c>
      <c r="D1213" t="n">
        <v>-56027</v>
      </c>
      <c r="E1213" t="n">
        <v>2752</v>
      </c>
      <c r="F1213" t="n">
        <v>-161047</v>
      </c>
      <c r="G1213" t="n">
        <v>-26661</v>
      </c>
      <c r="H1213" t="n">
        <v>-30367</v>
      </c>
      <c r="I1213" t="n">
        <v>-56719</v>
      </c>
      <c r="J1213" t="n">
        <v>-221</v>
      </c>
      <c r="K1213" t="n">
        <v/>
      </c>
      <c r="L1213" t="n">
        <v/>
      </c>
    </row>
    <row r="1214">
      <c r="A1214" s="64" t="n">
        <v>42367</v>
      </c>
      <c r="B1214" t="n">
        <v>-17545</v>
      </c>
      <c r="C1214" t="n">
        <v/>
      </c>
      <c r="D1214" t="n">
        <v>-60787</v>
      </c>
      <c r="E1214" t="n">
        <v>3564</v>
      </c>
      <c r="F1214" t="n">
        <v>-160550</v>
      </c>
      <c r="G1214" t="n">
        <v>-31022</v>
      </c>
      <c r="H1214" t="n">
        <v>-17226</v>
      </c>
      <c r="I1214" t="n">
        <v>-57387</v>
      </c>
      <c r="J1214" t="n">
        <v>-146</v>
      </c>
      <c r="K1214" t="n">
        <v/>
      </c>
      <c r="L1214" t="n">
        <v/>
      </c>
    </row>
    <row r="1215">
      <c r="A1215" s="64" t="n">
        <v>42374</v>
      </c>
      <c r="B1215" t="n">
        <v>-13761</v>
      </c>
      <c r="C1215" t="n">
        <v/>
      </c>
      <c r="D1215" t="n">
        <v>-60130</v>
      </c>
      <c r="E1215" t="n">
        <v>3620</v>
      </c>
      <c r="F1215" t="n">
        <v>-160643</v>
      </c>
      <c r="G1215" t="n">
        <v>-30496</v>
      </c>
      <c r="H1215" t="n">
        <v>4103</v>
      </c>
      <c r="I1215" t="n">
        <v>-61988</v>
      </c>
      <c r="J1215" t="n">
        <v>1579</v>
      </c>
      <c r="K1215" t="n">
        <v/>
      </c>
      <c r="L1215" t="n">
        <v/>
      </c>
    </row>
    <row r="1216">
      <c r="A1216" s="64" t="n">
        <v>42381</v>
      </c>
      <c r="B1216" t="n">
        <v>-23043</v>
      </c>
      <c r="C1216" t="n">
        <v/>
      </c>
      <c r="D1216" t="n">
        <v>-59214</v>
      </c>
      <c r="E1216" t="n">
        <v>3324</v>
      </c>
      <c r="F1216" t="n">
        <v>-146451</v>
      </c>
      <c r="G1216" t="n">
        <v>-30521</v>
      </c>
      <c r="H1216" t="n">
        <v>25266</v>
      </c>
      <c r="I1216" t="n">
        <v>-74015</v>
      </c>
      <c r="J1216" t="n">
        <v>1541</v>
      </c>
      <c r="K1216" t="n">
        <v/>
      </c>
      <c r="L1216" t="n">
        <v/>
      </c>
    </row>
    <row r="1217">
      <c r="A1217" s="64" t="n">
        <v>42388</v>
      </c>
      <c r="B1217" t="n">
        <v>-36267</v>
      </c>
      <c r="C1217" t="n">
        <v/>
      </c>
      <c r="D1217" t="n">
        <v>-66386</v>
      </c>
      <c r="E1217" t="n">
        <v>906</v>
      </c>
      <c r="F1217" t="n">
        <v>-137015</v>
      </c>
      <c r="G1217" t="n">
        <v>-38579</v>
      </c>
      <c r="H1217" t="n">
        <v>37653</v>
      </c>
      <c r="I1217" t="n">
        <v>-76003</v>
      </c>
      <c r="J1217" t="n">
        <v>-2954</v>
      </c>
      <c r="K1217" t="n">
        <v/>
      </c>
      <c r="L1217" t="n">
        <v/>
      </c>
    </row>
    <row r="1218">
      <c r="A1218" s="64" t="n">
        <v>42395</v>
      </c>
      <c r="B1218" t="n">
        <v>-32798</v>
      </c>
      <c r="C1218" t="n">
        <v/>
      </c>
      <c r="D1218" t="n">
        <v>-66819</v>
      </c>
      <c r="E1218" t="n">
        <v>-4503</v>
      </c>
      <c r="F1218" t="n">
        <v>-127215</v>
      </c>
      <c r="G1218" t="n">
        <v>-47537</v>
      </c>
      <c r="H1218" t="n">
        <v>50026</v>
      </c>
      <c r="I1218" t="n">
        <v>-76607</v>
      </c>
      <c r="J1218" t="n">
        <v>-5400</v>
      </c>
      <c r="K1218" t="n">
        <v/>
      </c>
      <c r="L1218" t="n">
        <v>-428</v>
      </c>
    </row>
    <row r="1219">
      <c r="A1219" s="64" t="n">
        <v>42402</v>
      </c>
      <c r="B1219" t="n">
        <v>-26168</v>
      </c>
      <c r="C1219" t="n">
        <v/>
      </c>
      <c r="D1219" t="n">
        <v>-52420</v>
      </c>
      <c r="E1219" t="n">
        <v>-4695</v>
      </c>
      <c r="F1219" t="n">
        <v>-87073</v>
      </c>
      <c r="G1219" t="n">
        <v>-45018</v>
      </c>
      <c r="H1219" t="n">
        <v>37245</v>
      </c>
      <c r="I1219" t="n">
        <v>-78594</v>
      </c>
      <c r="J1219" t="n">
        <v>-8436</v>
      </c>
      <c r="K1219" t="n">
        <v/>
      </c>
      <c r="L1219" t="n">
        <v/>
      </c>
    </row>
    <row r="1220">
      <c r="A1220" s="64" t="n">
        <v>42409</v>
      </c>
      <c r="B1220" t="n">
        <v>-5626</v>
      </c>
      <c r="C1220" t="n">
        <v/>
      </c>
      <c r="D1220" t="n">
        <v>-51935</v>
      </c>
      <c r="E1220" t="n">
        <v>-7268</v>
      </c>
      <c r="F1220" t="n">
        <v>-63314</v>
      </c>
      <c r="G1220" t="n">
        <v>-36300</v>
      </c>
      <c r="H1220" t="n">
        <v>43232</v>
      </c>
      <c r="I1220" t="n">
        <v>-46522</v>
      </c>
      <c r="J1220" t="n">
        <v>-9139</v>
      </c>
      <c r="K1220" t="n">
        <v/>
      </c>
      <c r="L1220" t="n">
        <v/>
      </c>
    </row>
    <row r="1221">
      <c r="A1221" s="64" t="n">
        <v>42416</v>
      </c>
      <c r="B1221" t="n">
        <v>2807</v>
      </c>
      <c r="C1221" t="n">
        <v/>
      </c>
      <c r="D1221" t="n">
        <v>-45085</v>
      </c>
      <c r="E1221" t="n">
        <v>-4366</v>
      </c>
      <c r="F1221" t="n">
        <v>-48205</v>
      </c>
      <c r="G1221" t="n">
        <v>-36255</v>
      </c>
      <c r="H1221" t="n">
        <v>47901</v>
      </c>
      <c r="I1221" t="n">
        <v>-77385</v>
      </c>
      <c r="J1221" t="n">
        <v>-8317</v>
      </c>
      <c r="K1221" t="n">
        <v/>
      </c>
      <c r="L1221" t="n">
        <v/>
      </c>
    </row>
    <row r="1222">
      <c r="A1222" s="64" t="n">
        <v>42423</v>
      </c>
      <c r="B1222" t="n">
        <v>9575</v>
      </c>
      <c r="C1222" t="n">
        <v/>
      </c>
      <c r="D1222" t="n">
        <v>-36940</v>
      </c>
      <c r="E1222" t="n">
        <v>-2321</v>
      </c>
      <c r="F1222" t="n">
        <v>-46857</v>
      </c>
      <c r="G1222" t="n">
        <v>-33068</v>
      </c>
      <c r="H1222" t="n">
        <v>52734</v>
      </c>
      <c r="I1222" t="n">
        <v>-52859</v>
      </c>
      <c r="J1222" t="n">
        <v>-6615</v>
      </c>
      <c r="K1222" t="n">
        <v/>
      </c>
      <c r="L1222" t="n">
        <v/>
      </c>
    </row>
    <row r="1223">
      <c r="A1223" s="64" t="n">
        <v>42430</v>
      </c>
      <c r="B1223" t="n">
        <v>16861</v>
      </c>
      <c r="C1223" t="n">
        <v/>
      </c>
      <c r="D1223" t="n">
        <v>-30478</v>
      </c>
      <c r="E1223" t="n">
        <v>-1507</v>
      </c>
      <c r="F1223" t="n">
        <v>-68541</v>
      </c>
      <c r="G1223" t="n">
        <v>-39378</v>
      </c>
      <c r="H1223" t="n">
        <v>59625</v>
      </c>
      <c r="I1223" t="n">
        <v>-56473</v>
      </c>
      <c r="J1223" t="n">
        <v>-4157</v>
      </c>
      <c r="K1223" t="n">
        <v/>
      </c>
      <c r="L1223" t="n">
        <v/>
      </c>
    </row>
    <row r="1224">
      <c r="A1224" s="64" t="n">
        <v>42437</v>
      </c>
      <c r="B1224" t="n">
        <v>29195</v>
      </c>
      <c r="C1224" t="n">
        <v/>
      </c>
      <c r="D1224" t="n">
        <v>-25781</v>
      </c>
      <c r="E1224" t="n">
        <v>-129</v>
      </c>
      <c r="F1224" t="n">
        <v>-71907</v>
      </c>
      <c r="G1224" t="n">
        <v>-49005</v>
      </c>
      <c r="H1224" t="n">
        <v>64333</v>
      </c>
      <c r="I1224" t="n">
        <v>-57554</v>
      </c>
      <c r="J1224" t="n">
        <v>-2000</v>
      </c>
      <c r="K1224" t="n">
        <v/>
      </c>
      <c r="L1224" t="n">
        <v/>
      </c>
    </row>
    <row r="1225">
      <c r="A1225" s="64" t="n">
        <v>42444</v>
      </c>
      <c r="B1225" t="n">
        <v>12782</v>
      </c>
      <c r="C1225" t="n">
        <v/>
      </c>
      <c r="D1225" t="n">
        <v>-16826</v>
      </c>
      <c r="E1225" t="n">
        <v>5262</v>
      </c>
      <c r="F1225" t="n">
        <v>-77555</v>
      </c>
      <c r="G1225" t="n">
        <v>-13619</v>
      </c>
      <c r="H1225" t="n">
        <v>45489</v>
      </c>
      <c r="I1225" t="n">
        <v>-45037</v>
      </c>
      <c r="J1225" t="n">
        <v>1290</v>
      </c>
      <c r="K1225" t="n">
        <v/>
      </c>
      <c r="L1225" t="n">
        <v/>
      </c>
    </row>
    <row r="1226">
      <c r="A1226" s="64" t="n">
        <v>42451</v>
      </c>
      <c r="B1226" t="n">
        <v>18030</v>
      </c>
      <c r="C1226" t="n">
        <v/>
      </c>
      <c r="D1226" t="n">
        <v>-15009</v>
      </c>
      <c r="E1226" t="n">
        <v>4186</v>
      </c>
      <c r="F1226" t="n">
        <v>-66053</v>
      </c>
      <c r="G1226" t="n">
        <v>-37723</v>
      </c>
      <c r="H1226" t="n">
        <v>53346</v>
      </c>
      <c r="I1226" t="n">
        <v>-45696</v>
      </c>
      <c r="J1226" t="n">
        <v>1017</v>
      </c>
      <c r="K1226" t="n">
        <v/>
      </c>
      <c r="L1226" t="n">
        <v/>
      </c>
    </row>
    <row r="1227">
      <c r="A1227" s="64" t="n">
        <v>42458</v>
      </c>
      <c r="B1227" t="n">
        <v>23466</v>
      </c>
      <c r="C1227" t="n">
        <v/>
      </c>
      <c r="D1227" t="n">
        <v>-6180</v>
      </c>
      <c r="E1227" t="n">
        <v>4647</v>
      </c>
      <c r="F1227" t="n">
        <v>-63811</v>
      </c>
      <c r="G1227" t="n">
        <v>-40028</v>
      </c>
      <c r="H1227" t="n">
        <v>54387</v>
      </c>
      <c r="I1227" t="n">
        <v>-40796</v>
      </c>
      <c r="J1227" t="n">
        <v>1874</v>
      </c>
      <c r="K1227" t="n">
        <v/>
      </c>
      <c r="L1227" t="n">
        <v/>
      </c>
    </row>
    <row r="1228">
      <c r="A1228" s="64" t="n">
        <v>42465</v>
      </c>
      <c r="B1228" t="n">
        <v>26845</v>
      </c>
      <c r="C1228" t="n">
        <v/>
      </c>
      <c r="D1228" t="n">
        <v>97</v>
      </c>
      <c r="E1228" t="n">
        <v>5649</v>
      </c>
      <c r="F1228" t="n">
        <v>-53487</v>
      </c>
      <c r="G1228" t="n">
        <v>-46506</v>
      </c>
      <c r="H1228" t="n">
        <v>60073</v>
      </c>
      <c r="I1228" t="n">
        <v>-31878</v>
      </c>
      <c r="J1228" t="n">
        <v>2903</v>
      </c>
      <c r="K1228" t="n">
        <v/>
      </c>
      <c r="L1228" t="n">
        <v/>
      </c>
    </row>
    <row r="1229">
      <c r="A1229" s="64" t="n">
        <v>42472</v>
      </c>
      <c r="B1229" t="n">
        <v>35122</v>
      </c>
      <c r="C1229" t="n">
        <v/>
      </c>
      <c r="D1229" t="n">
        <v>2385</v>
      </c>
      <c r="E1229" t="n">
        <v>8238</v>
      </c>
      <c r="F1229" t="n">
        <v>-52051</v>
      </c>
      <c r="G1229" t="n">
        <v>-51310</v>
      </c>
      <c r="H1229" t="n">
        <v>66190</v>
      </c>
      <c r="I1229" t="n">
        <v>-46591</v>
      </c>
      <c r="J1229" t="n">
        <v>4292</v>
      </c>
      <c r="K1229" t="n">
        <v/>
      </c>
      <c r="L1229" t="n">
        <v/>
      </c>
    </row>
    <row r="1230">
      <c r="A1230" s="64" t="n">
        <v>42479</v>
      </c>
      <c r="B1230" t="n">
        <v>44106</v>
      </c>
      <c r="C1230" t="n">
        <v/>
      </c>
      <c r="D1230" t="n">
        <v>7308</v>
      </c>
      <c r="E1230" t="n">
        <v>9410</v>
      </c>
      <c r="F1230" t="n">
        <v>-46917</v>
      </c>
      <c r="G1230" t="n">
        <v>-55152</v>
      </c>
      <c r="H1230" t="n">
        <v>71870</v>
      </c>
      <c r="I1230" t="n">
        <v>-14409</v>
      </c>
      <c r="J1230" t="n">
        <v>5351</v>
      </c>
      <c r="K1230" t="n">
        <v/>
      </c>
      <c r="L1230" t="n">
        <v/>
      </c>
    </row>
    <row r="1231">
      <c r="A1231" s="64" t="n">
        <v>42486</v>
      </c>
      <c r="B1231" t="n">
        <v>59540</v>
      </c>
      <c r="C1231" t="n">
        <v/>
      </c>
      <c r="D1231" t="n">
        <v>11999</v>
      </c>
      <c r="E1231" t="n">
        <v>9265</v>
      </c>
      <c r="F1231" t="n">
        <v>-39667</v>
      </c>
      <c r="G1231" t="n">
        <v>-48669</v>
      </c>
      <c r="H1231" t="n">
        <v>66498</v>
      </c>
      <c r="I1231" t="n">
        <v>-19315</v>
      </c>
      <c r="J1231" t="n">
        <v>7384</v>
      </c>
      <c r="K1231" t="n">
        <v/>
      </c>
      <c r="L1231" t="n">
        <v/>
      </c>
    </row>
    <row r="1232">
      <c r="A1232" s="64" t="n">
        <v>42493</v>
      </c>
      <c r="B1232" t="n">
        <v>52395</v>
      </c>
      <c r="C1232" t="n">
        <v/>
      </c>
      <c r="D1232" t="n">
        <v>18943</v>
      </c>
      <c r="E1232" t="n">
        <v>6829</v>
      </c>
      <c r="F1232" t="n">
        <v>-23619</v>
      </c>
      <c r="G1232" t="n">
        <v>-40408</v>
      </c>
      <c r="H1232" t="n">
        <v>61521</v>
      </c>
      <c r="I1232" t="n">
        <v>-12420</v>
      </c>
      <c r="J1232" t="n">
        <v>9200</v>
      </c>
      <c r="K1232" t="n">
        <v/>
      </c>
      <c r="L1232" t="n">
        <v/>
      </c>
    </row>
    <row r="1233">
      <c r="A1233" s="64" t="n">
        <v>42500</v>
      </c>
      <c r="B1233" t="n">
        <v>38158</v>
      </c>
      <c r="C1233" t="n">
        <v/>
      </c>
      <c r="D1233" t="n">
        <v>25874</v>
      </c>
      <c r="E1233" t="n">
        <v>6917</v>
      </c>
      <c r="F1233" t="n">
        <v>-21872</v>
      </c>
      <c r="G1233" t="n">
        <v>-34935</v>
      </c>
      <c r="H1233" t="n">
        <v>59047</v>
      </c>
      <c r="I1233" t="n">
        <v>-45220</v>
      </c>
      <c r="J1233" t="n">
        <v>9352</v>
      </c>
      <c r="K1233" t="n">
        <v/>
      </c>
      <c r="L1233" t="n">
        <v/>
      </c>
    </row>
    <row r="1234">
      <c r="A1234" s="64" t="n">
        <v>42507</v>
      </c>
      <c r="B1234" t="n">
        <v>24893</v>
      </c>
      <c r="C1234" t="n">
        <v/>
      </c>
      <c r="D1234" t="n">
        <v>22706</v>
      </c>
      <c r="E1234" t="n">
        <v>4147</v>
      </c>
      <c r="F1234" t="n">
        <v>-22587</v>
      </c>
      <c r="G1234" t="n">
        <v>-38422</v>
      </c>
      <c r="H1234" t="n">
        <v>58919</v>
      </c>
      <c r="I1234" t="n">
        <v>-45691</v>
      </c>
      <c r="J1234" t="n">
        <v>6688</v>
      </c>
      <c r="K1234" t="n">
        <v/>
      </c>
      <c r="L1234" t="n">
        <v>-1110</v>
      </c>
    </row>
    <row r="1235">
      <c r="A1235" s="64" t="n">
        <v>42514</v>
      </c>
      <c r="B1235" t="n">
        <v>124</v>
      </c>
      <c r="C1235" t="n">
        <v/>
      </c>
      <c r="D1235" t="n">
        <v>20047</v>
      </c>
      <c r="E1235" t="n">
        <v>3954</v>
      </c>
      <c r="F1235" t="n">
        <v>-37895</v>
      </c>
      <c r="G1235" t="n">
        <v>-32835</v>
      </c>
      <c r="H1235" t="n">
        <v>22059</v>
      </c>
      <c r="I1235" t="n">
        <v>-47460</v>
      </c>
      <c r="J1235" t="n">
        <v>4576</v>
      </c>
      <c r="K1235" t="n">
        <v/>
      </c>
      <c r="L1235" t="n">
        <v/>
      </c>
    </row>
    <row r="1236">
      <c r="A1236" s="64" t="n">
        <v>42521</v>
      </c>
      <c r="B1236" t="n">
        <v>-4758</v>
      </c>
      <c r="C1236" t="n">
        <v/>
      </c>
      <c r="D1236" t="n">
        <v>26259</v>
      </c>
      <c r="E1236" t="n">
        <v>129</v>
      </c>
      <c r="F1236" t="n">
        <v>-37654</v>
      </c>
      <c r="G1236" t="n">
        <v>-32851</v>
      </c>
      <c r="H1236" t="n">
        <v>14837</v>
      </c>
      <c r="I1236" t="n">
        <v>-55615</v>
      </c>
      <c r="J1236" t="n">
        <v>5504</v>
      </c>
      <c r="K1236" t="n">
        <v/>
      </c>
      <c r="L1236" t="n">
        <v/>
      </c>
    </row>
    <row r="1237">
      <c r="A1237" s="64" t="n">
        <v>42528</v>
      </c>
      <c r="B1237" t="n">
        <v>-15808</v>
      </c>
      <c r="C1237" t="n">
        <v/>
      </c>
      <c r="D1237" t="n">
        <v>21537</v>
      </c>
      <c r="E1237" t="n">
        <v>-9645</v>
      </c>
      <c r="F1237" t="n">
        <v>-67112</v>
      </c>
      <c r="G1237" t="n">
        <v>-66299</v>
      </c>
      <c r="H1237" t="n">
        <v>42853</v>
      </c>
      <c r="I1237" t="n">
        <v>-59309</v>
      </c>
      <c r="J1237" t="n">
        <v>8536</v>
      </c>
      <c r="K1237" t="n">
        <v/>
      </c>
      <c r="L1237" t="n">
        <v/>
      </c>
    </row>
    <row r="1238">
      <c r="A1238" s="64" t="n">
        <v>42535</v>
      </c>
      <c r="B1238" t="n">
        <v>-6778</v>
      </c>
      <c r="C1238" t="n">
        <v/>
      </c>
      <c r="D1238" t="n">
        <v>18440</v>
      </c>
      <c r="E1238" t="n">
        <v>7130</v>
      </c>
      <c r="F1238" t="n">
        <v>-56489</v>
      </c>
      <c r="G1238" t="n">
        <v>-36661</v>
      </c>
      <c r="H1238" t="n">
        <v>55690</v>
      </c>
      <c r="I1238" t="n">
        <v>-65619</v>
      </c>
      <c r="J1238" t="n">
        <v>-3818</v>
      </c>
      <c r="K1238" t="n">
        <v/>
      </c>
      <c r="L1238" t="n">
        <v/>
      </c>
    </row>
    <row r="1239">
      <c r="A1239" s="64" t="n">
        <v>42542</v>
      </c>
      <c r="B1239" t="n">
        <v>-7043</v>
      </c>
      <c r="C1239" t="n">
        <v/>
      </c>
      <c r="D1239" t="n">
        <v>2595</v>
      </c>
      <c r="E1239" t="n">
        <v>6381</v>
      </c>
      <c r="F1239" t="n">
        <v>-61346</v>
      </c>
      <c r="G1239" t="n">
        <v>-51947</v>
      </c>
      <c r="H1239" t="n">
        <v>52296</v>
      </c>
      <c r="I1239" t="n">
        <v>-68880</v>
      </c>
      <c r="J1239" t="n">
        <v>-3045</v>
      </c>
      <c r="K1239" t="n">
        <v/>
      </c>
      <c r="L1239" t="n">
        <v/>
      </c>
    </row>
    <row r="1240">
      <c r="A1240" s="64" t="n">
        <v>42549</v>
      </c>
      <c r="B1240" t="n">
        <v>-1952</v>
      </c>
      <c r="C1240" t="n">
        <v/>
      </c>
      <c r="D1240" t="n">
        <v>7949</v>
      </c>
      <c r="E1240" t="n">
        <v>10867</v>
      </c>
      <c r="F1240" t="n">
        <v>-61934</v>
      </c>
      <c r="G1240" t="n">
        <v>-42711</v>
      </c>
      <c r="H1240" t="n">
        <v>59750</v>
      </c>
      <c r="I1240" t="n">
        <v>-65327</v>
      </c>
      <c r="J1240" t="n">
        <v>-2826</v>
      </c>
      <c r="K1240" t="n">
        <v/>
      </c>
      <c r="L1240" t="n">
        <v/>
      </c>
    </row>
    <row r="1241">
      <c r="A1241" s="64" t="n">
        <v>42556</v>
      </c>
      <c r="B1241" t="n">
        <v>4903</v>
      </c>
      <c r="C1241" t="n">
        <v/>
      </c>
      <c r="D1241" t="n">
        <v>11517</v>
      </c>
      <c r="E1241" t="n">
        <v>8678</v>
      </c>
      <c r="F1241" t="n">
        <v>-75327</v>
      </c>
      <c r="G1241" t="n">
        <v>-49031</v>
      </c>
      <c r="H1241" t="n">
        <v>63568</v>
      </c>
      <c r="I1241" t="n">
        <v>-44857</v>
      </c>
      <c r="J1241" t="n">
        <v>-1403</v>
      </c>
      <c r="K1241" t="n">
        <v/>
      </c>
      <c r="L1241" t="n">
        <v/>
      </c>
    </row>
    <row r="1242">
      <c r="A1242" s="64" t="n">
        <v>42563</v>
      </c>
      <c r="B1242" t="n">
        <v>16216</v>
      </c>
      <c r="C1242" t="n">
        <v/>
      </c>
      <c r="D1242" t="n">
        <v>17175</v>
      </c>
      <c r="E1242" t="n">
        <v>6718</v>
      </c>
      <c r="F1242" t="n">
        <v>-87660</v>
      </c>
      <c r="G1242" t="n">
        <v>-60067</v>
      </c>
      <c r="H1242" t="n">
        <v>47545</v>
      </c>
      <c r="I1242" t="n">
        <v>-37172</v>
      </c>
      <c r="J1242" t="n">
        <v>1011</v>
      </c>
      <c r="K1242" t="n">
        <v/>
      </c>
      <c r="L1242" t="n">
        <v/>
      </c>
    </row>
    <row r="1243">
      <c r="A1243" s="64" t="n">
        <v>42570</v>
      </c>
      <c r="B1243" t="n">
        <v>33431</v>
      </c>
      <c r="C1243" t="n">
        <v/>
      </c>
      <c r="D1243" t="n">
        <v>22068</v>
      </c>
      <c r="E1243" t="n">
        <v>4687</v>
      </c>
      <c r="F1243" t="n">
        <v>-99891</v>
      </c>
      <c r="G1243" t="n">
        <v>-74386</v>
      </c>
      <c r="H1243" t="n">
        <v>39353</v>
      </c>
      <c r="I1243" t="n">
        <v>-39366</v>
      </c>
      <c r="J1243" t="n">
        <v>2173</v>
      </c>
      <c r="K1243" t="n">
        <v/>
      </c>
      <c r="L1243" t="n">
        <v/>
      </c>
    </row>
    <row r="1244">
      <c r="A1244" s="64" t="n">
        <v>42577</v>
      </c>
      <c r="B1244" t="n">
        <v>31510</v>
      </c>
      <c r="C1244" t="n">
        <v/>
      </c>
      <c r="D1244" t="n">
        <v>23180</v>
      </c>
      <c r="E1244" t="n">
        <v>946</v>
      </c>
      <c r="F1244" t="n">
        <v>-112600</v>
      </c>
      <c r="G1244" t="n">
        <v>-80572</v>
      </c>
      <c r="H1244" t="n">
        <v>34958</v>
      </c>
      <c r="I1244" t="n">
        <v>-46562</v>
      </c>
      <c r="J1244" t="n">
        <v>215</v>
      </c>
      <c r="K1244" t="n">
        <v/>
      </c>
      <c r="L1244" t="n">
        <v/>
      </c>
    </row>
    <row r="1245">
      <c r="A1245" s="64" t="n">
        <v>42584</v>
      </c>
      <c r="B1245" t="n">
        <v>31363</v>
      </c>
      <c r="C1245" t="n">
        <v/>
      </c>
      <c r="D1245" t="n">
        <v>17758</v>
      </c>
      <c r="E1245" t="n">
        <v>-1715</v>
      </c>
      <c r="F1245" t="n">
        <v>-104103</v>
      </c>
      <c r="G1245" t="n">
        <v>-82515</v>
      </c>
      <c r="H1245" t="n">
        <v>41700</v>
      </c>
      <c r="I1245" t="n">
        <v>-52123</v>
      </c>
      <c r="J1245" t="n">
        <v>217</v>
      </c>
      <c r="K1245" t="n">
        <v/>
      </c>
      <c r="L1245" t="n">
        <v>-1515</v>
      </c>
    </row>
    <row r="1246">
      <c r="A1246" s="64" t="n">
        <v>42591</v>
      </c>
      <c r="B1246" t="n">
        <v>34884</v>
      </c>
      <c r="C1246" t="n">
        <v/>
      </c>
      <c r="D1246" t="n">
        <v>15366</v>
      </c>
      <c r="E1246" t="n">
        <v>107</v>
      </c>
      <c r="F1246" t="n">
        <v>-98399</v>
      </c>
      <c r="G1246" t="n">
        <v>-90082</v>
      </c>
      <c r="H1246" t="n">
        <v>48831</v>
      </c>
      <c r="I1246" t="n">
        <v>-54362</v>
      </c>
      <c r="J1246" t="n">
        <v>-613</v>
      </c>
      <c r="K1246" t="n">
        <v/>
      </c>
      <c r="L1246" t="n">
        <v>-1181</v>
      </c>
    </row>
    <row r="1247">
      <c r="A1247" s="64" t="n">
        <v>42598</v>
      </c>
      <c r="B1247" t="n">
        <v>41113</v>
      </c>
      <c r="C1247" t="n">
        <v/>
      </c>
      <c r="D1247" t="n">
        <v>12473</v>
      </c>
      <c r="E1247" t="n">
        <v>-1545</v>
      </c>
      <c r="F1247" t="n">
        <v>-92508</v>
      </c>
      <c r="G1247" t="n">
        <v>-94238</v>
      </c>
      <c r="H1247" t="n">
        <v>56006</v>
      </c>
      <c r="I1247" t="n">
        <v>-45723</v>
      </c>
      <c r="J1247" t="n">
        <v>-695</v>
      </c>
      <c r="K1247" t="n">
        <v/>
      </c>
      <c r="L1247" t="n">
        <v/>
      </c>
    </row>
    <row r="1248">
      <c r="A1248" s="64" t="n">
        <v>42605</v>
      </c>
      <c r="B1248" t="n">
        <v>42757</v>
      </c>
      <c r="C1248" t="n">
        <v/>
      </c>
      <c r="D1248" t="n">
        <v>16734</v>
      </c>
      <c r="E1248" t="n">
        <v>1885</v>
      </c>
      <c r="F1248" t="n">
        <v>-76658</v>
      </c>
      <c r="G1248" t="n">
        <v>-94978</v>
      </c>
      <c r="H1248" t="n">
        <v>60316</v>
      </c>
      <c r="I1248" t="n">
        <v>-28541</v>
      </c>
      <c r="J1248" t="n">
        <v>-878</v>
      </c>
      <c r="K1248" t="n">
        <v/>
      </c>
      <c r="L1248" t="n">
        <v/>
      </c>
    </row>
    <row r="1249">
      <c r="A1249" s="64" t="n">
        <v>42612</v>
      </c>
      <c r="B1249" t="n">
        <v>42566</v>
      </c>
      <c r="C1249" t="n">
        <v/>
      </c>
      <c r="D1249" t="n">
        <v>22400</v>
      </c>
      <c r="E1249" t="n">
        <v>8208</v>
      </c>
      <c r="F1249" t="n">
        <v>-81925</v>
      </c>
      <c r="G1249" t="n">
        <v>-92485</v>
      </c>
      <c r="H1249" t="n">
        <v>63661</v>
      </c>
      <c r="I1249" t="n">
        <v>-33234</v>
      </c>
      <c r="J1249" t="n">
        <v>1893</v>
      </c>
      <c r="K1249" t="n">
        <v/>
      </c>
      <c r="L1249" t="n">
        <v/>
      </c>
    </row>
    <row r="1250">
      <c r="A1250" s="64" t="n">
        <v>42619</v>
      </c>
      <c r="B1250" t="n">
        <v>38959</v>
      </c>
      <c r="C1250" t="n">
        <v/>
      </c>
      <c r="D1250" t="n">
        <v>20905</v>
      </c>
      <c r="E1250" t="n">
        <v>1451</v>
      </c>
      <c r="F1250" t="n">
        <v>-92630</v>
      </c>
      <c r="G1250" t="n">
        <v>-89969</v>
      </c>
      <c r="H1250" t="n">
        <v>54489</v>
      </c>
      <c r="I1250" t="n">
        <v>-58399</v>
      </c>
      <c r="J1250" t="n">
        <v>6128</v>
      </c>
      <c r="K1250" t="n">
        <v/>
      </c>
      <c r="L1250" t="n">
        <v/>
      </c>
    </row>
    <row r="1251">
      <c r="A1251" s="64" t="n">
        <v>42626</v>
      </c>
      <c r="B1251" t="n">
        <v>36467</v>
      </c>
      <c r="C1251" t="n">
        <v/>
      </c>
      <c r="D1251" t="n">
        <v>17058</v>
      </c>
      <c r="E1251" t="n">
        <v>1348</v>
      </c>
      <c r="F1251" t="n">
        <v>-81475</v>
      </c>
      <c r="G1251" t="n">
        <v>-82821</v>
      </c>
      <c r="H1251" t="n">
        <v>56846</v>
      </c>
      <c r="I1251" t="n">
        <v>-65747</v>
      </c>
      <c r="J1251" t="n">
        <v>5129</v>
      </c>
      <c r="K1251" t="n">
        <v/>
      </c>
      <c r="L1251" t="n">
        <v>-1299</v>
      </c>
    </row>
    <row r="1252">
      <c r="A1252" s="64" t="n">
        <v>42633</v>
      </c>
      <c r="B1252" t="n">
        <v>6848</v>
      </c>
      <c r="C1252" t="n">
        <v/>
      </c>
      <c r="D1252" t="n">
        <v>16303</v>
      </c>
      <c r="E1252" t="n">
        <v>8413</v>
      </c>
      <c r="F1252" t="n">
        <v>-85025</v>
      </c>
      <c r="G1252" t="n">
        <v>-58686</v>
      </c>
      <c r="H1252" t="n">
        <v>58785</v>
      </c>
      <c r="I1252" t="n">
        <v>-89342</v>
      </c>
      <c r="J1252" t="n">
        <v>-7916</v>
      </c>
      <c r="K1252" t="n">
        <v/>
      </c>
      <c r="L1252" t="n">
        <v/>
      </c>
    </row>
    <row r="1253">
      <c r="A1253" s="64" t="n">
        <v>42640</v>
      </c>
      <c r="B1253" t="n">
        <v>15008</v>
      </c>
      <c r="C1253" t="n">
        <v/>
      </c>
      <c r="D1253" t="n">
        <v>-11615</v>
      </c>
      <c r="E1253" t="n">
        <v>-5956</v>
      </c>
      <c r="F1253" t="n">
        <v>-76030</v>
      </c>
      <c r="G1253" t="n">
        <v>-87714</v>
      </c>
      <c r="H1253" t="n">
        <v>68892</v>
      </c>
      <c r="I1253" t="n">
        <v>-85873</v>
      </c>
      <c r="J1253" t="n">
        <v>-6793</v>
      </c>
      <c r="K1253" t="n">
        <v/>
      </c>
      <c r="L1253" t="n">
        <v/>
      </c>
    </row>
    <row r="1254">
      <c r="A1254" s="64" t="n">
        <v>42647</v>
      </c>
      <c r="B1254" t="n">
        <v>23938</v>
      </c>
      <c r="C1254" t="n">
        <v/>
      </c>
      <c r="D1254" t="n">
        <v>-14077</v>
      </c>
      <c r="E1254" t="n">
        <v>-2936</v>
      </c>
      <c r="F1254" t="n">
        <v>-82059</v>
      </c>
      <c r="G1254" t="n">
        <v>-97572</v>
      </c>
      <c r="H1254" t="n">
        <v>68695</v>
      </c>
      <c r="I1254" t="n">
        <v>-85892</v>
      </c>
      <c r="J1254" t="n">
        <v>-7830</v>
      </c>
      <c r="K1254" t="n">
        <v/>
      </c>
      <c r="L1254" t="n">
        <v/>
      </c>
    </row>
    <row r="1255">
      <c r="A1255" s="64" t="n">
        <v>42654</v>
      </c>
      <c r="B1255" t="n">
        <v>26104</v>
      </c>
      <c r="C1255" t="n">
        <v/>
      </c>
      <c r="D1255" t="n">
        <v>-11704</v>
      </c>
      <c r="E1255" t="n">
        <v>-9408</v>
      </c>
      <c r="F1255" t="n">
        <v>-93472</v>
      </c>
      <c r="G1255" t="n">
        <v>-95470</v>
      </c>
      <c r="H1255" t="n">
        <v>45909</v>
      </c>
      <c r="I1255" t="n">
        <v>-51792</v>
      </c>
      <c r="J1255" t="n">
        <v>-7736</v>
      </c>
      <c r="K1255" t="n">
        <v/>
      </c>
      <c r="L1255" t="n">
        <v/>
      </c>
    </row>
    <row r="1256">
      <c r="A1256" s="64" t="n">
        <v>42661</v>
      </c>
      <c r="B1256" t="n">
        <v>29980</v>
      </c>
      <c r="C1256" t="n">
        <v/>
      </c>
      <c r="D1256" t="n">
        <v>-14298</v>
      </c>
      <c r="E1256" t="n">
        <v>-16377</v>
      </c>
      <c r="F1256" t="n">
        <v>-109268</v>
      </c>
      <c r="G1256" t="n">
        <v>-91558</v>
      </c>
      <c r="H1256" t="n">
        <v>36991</v>
      </c>
      <c r="I1256" t="n">
        <v>-30719</v>
      </c>
      <c r="J1256" t="n">
        <v>-153</v>
      </c>
      <c r="K1256" t="n">
        <v/>
      </c>
      <c r="L1256" t="n">
        <v/>
      </c>
    </row>
    <row r="1257">
      <c r="A1257" s="64" t="n">
        <v>42668</v>
      </c>
      <c r="B1257" t="n">
        <v>31923</v>
      </c>
      <c r="C1257" t="n">
        <v/>
      </c>
      <c r="D1257" t="n">
        <v>-13324</v>
      </c>
      <c r="E1257" t="n">
        <v>-18700</v>
      </c>
      <c r="F1257" t="n">
        <v>-123856</v>
      </c>
      <c r="G1257" t="n">
        <v>-83962</v>
      </c>
      <c r="H1257" t="n">
        <v>44595</v>
      </c>
      <c r="I1257" t="n">
        <v>-25343</v>
      </c>
      <c r="J1257" t="n">
        <v>-420</v>
      </c>
      <c r="K1257" t="n">
        <v/>
      </c>
      <c r="L1257" t="n">
        <v/>
      </c>
    </row>
    <row r="1258">
      <c r="A1258" s="64" t="n">
        <v>42675</v>
      </c>
      <c r="B1258" t="n">
        <v>40867</v>
      </c>
      <c r="C1258" t="n">
        <v/>
      </c>
      <c r="D1258" t="n">
        <v>-15960</v>
      </c>
      <c r="E1258" t="n">
        <v>-19970</v>
      </c>
      <c r="F1258" t="n">
        <v>-137385</v>
      </c>
      <c r="G1258" t="n">
        <v>-82961</v>
      </c>
      <c r="H1258" t="n">
        <v>43160</v>
      </c>
      <c r="I1258" t="n">
        <v>-36472</v>
      </c>
      <c r="J1258" t="n">
        <v>-965</v>
      </c>
      <c r="K1258" t="n">
        <v/>
      </c>
      <c r="L1258" t="n">
        <v/>
      </c>
    </row>
    <row r="1259">
      <c r="A1259" s="64" t="n">
        <v>42682</v>
      </c>
      <c r="B1259" t="n">
        <v>41108</v>
      </c>
      <c r="C1259" t="n">
        <v/>
      </c>
      <c r="D1259" t="n">
        <v>-21312</v>
      </c>
      <c r="E1259" t="n">
        <v>-23291</v>
      </c>
      <c r="F1259" t="n">
        <v>-129314</v>
      </c>
      <c r="G1259" t="n">
        <v>-89845</v>
      </c>
      <c r="H1259" t="n">
        <v>31956</v>
      </c>
      <c r="I1259" t="n">
        <v>-32996</v>
      </c>
      <c r="J1259" t="n">
        <v>2505</v>
      </c>
      <c r="K1259" t="n">
        <v/>
      </c>
      <c r="L1259" t="n">
        <v/>
      </c>
    </row>
    <row r="1260">
      <c r="A1260" s="64" t="n">
        <v>42689</v>
      </c>
      <c r="B1260" t="n">
        <v>41518</v>
      </c>
      <c r="C1260" t="n">
        <v/>
      </c>
      <c r="D1260" t="n">
        <v>-18599</v>
      </c>
      <c r="E1260" t="n">
        <v>-22194</v>
      </c>
      <c r="F1260" t="n">
        <v>-119182</v>
      </c>
      <c r="G1260" t="n">
        <v>-80313</v>
      </c>
      <c r="H1260" t="n">
        <v>20676</v>
      </c>
      <c r="I1260" t="n">
        <v>-45153</v>
      </c>
      <c r="J1260" t="n">
        <v>2043</v>
      </c>
      <c r="K1260" t="n">
        <v/>
      </c>
      <c r="L1260" t="n">
        <v/>
      </c>
    </row>
    <row r="1261">
      <c r="A1261" s="64" t="n">
        <v>42696</v>
      </c>
      <c r="B1261" t="n">
        <v>30705</v>
      </c>
      <c r="C1261" t="n">
        <v/>
      </c>
      <c r="D1261" t="n">
        <v>-17462</v>
      </c>
      <c r="E1261" t="n">
        <v>-22900</v>
      </c>
      <c r="F1261" t="n">
        <v>-119348</v>
      </c>
      <c r="G1261" t="n">
        <v>-74318</v>
      </c>
      <c r="H1261" t="n">
        <v>10900</v>
      </c>
      <c r="I1261" t="n">
        <v>-48314</v>
      </c>
      <c r="J1261" t="n">
        <v>-533</v>
      </c>
      <c r="K1261" t="n">
        <v/>
      </c>
      <c r="L1261" t="n">
        <v/>
      </c>
    </row>
    <row r="1262">
      <c r="A1262" s="64" t="n">
        <v>42703</v>
      </c>
      <c r="B1262" t="n">
        <v>20957</v>
      </c>
      <c r="C1262" t="n">
        <v/>
      </c>
      <c r="D1262" t="n">
        <v>-18576</v>
      </c>
      <c r="E1262" t="n">
        <v>-24334</v>
      </c>
      <c r="F1262" t="n">
        <v>-119240</v>
      </c>
      <c r="G1262" t="n">
        <v>-78135</v>
      </c>
      <c r="H1262" t="n">
        <v>-269</v>
      </c>
      <c r="I1262" t="n">
        <v>-54500</v>
      </c>
      <c r="J1262" t="n">
        <v>-1872</v>
      </c>
      <c r="K1262" t="n">
        <v/>
      </c>
      <c r="L1262" t="n">
        <v/>
      </c>
    </row>
    <row r="1263">
      <c r="A1263" s="64" t="n">
        <v>42710</v>
      </c>
      <c r="B1263" t="n">
        <v>20871</v>
      </c>
      <c r="C1263" t="n">
        <v/>
      </c>
      <c r="D1263" t="n">
        <v>-18158</v>
      </c>
      <c r="E1263" t="n">
        <v>-25397</v>
      </c>
      <c r="F1263" t="n">
        <v>-114556</v>
      </c>
      <c r="G1263" t="n">
        <v>-77238</v>
      </c>
      <c r="H1263" t="n">
        <v>-33937</v>
      </c>
      <c r="I1263" t="n">
        <v>-54066</v>
      </c>
      <c r="J1263" t="n">
        <v>-3952</v>
      </c>
      <c r="K1263" t="n">
        <v/>
      </c>
      <c r="L1263" t="n">
        <v>-1598</v>
      </c>
    </row>
    <row r="1264">
      <c r="A1264" s="64" t="n">
        <v>42717</v>
      </c>
      <c r="B1264" t="n">
        <v>13473</v>
      </c>
      <c r="C1264" t="n">
        <v/>
      </c>
      <c r="D1264" t="n">
        <v>-21869</v>
      </c>
      <c r="E1264" t="n">
        <v>-25288</v>
      </c>
      <c r="F1264" t="n">
        <v>-87513</v>
      </c>
      <c r="G1264" t="n">
        <v>-72343</v>
      </c>
      <c r="H1264" t="n">
        <v>-63429</v>
      </c>
      <c r="I1264" t="n">
        <v>-57659</v>
      </c>
      <c r="J1264" t="n">
        <v>-3702</v>
      </c>
      <c r="K1264" t="n">
        <v/>
      </c>
      <c r="L1264" t="n">
        <v>-1545</v>
      </c>
    </row>
    <row r="1265">
      <c r="A1265" s="64" t="n">
        <v>42724</v>
      </c>
      <c r="B1265" t="n">
        <v>3941</v>
      </c>
      <c r="C1265" t="n">
        <v/>
      </c>
      <c r="D1265" t="n">
        <v>-11754</v>
      </c>
      <c r="E1265" t="n">
        <v>7110</v>
      </c>
      <c r="F1265" t="n">
        <v>-78045</v>
      </c>
      <c r="G1265" t="n">
        <v>-59350</v>
      </c>
      <c r="H1265" t="n">
        <v>-75449</v>
      </c>
      <c r="I1265" t="n">
        <v>-66681</v>
      </c>
      <c r="J1265" t="n">
        <v>-6953</v>
      </c>
      <c r="K1265" t="n">
        <v/>
      </c>
      <c r="L1265" t="n">
        <v>330</v>
      </c>
    </row>
    <row r="1266">
      <c r="A1266" s="64" t="n">
        <v>42731</v>
      </c>
      <c r="B1266" t="n">
        <v>-1510</v>
      </c>
      <c r="C1266" t="n">
        <v/>
      </c>
      <c r="D1266" t="n">
        <v>-1598</v>
      </c>
      <c r="E1266" t="n">
        <v>-10091</v>
      </c>
      <c r="F1266" t="n">
        <v>-69408</v>
      </c>
      <c r="G1266" t="n">
        <v>-57099</v>
      </c>
      <c r="H1266" t="n">
        <v>-87009</v>
      </c>
      <c r="I1266" t="n">
        <v>-61657</v>
      </c>
      <c r="J1266" t="n">
        <v>-11001</v>
      </c>
      <c r="K1266" t="n">
        <v/>
      </c>
      <c r="L1266" t="n">
        <v>392</v>
      </c>
    </row>
    <row r="1267">
      <c r="A1267" s="64" t="n">
        <v>42738</v>
      </c>
      <c r="B1267" t="n">
        <v>-3256</v>
      </c>
      <c r="C1267" t="n">
        <v/>
      </c>
      <c r="D1267" t="n">
        <v>-3871</v>
      </c>
      <c r="E1267" t="n">
        <v>-13439</v>
      </c>
      <c r="F1267" t="n">
        <v>-70056</v>
      </c>
      <c r="G1267" t="n">
        <v>-64742</v>
      </c>
      <c r="H1267" t="n">
        <v>-86764</v>
      </c>
      <c r="I1267" t="n">
        <v>-65636</v>
      </c>
      <c r="J1267" t="n">
        <v>-11413</v>
      </c>
      <c r="K1267" t="n">
        <v/>
      </c>
      <c r="L1267" t="n">
        <v>737</v>
      </c>
    </row>
    <row r="1268">
      <c r="A1268" s="64" t="n">
        <v>42745</v>
      </c>
      <c r="B1268" t="n">
        <v>-3848</v>
      </c>
      <c r="C1268" t="n">
        <v/>
      </c>
      <c r="D1268" t="n">
        <v>-7935</v>
      </c>
      <c r="E1268" t="n">
        <v>-14246</v>
      </c>
      <c r="F1268" t="n">
        <v>-65823</v>
      </c>
      <c r="G1268" t="n">
        <v>-65831</v>
      </c>
      <c r="H1268" t="n">
        <v>-79839</v>
      </c>
      <c r="I1268" t="n">
        <v>-71776</v>
      </c>
      <c r="J1268" t="n">
        <v>-13960</v>
      </c>
      <c r="K1268" t="n">
        <v/>
      </c>
      <c r="L1268" t="n">
        <v>1687</v>
      </c>
    </row>
    <row r="1269">
      <c r="A1269" s="64" t="n">
        <v>42752</v>
      </c>
      <c r="B1269" t="n">
        <v>4845</v>
      </c>
      <c r="C1269" t="n">
        <v/>
      </c>
      <c r="D1269" t="n">
        <v>-5456</v>
      </c>
      <c r="E1269" t="n">
        <v>-13683</v>
      </c>
      <c r="F1269" t="n">
        <v>-66500</v>
      </c>
      <c r="G1269" t="n">
        <v>-66242</v>
      </c>
      <c r="H1269" t="n">
        <v>-77830</v>
      </c>
      <c r="I1269" t="n">
        <v>-73321</v>
      </c>
      <c r="J1269" t="n">
        <v>-12288</v>
      </c>
      <c r="K1269" t="n">
        <v/>
      </c>
      <c r="L1269" t="n">
        <v>2057</v>
      </c>
    </row>
    <row r="1270">
      <c r="A1270" s="64" t="n">
        <v>42759</v>
      </c>
      <c r="B1270" t="n">
        <v>10294</v>
      </c>
      <c r="C1270" t="n">
        <v/>
      </c>
      <c r="D1270" t="n">
        <v>2519</v>
      </c>
      <c r="E1270" t="n">
        <v>-13644</v>
      </c>
      <c r="F1270" t="n">
        <v>-52348</v>
      </c>
      <c r="G1270" t="n">
        <v>-63172</v>
      </c>
      <c r="H1270" t="n">
        <v>-66840</v>
      </c>
      <c r="I1270" t="n">
        <v>-64654</v>
      </c>
      <c r="J1270" t="n">
        <v>-9883</v>
      </c>
      <c r="K1270" t="n">
        <v/>
      </c>
      <c r="L1270" t="n">
        <v>2785</v>
      </c>
    </row>
    <row r="1271">
      <c r="A1271" s="64" t="n">
        <v>42766</v>
      </c>
      <c r="B1271" t="n">
        <v>12056</v>
      </c>
      <c r="C1271" t="n">
        <v/>
      </c>
      <c r="D1271" t="n">
        <v>3472</v>
      </c>
      <c r="E1271" t="n">
        <v>-17140</v>
      </c>
      <c r="F1271" t="n">
        <v>-45713</v>
      </c>
      <c r="G1271" t="n">
        <v>-61772</v>
      </c>
      <c r="H1271" t="n">
        <v>-58331</v>
      </c>
      <c r="I1271" t="n">
        <v>-63208</v>
      </c>
      <c r="J1271" t="n">
        <v>-1022</v>
      </c>
      <c r="K1271" t="n">
        <v/>
      </c>
      <c r="L1271" t="n">
        <v>5918</v>
      </c>
    </row>
    <row r="1272">
      <c r="A1272" s="64" t="n">
        <v>42773</v>
      </c>
      <c r="B1272" t="n">
        <v>16748</v>
      </c>
      <c r="C1272" t="n">
        <v/>
      </c>
      <c r="D1272" t="n">
        <v>8550</v>
      </c>
      <c r="E1272" t="n">
        <v>-14621</v>
      </c>
      <c r="F1272" t="n">
        <v>-44951</v>
      </c>
      <c r="G1272" t="n">
        <v>-64539</v>
      </c>
      <c r="H1272" t="n">
        <v>-55060</v>
      </c>
      <c r="I1272" t="n">
        <v>-58488</v>
      </c>
      <c r="J1272" t="n">
        <v>1845</v>
      </c>
      <c r="K1272" t="n">
        <v/>
      </c>
      <c r="L1272" t="n">
        <v>5712</v>
      </c>
    </row>
    <row r="1273">
      <c r="A1273" s="64" t="n">
        <v>42780</v>
      </c>
      <c r="B1273" t="n">
        <v>24218</v>
      </c>
      <c r="C1273" t="n">
        <v/>
      </c>
      <c r="D1273" t="n">
        <v>19340</v>
      </c>
      <c r="E1273" t="n">
        <v>-11484</v>
      </c>
      <c r="F1273" t="n">
        <v>-46764</v>
      </c>
      <c r="G1273" t="n">
        <v>-65528</v>
      </c>
      <c r="H1273" t="n">
        <v>-51284</v>
      </c>
      <c r="I1273" t="n">
        <v>-60213</v>
      </c>
      <c r="J1273" t="n">
        <v>2876</v>
      </c>
      <c r="K1273" t="n">
        <v/>
      </c>
      <c r="L1273" t="n">
        <v>5838</v>
      </c>
    </row>
    <row r="1274">
      <c r="A1274" s="64" t="n">
        <v>42787</v>
      </c>
      <c r="B1274" t="n">
        <v>33522</v>
      </c>
      <c r="C1274" t="n">
        <v/>
      </c>
      <c r="D1274" t="n">
        <v>24584</v>
      </c>
      <c r="E1274" t="n">
        <v>-8936</v>
      </c>
      <c r="F1274" t="n">
        <v>-58251</v>
      </c>
      <c r="G1274" t="n">
        <v>-66352</v>
      </c>
      <c r="H1274" t="n">
        <v>-50162</v>
      </c>
      <c r="I1274" t="n">
        <v>-56481</v>
      </c>
      <c r="J1274" t="n">
        <v>3158</v>
      </c>
      <c r="K1274" t="n">
        <v/>
      </c>
      <c r="L1274" t="n">
        <v>6153</v>
      </c>
    </row>
    <row r="1275">
      <c r="A1275" s="64" t="n">
        <v>42794</v>
      </c>
      <c r="B1275" t="n">
        <v>51915</v>
      </c>
      <c r="C1275" t="n">
        <v/>
      </c>
      <c r="D1275" t="n">
        <v>30090</v>
      </c>
      <c r="E1275" t="n">
        <v>-11814</v>
      </c>
      <c r="F1275" t="n">
        <v>-51164</v>
      </c>
      <c r="G1275" t="n">
        <v>-70671</v>
      </c>
      <c r="H1275" t="n">
        <v>-50017</v>
      </c>
      <c r="I1275" t="n">
        <v>-45783</v>
      </c>
      <c r="J1275" t="n">
        <v>2937</v>
      </c>
      <c r="K1275" t="n">
        <v/>
      </c>
      <c r="L1275" t="n">
        <v>6365</v>
      </c>
    </row>
    <row r="1276">
      <c r="A1276" s="64" t="n">
        <v>42801</v>
      </c>
      <c r="B1276" t="n">
        <v>50978</v>
      </c>
      <c r="C1276" t="n">
        <v/>
      </c>
      <c r="D1276" t="n">
        <v>29220</v>
      </c>
      <c r="E1276" t="n">
        <v>-10016</v>
      </c>
      <c r="F1276" t="n">
        <v>-59501</v>
      </c>
      <c r="G1276" t="n">
        <v>-81437</v>
      </c>
      <c r="H1276" t="n">
        <v>-54700</v>
      </c>
      <c r="I1276" t="n">
        <v>-42758</v>
      </c>
      <c r="J1276" t="n">
        <v>-4425</v>
      </c>
      <c r="K1276" t="n">
        <v/>
      </c>
      <c r="L1276" t="n">
        <v>7192</v>
      </c>
    </row>
    <row r="1277">
      <c r="A1277" s="64" t="n">
        <v>42808</v>
      </c>
      <c r="B1277" t="n">
        <v>43265</v>
      </c>
      <c r="C1277" t="n">
        <v/>
      </c>
      <c r="D1277" t="n">
        <v>21458</v>
      </c>
      <c r="E1277" t="n">
        <v>-8997</v>
      </c>
      <c r="F1277" t="n">
        <v>-41027</v>
      </c>
      <c r="G1277" t="n">
        <v>-107117</v>
      </c>
      <c r="H1277" t="n">
        <v>-71297</v>
      </c>
      <c r="I1277" t="n">
        <v>-5467</v>
      </c>
      <c r="J1277" t="n">
        <v>-5605</v>
      </c>
      <c r="K1277" t="n">
        <v/>
      </c>
      <c r="L1277" t="n">
        <v>4169</v>
      </c>
    </row>
    <row r="1278">
      <c r="A1278" s="64" t="n">
        <v>42815</v>
      </c>
      <c r="B1278" t="n">
        <v>44955</v>
      </c>
      <c r="C1278" t="n">
        <v/>
      </c>
      <c r="D1278" t="n">
        <v>-24403</v>
      </c>
      <c r="E1278" t="n">
        <v>-11979</v>
      </c>
      <c r="F1278" t="n">
        <v>-19662</v>
      </c>
      <c r="G1278" t="n">
        <v>-107844</v>
      </c>
      <c r="H1278" t="n">
        <v>-66987</v>
      </c>
      <c r="I1278" t="n">
        <v>-3281</v>
      </c>
      <c r="J1278" t="n">
        <v>-12610</v>
      </c>
      <c r="K1278" t="n">
        <v/>
      </c>
      <c r="L1278" t="n">
        <v>4112</v>
      </c>
    </row>
    <row r="1279">
      <c r="A1279" s="64" t="n">
        <v>42822</v>
      </c>
      <c r="B1279" t="n">
        <v>53138</v>
      </c>
      <c r="C1279" t="n">
        <v/>
      </c>
      <c r="D1279" t="n">
        <v>-28217</v>
      </c>
      <c r="E1279" t="n">
        <v>-16392</v>
      </c>
      <c r="F1279" t="n">
        <v>-7923</v>
      </c>
      <c r="G1279" t="n">
        <v>-104075</v>
      </c>
      <c r="H1279" t="n">
        <v>-53181</v>
      </c>
      <c r="I1279" t="n">
        <v>-4737</v>
      </c>
      <c r="J1279" t="n">
        <v>-12629</v>
      </c>
      <c r="K1279" t="n">
        <v/>
      </c>
      <c r="L1279" t="n">
        <v>3716</v>
      </c>
    </row>
    <row r="1280">
      <c r="A1280" s="64" t="n">
        <v>42829</v>
      </c>
      <c r="B1280" t="n">
        <v>49593</v>
      </c>
      <c r="C1280" t="n">
        <v/>
      </c>
      <c r="D1280" t="n">
        <v>-30225</v>
      </c>
      <c r="E1280" t="n">
        <v>-13825</v>
      </c>
      <c r="F1280" t="n">
        <v>-11405</v>
      </c>
      <c r="G1280" t="n">
        <v>-99673</v>
      </c>
      <c r="H1280" t="n">
        <v>-45800</v>
      </c>
      <c r="I1280" t="n">
        <v>-9688</v>
      </c>
      <c r="J1280" t="n">
        <v>-14724</v>
      </c>
      <c r="K1280" t="n">
        <v/>
      </c>
      <c r="L1280" t="n">
        <v>3834</v>
      </c>
    </row>
    <row r="1281">
      <c r="A1281" s="64" t="n">
        <v>42836</v>
      </c>
      <c r="B1281" t="n">
        <v>45151</v>
      </c>
      <c r="C1281" t="n">
        <v/>
      </c>
      <c r="D1281" t="n">
        <v>-32334</v>
      </c>
      <c r="E1281" t="n">
        <v>-10128</v>
      </c>
      <c r="F1281" t="n">
        <v>-18956</v>
      </c>
      <c r="G1281" t="n">
        <v>-105901</v>
      </c>
      <c r="H1281" t="n">
        <v>-34764</v>
      </c>
      <c r="I1281" t="n">
        <v>-12675</v>
      </c>
      <c r="J1281" t="n">
        <v>-15153</v>
      </c>
      <c r="K1281" t="n">
        <v/>
      </c>
      <c r="L1281" t="n">
        <v>3456</v>
      </c>
    </row>
    <row r="1282">
      <c r="A1282" s="64" t="n">
        <v>42843</v>
      </c>
      <c r="B1282" t="n">
        <v>43262</v>
      </c>
      <c r="C1282" t="n">
        <v/>
      </c>
      <c r="D1282" t="n">
        <v>-33252</v>
      </c>
      <c r="E1282" t="n">
        <v>-13802</v>
      </c>
      <c r="F1282" t="n">
        <v>-21649</v>
      </c>
      <c r="G1282" t="n">
        <v>-99490</v>
      </c>
      <c r="H1282" t="n">
        <v>-30463</v>
      </c>
      <c r="I1282" t="n">
        <v>14244</v>
      </c>
      <c r="J1282" t="n">
        <v>-15006</v>
      </c>
      <c r="K1282" t="n">
        <v/>
      </c>
      <c r="L1282" t="n">
        <v>1318</v>
      </c>
    </row>
    <row r="1283">
      <c r="A1283" s="64" t="n">
        <v>42850</v>
      </c>
      <c r="B1283" t="n">
        <v>42702</v>
      </c>
      <c r="C1283" t="n">
        <v/>
      </c>
      <c r="D1283" t="n">
        <v>-42642</v>
      </c>
      <c r="E1283" t="n">
        <v>-17317</v>
      </c>
      <c r="F1283" t="n">
        <v>-20895</v>
      </c>
      <c r="G1283" t="n">
        <v>-91182</v>
      </c>
      <c r="H1283" t="n">
        <v>-26869</v>
      </c>
      <c r="I1283" t="n">
        <v>16038</v>
      </c>
      <c r="J1283" t="n">
        <v>-15404</v>
      </c>
      <c r="K1283" t="n">
        <v/>
      </c>
      <c r="L1283" t="n">
        <v>1878</v>
      </c>
    </row>
    <row r="1284">
      <c r="A1284" s="64" t="n">
        <v>42857</v>
      </c>
      <c r="B1284" t="n">
        <v>42675</v>
      </c>
      <c r="C1284" t="n">
        <v/>
      </c>
      <c r="D1284" t="n">
        <v>-47704</v>
      </c>
      <c r="E1284" t="n">
        <v>-17708</v>
      </c>
      <c r="F1284" t="n">
        <v>-1653</v>
      </c>
      <c r="G1284" t="n">
        <v>-81364</v>
      </c>
      <c r="H1284" t="n">
        <v>-30483</v>
      </c>
      <c r="I1284" t="n">
        <v>15115</v>
      </c>
      <c r="J1284" t="n">
        <v>-11970</v>
      </c>
      <c r="K1284" t="n">
        <v/>
      </c>
      <c r="L1284" t="n">
        <v>2033</v>
      </c>
    </row>
    <row r="1285">
      <c r="A1285" s="64" t="n">
        <v>42864</v>
      </c>
      <c r="B1285" t="n">
        <v>25784</v>
      </c>
      <c r="C1285" t="n">
        <v/>
      </c>
      <c r="D1285" t="n">
        <v>-86215</v>
      </c>
      <c r="E1285" t="n">
        <v>-15196</v>
      </c>
      <c r="F1285" t="n">
        <v>22399</v>
      </c>
      <c r="G1285" t="n">
        <v>-46798</v>
      </c>
      <c r="H1285" t="n">
        <v>-36307</v>
      </c>
      <c r="I1285" t="n">
        <v>69903</v>
      </c>
      <c r="J1285" t="n">
        <v>-10786</v>
      </c>
      <c r="K1285" t="n">
        <v/>
      </c>
      <c r="L1285" t="n">
        <v>1198</v>
      </c>
    </row>
    <row r="1286">
      <c r="A1286" s="64" t="n">
        <v>42871</v>
      </c>
      <c r="B1286" t="n">
        <v>6344</v>
      </c>
      <c r="C1286" t="n">
        <v/>
      </c>
      <c r="D1286" t="n">
        <v>-98000</v>
      </c>
      <c r="E1286" t="n">
        <v>-21162</v>
      </c>
      <c r="F1286" t="n">
        <v>37604</v>
      </c>
      <c r="G1286" t="n">
        <v>-32995</v>
      </c>
      <c r="H1286" t="n">
        <v>-60008</v>
      </c>
      <c r="I1286" t="n">
        <v>70054</v>
      </c>
      <c r="J1286" t="n">
        <v>-11954</v>
      </c>
      <c r="K1286" t="n">
        <v/>
      </c>
      <c r="L1286" t="n">
        <v>1626</v>
      </c>
    </row>
    <row r="1287">
      <c r="A1287" s="64" t="n">
        <v>42878</v>
      </c>
      <c r="B1287" t="n">
        <v>2635</v>
      </c>
      <c r="C1287" t="n">
        <v/>
      </c>
      <c r="D1287" t="n">
        <v>-99109</v>
      </c>
      <c r="E1287" t="n">
        <v>-19785</v>
      </c>
      <c r="F1287" t="n">
        <v>64845</v>
      </c>
      <c r="G1287" t="n">
        <v>-23867</v>
      </c>
      <c r="H1287" t="n">
        <v>-51656</v>
      </c>
      <c r="I1287" t="n">
        <v>54298</v>
      </c>
      <c r="J1287" t="n">
        <v>-9217</v>
      </c>
      <c r="K1287" t="n">
        <v/>
      </c>
      <c r="L1287" t="n">
        <v>1499</v>
      </c>
    </row>
    <row r="1288">
      <c r="A1288" s="64" t="n">
        <v>42885</v>
      </c>
      <c r="B1288" t="n">
        <v>3067</v>
      </c>
      <c r="C1288" t="n">
        <v/>
      </c>
      <c r="D1288" t="n">
        <v>-98187</v>
      </c>
      <c r="E1288" t="n">
        <v>-18512</v>
      </c>
      <c r="F1288" t="n">
        <v>72869</v>
      </c>
      <c r="G1288" t="n">
        <v>-29651</v>
      </c>
      <c r="H1288" t="n">
        <v>-52275</v>
      </c>
      <c r="I1288" t="n">
        <v>75002</v>
      </c>
      <c r="J1288" t="n">
        <v>-5539</v>
      </c>
      <c r="K1288" t="n">
        <v/>
      </c>
      <c r="L1288" t="n">
        <v>2072</v>
      </c>
    </row>
    <row r="1289">
      <c r="A1289" s="64" t="n">
        <v>42892</v>
      </c>
      <c r="B1289" t="n">
        <v>-114</v>
      </c>
      <c r="C1289" t="n">
        <v/>
      </c>
      <c r="D1289" t="n">
        <v>-94501</v>
      </c>
      <c r="E1289" t="n">
        <v>-16555</v>
      </c>
      <c r="F1289" t="n">
        <v>74009</v>
      </c>
      <c r="G1289" t="n">
        <v>-36716</v>
      </c>
      <c r="H1289" t="n">
        <v>-55027</v>
      </c>
      <c r="I1289" t="n">
        <v>84821</v>
      </c>
      <c r="J1289" t="n">
        <v>-1785</v>
      </c>
      <c r="K1289" t="n">
        <v/>
      </c>
      <c r="L1289" t="n">
        <v>10113</v>
      </c>
    </row>
    <row r="1290">
      <c r="A1290" s="64" t="n">
        <v>42899</v>
      </c>
      <c r="B1290" t="n">
        <v>-1511</v>
      </c>
      <c r="C1290" t="n">
        <v/>
      </c>
      <c r="D1290" t="n">
        <v>-88595</v>
      </c>
      <c r="E1290" t="n">
        <v>-14460</v>
      </c>
      <c r="F1290" t="n">
        <v>79053</v>
      </c>
      <c r="G1290" t="n">
        <v>-39441</v>
      </c>
      <c r="H1290" t="n">
        <v>-50553</v>
      </c>
      <c r="I1290" t="n">
        <v>95814</v>
      </c>
      <c r="J1290" t="n">
        <v>1595</v>
      </c>
      <c r="K1290" t="n">
        <v/>
      </c>
      <c r="L1290" t="n">
        <v>17200</v>
      </c>
    </row>
    <row r="1291">
      <c r="A1291" s="64" t="n">
        <v>42906</v>
      </c>
      <c r="B1291" t="n">
        <v>15033</v>
      </c>
      <c r="C1291" t="n">
        <v/>
      </c>
      <c r="D1291" t="n">
        <v>-82881</v>
      </c>
      <c r="E1291" t="n">
        <v>-2982</v>
      </c>
      <c r="F1291" t="n">
        <v>44852</v>
      </c>
      <c r="G1291" t="n">
        <v>-37604</v>
      </c>
      <c r="H1291" t="n">
        <v>-49959</v>
      </c>
      <c r="I1291" t="n">
        <v>48985</v>
      </c>
      <c r="J1291" t="n">
        <v>21455</v>
      </c>
      <c r="K1291" t="n">
        <v/>
      </c>
      <c r="L1291" t="n">
        <v>19329</v>
      </c>
    </row>
    <row r="1292">
      <c r="A1292" s="64" t="n">
        <v>42913</v>
      </c>
      <c r="B1292" t="n">
        <v>19749</v>
      </c>
      <c r="C1292" t="n">
        <v/>
      </c>
      <c r="D1292" t="n">
        <v>-49495</v>
      </c>
      <c r="E1292" t="n">
        <v>-4669</v>
      </c>
      <c r="F1292" t="n">
        <v>58695</v>
      </c>
      <c r="G1292" t="n">
        <v>-39133</v>
      </c>
      <c r="H1292" t="n">
        <v>-61350</v>
      </c>
      <c r="I1292" t="n">
        <v>81007</v>
      </c>
      <c r="J1292" t="n">
        <v>25233</v>
      </c>
      <c r="K1292" t="n">
        <v/>
      </c>
      <c r="L1292" t="n">
        <v>20013</v>
      </c>
    </row>
    <row r="1293">
      <c r="A1293" s="64" t="n">
        <v>42920</v>
      </c>
      <c r="B1293" t="n">
        <v>32414</v>
      </c>
      <c r="C1293" t="n">
        <v/>
      </c>
      <c r="D1293" t="n">
        <v>-39372</v>
      </c>
      <c r="E1293" t="n">
        <v>-113</v>
      </c>
      <c r="F1293" t="n">
        <v>77464</v>
      </c>
      <c r="G1293" t="n">
        <v>-27767</v>
      </c>
      <c r="H1293" t="n">
        <v>-75036</v>
      </c>
      <c r="I1293" t="n">
        <v>84859</v>
      </c>
      <c r="J1293" t="n">
        <v>29133</v>
      </c>
      <c r="K1293" t="n">
        <v/>
      </c>
      <c r="L1293" t="n">
        <v>19124</v>
      </c>
    </row>
    <row r="1294">
      <c r="A1294" s="64" t="n">
        <v>42927</v>
      </c>
      <c r="B1294" t="n">
        <v>36806</v>
      </c>
      <c r="C1294" t="n">
        <v/>
      </c>
      <c r="D1294" t="n">
        <v>-8604</v>
      </c>
      <c r="E1294" t="n">
        <v>208</v>
      </c>
      <c r="F1294" t="n">
        <v>83788</v>
      </c>
      <c r="G1294" t="n">
        <v>-24138</v>
      </c>
      <c r="H1294" t="n">
        <v>-112125</v>
      </c>
      <c r="I1294" t="n">
        <v>97859</v>
      </c>
      <c r="J1294" t="n">
        <v>31905</v>
      </c>
      <c r="K1294" t="n">
        <v/>
      </c>
      <c r="L1294" t="n">
        <v>10145</v>
      </c>
    </row>
    <row r="1295">
      <c r="A1295" s="64" t="n">
        <v>42934</v>
      </c>
      <c r="B1295" t="n">
        <v>51356</v>
      </c>
      <c r="C1295" t="n">
        <v/>
      </c>
      <c r="D1295" t="n">
        <v>8043</v>
      </c>
      <c r="E1295" t="n">
        <v>-3667</v>
      </c>
      <c r="F1295" t="n">
        <v>91321</v>
      </c>
      <c r="G1295" t="n">
        <v>-16473</v>
      </c>
      <c r="H1295" t="n">
        <v>-126919</v>
      </c>
      <c r="I1295" t="n">
        <v>112539</v>
      </c>
      <c r="J1295" t="n">
        <v>35981</v>
      </c>
      <c r="K1295" t="n">
        <v/>
      </c>
      <c r="L1295" t="n">
        <v>8332</v>
      </c>
    </row>
    <row r="1296">
      <c r="A1296" s="64" t="n">
        <v>42941</v>
      </c>
      <c r="B1296" t="n">
        <v>56374</v>
      </c>
      <c r="C1296" t="n">
        <v/>
      </c>
      <c r="D1296" t="n">
        <v>26613</v>
      </c>
      <c r="E1296" t="n">
        <v>-1550</v>
      </c>
      <c r="F1296" t="n">
        <v>90842</v>
      </c>
      <c r="G1296" t="n">
        <v>-26197</v>
      </c>
      <c r="H1296" t="n">
        <v>-121489</v>
      </c>
      <c r="I1296" t="n">
        <v>112890</v>
      </c>
      <c r="J1296" t="n">
        <v>34805</v>
      </c>
      <c r="K1296" t="n">
        <v/>
      </c>
      <c r="L1296" t="n">
        <v>8648</v>
      </c>
    </row>
    <row r="1297">
      <c r="A1297" s="64" t="n">
        <v>42948</v>
      </c>
      <c r="B1297" t="n">
        <v>60713</v>
      </c>
      <c r="C1297" t="n">
        <v/>
      </c>
      <c r="D1297" t="n">
        <v>40638</v>
      </c>
      <c r="E1297" t="n">
        <v>1440</v>
      </c>
      <c r="F1297" t="n">
        <v>82637</v>
      </c>
      <c r="G1297" t="n">
        <v>-29452</v>
      </c>
      <c r="H1297" t="n">
        <v>-112196</v>
      </c>
      <c r="I1297" t="n">
        <v>113549</v>
      </c>
      <c r="J1297" t="n">
        <v>34938</v>
      </c>
      <c r="K1297" t="n">
        <v/>
      </c>
      <c r="L1297" t="n">
        <v>8544</v>
      </c>
    </row>
    <row r="1298">
      <c r="A1298" s="64" t="n">
        <v>42955</v>
      </c>
      <c r="B1298" t="n">
        <v>58010</v>
      </c>
      <c r="C1298" t="n">
        <v/>
      </c>
      <c r="D1298" t="n">
        <v>62821</v>
      </c>
      <c r="E1298" t="n">
        <v>-1402</v>
      </c>
      <c r="F1298" t="n">
        <v>93685</v>
      </c>
      <c r="G1298" t="n">
        <v>-25160</v>
      </c>
      <c r="H1298" t="n">
        <v>-95813</v>
      </c>
      <c r="I1298" t="n">
        <v>106437</v>
      </c>
      <c r="J1298" t="n">
        <v>33485</v>
      </c>
      <c r="K1298" t="n">
        <v/>
      </c>
      <c r="L1298" t="n">
        <v>7906</v>
      </c>
    </row>
    <row r="1299">
      <c r="A1299" s="64" t="n">
        <v>42962</v>
      </c>
      <c r="B1299" t="n">
        <v>59612</v>
      </c>
      <c r="C1299" t="n">
        <v/>
      </c>
      <c r="D1299" t="n">
        <v>51349</v>
      </c>
      <c r="E1299" t="n">
        <v>-1181</v>
      </c>
      <c r="F1299" t="n">
        <v>79267</v>
      </c>
      <c r="G1299" t="n">
        <v>-31860</v>
      </c>
      <c r="H1299" t="n">
        <v>-77492</v>
      </c>
      <c r="I1299" t="n">
        <v>94849</v>
      </c>
      <c r="J1299" t="n">
        <v>24839</v>
      </c>
      <c r="K1299" t="n">
        <v/>
      </c>
      <c r="L1299" t="n">
        <v>9472</v>
      </c>
    </row>
    <row r="1300">
      <c r="A1300" s="64" t="n">
        <v>42969</v>
      </c>
      <c r="B1300" t="n">
        <v>60484</v>
      </c>
      <c r="C1300" t="n">
        <v/>
      </c>
      <c r="D1300" t="n">
        <v>51099</v>
      </c>
      <c r="E1300" t="n">
        <v>-1987</v>
      </c>
      <c r="F1300" t="n">
        <v>87976</v>
      </c>
      <c r="G1300" t="n">
        <v>-45900</v>
      </c>
      <c r="H1300" t="n">
        <v>-74086</v>
      </c>
      <c r="I1300" t="n">
        <v>97618</v>
      </c>
      <c r="J1300" t="n">
        <v>21882</v>
      </c>
      <c r="K1300" t="n">
        <v/>
      </c>
      <c r="L1300" t="n">
        <v>11203</v>
      </c>
    </row>
    <row r="1301">
      <c r="A1301" s="64" t="n">
        <v>42976</v>
      </c>
      <c r="B1301" t="n">
        <v>66527</v>
      </c>
      <c r="C1301" t="n">
        <v/>
      </c>
      <c r="D1301" t="n">
        <v>53167</v>
      </c>
      <c r="E1301" t="n">
        <v>-1778</v>
      </c>
      <c r="F1301" t="n">
        <v>86519</v>
      </c>
      <c r="G1301" t="n">
        <v>-51555</v>
      </c>
      <c r="H1301" t="n">
        <v>-68524</v>
      </c>
      <c r="I1301" t="n">
        <v>97010</v>
      </c>
      <c r="J1301" t="n">
        <v>18804</v>
      </c>
      <c r="K1301" t="n">
        <v/>
      </c>
      <c r="L1301" t="n">
        <v>11624</v>
      </c>
    </row>
    <row r="1302">
      <c r="A1302" s="64" t="n">
        <v>42983</v>
      </c>
      <c r="B1302" t="n">
        <v>64904</v>
      </c>
      <c r="C1302" t="n">
        <v/>
      </c>
      <c r="D1302" t="n">
        <v>53644</v>
      </c>
      <c r="E1302" t="n">
        <v>-2171</v>
      </c>
      <c r="F1302" t="n">
        <v>96309</v>
      </c>
      <c r="G1302" t="n">
        <v>-52927</v>
      </c>
      <c r="H1302" t="n">
        <v>-72945</v>
      </c>
      <c r="I1302" t="n">
        <v>113612</v>
      </c>
      <c r="J1302" t="n">
        <v>14723</v>
      </c>
      <c r="K1302" t="n">
        <v/>
      </c>
      <c r="L1302" t="n">
        <v>11558</v>
      </c>
    </row>
    <row r="1303">
      <c r="A1303" s="64" t="n">
        <v>42990</v>
      </c>
      <c r="B1303" t="n">
        <v>63033</v>
      </c>
      <c r="C1303" t="n">
        <v/>
      </c>
      <c r="D1303" t="n">
        <v>50499</v>
      </c>
      <c r="E1303" t="n">
        <v>-1314</v>
      </c>
      <c r="F1303" t="n">
        <v>86058</v>
      </c>
      <c r="G1303" t="n">
        <v>-46085</v>
      </c>
      <c r="H1303" t="n">
        <v>-57297</v>
      </c>
      <c r="I1303" t="n">
        <v>116998</v>
      </c>
      <c r="J1303" t="n">
        <v>12350</v>
      </c>
      <c r="K1303" t="n">
        <v/>
      </c>
      <c r="L1303" t="n">
        <v>12346</v>
      </c>
    </row>
    <row r="1304">
      <c r="A1304" s="64" t="n">
        <v>42997</v>
      </c>
      <c r="B1304" t="n">
        <v>72512</v>
      </c>
      <c r="C1304" t="n">
        <v/>
      </c>
      <c r="D1304" t="n">
        <v>58846</v>
      </c>
      <c r="E1304" t="n">
        <v>-1569</v>
      </c>
      <c r="F1304" t="n">
        <v>62753</v>
      </c>
      <c r="G1304" t="n">
        <v>-10161</v>
      </c>
      <c r="H1304" t="n">
        <v>-51322</v>
      </c>
      <c r="I1304" t="n">
        <v>76952</v>
      </c>
      <c r="J1304" t="n">
        <v>6670</v>
      </c>
      <c r="K1304" t="n">
        <v/>
      </c>
      <c r="L1304" t="n">
        <v>12869</v>
      </c>
    </row>
    <row r="1305">
      <c r="A1305" s="64" t="n">
        <v>43004</v>
      </c>
      <c r="B1305" t="n">
        <v>77194</v>
      </c>
      <c r="C1305" t="n">
        <v/>
      </c>
      <c r="D1305" t="n">
        <v>74605</v>
      </c>
      <c r="E1305" t="n">
        <v>-1862</v>
      </c>
      <c r="F1305" t="n">
        <v>88167</v>
      </c>
      <c r="G1305" t="n">
        <v>5054</v>
      </c>
      <c r="H1305" t="n">
        <v>-71347</v>
      </c>
      <c r="I1305" t="n">
        <v>83727</v>
      </c>
      <c r="J1305" t="n">
        <v>8053</v>
      </c>
      <c r="K1305" t="n">
        <v/>
      </c>
      <c r="L1305" t="n">
        <v>11356</v>
      </c>
    </row>
    <row r="1306">
      <c r="A1306" s="64" t="n">
        <v>43011</v>
      </c>
      <c r="B1306" t="n">
        <v>71812</v>
      </c>
      <c r="C1306" t="n">
        <v/>
      </c>
      <c r="D1306" t="n">
        <v>75128</v>
      </c>
      <c r="E1306" t="n">
        <v>-3293</v>
      </c>
      <c r="F1306" t="n">
        <v>90833</v>
      </c>
      <c r="G1306" t="n">
        <v>19949</v>
      </c>
      <c r="H1306" t="n">
        <v>-84643</v>
      </c>
      <c r="I1306" t="n">
        <v>89116</v>
      </c>
      <c r="J1306" t="n">
        <v>8118</v>
      </c>
      <c r="K1306" t="n">
        <v/>
      </c>
      <c r="L1306" t="n">
        <v>9209</v>
      </c>
    </row>
    <row r="1307">
      <c r="A1307" s="64" t="n">
        <v>43018</v>
      </c>
      <c r="B1307" t="n">
        <v>69182</v>
      </c>
      <c r="C1307" t="n">
        <v/>
      </c>
      <c r="D1307" t="n">
        <v>76392</v>
      </c>
      <c r="E1307" t="n">
        <v>-4262</v>
      </c>
      <c r="F1307" t="n">
        <v>98079</v>
      </c>
      <c r="G1307" t="n">
        <v>15508</v>
      </c>
      <c r="H1307" t="n">
        <v>-101419</v>
      </c>
      <c r="I1307" t="n">
        <v>82749</v>
      </c>
      <c r="J1307" t="n">
        <v>5729</v>
      </c>
      <c r="K1307" t="n">
        <v/>
      </c>
      <c r="L1307" t="n">
        <v>8525</v>
      </c>
    </row>
    <row r="1308">
      <c r="A1308" s="64" t="n">
        <v>43025</v>
      </c>
      <c r="B1308" t="n">
        <v>61800</v>
      </c>
      <c r="C1308" t="n">
        <v/>
      </c>
      <c r="D1308" t="n">
        <v>75086</v>
      </c>
      <c r="E1308" t="n">
        <v>-4931</v>
      </c>
      <c r="F1308" t="n">
        <v>90452</v>
      </c>
      <c r="G1308" t="n">
        <v>5047</v>
      </c>
      <c r="H1308" t="n">
        <v>-101286</v>
      </c>
      <c r="I1308" t="n">
        <v>71067</v>
      </c>
      <c r="J1308" t="n">
        <v>6977</v>
      </c>
      <c r="K1308" t="n">
        <v/>
      </c>
      <c r="L1308" t="n">
        <v>9052</v>
      </c>
    </row>
    <row r="1309">
      <c r="A1309" s="64" t="n">
        <v>43032</v>
      </c>
      <c r="B1309" t="n">
        <v>57250</v>
      </c>
      <c r="C1309" t="n">
        <v/>
      </c>
      <c r="D1309" t="n">
        <v>72332</v>
      </c>
      <c r="E1309" t="n">
        <v>-11597</v>
      </c>
      <c r="F1309" t="n">
        <v>83504</v>
      </c>
      <c r="G1309" t="n">
        <v>-1485</v>
      </c>
      <c r="H1309" t="n">
        <v>-116857</v>
      </c>
      <c r="I1309" t="n">
        <v>55701</v>
      </c>
      <c r="J1309" t="n">
        <v>611</v>
      </c>
      <c r="K1309" t="n">
        <v/>
      </c>
      <c r="L1309" t="n">
        <v>8598</v>
      </c>
    </row>
    <row r="1310">
      <c r="A1310" s="64" t="n">
        <v>43039</v>
      </c>
      <c r="B1310" t="n">
        <v>51608</v>
      </c>
      <c r="C1310" t="n">
        <v/>
      </c>
      <c r="D1310" t="n">
        <v>57839</v>
      </c>
      <c r="E1310" t="n">
        <v>-20671</v>
      </c>
      <c r="F1310" t="n">
        <v>72097</v>
      </c>
      <c r="G1310" t="n">
        <v>1245</v>
      </c>
      <c r="H1310" t="n">
        <v>-118869</v>
      </c>
      <c r="I1310" t="n">
        <v>55246</v>
      </c>
      <c r="J1310" t="n">
        <v>-5707</v>
      </c>
      <c r="K1310" t="n">
        <v/>
      </c>
      <c r="L1310" t="n">
        <v>8376</v>
      </c>
    </row>
    <row r="1311">
      <c r="A1311" s="64" t="n">
        <v>43046</v>
      </c>
      <c r="B1311" t="n">
        <v>45437</v>
      </c>
      <c r="C1311" t="n">
        <v/>
      </c>
      <c r="D1311" t="n">
        <v>50889</v>
      </c>
      <c r="E1311" t="n">
        <v>-25110</v>
      </c>
      <c r="F1311" t="n">
        <v>85455</v>
      </c>
      <c r="G1311" t="n">
        <v>-9198</v>
      </c>
      <c r="H1311" t="n">
        <v>-127848</v>
      </c>
      <c r="I1311" t="n">
        <v>56975</v>
      </c>
      <c r="J1311" t="n">
        <v>-11187</v>
      </c>
      <c r="K1311" t="n">
        <v/>
      </c>
      <c r="L1311" t="n">
        <v>9290</v>
      </c>
    </row>
    <row r="1312">
      <c r="A1312" s="64" t="n">
        <v>43053</v>
      </c>
      <c r="B1312" t="n">
        <v>44032</v>
      </c>
      <c r="C1312" t="n">
        <v/>
      </c>
      <c r="D1312" t="n">
        <v>47335</v>
      </c>
      <c r="E1312" t="n">
        <v>-27983</v>
      </c>
      <c r="F1312" t="n">
        <v>84586</v>
      </c>
      <c r="G1312" t="n">
        <v>-4533</v>
      </c>
      <c r="H1312" t="n">
        <v>-135999</v>
      </c>
      <c r="I1312" t="n">
        <v>62533</v>
      </c>
      <c r="J1312" t="n">
        <v>-11891</v>
      </c>
      <c r="K1312" t="n">
        <v/>
      </c>
      <c r="L1312" t="n">
        <v>9916</v>
      </c>
    </row>
    <row r="1313">
      <c r="A1313" s="64" t="n">
        <v>43060</v>
      </c>
      <c r="B1313" t="n">
        <v>39817</v>
      </c>
      <c r="C1313" t="n">
        <v/>
      </c>
      <c r="D1313" t="n">
        <v>45125</v>
      </c>
      <c r="E1313" t="n">
        <v>-29740</v>
      </c>
      <c r="F1313" t="n">
        <v>95437</v>
      </c>
      <c r="G1313" t="n">
        <v>-300</v>
      </c>
      <c r="H1313" t="n">
        <v>-122602</v>
      </c>
      <c r="I1313" t="n">
        <v>80386</v>
      </c>
      <c r="J1313" t="n">
        <v>-13394</v>
      </c>
      <c r="K1313" t="n">
        <v/>
      </c>
      <c r="L1313" t="n">
        <v>10212</v>
      </c>
    </row>
    <row r="1314">
      <c r="A1314" s="64" t="n">
        <v>43067</v>
      </c>
      <c r="B1314" t="n">
        <v>38882</v>
      </c>
      <c r="C1314" t="n">
        <v/>
      </c>
      <c r="D1314" t="n">
        <v>45658</v>
      </c>
      <c r="E1314" t="n">
        <v>-30184</v>
      </c>
      <c r="F1314" t="n">
        <v>89681</v>
      </c>
      <c r="G1314" t="n">
        <v>4573</v>
      </c>
      <c r="H1314" t="n">
        <v>-110640</v>
      </c>
      <c r="I1314" t="n">
        <v>89566</v>
      </c>
      <c r="J1314" t="n">
        <v>-14022</v>
      </c>
      <c r="K1314" t="n">
        <v/>
      </c>
      <c r="L1314" t="n">
        <v>9636</v>
      </c>
    </row>
    <row r="1315">
      <c r="A1315" s="64" t="n">
        <v>43074</v>
      </c>
      <c r="B1315" t="n">
        <v>40328</v>
      </c>
      <c r="C1315" t="n">
        <v/>
      </c>
      <c r="D1315" t="n">
        <v>42466</v>
      </c>
      <c r="E1315" t="n">
        <v>-29567</v>
      </c>
      <c r="F1315" t="n">
        <v>93106</v>
      </c>
      <c r="G1315" t="n">
        <v>6406</v>
      </c>
      <c r="H1315" t="n">
        <v>-114267</v>
      </c>
      <c r="I1315" t="n">
        <v>96523</v>
      </c>
      <c r="J1315" t="n">
        <v>-12893</v>
      </c>
      <c r="K1315" t="n">
        <v/>
      </c>
      <c r="L1315" t="n">
        <v>9927</v>
      </c>
    </row>
    <row r="1316">
      <c r="A1316" s="64" t="n">
        <v>43081</v>
      </c>
      <c r="B1316" t="n">
        <v>40720</v>
      </c>
      <c r="C1316" t="n">
        <v/>
      </c>
      <c r="D1316" t="n">
        <v>41960</v>
      </c>
      <c r="E1316" t="n">
        <v>-28765</v>
      </c>
      <c r="F1316" t="n">
        <v>113889</v>
      </c>
      <c r="G1316" t="n">
        <v>11388</v>
      </c>
      <c r="H1316" t="n">
        <v>-114123</v>
      </c>
      <c r="I1316" t="n">
        <v>86176</v>
      </c>
      <c r="J1316" t="n">
        <v>-13428</v>
      </c>
      <c r="K1316" t="n">
        <v/>
      </c>
      <c r="L1316" t="n">
        <v>9801</v>
      </c>
    </row>
    <row r="1317">
      <c r="A1317" s="64" t="n">
        <v>43088</v>
      </c>
      <c r="B1317" t="n">
        <v>-12660</v>
      </c>
      <c r="C1317" t="n">
        <v/>
      </c>
      <c r="D1317" t="n">
        <v>45901</v>
      </c>
      <c r="E1317" t="n">
        <v>-17395</v>
      </c>
      <c r="F1317" t="n">
        <v>86224</v>
      </c>
      <c r="G1317" t="n">
        <v>20388</v>
      </c>
      <c r="H1317" t="n">
        <v>-114373</v>
      </c>
      <c r="I1317" t="n">
        <v>53894</v>
      </c>
      <c r="J1317" t="n">
        <v>-16619</v>
      </c>
      <c r="K1317" t="n">
        <v/>
      </c>
      <c r="L1317" t="n">
        <v>7462</v>
      </c>
    </row>
    <row r="1318">
      <c r="A1318" s="64" t="n">
        <v>43095</v>
      </c>
      <c r="B1318" t="n">
        <v>-13639</v>
      </c>
      <c r="C1318" t="n">
        <v/>
      </c>
      <c r="D1318" t="n">
        <v>17346</v>
      </c>
      <c r="E1318" t="n">
        <v>-13902</v>
      </c>
      <c r="F1318" t="n">
        <v>92148</v>
      </c>
      <c r="G1318" t="n">
        <v>12676</v>
      </c>
      <c r="H1318" t="n">
        <v>-116086</v>
      </c>
      <c r="I1318" t="n">
        <v>36384</v>
      </c>
      <c r="J1318" t="n">
        <v>-17586</v>
      </c>
      <c r="K1318" t="n">
        <v/>
      </c>
      <c r="L1318" t="n">
        <v>8867</v>
      </c>
    </row>
    <row r="1319">
      <c r="A1319" s="64" t="n">
        <v>43102</v>
      </c>
      <c r="B1319" t="n">
        <v>-20026</v>
      </c>
      <c r="C1319" t="n">
        <v>0</v>
      </c>
      <c r="D1319" t="n">
        <v>14739</v>
      </c>
      <c r="E1319" t="n">
        <v>-16232</v>
      </c>
      <c r="F1319" t="n">
        <v>127868</v>
      </c>
      <c r="G1319" t="n">
        <v>16235</v>
      </c>
      <c r="H1319" t="n">
        <v>-121766</v>
      </c>
      <c r="I1319" t="n">
        <v>35058</v>
      </c>
      <c r="J1319" t="n">
        <v>-16985</v>
      </c>
      <c r="K1319" t="n">
        <v>0</v>
      </c>
      <c r="L1319" t="n">
        <v>8754</v>
      </c>
    </row>
    <row r="1320">
      <c r="A1320" s="64" t="n">
        <v>43109</v>
      </c>
      <c r="B1320" t="n">
        <v>5458</v>
      </c>
      <c r="C1320" t="n">
        <v>0</v>
      </c>
      <c r="D1320" t="n">
        <v>17461</v>
      </c>
      <c r="E1320" t="n">
        <v>-21922</v>
      </c>
      <c r="F1320" t="n">
        <v>144691</v>
      </c>
      <c r="G1320" t="n">
        <v>25492</v>
      </c>
      <c r="H1320" t="n">
        <v>-125536</v>
      </c>
      <c r="I1320" t="n">
        <v>29797</v>
      </c>
      <c r="J1320" t="n">
        <v>-11017</v>
      </c>
      <c r="K1320" t="n">
        <v>0</v>
      </c>
      <c r="L1320" t="n">
        <v>8895</v>
      </c>
    </row>
    <row r="1321">
      <c r="A1321" s="64" t="n">
        <v>43116</v>
      </c>
      <c r="B1321" t="n">
        <v>10074</v>
      </c>
      <c r="C1321" t="n">
        <v>0</v>
      </c>
      <c r="D1321" t="n">
        <v>17556</v>
      </c>
      <c r="E1321" t="n">
        <v>-21106</v>
      </c>
      <c r="F1321" t="n">
        <v>139490</v>
      </c>
      <c r="G1321" t="n">
        <v>26204</v>
      </c>
      <c r="H1321" t="n">
        <v>-119350</v>
      </c>
      <c r="I1321" t="n">
        <v>46795</v>
      </c>
      <c r="J1321" t="n">
        <v>-7991</v>
      </c>
      <c r="K1321" t="n">
        <v>0</v>
      </c>
      <c r="L1321" t="n">
        <v>8753</v>
      </c>
    </row>
    <row r="1322">
      <c r="A1322" s="64" t="n">
        <v>43123</v>
      </c>
      <c r="B1322" t="n">
        <v>16679</v>
      </c>
      <c r="C1322" t="n">
        <v>0</v>
      </c>
      <c r="D1322" t="n">
        <v>22557</v>
      </c>
      <c r="E1322" t="n">
        <v>-22115</v>
      </c>
      <c r="F1322" t="n">
        <v>144717</v>
      </c>
      <c r="G1322" t="n">
        <v>33045</v>
      </c>
      <c r="H1322" t="n">
        <v>-122870</v>
      </c>
      <c r="I1322" t="n">
        <v>61155</v>
      </c>
      <c r="J1322" t="n">
        <v>-1466</v>
      </c>
      <c r="K1322" t="n">
        <v>0</v>
      </c>
      <c r="L1322" t="n">
        <v>8594</v>
      </c>
    </row>
    <row r="1323">
      <c r="A1323" s="64" t="n">
        <v>43130</v>
      </c>
      <c r="B1323" t="n">
        <v>13151</v>
      </c>
      <c r="C1323" t="n">
        <v>0</v>
      </c>
      <c r="D1323" t="n">
        <v>33465</v>
      </c>
      <c r="E1323" t="n">
        <v>-20327</v>
      </c>
      <c r="F1323" t="n">
        <v>148742</v>
      </c>
      <c r="G1323" t="n">
        <v>31741</v>
      </c>
      <c r="H1323" t="n">
        <v>-114696</v>
      </c>
      <c r="I1323" t="n">
        <v>80045</v>
      </c>
      <c r="J1323" t="n">
        <v>3470</v>
      </c>
      <c r="K1323" t="n">
        <v>0</v>
      </c>
      <c r="L1323" t="n">
        <v>8746</v>
      </c>
    </row>
    <row r="1324">
      <c r="A1324" s="64" t="n">
        <v>43137</v>
      </c>
      <c r="B1324" t="n">
        <v>13748</v>
      </c>
      <c r="C1324" t="n">
        <v>0</v>
      </c>
      <c r="D1324" t="n">
        <v>40164</v>
      </c>
      <c r="E1324" t="n">
        <v>-20241</v>
      </c>
      <c r="F1324" t="n">
        <v>140823</v>
      </c>
      <c r="G1324" t="n">
        <v>27867</v>
      </c>
      <c r="H1324" t="n">
        <v>-112876</v>
      </c>
      <c r="I1324" t="n">
        <v>92855</v>
      </c>
      <c r="J1324" t="n">
        <v>3332</v>
      </c>
      <c r="K1324" t="n">
        <v>0</v>
      </c>
      <c r="L1324" t="n">
        <v>8439</v>
      </c>
    </row>
    <row r="1325">
      <c r="A1325" s="64" t="n">
        <v>43144</v>
      </c>
      <c r="B1325" t="n">
        <v>9081</v>
      </c>
      <c r="C1325" t="n">
        <v>0</v>
      </c>
      <c r="D1325" t="n">
        <v>32529</v>
      </c>
      <c r="E1325" t="n">
        <v>-19925</v>
      </c>
      <c r="F1325" t="n">
        <v>127289</v>
      </c>
      <c r="G1325" t="n">
        <v>14940</v>
      </c>
      <c r="H1325" t="n">
        <v>-115509</v>
      </c>
      <c r="I1325" t="n">
        <v>96778</v>
      </c>
      <c r="J1325" t="n">
        <v>2220</v>
      </c>
      <c r="K1325" t="n">
        <v>0</v>
      </c>
      <c r="L1325" t="n">
        <v>8113</v>
      </c>
    </row>
    <row r="1326">
      <c r="A1326" s="64" t="n">
        <v>43151</v>
      </c>
      <c r="B1326" t="n">
        <v>11875</v>
      </c>
      <c r="C1326" t="n">
        <v>0</v>
      </c>
      <c r="D1326" t="n">
        <v>23127</v>
      </c>
      <c r="E1326" t="n">
        <v>-15788</v>
      </c>
      <c r="F1326" t="n">
        <v>126126</v>
      </c>
      <c r="G1326" t="n">
        <v>7803</v>
      </c>
      <c r="H1326" t="n">
        <v>-108338</v>
      </c>
      <c r="I1326" t="n">
        <v>94821</v>
      </c>
      <c r="J1326" t="n">
        <v>944</v>
      </c>
      <c r="K1326" t="n">
        <v>0</v>
      </c>
      <c r="L1326" t="n">
        <v>8044</v>
      </c>
    </row>
    <row r="1327">
      <c r="A1327" s="64" t="n">
        <v>43158</v>
      </c>
      <c r="B1327" t="n">
        <v>9574</v>
      </c>
      <c r="C1327" t="n">
        <v>2533</v>
      </c>
      <c r="D1327" t="n">
        <v>22220</v>
      </c>
      <c r="E1327" t="n">
        <v>-15999</v>
      </c>
      <c r="F1327" t="n">
        <v>137977</v>
      </c>
      <c r="G1327" t="n">
        <v>12687</v>
      </c>
      <c r="H1327" t="n">
        <v>-96651</v>
      </c>
      <c r="I1327" t="n">
        <v>92507</v>
      </c>
      <c r="J1327" t="n">
        <v>-991</v>
      </c>
      <c r="K1327" t="n">
        <v>17080</v>
      </c>
      <c r="L1327" t="n">
        <v>7920</v>
      </c>
    </row>
    <row r="1328">
      <c r="A1328" s="64" t="n">
        <v>43165</v>
      </c>
      <c r="B1328" t="n">
        <v>3135</v>
      </c>
      <c r="C1328" t="n">
        <v>-12374</v>
      </c>
      <c r="D1328" t="n">
        <v>19565</v>
      </c>
      <c r="E1328" t="n">
        <v>-8477</v>
      </c>
      <c r="F1328" t="n">
        <v>132972</v>
      </c>
      <c r="G1328" t="n">
        <v>5264</v>
      </c>
      <c r="H1328" t="n">
        <v>-86845</v>
      </c>
      <c r="I1328" t="n">
        <v>83295</v>
      </c>
      <c r="J1328" t="n">
        <v>30</v>
      </c>
      <c r="K1328" t="n">
        <v>17913</v>
      </c>
      <c r="L1328" t="n">
        <v>7796</v>
      </c>
    </row>
    <row r="1329">
      <c r="A1329" s="64" t="n">
        <v>43172</v>
      </c>
      <c r="B1329" t="n">
        <v>-779</v>
      </c>
      <c r="C1329" t="n">
        <v>-13318</v>
      </c>
      <c r="D1329" t="n">
        <v>19420</v>
      </c>
      <c r="E1329" t="n">
        <v>-6572</v>
      </c>
      <c r="F1329" t="n">
        <v>146380</v>
      </c>
      <c r="G1329" t="n">
        <v>8027</v>
      </c>
      <c r="H1329" t="n">
        <v>-79539</v>
      </c>
      <c r="I1329" t="n">
        <v>86940</v>
      </c>
      <c r="J1329" t="n">
        <v>-2816</v>
      </c>
      <c r="K1329" t="n">
        <v>22037</v>
      </c>
      <c r="L1329" t="n">
        <v>7614</v>
      </c>
    </row>
    <row r="1330">
      <c r="A1330" s="64" t="n">
        <v>43179</v>
      </c>
      <c r="B1330" t="n">
        <v>17925</v>
      </c>
      <c r="C1330" t="n">
        <v>-12495</v>
      </c>
      <c r="D1330" t="n">
        <v>24560</v>
      </c>
      <c r="E1330" t="n">
        <v>-8246</v>
      </c>
      <c r="F1330" t="n">
        <v>132739</v>
      </c>
      <c r="G1330" t="n">
        <v>23807</v>
      </c>
      <c r="H1330" t="n">
        <v>-21999</v>
      </c>
      <c r="I1330" t="n">
        <v>66845</v>
      </c>
      <c r="J1330" t="n">
        <v>19626</v>
      </c>
      <c r="K1330" t="n">
        <v>18567</v>
      </c>
      <c r="L1330" t="n">
        <v>7348</v>
      </c>
    </row>
    <row r="1331">
      <c r="A1331" s="64" t="n">
        <v>43186</v>
      </c>
      <c r="B1331" t="n">
        <v>8074</v>
      </c>
      <c r="C1331" t="n">
        <v>-14013</v>
      </c>
      <c r="D1331" t="n">
        <v>-27050</v>
      </c>
      <c r="E1331" t="n">
        <v>-9445</v>
      </c>
      <c r="F1331" t="n">
        <v>141064</v>
      </c>
      <c r="G1331" t="n">
        <v>34176</v>
      </c>
      <c r="H1331" t="n">
        <v>-3668</v>
      </c>
      <c r="I1331" t="n">
        <v>89787</v>
      </c>
      <c r="J1331" t="n">
        <v>18239</v>
      </c>
      <c r="K1331" t="n">
        <v>18176</v>
      </c>
      <c r="L1331" t="n">
        <v>7840</v>
      </c>
    </row>
    <row r="1332">
      <c r="A1332" s="64" t="n">
        <v>43193</v>
      </c>
      <c r="B1332" t="n">
        <v>-75</v>
      </c>
      <c r="C1332" t="n">
        <v>-22788</v>
      </c>
      <c r="D1332" t="n">
        <v>-31872</v>
      </c>
      <c r="E1332" t="n">
        <v>-9911</v>
      </c>
      <c r="F1332" t="n">
        <v>134381</v>
      </c>
      <c r="G1332" t="n">
        <v>40338</v>
      </c>
      <c r="H1332" t="n">
        <v>3572</v>
      </c>
      <c r="I1332" t="n">
        <v>99080</v>
      </c>
      <c r="J1332" t="n">
        <v>18377</v>
      </c>
      <c r="K1332" t="n">
        <v>18666</v>
      </c>
      <c r="L1332" t="n">
        <v>7911</v>
      </c>
    </row>
    <row r="1333">
      <c r="A1333" s="64" t="n">
        <v>43200</v>
      </c>
      <c r="B1333" t="n">
        <v>-2796</v>
      </c>
      <c r="C1333" t="n">
        <v>-22192</v>
      </c>
      <c r="D1333" t="n">
        <v>-31672</v>
      </c>
      <c r="E1333" t="n">
        <v>-10744</v>
      </c>
      <c r="F1333" t="n">
        <v>147463</v>
      </c>
      <c r="G1333" t="n">
        <v>43016</v>
      </c>
      <c r="H1333" t="n">
        <v>2761</v>
      </c>
      <c r="I1333" t="n">
        <v>102218</v>
      </c>
      <c r="J1333" t="n">
        <v>22827</v>
      </c>
      <c r="K1333" t="n">
        <v>15383</v>
      </c>
      <c r="L1333" t="n">
        <v>7654</v>
      </c>
    </row>
    <row r="1334">
      <c r="A1334" s="64" t="n">
        <v>43207</v>
      </c>
      <c r="B1334" t="n">
        <v>-10155</v>
      </c>
      <c r="C1334" t="n">
        <v>-22313</v>
      </c>
      <c r="D1334" t="n">
        <v>-30324</v>
      </c>
      <c r="E1334" t="n">
        <v>-10521</v>
      </c>
      <c r="F1334" t="n">
        <v>151476</v>
      </c>
      <c r="G1334" t="n">
        <v>47702</v>
      </c>
      <c r="H1334" t="n">
        <v>2591</v>
      </c>
      <c r="I1334" t="n">
        <v>101841</v>
      </c>
      <c r="J1334" t="n">
        <v>27603</v>
      </c>
      <c r="K1334" t="n">
        <v>14062</v>
      </c>
      <c r="L1334" t="n">
        <v>7534</v>
      </c>
    </row>
    <row r="1335">
      <c r="A1335" s="64" t="n">
        <v>43214</v>
      </c>
      <c r="B1335" t="n">
        <v>-3396</v>
      </c>
      <c r="C1335" t="n">
        <v>-21471</v>
      </c>
      <c r="D1335" t="n">
        <v>-25144</v>
      </c>
      <c r="E1335" t="n">
        <v>-10225</v>
      </c>
      <c r="F1335" t="n">
        <v>130594</v>
      </c>
      <c r="G1335" t="n">
        <v>37365</v>
      </c>
      <c r="H1335" t="n">
        <v>583</v>
      </c>
      <c r="I1335" t="n">
        <v>88783</v>
      </c>
      <c r="J1335" t="n">
        <v>24434</v>
      </c>
      <c r="K1335" t="n">
        <v>13798</v>
      </c>
      <c r="L1335" t="n">
        <v>6663</v>
      </c>
    </row>
    <row r="1336">
      <c r="A1336" s="64" t="n">
        <v>43221</v>
      </c>
      <c r="B1336" t="n">
        <v>-5672</v>
      </c>
      <c r="C1336" t="n">
        <v>-22142</v>
      </c>
      <c r="D1336" t="n">
        <v>-27535</v>
      </c>
      <c r="E1336" t="n">
        <v>-19456</v>
      </c>
      <c r="F1336" t="n">
        <v>120568</v>
      </c>
      <c r="G1336" t="n">
        <v>26372</v>
      </c>
      <c r="H1336" t="n">
        <v>-1405</v>
      </c>
      <c r="I1336" t="n">
        <v>86041</v>
      </c>
      <c r="J1336" t="n">
        <v>16573</v>
      </c>
      <c r="K1336" t="n">
        <v>9480</v>
      </c>
      <c r="L1336" t="n">
        <v>6445</v>
      </c>
    </row>
    <row r="1337">
      <c r="A1337" s="64" t="n">
        <v>43228</v>
      </c>
      <c r="B1337" t="n">
        <v>-16766</v>
      </c>
      <c r="C1337" t="n">
        <v>-25742</v>
      </c>
      <c r="D1337" t="n">
        <v>-23861</v>
      </c>
      <c r="E1337" t="n">
        <v>-32602</v>
      </c>
      <c r="F1337" t="n">
        <v>120505</v>
      </c>
      <c r="G1337" t="n">
        <v>8988</v>
      </c>
      <c r="H1337" t="n">
        <v>-5462</v>
      </c>
      <c r="I1337" t="n">
        <v>76188</v>
      </c>
      <c r="J1337" t="n">
        <v>12546</v>
      </c>
      <c r="K1337" t="n">
        <v>9378</v>
      </c>
      <c r="L1337" t="n">
        <v>6431</v>
      </c>
    </row>
    <row r="1338">
      <c r="A1338" s="64" t="n">
        <v>43235</v>
      </c>
      <c r="B1338" t="n">
        <v>-23106</v>
      </c>
      <c r="C1338" t="n">
        <v>-25685</v>
      </c>
      <c r="D1338" t="n">
        <v>-23656</v>
      </c>
      <c r="E1338" t="n">
        <v>-36393</v>
      </c>
      <c r="F1338" t="n">
        <v>115114</v>
      </c>
      <c r="G1338" t="n">
        <v>5621</v>
      </c>
      <c r="H1338" t="n">
        <v>3680</v>
      </c>
      <c r="I1338" t="n">
        <v>52778</v>
      </c>
      <c r="J1338" t="n">
        <v>1953</v>
      </c>
      <c r="K1338" t="n">
        <v>10863</v>
      </c>
      <c r="L1338" t="n">
        <v>6510</v>
      </c>
    </row>
    <row r="1339">
      <c r="A1339" s="64" t="n">
        <v>43242</v>
      </c>
      <c r="B1339" t="n">
        <v>-21112</v>
      </c>
      <c r="C1339" t="n">
        <v>-25341</v>
      </c>
      <c r="D1339" t="n">
        <v>-26212</v>
      </c>
      <c r="E1339" t="n">
        <v>-37311</v>
      </c>
      <c r="F1339" t="n">
        <v>109744</v>
      </c>
      <c r="G1339" t="n">
        <v>5701</v>
      </c>
      <c r="H1339" t="n">
        <v>-2767</v>
      </c>
      <c r="I1339" t="n">
        <v>31540</v>
      </c>
      <c r="J1339" t="n">
        <v>-1363</v>
      </c>
      <c r="K1339" t="n">
        <v>11356</v>
      </c>
      <c r="L1339" t="n">
        <v>6281</v>
      </c>
    </row>
    <row r="1340">
      <c r="A1340" s="64" t="n">
        <v>43249</v>
      </c>
      <c r="B1340" t="n">
        <v>-23235</v>
      </c>
      <c r="C1340" t="n">
        <v>-25324</v>
      </c>
      <c r="D1340" t="n">
        <v>-15690</v>
      </c>
      <c r="E1340" t="n">
        <v>-43431</v>
      </c>
      <c r="F1340" t="n">
        <v>93037</v>
      </c>
      <c r="G1340" t="n">
        <v>9477</v>
      </c>
      <c r="H1340" t="n">
        <v>-8036</v>
      </c>
      <c r="I1340" t="n">
        <v>18336</v>
      </c>
      <c r="J1340" t="n">
        <v>1401</v>
      </c>
      <c r="K1340" t="n">
        <v>11637</v>
      </c>
      <c r="L1340" t="n">
        <v>6319</v>
      </c>
    </row>
    <row r="1341">
      <c r="A1341" s="64" t="n">
        <v>43256</v>
      </c>
      <c r="B1341" t="n">
        <v>-20208</v>
      </c>
      <c r="C1341" t="n">
        <v>-30262</v>
      </c>
      <c r="D1341" t="n">
        <v>-16039</v>
      </c>
      <c r="E1341" t="n">
        <v>-39216</v>
      </c>
      <c r="F1341" t="n">
        <v>89236</v>
      </c>
      <c r="G1341" t="n">
        <v>7345</v>
      </c>
      <c r="H1341" t="n">
        <v>-3437</v>
      </c>
      <c r="I1341" t="n">
        <v>-11110</v>
      </c>
      <c r="J1341" t="n">
        <v>4383</v>
      </c>
      <c r="K1341" t="n">
        <v>11646</v>
      </c>
      <c r="L1341" t="n">
        <v>7041</v>
      </c>
    </row>
    <row r="1342">
      <c r="A1342" s="64" t="n">
        <v>43263</v>
      </c>
      <c r="B1342" t="n">
        <v>-15235</v>
      </c>
      <c r="C1342" t="n">
        <v>-28526</v>
      </c>
      <c r="D1342" t="n">
        <v>-14988</v>
      </c>
      <c r="E1342" t="n">
        <v>-37245</v>
      </c>
      <c r="F1342" t="n">
        <v>88225</v>
      </c>
      <c r="G1342" t="n">
        <v>10969</v>
      </c>
      <c r="H1342" t="n">
        <v>5052</v>
      </c>
      <c r="I1342" t="n">
        <v>-21700</v>
      </c>
      <c r="J1342" t="n">
        <v>7006</v>
      </c>
      <c r="K1342" t="n">
        <v>12100</v>
      </c>
      <c r="L1342" t="n">
        <v>7785</v>
      </c>
    </row>
    <row r="1343">
      <c r="A1343" s="64" t="n">
        <v>43270</v>
      </c>
      <c r="B1343" t="n">
        <v>-43099</v>
      </c>
      <c r="C1343" t="n">
        <v>-28024</v>
      </c>
      <c r="D1343" t="n">
        <v>-14014</v>
      </c>
      <c r="E1343" t="n">
        <v>-31957</v>
      </c>
      <c r="F1343" t="n">
        <v>36118</v>
      </c>
      <c r="G1343" t="n">
        <v>-19206</v>
      </c>
      <c r="H1343" t="n">
        <v>-35562</v>
      </c>
      <c r="I1343" t="n">
        <v>-11265</v>
      </c>
      <c r="J1343" t="n">
        <v>-15940</v>
      </c>
      <c r="K1343" t="n">
        <v>9849</v>
      </c>
      <c r="L1343" t="n">
        <v/>
      </c>
    </row>
    <row r="1344">
      <c r="A1344" s="64" t="n">
        <v>43277</v>
      </c>
      <c r="B1344" t="n">
        <v>-40978</v>
      </c>
      <c r="C1344" t="n">
        <v>-28797</v>
      </c>
      <c r="D1344" t="n">
        <v>-32799</v>
      </c>
      <c r="E1344" t="n">
        <v>-38031</v>
      </c>
      <c r="F1344" t="n">
        <v>33904</v>
      </c>
      <c r="G1344" t="n">
        <v>-21581</v>
      </c>
      <c r="H1344" t="n">
        <v>-34221</v>
      </c>
      <c r="I1344" t="n">
        <v>-12510</v>
      </c>
      <c r="J1344" t="n">
        <v>-17562</v>
      </c>
      <c r="K1344" t="n">
        <v>6706</v>
      </c>
      <c r="L1344" t="n">
        <v/>
      </c>
    </row>
    <row r="1345">
      <c r="A1345" s="64" t="n">
        <v>43284</v>
      </c>
      <c r="B1345" t="n">
        <v>-39230</v>
      </c>
      <c r="C1345" t="n">
        <v>-28556</v>
      </c>
      <c r="D1345" t="n">
        <v>-49448</v>
      </c>
      <c r="E1345" t="n">
        <v>-40494</v>
      </c>
      <c r="F1345" t="n">
        <v>36747</v>
      </c>
      <c r="G1345" t="n">
        <v>-28781</v>
      </c>
      <c r="H1345" t="n">
        <v>-38730</v>
      </c>
      <c r="I1345" t="n">
        <v>5915</v>
      </c>
      <c r="J1345" t="n">
        <v>-26404</v>
      </c>
      <c r="K1345" t="n">
        <v>5572</v>
      </c>
      <c r="L1345" t="n">
        <v/>
      </c>
    </row>
    <row r="1346">
      <c r="A1346" s="64" t="n">
        <v>43291</v>
      </c>
      <c r="B1346" t="n">
        <v>-40973</v>
      </c>
      <c r="C1346" t="n">
        <v>-27320</v>
      </c>
      <c r="D1346" t="n">
        <v>-52887</v>
      </c>
      <c r="E1346" t="n">
        <v>-40121</v>
      </c>
      <c r="F1346" t="n">
        <v>24357</v>
      </c>
      <c r="G1346" t="n">
        <v>-40403</v>
      </c>
      <c r="H1346" t="n">
        <v>-39832</v>
      </c>
      <c r="I1346" t="n">
        <v>28132</v>
      </c>
      <c r="J1346" t="n">
        <v>-26574</v>
      </c>
      <c r="K1346" t="n">
        <v>6366</v>
      </c>
      <c r="L1346" t="n">
        <v/>
      </c>
    </row>
    <row r="1347">
      <c r="A1347" s="64" t="n">
        <v>43298</v>
      </c>
      <c r="B1347" t="n">
        <v>-40525</v>
      </c>
      <c r="C1347" t="n">
        <v>-27010</v>
      </c>
      <c r="D1347" t="n">
        <v>-47484</v>
      </c>
      <c r="E1347" t="n">
        <v>-42143</v>
      </c>
      <c r="F1347" t="n">
        <v>21407</v>
      </c>
      <c r="G1347" t="n">
        <v>-38752</v>
      </c>
      <c r="H1347" t="n">
        <v>-58650</v>
      </c>
      <c r="I1347" t="n">
        <v>29078</v>
      </c>
      <c r="J1347" t="n">
        <v>-25067</v>
      </c>
      <c r="K1347" t="n">
        <v>7604</v>
      </c>
      <c r="L1347" t="n">
        <v>-62</v>
      </c>
    </row>
    <row r="1348">
      <c r="A1348" s="64" t="n">
        <v>43305</v>
      </c>
      <c r="B1348" t="n">
        <v>-45486</v>
      </c>
      <c r="C1348" t="n">
        <v>-26432</v>
      </c>
      <c r="D1348" t="n">
        <v>-44511</v>
      </c>
      <c r="E1348" t="n">
        <v>-45808</v>
      </c>
      <c r="F1348" t="n">
        <v>29640</v>
      </c>
      <c r="G1348" t="n">
        <v>-46743</v>
      </c>
      <c r="H1348" t="n">
        <v>-73769</v>
      </c>
      <c r="I1348" t="n">
        <v>19584</v>
      </c>
      <c r="J1348" t="n">
        <v>-24370</v>
      </c>
      <c r="K1348" t="n">
        <v>8157</v>
      </c>
      <c r="L1348" t="n">
        <v>797</v>
      </c>
    </row>
    <row r="1349">
      <c r="A1349" s="64" t="n">
        <v>43312</v>
      </c>
      <c r="B1349" t="n">
        <v>-51476</v>
      </c>
      <c r="C1349" t="n">
        <v>-21376</v>
      </c>
      <c r="D1349" t="n">
        <v>-31569</v>
      </c>
      <c r="E1349" t="n">
        <v>-44422</v>
      </c>
      <c r="F1349" t="n">
        <v>22825</v>
      </c>
      <c r="G1349" t="n">
        <v>-47386</v>
      </c>
      <c r="H1349" t="n">
        <v>-68457</v>
      </c>
      <c r="I1349" t="n">
        <v>26515</v>
      </c>
      <c r="J1349" t="n">
        <v>-23680</v>
      </c>
      <c r="K1349" t="n">
        <v>7739</v>
      </c>
      <c r="L1349" t="n">
        <v>2399</v>
      </c>
    </row>
    <row r="1350">
      <c r="A1350" s="64" t="n">
        <v>43319</v>
      </c>
      <c r="B1350" t="n">
        <v>-54540</v>
      </c>
      <c r="C1350" t="n">
        <v>-17205</v>
      </c>
      <c r="D1350" t="n">
        <v>-24898</v>
      </c>
      <c r="E1350" t="n">
        <v>-46108</v>
      </c>
      <c r="F1350" t="n">
        <v>10565</v>
      </c>
      <c r="G1350" t="n">
        <v>-58852</v>
      </c>
      <c r="H1350" t="n">
        <v>-62807</v>
      </c>
      <c r="I1350" t="n">
        <v>33260</v>
      </c>
      <c r="J1350" t="n">
        <v>-24527</v>
      </c>
      <c r="K1350" t="n">
        <v>7661</v>
      </c>
      <c r="L1350" t="n">
        <v>2322</v>
      </c>
    </row>
    <row r="1351">
      <c r="A1351" s="64" t="n">
        <v>43326</v>
      </c>
      <c r="B1351" t="n">
        <v>-51783</v>
      </c>
      <c r="C1351" t="n">
        <v>-17126</v>
      </c>
      <c r="D1351" t="n">
        <v>-26198</v>
      </c>
      <c r="E1351" t="n">
        <v>-45849</v>
      </c>
      <c r="F1351" t="n">
        <v>-1789</v>
      </c>
      <c r="G1351" t="n">
        <v>-60741</v>
      </c>
      <c r="H1351" t="n">
        <v>-58368</v>
      </c>
      <c r="I1351" t="n">
        <v>31074</v>
      </c>
      <c r="J1351" t="n">
        <v>-26693</v>
      </c>
      <c r="K1351" t="n">
        <v>5255</v>
      </c>
      <c r="L1351" t="n">
        <v>3553</v>
      </c>
    </row>
    <row r="1352">
      <c r="A1352" s="64" t="n">
        <v>43333</v>
      </c>
      <c r="B1352" t="n">
        <v>-50207</v>
      </c>
      <c r="C1352" t="n">
        <v>-18484</v>
      </c>
      <c r="D1352" t="n">
        <v>-27021</v>
      </c>
      <c r="E1352" t="n">
        <v>-47218</v>
      </c>
      <c r="F1352" t="n">
        <v>-4841</v>
      </c>
      <c r="G1352" t="n">
        <v>-72338</v>
      </c>
      <c r="H1352" t="n">
        <v>-47406</v>
      </c>
      <c r="I1352" t="n">
        <v>25670</v>
      </c>
      <c r="J1352" t="n">
        <v>-25143</v>
      </c>
      <c r="K1352" t="n">
        <v>4979</v>
      </c>
      <c r="L1352" t="n">
        <v>1351</v>
      </c>
    </row>
    <row r="1353">
      <c r="A1353" s="64" t="n">
        <v>43340</v>
      </c>
      <c r="B1353" t="n">
        <v>-44633</v>
      </c>
      <c r="C1353" t="n">
        <v>-18029</v>
      </c>
      <c r="D1353" t="n">
        <v>-24789</v>
      </c>
      <c r="E1353" t="n">
        <v>-44744</v>
      </c>
      <c r="F1353" t="n">
        <v>-7219</v>
      </c>
      <c r="G1353" t="n">
        <v>-76928</v>
      </c>
      <c r="H1353" t="n">
        <v>-46041</v>
      </c>
      <c r="I1353" t="n">
        <v>19337</v>
      </c>
      <c r="J1353" t="n">
        <v>-23927</v>
      </c>
      <c r="K1353" t="n">
        <v>5049</v>
      </c>
      <c r="L1353" t="n">
        <v>1127</v>
      </c>
    </row>
    <row r="1354">
      <c r="A1354" s="64" t="n">
        <v>43347</v>
      </c>
      <c r="B1354" t="n">
        <v>-44031</v>
      </c>
      <c r="C1354" t="n">
        <v>-16771</v>
      </c>
      <c r="D1354" t="n">
        <v>-26307</v>
      </c>
      <c r="E1354" t="n">
        <v>-40394</v>
      </c>
      <c r="F1354" t="n">
        <v>7963</v>
      </c>
      <c r="G1354" t="n">
        <v>-69613</v>
      </c>
      <c r="H1354" t="n">
        <v>-51932</v>
      </c>
      <c r="I1354" t="n">
        <v>12519</v>
      </c>
      <c r="J1354" t="n">
        <v>-24894</v>
      </c>
      <c r="K1354" t="n">
        <v>4727</v>
      </c>
      <c r="L1354" t="n">
        <v>1374</v>
      </c>
    </row>
    <row r="1355">
      <c r="A1355" s="64" t="n">
        <v>43354</v>
      </c>
      <c r="B1355" t="n">
        <v>-44312</v>
      </c>
      <c r="C1355" t="n">
        <v>-26560</v>
      </c>
      <c r="D1355" t="n">
        <v>-26942</v>
      </c>
      <c r="E1355" t="n">
        <v>-35350</v>
      </c>
      <c r="F1355" t="n">
        <v>11170</v>
      </c>
      <c r="G1355" t="n">
        <v>-61179</v>
      </c>
      <c r="H1355" t="n">
        <v>-53886</v>
      </c>
      <c r="I1355" t="n">
        <v>14536</v>
      </c>
      <c r="J1355" t="n">
        <v>-22647</v>
      </c>
      <c r="K1355" t="n">
        <v>2894</v>
      </c>
      <c r="L1355" t="n">
        <v>1204</v>
      </c>
    </row>
    <row r="1356">
      <c r="A1356" s="64" t="n">
        <v>43361</v>
      </c>
      <c r="B1356" t="n">
        <v>-68003</v>
      </c>
      <c r="C1356" t="n">
        <v>-26000</v>
      </c>
      <c r="D1356" t="n">
        <v>-30111</v>
      </c>
      <c r="E1356" t="n">
        <v>-18438</v>
      </c>
      <c r="F1356" t="n">
        <v>1666</v>
      </c>
      <c r="G1356" t="n">
        <v>-79258</v>
      </c>
      <c r="H1356" t="n">
        <v>-63755</v>
      </c>
      <c r="I1356" t="n">
        <v>40513</v>
      </c>
      <c r="J1356" t="n">
        <v>-31989</v>
      </c>
      <c r="K1356" t="n">
        <v>-3830</v>
      </c>
      <c r="L1356" t="n">
        <v>-2393</v>
      </c>
    </row>
    <row r="1357">
      <c r="A1357" s="64" t="n">
        <v>43368</v>
      </c>
      <c r="B1357" t="n">
        <v>-72061</v>
      </c>
      <c r="C1357" t="n">
        <v>-28589</v>
      </c>
      <c r="D1357" t="n">
        <v>-19532</v>
      </c>
      <c r="E1357" t="n">
        <v>-16083</v>
      </c>
      <c r="F1357" t="n">
        <v>3696</v>
      </c>
      <c r="G1357" t="n">
        <v>-67078</v>
      </c>
      <c r="H1357" t="n">
        <v>-84719</v>
      </c>
      <c r="I1357" t="n">
        <v>51398</v>
      </c>
      <c r="J1357" t="n">
        <v>-31835</v>
      </c>
      <c r="K1357" t="n">
        <v>-4215</v>
      </c>
      <c r="L1357" t="n">
        <v>-4491</v>
      </c>
    </row>
    <row r="1358">
      <c r="A1358" s="64" t="n">
        <v>43375</v>
      </c>
      <c r="B1358" t="n">
        <v>-71718</v>
      </c>
      <c r="C1358" t="n">
        <v>-27239</v>
      </c>
      <c r="D1358" t="n">
        <v>-18484</v>
      </c>
      <c r="E1358" t="n">
        <v>-13402</v>
      </c>
      <c r="F1358" t="n">
        <v>-7101</v>
      </c>
      <c r="G1358" t="n">
        <v>-59340</v>
      </c>
      <c r="H1358" t="n">
        <v>-114046</v>
      </c>
      <c r="I1358" t="n">
        <v>73829</v>
      </c>
      <c r="J1358" t="n">
        <v>-30596</v>
      </c>
      <c r="K1358" t="n">
        <v>-118</v>
      </c>
      <c r="L1358" t="n">
        <v/>
      </c>
    </row>
    <row r="1359">
      <c r="A1359" s="64" t="n">
        <v>43382</v>
      </c>
      <c r="B1359" t="n">
        <v>-73284</v>
      </c>
      <c r="C1359" t="n">
        <v>-18828</v>
      </c>
      <c r="D1359" t="n">
        <v>-12145</v>
      </c>
      <c r="E1359" t="n">
        <v>-12803</v>
      </c>
      <c r="F1359" t="n">
        <v>-16142</v>
      </c>
      <c r="G1359" t="n">
        <v>-60507</v>
      </c>
      <c r="H1359" t="n">
        <v>-115201</v>
      </c>
      <c r="I1359" t="n">
        <v>74449</v>
      </c>
      <c r="J1359" t="n">
        <v>-33820</v>
      </c>
      <c r="K1359" t="n">
        <v>2645</v>
      </c>
      <c r="L1359" t="n">
        <v/>
      </c>
    </row>
    <row r="1360">
      <c r="A1360" s="64" t="n">
        <v>43389</v>
      </c>
      <c r="B1360" t="n">
        <v>-71491</v>
      </c>
      <c r="C1360" t="n">
        <v>-15693</v>
      </c>
      <c r="D1360" t="n">
        <v>-11019</v>
      </c>
      <c r="E1360" t="n">
        <v>-16524</v>
      </c>
      <c r="F1360" t="n">
        <v>-29344</v>
      </c>
      <c r="G1360" t="n">
        <v>-50353</v>
      </c>
      <c r="H1360" t="n">
        <v>-100621</v>
      </c>
      <c r="I1360" t="n">
        <v>68575</v>
      </c>
      <c r="J1360" t="n">
        <v>-35412</v>
      </c>
      <c r="K1360" t="n">
        <v>2831</v>
      </c>
      <c r="L1360" t="n">
        <v>-3295</v>
      </c>
    </row>
    <row r="1361">
      <c r="A1361" s="64" t="n">
        <v>43396</v>
      </c>
      <c r="B1361" t="n">
        <v>-70368</v>
      </c>
      <c r="C1361" t="n">
        <v>-15265</v>
      </c>
      <c r="D1361" t="n">
        <v>-7228</v>
      </c>
      <c r="E1361" t="n">
        <v>-17105</v>
      </c>
      <c r="F1361" t="n">
        <v>-30304</v>
      </c>
      <c r="G1361" t="n">
        <v>-46997</v>
      </c>
      <c r="H1361" t="n">
        <v>-92804</v>
      </c>
      <c r="I1361" t="n">
        <v>58027</v>
      </c>
      <c r="J1361" t="n">
        <v>-33048</v>
      </c>
      <c r="K1361" t="n">
        <v>2563</v>
      </c>
      <c r="L1361" t="n">
        <v/>
      </c>
    </row>
    <row r="1362">
      <c r="A1362" s="64" t="n">
        <v>43403</v>
      </c>
      <c r="B1362" t="n">
        <v>-70412</v>
      </c>
      <c r="C1362" t="n">
        <v>-15657</v>
      </c>
      <c r="D1362" t="n">
        <v>-9655</v>
      </c>
      <c r="E1362" t="n">
        <v>-14522</v>
      </c>
      <c r="F1362" t="n">
        <v>-32662</v>
      </c>
      <c r="G1362" t="n">
        <v>-52482</v>
      </c>
      <c r="H1362" t="n">
        <v>-91620</v>
      </c>
      <c r="I1362" t="n">
        <v>33809</v>
      </c>
      <c r="J1362" t="n">
        <v>-35031</v>
      </c>
      <c r="K1362" t="n">
        <v>2572</v>
      </c>
      <c r="L1362" t="n">
        <v>-1945</v>
      </c>
    </row>
    <row r="1363">
      <c r="A1363" s="64" t="n">
        <v>43410</v>
      </c>
      <c r="B1363" t="n">
        <v>-66445</v>
      </c>
      <c r="C1363" t="n">
        <v>3600</v>
      </c>
      <c r="D1363" t="n">
        <v>-2632</v>
      </c>
      <c r="E1363" t="n">
        <v>-19948</v>
      </c>
      <c r="F1363" t="n">
        <v>-46843</v>
      </c>
      <c r="G1363" t="n">
        <v>-56799</v>
      </c>
      <c r="H1363" t="n">
        <v>-89122</v>
      </c>
      <c r="I1363" t="n">
        <v>7036</v>
      </c>
      <c r="J1363" t="n">
        <v>-25726</v>
      </c>
      <c r="K1363" t="n">
        <v>4558</v>
      </c>
      <c r="L1363" t="n">
        <v/>
      </c>
    </row>
    <row r="1364">
      <c r="A1364" s="64" t="n">
        <v>43417</v>
      </c>
      <c r="B1364" t="n">
        <v>-59780</v>
      </c>
      <c r="C1364" t="n">
        <v>3214</v>
      </c>
      <c r="D1364" t="n">
        <v>-2791</v>
      </c>
      <c r="E1364" t="n">
        <v>-18602</v>
      </c>
      <c r="F1364" t="n">
        <v>-37019</v>
      </c>
      <c r="G1364" t="n">
        <v>-47107</v>
      </c>
      <c r="H1364" t="n">
        <v>-102294</v>
      </c>
      <c r="I1364" t="n">
        <v>7287</v>
      </c>
      <c r="J1364" t="n">
        <v>-20868</v>
      </c>
      <c r="K1364" t="n">
        <v>9996</v>
      </c>
      <c r="L1364" t="n">
        <v/>
      </c>
    </row>
    <row r="1365">
      <c r="A1365" s="64" t="n">
        <v>43424</v>
      </c>
      <c r="B1365" t="n">
        <v>-59180</v>
      </c>
      <c r="C1365" t="n">
        <v>4043</v>
      </c>
      <c r="D1365" t="n">
        <v>-6289</v>
      </c>
      <c r="E1365" t="n">
        <v>-19625</v>
      </c>
      <c r="F1365" t="n">
        <v>-47229</v>
      </c>
      <c r="G1365" t="n">
        <v>-43478</v>
      </c>
      <c r="H1365" t="n">
        <v>-100065</v>
      </c>
      <c r="I1365" t="n">
        <v>14083</v>
      </c>
      <c r="J1365" t="n">
        <v>-19347</v>
      </c>
      <c r="K1365" t="n">
        <v>9716</v>
      </c>
      <c r="L1365" t="n">
        <v/>
      </c>
    </row>
    <row r="1366">
      <c r="A1366" s="64" t="n">
        <v>43431</v>
      </c>
      <c r="B1366" t="n">
        <v>-53903</v>
      </c>
      <c r="C1366" t="n">
        <v>2455</v>
      </c>
      <c r="D1366" t="n">
        <v>-8630</v>
      </c>
      <c r="E1366" t="n">
        <v>-21068</v>
      </c>
      <c r="F1366" t="n">
        <v>-55071</v>
      </c>
      <c r="G1366" t="n">
        <v>-39150</v>
      </c>
      <c r="H1366" t="n">
        <v>-104324</v>
      </c>
      <c r="I1366" t="n">
        <v>15327</v>
      </c>
      <c r="J1366" t="n">
        <v>-20540</v>
      </c>
      <c r="K1366" t="n">
        <v>10212</v>
      </c>
      <c r="L1366" t="n">
        <v/>
      </c>
    </row>
    <row r="1367">
      <c r="A1367" s="64" t="n">
        <v>43438</v>
      </c>
      <c r="B1367" t="n">
        <v>-50755</v>
      </c>
      <c r="C1367" t="n">
        <v>511</v>
      </c>
      <c r="D1367" t="n">
        <v>-12936</v>
      </c>
      <c r="E1367" t="n">
        <v>-19795</v>
      </c>
      <c r="F1367" t="n">
        <v>-60776</v>
      </c>
      <c r="G1367" t="n">
        <v>-39750</v>
      </c>
      <c r="H1367" t="n">
        <v>-109766</v>
      </c>
      <c r="I1367" t="n">
        <v>4523</v>
      </c>
      <c r="J1367" t="n">
        <v>-21297</v>
      </c>
      <c r="K1367" t="n">
        <v>10358</v>
      </c>
      <c r="L1367" t="n">
        <v/>
      </c>
    </row>
    <row r="1368">
      <c r="A1368" s="64" t="n">
        <v>43445</v>
      </c>
      <c r="B1368" t="n">
        <v>-45531</v>
      </c>
      <c r="C1368" t="n">
        <v>-13</v>
      </c>
      <c r="D1368" t="n">
        <v>-11669</v>
      </c>
      <c r="E1368" t="n">
        <v>-18267</v>
      </c>
      <c r="F1368" t="n">
        <v>-56287</v>
      </c>
      <c r="G1368" t="n">
        <v>-42419</v>
      </c>
      <c r="H1368" t="n">
        <v>-97606</v>
      </c>
      <c r="I1368" t="n">
        <v>11442</v>
      </c>
      <c r="J1368" t="n">
        <v>-15241</v>
      </c>
      <c r="K1368" t="n">
        <v>10763</v>
      </c>
      <c r="L1368" t="n">
        <v>555</v>
      </c>
    </row>
    <row r="1369">
      <c r="A1369" s="64" t="n">
        <v>43452</v>
      </c>
      <c r="B1369" t="n">
        <v>-35069</v>
      </c>
      <c r="C1369" t="n">
        <v>219</v>
      </c>
      <c r="D1369" t="n">
        <v>-7457</v>
      </c>
      <c r="E1369" t="n">
        <v>-22926</v>
      </c>
      <c r="F1369" t="n">
        <v>-53124</v>
      </c>
      <c r="G1369" t="n">
        <v>-60723</v>
      </c>
      <c r="H1369" t="n">
        <v>-102771</v>
      </c>
      <c r="I1369" t="n">
        <v>-769</v>
      </c>
      <c r="J1369" t="n">
        <v>3411</v>
      </c>
      <c r="K1369" t="n">
        <v>19686</v>
      </c>
      <c r="L1369" t="n">
        <v/>
      </c>
    </row>
    <row r="1370">
      <c r="A1370" s="64" t="n">
        <v>43458</v>
      </c>
      <c r="B1370" t="n">
        <v>-31261</v>
      </c>
      <c r="C1370" t="n">
        <v>-485</v>
      </c>
      <c r="D1370" t="n">
        <v>-44692</v>
      </c>
      <c r="E1370" t="n">
        <v>-23329</v>
      </c>
      <c r="F1370" t="n">
        <v>-58455</v>
      </c>
      <c r="G1370" t="n">
        <v>-56479</v>
      </c>
      <c r="H1370" t="n">
        <v>-99089</v>
      </c>
      <c r="I1370" t="n">
        <v>3429</v>
      </c>
      <c r="J1370" t="n">
        <v>1940</v>
      </c>
      <c r="K1370" t="n">
        <v>15569</v>
      </c>
      <c r="L1370" t="n">
        <v/>
      </c>
    </row>
    <row r="1371">
      <c r="A1371" s="64" t="n">
        <v>43465</v>
      </c>
      <c r="B1371" t="n">
        <v>-26291</v>
      </c>
      <c r="C1371" t="n">
        <v>-3143</v>
      </c>
      <c r="D1371" t="n">
        <v>-50649</v>
      </c>
      <c r="E1371" t="n">
        <v>-25530</v>
      </c>
      <c r="F1371" t="n">
        <v>-46648</v>
      </c>
      <c r="G1371" t="n">
        <v>-56914</v>
      </c>
      <c r="H1371" t="n">
        <v>-88623</v>
      </c>
      <c r="I1371" t="n">
        <v>9772</v>
      </c>
      <c r="J1371" t="n">
        <v>1962</v>
      </c>
      <c r="K1371" t="n">
        <v>12949</v>
      </c>
      <c r="L1371" t="n">
        <v>-1178</v>
      </c>
    </row>
    <row r="1372">
      <c r="A1372" s="64" t="n">
        <v>43473</v>
      </c>
      <c r="B1372" t="n">
        <v>-37775</v>
      </c>
      <c r="C1372" t="n">
        <v>-2896</v>
      </c>
      <c r="D1372" t="n">
        <v>-66002</v>
      </c>
      <c r="E1372" t="n">
        <v>-23186</v>
      </c>
      <c r="F1372" t="n">
        <v>-40533</v>
      </c>
      <c r="G1372" t="n">
        <v>-60092</v>
      </c>
      <c r="H1372" t="n">
        <v>-61314</v>
      </c>
      <c r="I1372" t="n">
        <v>30982</v>
      </c>
      <c r="J1372" t="n">
        <v>-1538</v>
      </c>
      <c r="K1372" t="n">
        <v>2467</v>
      </c>
      <c r="L1372" t="n">
        <v>-1997</v>
      </c>
    </row>
    <row r="1373">
      <c r="A1373" s="64" t="n">
        <v>43480</v>
      </c>
      <c r="B1373" t="n">
        <v>-37969</v>
      </c>
      <c r="C1373" t="n">
        <v>-1455</v>
      </c>
      <c r="D1373" t="n">
        <v>-59524</v>
      </c>
      <c r="E1373" t="n">
        <v>-15294</v>
      </c>
      <c r="F1373" t="n">
        <v>-32661</v>
      </c>
      <c r="G1373" t="n">
        <v>-60476</v>
      </c>
      <c r="H1373" t="n">
        <v>-46421</v>
      </c>
      <c r="I1373" t="n">
        <v>57265</v>
      </c>
      <c r="J1373" t="n">
        <v>-2940</v>
      </c>
      <c r="K1373" t="n">
        <v>1415</v>
      </c>
      <c r="L1373" t="n">
        <v>-1662</v>
      </c>
    </row>
    <row r="1374">
      <c r="A1374" s="64" t="n">
        <v>43487</v>
      </c>
      <c r="B1374" t="n">
        <v>-36063</v>
      </c>
      <c r="C1374" t="n">
        <v>36</v>
      </c>
      <c r="D1374" t="n">
        <v>-56096</v>
      </c>
      <c r="E1374" t="n">
        <v>-16402</v>
      </c>
      <c r="F1374" t="n">
        <v>-41006</v>
      </c>
      <c r="G1374" t="n">
        <v>-52111</v>
      </c>
      <c r="H1374" t="n">
        <v>-39667</v>
      </c>
      <c r="I1374" t="n">
        <v>63519</v>
      </c>
      <c r="J1374" t="n">
        <v>-4589</v>
      </c>
      <c r="K1374" t="n">
        <v>5909</v>
      </c>
      <c r="L1374" t="n">
        <v>-1081</v>
      </c>
    </row>
    <row r="1375">
      <c r="A1375" s="64" t="n">
        <v>43494</v>
      </c>
      <c r="B1375" t="n">
        <v>-32112</v>
      </c>
      <c r="C1375" t="n">
        <v>-108</v>
      </c>
      <c r="D1375" t="n">
        <v>-56390</v>
      </c>
      <c r="E1375" t="n">
        <v>-18080</v>
      </c>
      <c r="F1375" t="n">
        <v>-46474</v>
      </c>
      <c r="G1375" t="n">
        <v>-35196</v>
      </c>
      <c r="H1375" t="n">
        <v>-33345</v>
      </c>
      <c r="I1375" t="n">
        <v>69443</v>
      </c>
      <c r="J1375" t="n">
        <v>-2816</v>
      </c>
      <c r="K1375" t="n">
        <v>11311</v>
      </c>
      <c r="L1375" t="n">
        <v>-1407</v>
      </c>
    </row>
    <row r="1376">
      <c r="A1376" s="64" t="n">
        <v>43501</v>
      </c>
      <c r="B1376" t="n">
        <v>-35617</v>
      </c>
      <c r="C1376" t="n">
        <v>2767</v>
      </c>
      <c r="D1376" t="n">
        <v>-42037</v>
      </c>
      <c r="E1376" t="n">
        <v>-18114</v>
      </c>
      <c r="F1376" t="n">
        <v>-51964</v>
      </c>
      <c r="G1376" t="n">
        <v>-33744</v>
      </c>
      <c r="H1376" t="n">
        <v>-31410</v>
      </c>
      <c r="I1376" t="n">
        <v>71467</v>
      </c>
      <c r="J1376" t="n">
        <v>547</v>
      </c>
      <c r="K1376" t="n">
        <v>15633</v>
      </c>
      <c r="L1376" t="n">
        <v>-255</v>
      </c>
    </row>
    <row r="1377">
      <c r="A1377" s="64" t="n">
        <v>43508</v>
      </c>
      <c r="B1377" t="n">
        <v>-34495</v>
      </c>
      <c r="C1377" t="n">
        <v>1476</v>
      </c>
      <c r="D1377" t="n">
        <v>-37537</v>
      </c>
      <c r="E1377" t="n">
        <v>-20680</v>
      </c>
      <c r="F1377" t="n">
        <v>-63900</v>
      </c>
      <c r="G1377" t="n">
        <v>-42944</v>
      </c>
      <c r="H1377" t="n">
        <v>-30742</v>
      </c>
      <c r="I1377" t="n">
        <v>76411</v>
      </c>
      <c r="J1377" t="n">
        <v>-1123</v>
      </c>
      <c r="K1377" t="n">
        <v>18338</v>
      </c>
      <c r="L1377" t="n">
        <v>444</v>
      </c>
    </row>
    <row r="1378">
      <c r="A1378" s="64" t="n">
        <v>43515</v>
      </c>
      <c r="B1378" t="n">
        <v>-37068</v>
      </c>
      <c r="C1378" t="n">
        <v>1025</v>
      </c>
      <c r="D1378" t="n">
        <v>-36437</v>
      </c>
      <c r="E1378" t="n">
        <v>-23350</v>
      </c>
      <c r="F1378" t="n">
        <v>-74934</v>
      </c>
      <c r="G1378" t="n">
        <v>-47528</v>
      </c>
      <c r="H1378" t="n">
        <v>-37461</v>
      </c>
      <c r="I1378" t="n">
        <v>95095</v>
      </c>
      <c r="J1378" t="n">
        <v>-740</v>
      </c>
      <c r="K1378" t="n">
        <v>19047</v>
      </c>
      <c r="L1378" t="n">
        <v>845</v>
      </c>
    </row>
    <row r="1379">
      <c r="A1379" s="64" t="n">
        <v>43522</v>
      </c>
      <c r="B1379" t="n">
        <v>-35743</v>
      </c>
      <c r="C1379" t="n">
        <v>1097</v>
      </c>
      <c r="D1379" t="n">
        <v>-39177</v>
      </c>
      <c r="E1379" t="n">
        <v>-25349</v>
      </c>
      <c r="F1379" t="n">
        <v>-72455</v>
      </c>
      <c r="G1379" t="n">
        <v>-39263</v>
      </c>
      <c r="H1379" t="n">
        <v>-39654</v>
      </c>
      <c r="I1379" t="n">
        <v>91947</v>
      </c>
      <c r="J1379" t="n">
        <v>914</v>
      </c>
      <c r="K1379" t="n">
        <v>19563</v>
      </c>
      <c r="L1379" t="n">
        <v/>
      </c>
    </row>
    <row r="1380">
      <c r="A1380" s="64" t="n">
        <v>43529</v>
      </c>
      <c r="B1380" t="n">
        <v>-40741</v>
      </c>
      <c r="C1380" t="n">
        <v>3138</v>
      </c>
      <c r="D1380" t="n">
        <v>-40444</v>
      </c>
      <c r="E1380" t="n">
        <v>-24104</v>
      </c>
      <c r="F1380" t="n">
        <v>-78166</v>
      </c>
      <c r="G1380" t="n">
        <v>-34929</v>
      </c>
      <c r="H1380" t="n">
        <v>-51306</v>
      </c>
      <c r="I1380" t="n">
        <v>88418</v>
      </c>
      <c r="J1380" t="n">
        <v>1421</v>
      </c>
      <c r="K1380" t="n">
        <v>19536</v>
      </c>
      <c r="L1380" t="n">
        <v>-138</v>
      </c>
    </row>
    <row r="1381">
      <c r="A1381" s="64" t="n">
        <v>43536</v>
      </c>
      <c r="B1381" t="n">
        <v>-43699</v>
      </c>
      <c r="C1381" t="n">
        <v>-4458</v>
      </c>
      <c r="D1381" t="n">
        <v>-41053</v>
      </c>
      <c r="E1381" t="n">
        <v>-23305</v>
      </c>
      <c r="F1381" t="n">
        <v>-75745</v>
      </c>
      <c r="G1381" t="n">
        <v>-36696</v>
      </c>
      <c r="H1381" t="n">
        <v>-58781</v>
      </c>
      <c r="I1381" t="n">
        <v>75096</v>
      </c>
      <c r="J1381" t="n">
        <v>4597</v>
      </c>
      <c r="K1381" t="n">
        <v>22577</v>
      </c>
      <c r="L1381" t="n">
        <v>-376</v>
      </c>
    </row>
    <row r="1382">
      <c r="A1382" s="64" t="n">
        <v>43543</v>
      </c>
      <c r="B1382" t="n">
        <v>-51902</v>
      </c>
      <c r="C1382" t="n">
        <v>1258</v>
      </c>
      <c r="D1382" t="n">
        <v>-47774</v>
      </c>
      <c r="E1382" t="n">
        <v>-27189</v>
      </c>
      <c r="F1382" t="n">
        <v>-77704</v>
      </c>
      <c r="G1382" t="n">
        <v>-13774</v>
      </c>
      <c r="H1382" t="n">
        <v>-59221</v>
      </c>
      <c r="I1382" t="n">
        <v>122887</v>
      </c>
      <c r="J1382" t="n">
        <v>-1124</v>
      </c>
      <c r="K1382" t="n">
        <v>30134</v>
      </c>
      <c r="L1382" t="n">
        <v>-184</v>
      </c>
    </row>
    <row r="1383">
      <c r="A1383" s="64" t="n">
        <v>43550</v>
      </c>
      <c r="B1383" t="n">
        <v>-53670</v>
      </c>
      <c r="C1383" t="n">
        <v>-3159</v>
      </c>
      <c r="D1383" t="n">
        <v>-39571</v>
      </c>
      <c r="E1383" t="n">
        <v>-27295</v>
      </c>
      <c r="F1383" t="n">
        <v>-80278</v>
      </c>
      <c r="G1383" t="n">
        <v>-8582</v>
      </c>
      <c r="H1383" t="n">
        <v>-62121</v>
      </c>
      <c r="I1383" t="n">
        <v>146334</v>
      </c>
      <c r="J1383" t="n">
        <v>-202</v>
      </c>
      <c r="K1383" t="n">
        <v>33340</v>
      </c>
      <c r="L1383" t="n">
        <v/>
      </c>
    </row>
    <row r="1384">
      <c r="A1384" s="64" t="n">
        <v>43557</v>
      </c>
      <c r="B1384" t="n">
        <v>-55743</v>
      </c>
      <c r="C1384" t="n">
        <v>-14059</v>
      </c>
      <c r="D1384" t="n">
        <v>-44323</v>
      </c>
      <c r="E1384" t="n">
        <v>-26266</v>
      </c>
      <c r="F1384" t="n">
        <v>-99184</v>
      </c>
      <c r="G1384" t="n">
        <v>-9931</v>
      </c>
      <c r="H1384" t="n">
        <v>-62741</v>
      </c>
      <c r="I1384" t="n">
        <v>142723</v>
      </c>
      <c r="J1384" t="n">
        <v>-405</v>
      </c>
      <c r="K1384" t="n">
        <v>34012</v>
      </c>
      <c r="L1384" t="n">
        <v/>
      </c>
    </row>
    <row r="1385">
      <c r="A1385" s="64" t="n">
        <v>43564</v>
      </c>
      <c r="B1385" t="n">
        <v>-54416</v>
      </c>
      <c r="C1385" t="n">
        <v>-14769</v>
      </c>
      <c r="D1385" t="n">
        <v>-43202</v>
      </c>
      <c r="E1385" t="n">
        <v>-28146</v>
      </c>
      <c r="F1385" t="n">
        <v>-102198</v>
      </c>
      <c r="G1385" t="n">
        <v>-6516</v>
      </c>
      <c r="H1385" t="n">
        <v>-71520</v>
      </c>
      <c r="I1385" t="n">
        <v>155437</v>
      </c>
      <c r="J1385" t="n">
        <v>-1483</v>
      </c>
      <c r="K1385" t="n">
        <v>33198</v>
      </c>
      <c r="L1385" t="n">
        <v/>
      </c>
    </row>
    <row r="1386">
      <c r="A1386" s="64" t="n">
        <v>43571</v>
      </c>
      <c r="B1386" t="n">
        <v>-46880</v>
      </c>
      <c r="C1386" t="n">
        <v>-14063</v>
      </c>
      <c r="D1386" t="n">
        <v>-49162</v>
      </c>
      <c r="E1386" t="n">
        <v>-32584</v>
      </c>
      <c r="F1386" t="n">
        <v>-98023</v>
      </c>
      <c r="G1386" t="n">
        <v>922</v>
      </c>
      <c r="H1386" t="n">
        <v>-87106</v>
      </c>
      <c r="I1386" t="n">
        <v>156030</v>
      </c>
      <c r="J1386" t="n">
        <v>-3221</v>
      </c>
      <c r="K1386" t="n">
        <v>34298</v>
      </c>
      <c r="L1386" t="n">
        <v/>
      </c>
    </row>
    <row r="1387">
      <c r="A1387" s="64" t="n">
        <v>43578</v>
      </c>
      <c r="B1387" t="n">
        <v>-50449</v>
      </c>
      <c r="C1387" t="n">
        <v>-16357</v>
      </c>
      <c r="D1387" t="n">
        <v>-47493</v>
      </c>
      <c r="E1387" t="n">
        <v>-37536</v>
      </c>
      <c r="F1387" t="n">
        <v>-105418</v>
      </c>
      <c r="G1387" t="n">
        <v>-1835</v>
      </c>
      <c r="H1387" t="n">
        <v>-94414</v>
      </c>
      <c r="I1387" t="n">
        <v>150705</v>
      </c>
      <c r="J1387" t="n">
        <v>-5450</v>
      </c>
      <c r="K1387" t="n">
        <v>36073</v>
      </c>
      <c r="L1387" t="n">
        <v/>
      </c>
    </row>
    <row r="1388">
      <c r="A1388" s="64" t="n">
        <v>43585</v>
      </c>
      <c r="B1388" t="n">
        <v>-59005</v>
      </c>
      <c r="C1388" t="n">
        <v>-15651</v>
      </c>
      <c r="D1388" t="n">
        <v>-46745</v>
      </c>
      <c r="E1388" t="n">
        <v>-39746</v>
      </c>
      <c r="F1388" t="n">
        <v>-105544</v>
      </c>
      <c r="G1388" t="n">
        <v>-4668</v>
      </c>
      <c r="H1388" t="n">
        <v>-99599</v>
      </c>
      <c r="I1388" t="n">
        <v>144739</v>
      </c>
      <c r="J1388" t="n">
        <v>-11460</v>
      </c>
      <c r="K1388" t="n">
        <v>33594</v>
      </c>
      <c r="L1388" t="n">
        <v/>
      </c>
    </row>
    <row r="1389">
      <c r="A1389" s="64" t="n">
        <v>43592</v>
      </c>
      <c r="B1389" t="n">
        <v>-57049</v>
      </c>
      <c r="C1389" t="n">
        <v>-24481</v>
      </c>
      <c r="D1389" t="n">
        <v>-46115</v>
      </c>
      <c r="E1389" t="n">
        <v>-39579</v>
      </c>
      <c r="F1389" t="n">
        <v>-106105</v>
      </c>
      <c r="G1389" t="n">
        <v>-6879</v>
      </c>
      <c r="H1389" t="n">
        <v>-91717</v>
      </c>
      <c r="I1389" t="n">
        <v>144689</v>
      </c>
      <c r="J1389" t="n">
        <v>-12742</v>
      </c>
      <c r="K1389" t="n">
        <v>36589</v>
      </c>
      <c r="L1389" t="n">
        <v/>
      </c>
    </row>
    <row r="1390">
      <c r="A1390" s="64" t="n">
        <v>43599</v>
      </c>
      <c r="B1390" t="n">
        <v>-64046</v>
      </c>
      <c r="C1390" t="n">
        <v>-25920</v>
      </c>
      <c r="D1390" t="n">
        <v>-47588</v>
      </c>
      <c r="E1390" t="n">
        <v>-40010</v>
      </c>
      <c r="F1390" t="n">
        <v>-95301</v>
      </c>
      <c r="G1390" t="n">
        <v>-3318</v>
      </c>
      <c r="H1390" t="n">
        <v>-61580</v>
      </c>
      <c r="I1390" t="n">
        <v>148207</v>
      </c>
      <c r="J1390" t="n">
        <v>-11438</v>
      </c>
      <c r="K1390" t="n">
        <v>35799</v>
      </c>
      <c r="L1390" t="n">
        <v>117</v>
      </c>
    </row>
    <row r="1391">
      <c r="A1391" s="64" t="n">
        <v>43606</v>
      </c>
      <c r="B1391" t="n">
        <v>-66111</v>
      </c>
      <c r="C1391" t="n">
        <v>-25900</v>
      </c>
      <c r="D1391" t="n">
        <v>-42236</v>
      </c>
      <c r="E1391" t="n">
        <v>-37495</v>
      </c>
      <c r="F1391" t="n">
        <v>-101102</v>
      </c>
      <c r="G1391" t="n">
        <v>-26152</v>
      </c>
      <c r="H1391" t="n">
        <v>-55192</v>
      </c>
      <c r="I1391" t="n">
        <v>146485</v>
      </c>
      <c r="J1391" t="n">
        <v>-10864</v>
      </c>
      <c r="K1391" t="n">
        <v>36163</v>
      </c>
      <c r="L1391" t="n">
        <v/>
      </c>
    </row>
    <row r="1392">
      <c r="A1392" s="64" t="n">
        <v>43613</v>
      </c>
      <c r="B1392" t="n">
        <v>-66393</v>
      </c>
      <c r="C1392" t="n">
        <v>-26901</v>
      </c>
      <c r="D1392" t="n">
        <v>-39423</v>
      </c>
      <c r="E1392" t="n">
        <v>-34675</v>
      </c>
      <c r="F1392" t="n">
        <v>-99691</v>
      </c>
      <c r="G1392" t="n">
        <v>-31996</v>
      </c>
      <c r="H1392" t="n">
        <v>-55577</v>
      </c>
      <c r="I1392" t="n">
        <v>142467</v>
      </c>
      <c r="J1392" t="n">
        <v>-16148</v>
      </c>
      <c r="K1392" t="n">
        <v>33501</v>
      </c>
      <c r="L1392" t="n">
        <v>2475</v>
      </c>
    </row>
    <row r="1393">
      <c r="A1393" s="64" t="n">
        <v>43620</v>
      </c>
      <c r="B1393" t="n">
        <v>-63291</v>
      </c>
      <c r="C1393" t="n">
        <v>-30679</v>
      </c>
      <c r="D1393" t="n">
        <v>-41759</v>
      </c>
      <c r="E1393" t="n">
        <v>-36065</v>
      </c>
      <c r="F1393" t="n">
        <v>-87551</v>
      </c>
      <c r="G1393" t="n">
        <v>-47762</v>
      </c>
      <c r="H1393" t="n">
        <v>-44389</v>
      </c>
      <c r="I1393" t="n">
        <v>124229</v>
      </c>
      <c r="J1393" t="n">
        <v>-20396</v>
      </c>
      <c r="K1393" t="n">
        <v>34414</v>
      </c>
      <c r="L1393" t="n">
        <v>2816</v>
      </c>
    </row>
    <row r="1394">
      <c r="A1394" s="64" t="n">
        <v>43627</v>
      </c>
      <c r="B1394" t="n">
        <v>-63226</v>
      </c>
      <c r="C1394" t="n">
        <v>-25647</v>
      </c>
      <c r="D1394" t="n">
        <v>-32840</v>
      </c>
      <c r="E1394" t="n">
        <v>-24788</v>
      </c>
      <c r="F1394" t="n">
        <v>-86792</v>
      </c>
      <c r="G1394" t="n">
        <v>-44801</v>
      </c>
      <c r="H1394" t="n">
        <v>-45165</v>
      </c>
      <c r="I1394" t="n">
        <v>101315</v>
      </c>
      <c r="J1394" t="n">
        <v>-16122</v>
      </c>
      <c r="K1394" t="n">
        <v>33174</v>
      </c>
      <c r="L1394" t="n">
        <v>2519</v>
      </c>
    </row>
    <row r="1395">
      <c r="A1395" s="64" t="n">
        <v>43634</v>
      </c>
      <c r="B1395" t="n">
        <v>-64863</v>
      </c>
      <c r="C1395" t="n">
        <v>-22567</v>
      </c>
      <c r="D1395" t="n">
        <v>-38071</v>
      </c>
      <c r="E1395" t="n">
        <v>-15484</v>
      </c>
      <c r="F1395" t="n">
        <v>-52330</v>
      </c>
      <c r="G1395" t="n">
        <v>-52564</v>
      </c>
      <c r="H1395" t="n">
        <v>-16565</v>
      </c>
      <c r="I1395" t="n">
        <v>116806</v>
      </c>
      <c r="J1395" t="n">
        <v>-24468</v>
      </c>
      <c r="K1395" t="n">
        <v>27750</v>
      </c>
      <c r="L1395" t="n">
        <v>-72</v>
      </c>
    </row>
    <row r="1396">
      <c r="A1396" s="64" t="n">
        <v>43641</v>
      </c>
      <c r="B1396" t="n">
        <v>-66320</v>
      </c>
      <c r="C1396" t="n">
        <v>-22668</v>
      </c>
      <c r="D1396" t="n">
        <v>-14790</v>
      </c>
      <c r="E1396" t="n">
        <v>-16481</v>
      </c>
      <c r="F1396" t="n">
        <v>-56295</v>
      </c>
      <c r="G1396" t="n">
        <v>-58937</v>
      </c>
      <c r="H1396" t="n">
        <v>-10147</v>
      </c>
      <c r="I1396" t="n">
        <v>115035</v>
      </c>
      <c r="J1396" t="n">
        <v>-24053</v>
      </c>
      <c r="K1396" t="n">
        <v>28733</v>
      </c>
      <c r="L1396" t="n">
        <v>451</v>
      </c>
    </row>
    <row r="1397">
      <c r="A1397" s="64" t="n">
        <v>43648</v>
      </c>
      <c r="B1397" t="n">
        <v>-58735</v>
      </c>
      <c r="C1397" t="n">
        <v>-4262</v>
      </c>
      <c r="D1397" t="n">
        <v>6293</v>
      </c>
      <c r="E1397" t="n">
        <v>-10742</v>
      </c>
      <c r="F1397" t="n">
        <v>-31733</v>
      </c>
      <c r="G1397" t="n">
        <v>-64244</v>
      </c>
      <c r="H1397" t="n">
        <v>-1227</v>
      </c>
      <c r="I1397" t="n">
        <v>108267</v>
      </c>
      <c r="J1397" t="n">
        <v>-24032</v>
      </c>
      <c r="K1397" t="n">
        <v>32046</v>
      </c>
      <c r="L1397" t="n">
        <v>1429</v>
      </c>
    </row>
    <row r="1398">
      <c r="A1398" s="64" t="n">
        <v>43655</v>
      </c>
      <c r="B1398" t="n">
        <v>-54007</v>
      </c>
      <c r="C1398" t="n">
        <v>-94</v>
      </c>
      <c r="D1398" t="n">
        <v>9226</v>
      </c>
      <c r="E1398" t="n">
        <v>-10428</v>
      </c>
      <c r="F1398" t="n">
        <v>-35865</v>
      </c>
      <c r="G1398" t="n">
        <v>-72982</v>
      </c>
      <c r="H1398" t="n">
        <v>-3651</v>
      </c>
      <c r="I1398" t="n">
        <v>126382</v>
      </c>
      <c r="J1398" t="n">
        <v>-22205</v>
      </c>
      <c r="K1398" t="n">
        <v>32455</v>
      </c>
      <c r="L1398" t="n">
        <v>3095</v>
      </c>
    </row>
    <row r="1399">
      <c r="A1399" s="64" t="n">
        <v>43662</v>
      </c>
      <c r="B1399" t="n">
        <v>-52576</v>
      </c>
      <c r="C1399" t="n">
        <v>2365</v>
      </c>
      <c r="D1399" t="n">
        <v>20964</v>
      </c>
      <c r="E1399" t="n">
        <v>-11732</v>
      </c>
      <c r="F1399" t="n">
        <v>-31351</v>
      </c>
      <c r="G1399" t="n">
        <v>-76357</v>
      </c>
      <c r="H1399" t="n">
        <v>-11380</v>
      </c>
      <c r="I1399" t="n">
        <v>128121</v>
      </c>
      <c r="J1399" t="n">
        <v>-17319</v>
      </c>
      <c r="K1399" t="n">
        <v>32133</v>
      </c>
      <c r="L1399" t="n">
        <v>3678</v>
      </c>
    </row>
    <row r="1400">
      <c r="A1400" s="64" t="n">
        <v>43669</v>
      </c>
      <c r="B1400" t="n">
        <v>-47980</v>
      </c>
      <c r="C1400" t="n">
        <v>2996</v>
      </c>
      <c r="D1400" t="n">
        <v>30750</v>
      </c>
      <c r="E1400" t="n">
        <v>-13193</v>
      </c>
      <c r="F1400" t="n">
        <v>-39004</v>
      </c>
      <c r="G1400" t="n">
        <v>-78583</v>
      </c>
      <c r="H1400" t="n">
        <v>-9377</v>
      </c>
      <c r="I1400" t="n">
        <v>124755</v>
      </c>
      <c r="J1400" t="n">
        <v>-12225</v>
      </c>
      <c r="K1400" t="n">
        <v>32920</v>
      </c>
      <c r="L1400" t="n">
        <v>4137</v>
      </c>
    </row>
    <row r="1401">
      <c r="A1401" s="64" t="n">
        <v>43676</v>
      </c>
      <c r="B1401" t="n">
        <v>-53442</v>
      </c>
      <c r="C1401" t="n">
        <v>2224</v>
      </c>
      <c r="D1401" t="n">
        <v>21722</v>
      </c>
      <c r="E1401" t="n">
        <v>-14488</v>
      </c>
      <c r="F1401" t="n">
        <v>-53983</v>
      </c>
      <c r="G1401" t="n">
        <v>-90150</v>
      </c>
      <c r="H1401" t="n">
        <v>-4218</v>
      </c>
      <c r="I1401" t="n">
        <v>128268</v>
      </c>
      <c r="J1401" t="n">
        <v>-12319</v>
      </c>
      <c r="K1401" t="n">
        <v>33412</v>
      </c>
      <c r="L1401" t="n">
        <v>6125</v>
      </c>
    </row>
    <row r="1402">
      <c r="A1402" s="64" t="n">
        <v>43683</v>
      </c>
      <c r="B1402" t="n">
        <v>-55511</v>
      </c>
      <c r="C1402" t="n">
        <v>9269</v>
      </c>
      <c r="D1402" t="n">
        <v>24166</v>
      </c>
      <c r="E1402" t="n">
        <v>-16431</v>
      </c>
      <c r="F1402" t="n">
        <v>-44010</v>
      </c>
      <c r="G1402" t="n">
        <v>-102702</v>
      </c>
      <c r="H1402" t="n">
        <v>10561</v>
      </c>
      <c r="I1402" t="n">
        <v>122069</v>
      </c>
      <c r="J1402" t="n">
        <v>-11564</v>
      </c>
      <c r="K1402" t="n">
        <v>33276</v>
      </c>
      <c r="L1402" t="n">
        <v>8968</v>
      </c>
    </row>
    <row r="1403">
      <c r="A1403" s="64" t="n">
        <v>43690</v>
      </c>
      <c r="B1403" t="n">
        <v>-62912</v>
      </c>
      <c r="C1403" t="n">
        <v>676</v>
      </c>
      <c r="D1403" t="n">
        <v>14200</v>
      </c>
      <c r="E1403" t="n">
        <v>-12952</v>
      </c>
      <c r="F1403" t="n">
        <v>-46649</v>
      </c>
      <c r="G1403" t="n">
        <v>-95820</v>
      </c>
      <c r="H1403" t="n">
        <v>24742</v>
      </c>
      <c r="I1403" t="n">
        <v>117562</v>
      </c>
      <c r="J1403" t="n">
        <v>-13447</v>
      </c>
      <c r="K1403" t="n">
        <v>31259</v>
      </c>
      <c r="L1403" t="n">
        <v>8167</v>
      </c>
    </row>
    <row r="1404">
      <c r="A1404" s="64" t="n">
        <v>43697</v>
      </c>
      <c r="B1404" t="n">
        <v>-62781</v>
      </c>
      <c r="C1404" t="n">
        <v>-8661</v>
      </c>
      <c r="D1404" t="n">
        <v>13037</v>
      </c>
      <c r="E1404" t="n">
        <v>-11117</v>
      </c>
      <c r="F1404" t="n">
        <v>-37977</v>
      </c>
      <c r="G1404" t="n">
        <v>-92418</v>
      </c>
      <c r="H1404" t="n">
        <v>31154</v>
      </c>
      <c r="I1404" t="n">
        <v>110359</v>
      </c>
      <c r="J1404" t="n">
        <v>-18260</v>
      </c>
      <c r="K1404" t="n">
        <v>27108</v>
      </c>
      <c r="L1404" t="n">
        <v>7423</v>
      </c>
    </row>
    <row r="1405">
      <c r="A1405" s="64" t="n">
        <v>43704</v>
      </c>
      <c r="B1405" t="n">
        <v>-61032</v>
      </c>
      <c r="C1405" t="n">
        <v>-9752</v>
      </c>
      <c r="D1405" t="n">
        <v>10905</v>
      </c>
      <c r="E1405" t="n">
        <v>-3800</v>
      </c>
      <c r="F1405" t="n">
        <v>-38804</v>
      </c>
      <c r="G1405" t="n">
        <v>-89028</v>
      </c>
      <c r="H1405" t="n">
        <v>33607</v>
      </c>
      <c r="I1405" t="n">
        <v>93314</v>
      </c>
      <c r="J1405" t="n">
        <v>-26047</v>
      </c>
      <c r="K1405" t="n">
        <v>27249</v>
      </c>
      <c r="L1405" t="n">
        <v>7339</v>
      </c>
    </row>
    <row r="1406">
      <c r="A1406" s="64" t="n">
        <v>43711</v>
      </c>
      <c r="B1406" t="n">
        <v>-59318</v>
      </c>
      <c r="C1406" t="n">
        <v>-10928</v>
      </c>
      <c r="D1406" t="n">
        <v>5349</v>
      </c>
      <c r="E1406" t="n">
        <v>-5839</v>
      </c>
      <c r="F1406" t="n">
        <v>-49136</v>
      </c>
      <c r="G1406" t="n">
        <v>-84959</v>
      </c>
      <c r="H1406" t="n">
        <v>27682</v>
      </c>
      <c r="I1406" t="n">
        <v>91791</v>
      </c>
      <c r="J1406" t="n">
        <v>-30676</v>
      </c>
      <c r="K1406" t="n">
        <v>27465</v>
      </c>
      <c r="L1406" t="n">
        <v>7365</v>
      </c>
    </row>
    <row r="1407">
      <c r="A1407" s="64" t="n">
        <v>43718</v>
      </c>
      <c r="B1407" t="n">
        <v>-53014</v>
      </c>
      <c r="C1407" t="n">
        <v>-34732</v>
      </c>
      <c r="D1407" t="n">
        <v>11523</v>
      </c>
      <c r="E1407" t="n">
        <v>-2892</v>
      </c>
      <c r="F1407" t="n">
        <v>-49842</v>
      </c>
      <c r="G1407" t="n">
        <v>-92233</v>
      </c>
      <c r="H1407" t="n">
        <v>32591</v>
      </c>
      <c r="I1407" t="n">
        <v>95637</v>
      </c>
      <c r="J1407" t="n">
        <v>-29790</v>
      </c>
      <c r="K1407" t="n">
        <v>27903</v>
      </c>
      <c r="L1407" t="n">
        <v>6484</v>
      </c>
    </row>
    <row r="1408">
      <c r="A1408" s="64" t="n">
        <v>43725</v>
      </c>
      <c r="B1408" t="n">
        <v>-40082</v>
      </c>
      <c r="C1408" t="n">
        <v>-34303</v>
      </c>
      <c r="D1408" t="n">
        <v>19823</v>
      </c>
      <c r="E1408" t="n">
        <v>-4556</v>
      </c>
      <c r="F1408" t="n">
        <v>-68559</v>
      </c>
      <c r="G1408" t="n">
        <v>-86124</v>
      </c>
      <c r="H1408" t="n">
        <v>23862</v>
      </c>
      <c r="I1408" t="n">
        <v>81626</v>
      </c>
      <c r="J1408" t="n">
        <v>-36043</v>
      </c>
      <c r="K1408" t="n">
        <v>23551</v>
      </c>
      <c r="L1408" t="n">
        <v>5950</v>
      </c>
    </row>
    <row r="1409">
      <c r="A1409" s="64" t="n">
        <v>43732</v>
      </c>
      <c r="B1409" t="n">
        <v>-47155</v>
      </c>
      <c r="C1409" t="n">
        <v>-34451</v>
      </c>
      <c r="D1409" t="n">
        <v>4592</v>
      </c>
      <c r="E1409" t="n">
        <v>-10552</v>
      </c>
      <c r="F1409" t="n">
        <v>-60722</v>
      </c>
      <c r="G1409" t="n">
        <v>-80795</v>
      </c>
      <c r="H1409" t="n">
        <v>12783</v>
      </c>
      <c r="I1409" t="n">
        <v>92414</v>
      </c>
      <c r="J1409" t="n">
        <v>-39598</v>
      </c>
      <c r="K1409" t="n">
        <v>24612</v>
      </c>
      <c r="L1409" t="n">
        <v>6831</v>
      </c>
    </row>
    <row r="1410">
      <c r="A1410" s="64" t="n">
        <v>43739</v>
      </c>
      <c r="B1410" t="n">
        <v>-52302</v>
      </c>
      <c r="C1410" t="n">
        <v>-39880</v>
      </c>
      <c r="D1410" t="n">
        <v>6327</v>
      </c>
      <c r="E1410" t="n">
        <v>-11535</v>
      </c>
      <c r="F1410" t="n">
        <v>-65978</v>
      </c>
      <c r="G1410" t="n">
        <v>-77092</v>
      </c>
      <c r="H1410" t="n">
        <v>13917</v>
      </c>
      <c r="I1410" t="n">
        <v>115812</v>
      </c>
      <c r="J1410" t="n">
        <v>-42474</v>
      </c>
      <c r="K1410" t="n">
        <v>26262</v>
      </c>
      <c r="L1410" t="n">
        <v>7441</v>
      </c>
    </row>
    <row r="1411">
      <c r="A1411" s="64" t="n">
        <v>43746</v>
      </c>
      <c r="B1411" t="n">
        <v>-46944</v>
      </c>
      <c r="C1411" t="n">
        <v>-45833</v>
      </c>
      <c r="D1411" t="n">
        <v>5313</v>
      </c>
      <c r="E1411" t="n">
        <v>-11047</v>
      </c>
      <c r="F1411" t="n">
        <v>-75413</v>
      </c>
      <c r="G1411" t="n">
        <v>-73219</v>
      </c>
      <c r="H1411" t="n">
        <v>11012</v>
      </c>
      <c r="I1411" t="n">
        <v>115396</v>
      </c>
      <c r="J1411" t="n">
        <v>-38217</v>
      </c>
      <c r="K1411" t="n">
        <v>28378</v>
      </c>
      <c r="L1411" t="n">
        <v>5679</v>
      </c>
    </row>
    <row r="1412">
      <c r="A1412" s="64" t="n">
        <v>43753</v>
      </c>
      <c r="B1412" t="n">
        <v>-47605</v>
      </c>
      <c r="C1412" t="n">
        <v>-44435</v>
      </c>
      <c r="D1412" t="n">
        <v>12961</v>
      </c>
      <c r="E1412" t="n">
        <v>-12766</v>
      </c>
      <c r="F1412" t="n">
        <v>-76866</v>
      </c>
      <c r="G1412" t="n">
        <v>-72952</v>
      </c>
      <c r="H1412" t="n">
        <v>-6641</v>
      </c>
      <c r="I1412" t="n">
        <v>113042</v>
      </c>
      <c r="J1412" t="n">
        <v>-40016</v>
      </c>
      <c r="K1412" t="n">
        <v>25086</v>
      </c>
      <c r="L1412" t="n">
        <v>4635</v>
      </c>
    </row>
    <row r="1413">
      <c r="A1413" s="64" t="n">
        <v>43760</v>
      </c>
      <c r="B1413" t="n">
        <v>-43986</v>
      </c>
      <c r="C1413" t="n">
        <v>-47024</v>
      </c>
      <c r="D1413" t="n">
        <v>33393</v>
      </c>
      <c r="E1413" t="n">
        <v>-11335</v>
      </c>
      <c r="F1413" t="n">
        <v>-51050</v>
      </c>
      <c r="G1413" t="n">
        <v>-52440</v>
      </c>
      <c r="H1413" t="n">
        <v>-18165</v>
      </c>
      <c r="I1413" t="n">
        <v>112950</v>
      </c>
      <c r="J1413" t="n">
        <v>-40142</v>
      </c>
      <c r="K1413" t="n">
        <v>24981</v>
      </c>
      <c r="L1413" t="n">
        <v>4138</v>
      </c>
    </row>
    <row r="1414">
      <c r="A1414" s="64" t="n">
        <v>43767</v>
      </c>
      <c r="B1414" t="n">
        <v>-40287</v>
      </c>
      <c r="C1414" t="n">
        <v>-43719</v>
      </c>
      <c r="D1414" t="n">
        <v>43589</v>
      </c>
      <c r="E1414" t="n">
        <v>-12484</v>
      </c>
      <c r="F1414" t="n">
        <v>-53355</v>
      </c>
      <c r="G1414" t="n">
        <v>-32415</v>
      </c>
      <c r="H1414" t="n">
        <v>-19698</v>
      </c>
      <c r="I1414" t="n">
        <v>128907</v>
      </c>
      <c r="J1414" t="n">
        <v>-40403</v>
      </c>
      <c r="K1414" t="n">
        <v>25776</v>
      </c>
      <c r="L1414" t="n">
        <v>5754</v>
      </c>
    </row>
    <row r="1415">
      <c r="A1415" s="64" t="n">
        <v>43774</v>
      </c>
      <c r="B1415" t="n">
        <v>-26794</v>
      </c>
      <c r="C1415" t="n">
        <v>-43452</v>
      </c>
      <c r="D1415" t="n">
        <v>54002</v>
      </c>
      <c r="E1415" t="n">
        <v>-14153</v>
      </c>
      <c r="F1415" t="n">
        <v>-60746</v>
      </c>
      <c r="G1415" t="n">
        <v>-29035</v>
      </c>
      <c r="H1415" t="n">
        <v>-26605</v>
      </c>
      <c r="I1415" t="n">
        <v>140402</v>
      </c>
      <c r="J1415" t="n">
        <v>-38965</v>
      </c>
      <c r="K1415" t="n">
        <v>25705</v>
      </c>
      <c r="L1415" t="n">
        <v>6955</v>
      </c>
    </row>
    <row r="1416">
      <c r="A1416" s="64" t="n">
        <v>43781</v>
      </c>
      <c r="B1416" t="n">
        <v>-40809</v>
      </c>
      <c r="C1416" t="n">
        <v>-43098</v>
      </c>
      <c r="D1416" t="n">
        <v>42373</v>
      </c>
      <c r="E1416" t="n">
        <v>-15120</v>
      </c>
      <c r="F1416" t="n">
        <v>-57669</v>
      </c>
      <c r="G1416" t="n">
        <v>-28133</v>
      </c>
      <c r="H1416" t="n">
        <v>-34997</v>
      </c>
      <c r="I1416" t="n">
        <v>142037</v>
      </c>
      <c r="J1416" t="n">
        <v>-36235</v>
      </c>
      <c r="K1416" t="n">
        <v>26327</v>
      </c>
      <c r="L1416" t="n">
        <v>7071</v>
      </c>
    </row>
    <row r="1417">
      <c r="A1417" s="64" t="n">
        <v>43788</v>
      </c>
      <c r="B1417" t="n">
        <v>-47240</v>
      </c>
      <c r="C1417" t="n">
        <v>-42863</v>
      </c>
      <c r="D1417" t="n">
        <v>28865</v>
      </c>
      <c r="E1417" t="n">
        <v>-16192</v>
      </c>
      <c r="F1417" t="n">
        <v>-62503</v>
      </c>
      <c r="G1417" t="n">
        <v>-31903</v>
      </c>
      <c r="H1417" t="n">
        <v>-35031</v>
      </c>
      <c r="I1417" t="n">
        <v>139821</v>
      </c>
      <c r="J1417" t="n">
        <v>-35099</v>
      </c>
      <c r="K1417" t="n">
        <v>25753</v>
      </c>
      <c r="L1417" t="n">
        <v>6701</v>
      </c>
    </row>
    <row r="1418">
      <c r="A1418" s="64" t="n">
        <v>43795</v>
      </c>
      <c r="B1418" t="n">
        <v>-45355</v>
      </c>
      <c r="C1418" t="n">
        <v>-44614</v>
      </c>
      <c r="D1418" t="n">
        <v>20344</v>
      </c>
      <c r="E1418" t="n">
        <v>-20975</v>
      </c>
      <c r="F1418" t="n">
        <v>-61416</v>
      </c>
      <c r="G1418" t="n">
        <v>-36576</v>
      </c>
      <c r="H1418" t="n">
        <v>-39591</v>
      </c>
      <c r="I1418" t="n">
        <v>135649</v>
      </c>
      <c r="J1418" t="n">
        <v>-35826</v>
      </c>
      <c r="K1418" t="n">
        <v>27334</v>
      </c>
      <c r="L1418" t="n">
        <v>6828</v>
      </c>
    </row>
    <row r="1419">
      <c r="A1419" s="64" t="n">
        <v>43802</v>
      </c>
      <c r="B1419" t="n">
        <v>-36433</v>
      </c>
      <c r="C1419" t="n">
        <v>-51274</v>
      </c>
      <c r="D1419" t="n">
        <v>21471</v>
      </c>
      <c r="E1419" t="n">
        <v>-22287</v>
      </c>
      <c r="F1419" t="n">
        <v>-69049</v>
      </c>
      <c r="G1419" t="n">
        <v>-30050</v>
      </c>
      <c r="H1419" t="n">
        <v>-47823</v>
      </c>
      <c r="I1419" t="n">
        <v>130127</v>
      </c>
      <c r="J1419" t="n">
        <v>-26992</v>
      </c>
      <c r="K1419" t="n">
        <v>27957</v>
      </c>
      <c r="L1419" t="n">
        <v>6268</v>
      </c>
    </row>
    <row r="1420">
      <c r="A1420" s="64" t="n">
        <v>43809</v>
      </c>
      <c r="B1420" t="n">
        <v>-36808</v>
      </c>
      <c r="C1420" t="n">
        <v>-46995</v>
      </c>
      <c r="D1420" t="n">
        <v>20741</v>
      </c>
      <c r="E1420" t="n">
        <v>-20865</v>
      </c>
      <c r="F1420" t="n">
        <v>-67643</v>
      </c>
      <c r="G1420" t="n">
        <v>-22639</v>
      </c>
      <c r="H1420" t="n">
        <v>-43682</v>
      </c>
      <c r="I1420" t="n">
        <v>130641</v>
      </c>
      <c r="J1420" t="n">
        <v>-25340</v>
      </c>
      <c r="K1420" t="n">
        <v>27190</v>
      </c>
      <c r="L1420" t="n">
        <v>5967</v>
      </c>
    </row>
    <row r="1421">
      <c r="A1421" s="64" t="n">
        <v>43816</v>
      </c>
      <c r="B1421" t="n">
        <v>-46578</v>
      </c>
      <c r="C1421" t="n">
        <v>-42690</v>
      </c>
      <c r="D1421" t="n">
        <v>11191</v>
      </c>
      <c r="E1421" t="n">
        <v>-11074</v>
      </c>
      <c r="F1421" t="n">
        <v>-65694</v>
      </c>
      <c r="G1421" t="n">
        <v>-5780</v>
      </c>
      <c r="H1421" t="n">
        <v>-42062</v>
      </c>
      <c r="I1421" t="n">
        <v>152260</v>
      </c>
      <c r="J1421" t="n">
        <v>-8217</v>
      </c>
      <c r="K1421" t="n">
        <v>30341</v>
      </c>
      <c r="L1421" t="n">
        <v>11286</v>
      </c>
    </row>
    <row r="1422">
      <c r="A1422" s="64" t="n">
        <v>43823</v>
      </c>
      <c r="B1422" t="n">
        <v>-46164</v>
      </c>
      <c r="C1422" t="n">
        <v>-39978</v>
      </c>
      <c r="D1422" t="n">
        <v>8497</v>
      </c>
      <c r="E1422" t="n">
        <v>-9679</v>
      </c>
      <c r="F1422" t="n">
        <v>-72943</v>
      </c>
      <c r="G1422" t="n">
        <v>8697</v>
      </c>
      <c r="H1422" t="n">
        <v>-33542</v>
      </c>
      <c r="I1422" t="n">
        <v>158216</v>
      </c>
      <c r="J1422" t="n">
        <v>-7796</v>
      </c>
      <c r="K1422" t="n">
        <v>29211</v>
      </c>
      <c r="L1422" t="n">
        <v>10561</v>
      </c>
    </row>
    <row r="1423">
      <c r="A1423" s="64" t="n">
        <v>43830</v>
      </c>
      <c r="B1423" t="n">
        <v>-38339</v>
      </c>
      <c r="C1423" t="n">
        <v>-38730</v>
      </c>
      <c r="D1423" t="n">
        <v>11913</v>
      </c>
      <c r="E1423" t="n">
        <v>-5725</v>
      </c>
      <c r="F1423" t="n">
        <v>-74345</v>
      </c>
      <c r="G1423" t="n">
        <v>12393</v>
      </c>
      <c r="H1423" t="n">
        <v>-25302</v>
      </c>
      <c r="I1423" t="n">
        <v>150266</v>
      </c>
      <c r="J1423" t="n">
        <v>-5058</v>
      </c>
      <c r="K1423" t="n">
        <v>29007</v>
      </c>
      <c r="L1423" t="n">
        <v>11375</v>
      </c>
    </row>
    <row r="1424">
      <c r="A1424" s="64" t="n">
        <v>43837</v>
      </c>
      <c r="B1424" t="n">
        <v>-27249</v>
      </c>
      <c r="C1424" t="n">
        <v>-19623</v>
      </c>
      <c r="D1424" t="n">
        <v>26367</v>
      </c>
      <c r="E1424" t="n">
        <v>-4469</v>
      </c>
      <c r="F1424" t="n">
        <v>-61664</v>
      </c>
      <c r="G1424" t="n">
        <v>16510</v>
      </c>
      <c r="H1424" t="n">
        <v>-12248</v>
      </c>
      <c r="I1424" t="n">
        <v>157318</v>
      </c>
      <c r="J1424" t="n">
        <v>-1488</v>
      </c>
      <c r="K1424" t="n">
        <v>28790</v>
      </c>
      <c r="L1424" t="n">
        <v>11374</v>
      </c>
    </row>
    <row r="1425">
      <c r="A1425" s="64" t="n">
        <v>43844</v>
      </c>
      <c r="B1425" t="n">
        <v>-20549</v>
      </c>
      <c r="C1425" t="n">
        <v>-19455</v>
      </c>
      <c r="D1425" t="n">
        <v>32852</v>
      </c>
      <c r="E1425" t="n">
        <v>-192</v>
      </c>
      <c r="F1425" t="n">
        <v>-48182</v>
      </c>
      <c r="G1425" t="n">
        <v>31532</v>
      </c>
      <c r="H1425" t="n">
        <v>-31430</v>
      </c>
      <c r="I1425" t="n">
        <v>165640</v>
      </c>
      <c r="J1425" t="n">
        <v>-361</v>
      </c>
      <c r="K1425" t="n">
        <v>28882</v>
      </c>
      <c r="L1425" t="n">
        <v>12015</v>
      </c>
    </row>
    <row r="1426">
      <c r="A1426" s="64" t="n">
        <v>43851</v>
      </c>
      <c r="B1426" t="n">
        <v>-19301</v>
      </c>
      <c r="C1426" t="n">
        <v>-21335</v>
      </c>
      <c r="D1426" t="n">
        <v>38294</v>
      </c>
      <c r="E1426" t="n">
        <v>1536</v>
      </c>
      <c r="F1426" t="n">
        <v>-47019</v>
      </c>
      <c r="G1426" t="n">
        <v>24922</v>
      </c>
      <c r="H1426" t="n">
        <v>-44701</v>
      </c>
      <c r="I1426" t="n">
        <v>169971</v>
      </c>
      <c r="J1426" t="n">
        <v>1833</v>
      </c>
      <c r="K1426" t="n">
        <v>29690</v>
      </c>
      <c r="L1426" t="n">
        <v>12156</v>
      </c>
    </row>
    <row r="1427">
      <c r="A1427" s="64" t="n">
        <v>43858</v>
      </c>
      <c r="B1427" t="n">
        <v>-27520</v>
      </c>
      <c r="C1427" t="n">
        <v>-23624</v>
      </c>
      <c r="D1427" t="n">
        <v>34590</v>
      </c>
      <c r="E1427" t="n">
        <v>3497</v>
      </c>
      <c r="F1427" t="n">
        <v>-58862</v>
      </c>
      <c r="G1427" t="n">
        <v>17689</v>
      </c>
      <c r="H1427" t="n">
        <v>-36025</v>
      </c>
      <c r="I1427" t="n">
        <v>170366</v>
      </c>
      <c r="J1427" t="n">
        <v>2060</v>
      </c>
      <c r="K1427" t="n">
        <v>29147</v>
      </c>
      <c r="L1427" t="n">
        <v>12886</v>
      </c>
    </row>
    <row r="1428">
      <c r="A1428" s="64" t="n">
        <v>43865</v>
      </c>
      <c r="B1428" t="n">
        <v>-43297</v>
      </c>
      <c r="C1428" t="n">
        <v>-30336</v>
      </c>
      <c r="D1428" t="n">
        <v>18563</v>
      </c>
      <c r="E1428" t="n">
        <v>4919</v>
      </c>
      <c r="F1428" t="n">
        <v>-75080</v>
      </c>
      <c r="G1428" t="n">
        <v>12987</v>
      </c>
      <c r="H1428" t="n">
        <v>-21898</v>
      </c>
      <c r="I1428" t="n">
        <v>165172</v>
      </c>
      <c r="J1428" t="n">
        <v>-2192</v>
      </c>
      <c r="K1428" t="n">
        <v>26415</v>
      </c>
      <c r="L1428" t="n">
        <v>11001</v>
      </c>
    </row>
    <row r="1429">
      <c r="A1429" s="64" t="n">
        <v>43872</v>
      </c>
      <c r="B1429" t="n">
        <v>-32668</v>
      </c>
      <c r="C1429" t="n">
        <v>-32205</v>
      </c>
      <c r="D1429" t="n">
        <v>9705</v>
      </c>
      <c r="E1429" t="n">
        <v>3767</v>
      </c>
      <c r="F1429" t="n">
        <v>-85669</v>
      </c>
      <c r="G1429" t="n">
        <v>21084</v>
      </c>
      <c r="H1429" t="n">
        <v>-26188</v>
      </c>
      <c r="I1429" t="n">
        <v>156326</v>
      </c>
      <c r="J1429" t="n">
        <v>-4076</v>
      </c>
      <c r="K1429" t="n">
        <v>26936</v>
      </c>
      <c r="L1429" t="n">
        <v>11186</v>
      </c>
    </row>
    <row r="1430">
      <c r="A1430" s="64" t="n">
        <v>43879</v>
      </c>
      <c r="B1430" t="n">
        <v>-37477</v>
      </c>
      <c r="C1430" t="n">
        <v>-34980</v>
      </c>
      <c r="D1430" t="n">
        <v>7817</v>
      </c>
      <c r="E1430" t="n">
        <v>1541</v>
      </c>
      <c r="F1430" t="n">
        <v>-91507</v>
      </c>
      <c r="G1430" t="n">
        <v>29258</v>
      </c>
      <c r="H1430" t="n">
        <v>-27221</v>
      </c>
      <c r="I1430" t="n">
        <v>153282</v>
      </c>
      <c r="J1430" t="n">
        <v>-12187</v>
      </c>
      <c r="K1430" t="n">
        <v>27022</v>
      </c>
      <c r="L1430" t="n">
        <v>11505</v>
      </c>
    </row>
    <row r="1431">
      <c r="A1431" s="64" t="n">
        <v>43886</v>
      </c>
      <c r="B1431" t="n">
        <v>-43852</v>
      </c>
      <c r="C1431" t="n">
        <v>-36987</v>
      </c>
      <c r="D1431" t="n">
        <v>14624</v>
      </c>
      <c r="E1431" t="n">
        <v>616</v>
      </c>
      <c r="F1431" t="n">
        <v>-114021</v>
      </c>
      <c r="G1431" t="n">
        <v>29598</v>
      </c>
      <c r="H1431" t="n">
        <v>-56389</v>
      </c>
      <c r="I1431" t="n">
        <v>150601</v>
      </c>
      <c r="J1431" t="n">
        <v>-15311</v>
      </c>
      <c r="K1431" t="n">
        <v>25959</v>
      </c>
      <c r="L1431" t="n">
        <v>12871</v>
      </c>
    </row>
    <row r="1432">
      <c r="A1432" s="64" t="n">
        <v>43893</v>
      </c>
      <c r="B1432" t="n">
        <v>-51953</v>
      </c>
      <c r="C1432" t="n">
        <v>-42858</v>
      </c>
      <c r="D1432" t="n">
        <v>10579</v>
      </c>
      <c r="E1432" t="n">
        <v>-3242</v>
      </c>
      <c r="F1432" t="n">
        <v>-86703</v>
      </c>
      <c r="G1432" t="n">
        <v>35162</v>
      </c>
      <c r="H1432" t="n">
        <v>-42324</v>
      </c>
      <c r="I1432" t="n">
        <v>131181</v>
      </c>
      <c r="J1432" t="n">
        <v>-16957</v>
      </c>
      <c r="K1432" t="n">
        <v>27699</v>
      </c>
      <c r="L1432" t="n">
        <v>11321</v>
      </c>
    </row>
    <row r="1433">
      <c r="A1433" s="64" t="n">
        <v>43900</v>
      </c>
      <c r="B1433" t="n">
        <v>-54013</v>
      </c>
      <c r="C1433" t="n">
        <v>-39826</v>
      </c>
      <c r="D1433" t="n">
        <v>-1990</v>
      </c>
      <c r="E1433" t="n">
        <v>595</v>
      </c>
      <c r="F1433" t="n">
        <v>-12667</v>
      </c>
      <c r="G1433" t="n">
        <v>26328</v>
      </c>
      <c r="H1433" t="n">
        <v>8157</v>
      </c>
      <c r="I1433" t="n">
        <v>112547</v>
      </c>
      <c r="J1433" t="n">
        <v>-15376</v>
      </c>
      <c r="K1433" t="n">
        <v>26473</v>
      </c>
      <c r="L1433" t="n">
        <v>10956</v>
      </c>
    </row>
    <row r="1434">
      <c r="A1434" s="64" t="n">
        <v>43907</v>
      </c>
      <c r="B1434" t="n">
        <v>-28733</v>
      </c>
      <c r="C1434" t="n">
        <v>-33983</v>
      </c>
      <c r="D1434" t="n">
        <v>-9623</v>
      </c>
      <c r="E1434" t="n">
        <v>7374</v>
      </c>
      <c r="F1434" t="n">
        <v>32495</v>
      </c>
      <c r="G1434" t="n">
        <v>18640</v>
      </c>
      <c r="H1434" t="n">
        <v>32935</v>
      </c>
      <c r="I1434" t="n">
        <v>33845</v>
      </c>
      <c r="J1434" t="n">
        <v>-20275</v>
      </c>
      <c r="K1434" t="n">
        <v>4126</v>
      </c>
      <c r="L1434" t="n">
        <v>1153</v>
      </c>
    </row>
    <row r="1435">
      <c r="A1435" s="64" t="n">
        <v>43914</v>
      </c>
      <c r="B1435" t="n">
        <v>-25207</v>
      </c>
      <c r="C1435" t="n">
        <v>-33269</v>
      </c>
      <c r="D1435" t="n">
        <v>-29245</v>
      </c>
      <c r="E1435" t="n">
        <v>4891</v>
      </c>
      <c r="F1435" t="n">
        <v>61290</v>
      </c>
      <c r="G1435" t="n">
        <v>10884</v>
      </c>
      <c r="H1435" t="n">
        <v>23863</v>
      </c>
      <c r="I1435" t="n">
        <v>21979</v>
      </c>
      <c r="J1435" t="n">
        <v>-16016</v>
      </c>
      <c r="K1435" t="n">
        <v>4966</v>
      </c>
      <c r="L1435" t="n">
        <v>-1536</v>
      </c>
    </row>
    <row r="1436">
      <c r="A1436" s="64" t="n">
        <v>43921</v>
      </c>
      <c r="B1436" t="n">
        <v>-31664</v>
      </c>
      <c r="C1436" t="n">
        <v>-27804</v>
      </c>
      <c r="D1436" t="n">
        <v>-21929</v>
      </c>
      <c r="E1436" t="n">
        <v>4947</v>
      </c>
      <c r="F1436" t="n">
        <v>74247</v>
      </c>
      <c r="G1436" t="n">
        <v>4993</v>
      </c>
      <c r="H1436" t="n">
        <v>18282</v>
      </c>
      <c r="I1436" t="n">
        <v>7665</v>
      </c>
      <c r="J1436" t="n">
        <v>-16106</v>
      </c>
      <c r="K1436" t="n">
        <v>4154</v>
      </c>
      <c r="L1436" t="n">
        <v>-1968</v>
      </c>
    </row>
    <row r="1437">
      <c r="A1437" s="64" t="n">
        <v>43928</v>
      </c>
      <c r="B1437" t="n">
        <v>-35398</v>
      </c>
      <c r="C1437" t="n">
        <v>-9328</v>
      </c>
      <c r="D1437" t="n">
        <v>-24433</v>
      </c>
      <c r="E1437" t="n">
        <v>5604</v>
      </c>
      <c r="F1437" t="n">
        <v>79624</v>
      </c>
      <c r="G1437" t="n">
        <v>3693</v>
      </c>
      <c r="H1437" t="n">
        <v>22410</v>
      </c>
      <c r="I1437" t="n">
        <v>5756</v>
      </c>
      <c r="J1437" t="n">
        <v>-14653</v>
      </c>
      <c r="K1437" t="n">
        <v>5287</v>
      </c>
      <c r="L1437" t="n">
        <v>-529</v>
      </c>
    </row>
    <row r="1438">
      <c r="A1438" s="64" t="n">
        <v>43935</v>
      </c>
      <c r="B1438" t="n">
        <v>-35554</v>
      </c>
      <c r="C1438" t="n">
        <v>-9444</v>
      </c>
      <c r="D1438" t="n">
        <v>-23760</v>
      </c>
      <c r="E1438" t="n">
        <v>4657</v>
      </c>
      <c r="F1438" t="n">
        <v>86617</v>
      </c>
      <c r="G1438" t="n">
        <v>3232</v>
      </c>
      <c r="H1438" t="n">
        <v>22643</v>
      </c>
      <c r="I1438" t="n">
        <v>3333</v>
      </c>
      <c r="J1438" t="n">
        <v>-14578</v>
      </c>
      <c r="K1438" t="n">
        <v>3812</v>
      </c>
      <c r="L1438" t="n">
        <v>-219</v>
      </c>
    </row>
    <row r="1439">
      <c r="A1439" s="64" t="n">
        <v>43942</v>
      </c>
      <c r="B1439" t="n">
        <v>-34820</v>
      </c>
      <c r="C1439" t="n">
        <v>-9394</v>
      </c>
      <c r="D1439" t="n">
        <v>-23891</v>
      </c>
      <c r="E1439" t="n">
        <v>4924</v>
      </c>
      <c r="F1439" t="n">
        <v>87218</v>
      </c>
      <c r="G1439" t="n">
        <v>-1380</v>
      </c>
      <c r="H1439" t="n">
        <v>26026</v>
      </c>
      <c r="I1439" t="n">
        <v>1240</v>
      </c>
      <c r="J1439" t="n">
        <v>-14259</v>
      </c>
      <c r="K1439" t="n">
        <v>4220</v>
      </c>
      <c r="L1439" t="n">
        <v>146</v>
      </c>
    </row>
    <row r="1440">
      <c r="A1440" s="64" t="n">
        <v>43949</v>
      </c>
      <c r="B1440" t="n">
        <v>-37741</v>
      </c>
      <c r="C1440" t="n">
        <v>-9256</v>
      </c>
      <c r="D1440" t="n">
        <v>-29044</v>
      </c>
      <c r="E1440" t="n">
        <v>5576</v>
      </c>
      <c r="F1440" t="n">
        <v>79681</v>
      </c>
      <c r="G1440" t="n">
        <v>-6681</v>
      </c>
      <c r="H1440" t="n">
        <v>32326</v>
      </c>
      <c r="I1440" t="n">
        <v>8481</v>
      </c>
      <c r="J1440" t="n">
        <v>-13779</v>
      </c>
      <c r="K1440" t="n">
        <v>5567</v>
      </c>
      <c r="L1440" t="n">
        <v>281</v>
      </c>
    </row>
    <row r="1441">
      <c r="A1441" s="64" t="n">
        <v>43956</v>
      </c>
      <c r="B1441" t="n">
        <v>-33455</v>
      </c>
      <c r="C1441" t="n">
        <v>-11089</v>
      </c>
      <c r="D1441" t="n">
        <v>-32052</v>
      </c>
      <c r="E1441" t="n">
        <v>7791</v>
      </c>
      <c r="F1441" t="n">
        <v>76299</v>
      </c>
      <c r="G1441" t="n">
        <v>-12005</v>
      </c>
      <c r="H1441" t="n">
        <v>27214</v>
      </c>
      <c r="I1441" t="n">
        <v>7109</v>
      </c>
      <c r="J1441" t="n">
        <v>-14953</v>
      </c>
      <c r="K1441" t="n">
        <v>4061</v>
      </c>
      <c r="L1441" t="n">
        <v>1130</v>
      </c>
    </row>
    <row r="1442">
      <c r="A1442" s="64" t="n">
        <v>43963</v>
      </c>
      <c r="B1442" t="n">
        <v>-35425</v>
      </c>
      <c r="C1442" t="n">
        <v>-9753</v>
      </c>
      <c r="D1442" t="n">
        <v>-32246</v>
      </c>
      <c r="E1442" t="n">
        <v>6648</v>
      </c>
      <c r="F1442" t="n">
        <v>78140</v>
      </c>
      <c r="G1442" t="n">
        <v>-13688</v>
      </c>
      <c r="H1442" t="n">
        <v>27937</v>
      </c>
      <c r="I1442" t="n">
        <v>-5120</v>
      </c>
      <c r="J1442" t="n">
        <v>-15878</v>
      </c>
      <c r="K1442" t="n">
        <v>6458</v>
      </c>
      <c r="L1442" t="n">
        <v>1998</v>
      </c>
    </row>
    <row r="1443">
      <c r="A1443" s="64" t="n">
        <v>43970</v>
      </c>
      <c r="B1443" t="n">
        <v>-39558</v>
      </c>
      <c r="C1443" t="n">
        <v>-10416</v>
      </c>
      <c r="D1443" t="n">
        <v>-35056</v>
      </c>
      <c r="E1443" t="n">
        <v>8728</v>
      </c>
      <c r="F1443" t="n">
        <v>72562</v>
      </c>
      <c r="G1443" t="n">
        <v>-18989</v>
      </c>
      <c r="H1443" t="n">
        <v>27470</v>
      </c>
      <c r="I1443" t="n">
        <v>-5984</v>
      </c>
      <c r="J1443" t="n">
        <v>-15867</v>
      </c>
      <c r="K1443" t="n">
        <v>5510</v>
      </c>
      <c r="L1443" t="n">
        <v>1349</v>
      </c>
    </row>
    <row r="1444">
      <c r="A1444" s="64" t="n">
        <v>43977</v>
      </c>
      <c r="B1444" t="n">
        <v>-40538</v>
      </c>
      <c r="C1444" t="n">
        <v>-11158</v>
      </c>
      <c r="D1444" t="n">
        <v>-33954</v>
      </c>
      <c r="E1444" t="n">
        <v>8739</v>
      </c>
      <c r="F1444" t="n">
        <v>75222</v>
      </c>
      <c r="G1444" t="n">
        <v>-22257</v>
      </c>
      <c r="H1444" t="n">
        <v>34607</v>
      </c>
      <c r="I1444" t="n">
        <v>4691</v>
      </c>
      <c r="J1444" t="n">
        <v>-15043</v>
      </c>
      <c r="K1444" t="n">
        <v>7201</v>
      </c>
      <c r="L1444" t="n">
        <v>1237</v>
      </c>
    </row>
    <row r="1445">
      <c r="A1445" s="64" t="n">
        <v>43984</v>
      </c>
      <c r="B1445" t="n">
        <v>-40791</v>
      </c>
      <c r="C1445" t="n">
        <v>-12003</v>
      </c>
      <c r="D1445" t="n">
        <v>-33138</v>
      </c>
      <c r="E1445" t="n">
        <v>8989</v>
      </c>
      <c r="F1445" t="n">
        <v>81240</v>
      </c>
      <c r="G1445" t="n">
        <v>-36044</v>
      </c>
      <c r="H1445" t="n">
        <v>32579</v>
      </c>
      <c r="I1445" t="n">
        <v>8317</v>
      </c>
      <c r="J1445" t="n">
        <v>-12923</v>
      </c>
      <c r="K1445" t="n">
        <v>11262</v>
      </c>
      <c r="L1445" t="n">
        <v>3293</v>
      </c>
    </row>
    <row r="1446">
      <c r="A1446" s="64" t="n">
        <v>43991</v>
      </c>
      <c r="B1446" t="n">
        <v>-36575</v>
      </c>
      <c r="C1446" t="n">
        <v>-13014</v>
      </c>
      <c r="D1446" t="n">
        <v>-24829</v>
      </c>
      <c r="E1446" t="n">
        <v>1766</v>
      </c>
      <c r="F1446" t="n">
        <v>95649</v>
      </c>
      <c r="G1446" t="n">
        <v>-24048</v>
      </c>
      <c r="H1446" t="n">
        <v>17462</v>
      </c>
      <c r="I1446" t="n">
        <v>-846</v>
      </c>
      <c r="J1446" t="n">
        <v>-11241</v>
      </c>
      <c r="K1446" t="n">
        <v>10782</v>
      </c>
      <c r="L1446" t="n">
        <v>3688</v>
      </c>
    </row>
    <row r="1447">
      <c r="A1447" s="64" t="n">
        <v>43998</v>
      </c>
      <c r="B1447" t="n">
        <v>-6532</v>
      </c>
      <c r="C1447" t="n">
        <v>-12470</v>
      </c>
      <c r="D1447" t="n">
        <v>-25486</v>
      </c>
      <c r="E1447" t="n">
        <v>1606</v>
      </c>
      <c r="F1447" t="n">
        <v>117132</v>
      </c>
      <c r="G1447" t="n">
        <v>-15998</v>
      </c>
      <c r="H1447" t="n">
        <v>22110</v>
      </c>
      <c r="I1447" t="n">
        <v>22106</v>
      </c>
      <c r="J1447" t="n">
        <v>-1932</v>
      </c>
      <c r="K1447" t="n">
        <v>12510</v>
      </c>
      <c r="L1447" t="n">
        <v>5972</v>
      </c>
    </row>
    <row r="1448">
      <c r="A1448" s="64" t="n">
        <v>44005</v>
      </c>
      <c r="B1448" t="n">
        <v>-4810</v>
      </c>
      <c r="C1448" t="n">
        <v>-11309</v>
      </c>
      <c r="D1448" t="n">
        <v>-20834</v>
      </c>
      <c r="E1448" t="n">
        <v>1448</v>
      </c>
      <c r="F1448" t="n">
        <v>118448</v>
      </c>
      <c r="G1448" t="n">
        <v>-18516</v>
      </c>
      <c r="H1448" t="n">
        <v>27458</v>
      </c>
      <c r="I1448" t="n">
        <v>23178</v>
      </c>
      <c r="J1448" t="n">
        <v>-15</v>
      </c>
      <c r="K1448" t="n">
        <v>12068</v>
      </c>
      <c r="L1448" t="n">
        <v>5988</v>
      </c>
    </row>
    <row r="1449">
      <c r="A1449" s="64" t="n">
        <v>44012</v>
      </c>
      <c r="B1449" t="n">
        <v>-2908</v>
      </c>
      <c r="C1449" t="n">
        <v>-10709</v>
      </c>
      <c r="D1449" t="n">
        <v>-20519</v>
      </c>
      <c r="E1449" t="n">
        <v>4338</v>
      </c>
      <c r="F1449" t="n">
        <v>98955</v>
      </c>
      <c r="G1449" t="n">
        <v>-20990</v>
      </c>
      <c r="H1449" t="n">
        <v>23861</v>
      </c>
      <c r="I1449" t="n">
        <v>20956</v>
      </c>
      <c r="J1449" t="n">
        <v>356</v>
      </c>
      <c r="K1449" t="n">
        <v>11935</v>
      </c>
      <c r="L1449" t="n">
        <v>6687</v>
      </c>
    </row>
    <row r="1450">
      <c r="A1450" s="64" t="n">
        <v>44019</v>
      </c>
      <c r="B1450" t="n">
        <v>-694</v>
      </c>
      <c r="C1450" t="n">
        <v>-9615</v>
      </c>
      <c r="D1450" t="n">
        <v>-16818</v>
      </c>
      <c r="E1450" t="n">
        <v>3778</v>
      </c>
      <c r="F1450" t="n">
        <v>103597</v>
      </c>
      <c r="G1450" t="n">
        <v>-16408</v>
      </c>
      <c r="H1450" t="n">
        <v>16812</v>
      </c>
      <c r="I1450" t="n">
        <v>14980</v>
      </c>
      <c r="J1450" t="n">
        <v>-317</v>
      </c>
      <c r="K1450" t="n">
        <v>11106</v>
      </c>
      <c r="L1450" t="n">
        <v>5617</v>
      </c>
    </row>
    <row r="1451">
      <c r="A1451" s="64" t="n">
        <v>44026</v>
      </c>
      <c r="B1451" t="n">
        <v>4250</v>
      </c>
      <c r="C1451" t="n">
        <v>-9406</v>
      </c>
      <c r="D1451" t="n">
        <v>-19775</v>
      </c>
      <c r="E1451" t="n">
        <v>7057</v>
      </c>
      <c r="F1451" t="n">
        <v>110912</v>
      </c>
      <c r="G1451" t="n">
        <v>-13586</v>
      </c>
      <c r="H1451" t="n">
        <v>18326</v>
      </c>
      <c r="I1451" t="n">
        <v>11871</v>
      </c>
      <c r="J1451" t="n">
        <v>1117</v>
      </c>
      <c r="K1451" t="n">
        <v>11101</v>
      </c>
      <c r="L1451" t="n">
        <v>6070</v>
      </c>
    </row>
    <row r="1452">
      <c r="A1452" s="64" t="n">
        <v>44033</v>
      </c>
      <c r="B1452" t="n">
        <v>-205</v>
      </c>
      <c r="C1452" t="n">
        <v>-10821</v>
      </c>
      <c r="D1452" t="n">
        <v>-16698</v>
      </c>
      <c r="E1452" t="n">
        <v>7379</v>
      </c>
      <c r="F1452" t="n">
        <v>125047</v>
      </c>
      <c r="G1452" t="n">
        <v>-15080</v>
      </c>
      <c r="H1452" t="n">
        <v>19307</v>
      </c>
      <c r="I1452" t="n">
        <v>9848</v>
      </c>
      <c r="J1452" t="n">
        <v>2475</v>
      </c>
      <c r="K1452" t="n">
        <v>10946</v>
      </c>
      <c r="L1452" t="n">
        <v>5173</v>
      </c>
    </row>
    <row r="1453">
      <c r="A1453" s="64" t="n">
        <v>44040</v>
      </c>
      <c r="B1453" t="n">
        <v>-5012</v>
      </c>
      <c r="C1453" t="n">
        <v>-10734</v>
      </c>
      <c r="D1453" t="n">
        <v>-12496</v>
      </c>
      <c r="E1453" t="n">
        <v>8442</v>
      </c>
      <c r="F1453" t="n">
        <v>157559</v>
      </c>
      <c r="G1453" t="n">
        <v>-25409</v>
      </c>
      <c r="H1453" t="n">
        <v>28507</v>
      </c>
      <c r="I1453" t="n">
        <v>10864</v>
      </c>
      <c r="J1453" t="n">
        <v>-845</v>
      </c>
      <c r="K1453" t="n">
        <v>8216</v>
      </c>
      <c r="L1453" t="n">
        <v>4071</v>
      </c>
    </row>
    <row r="1454">
      <c r="A1454" s="64" t="n">
        <v>44047</v>
      </c>
      <c r="B1454" t="n">
        <v>-1048</v>
      </c>
      <c r="C1454" t="n">
        <v>-12702</v>
      </c>
      <c r="D1454" t="n">
        <v>-23195</v>
      </c>
      <c r="E1454" t="n">
        <v>11660</v>
      </c>
      <c r="F1454" t="n">
        <v>180648</v>
      </c>
      <c r="G1454" t="n">
        <v>-14727</v>
      </c>
      <c r="H1454" t="n">
        <v>31429</v>
      </c>
      <c r="I1454" t="n">
        <v>2999</v>
      </c>
      <c r="J1454" t="n">
        <v>-1448</v>
      </c>
      <c r="K1454" t="n">
        <v>5860</v>
      </c>
      <c r="L1454" t="n">
        <v>3529</v>
      </c>
    </row>
    <row r="1455">
      <c r="A1455" s="64" t="n">
        <v>44054</v>
      </c>
      <c r="B1455" t="n">
        <v>-3488</v>
      </c>
      <c r="C1455" t="n">
        <v>-13546</v>
      </c>
      <c r="D1455" t="n">
        <v>-29547</v>
      </c>
      <c r="E1455" t="n">
        <v>17165</v>
      </c>
      <c r="F1455" t="n">
        <v>199751</v>
      </c>
      <c r="G1455" t="n">
        <v>-2821</v>
      </c>
      <c r="H1455" t="n">
        <v>27016</v>
      </c>
      <c r="I1455" t="n">
        <v>6507</v>
      </c>
      <c r="J1455" t="n">
        <v>-179</v>
      </c>
      <c r="K1455" t="n">
        <v>6532</v>
      </c>
      <c r="L1455" t="n">
        <v>2646</v>
      </c>
    </row>
    <row r="1456">
      <c r="A1456" s="64" t="n">
        <v>44061</v>
      </c>
      <c r="B1456" t="n">
        <v>-3300</v>
      </c>
      <c r="C1456" t="n">
        <v>-16159</v>
      </c>
      <c r="D1456" t="n">
        <v>-33587</v>
      </c>
      <c r="E1456" t="n">
        <v>14507</v>
      </c>
      <c r="F1456" t="n">
        <v>196943</v>
      </c>
      <c r="G1456" t="n">
        <v>6504</v>
      </c>
      <c r="H1456" t="n">
        <v>20584</v>
      </c>
      <c r="I1456" t="n">
        <v>4338</v>
      </c>
      <c r="J1456" t="n">
        <v>3762</v>
      </c>
      <c r="K1456" t="n">
        <v>6446</v>
      </c>
      <c r="L1456" t="n">
        <v>2654</v>
      </c>
    </row>
    <row r="1457">
      <c r="A1457" s="64" t="n">
        <v>44068</v>
      </c>
      <c r="B1457" t="n">
        <v>-3899</v>
      </c>
      <c r="C1457" t="n">
        <v>-12814</v>
      </c>
      <c r="D1457" t="n">
        <v>-29318</v>
      </c>
      <c r="E1457" t="n">
        <v>11866</v>
      </c>
      <c r="F1457" t="n">
        <v>211752</v>
      </c>
      <c r="G1457" t="n">
        <v>5600</v>
      </c>
      <c r="H1457" t="n">
        <v>23616</v>
      </c>
      <c r="I1457" t="n">
        <v>3862</v>
      </c>
      <c r="J1457" t="n">
        <v>4188</v>
      </c>
      <c r="K1457" t="n">
        <v>7630</v>
      </c>
      <c r="L1457" t="n">
        <v>1793</v>
      </c>
    </row>
    <row r="1458">
      <c r="A1458" s="64" t="n">
        <v>44075</v>
      </c>
      <c r="B1458" t="n">
        <v>-165</v>
      </c>
      <c r="C1458" t="n">
        <v>-19274</v>
      </c>
      <c r="D1458" t="n">
        <v>-27006</v>
      </c>
      <c r="E1458" t="n">
        <v>11597</v>
      </c>
      <c r="F1458" t="n">
        <v>196747</v>
      </c>
      <c r="G1458" t="n">
        <v>6312</v>
      </c>
      <c r="H1458" t="n">
        <v>29604</v>
      </c>
      <c r="I1458" t="n">
        <v>5969</v>
      </c>
      <c r="J1458" t="n">
        <v>6966</v>
      </c>
      <c r="K1458" t="n">
        <v>8686</v>
      </c>
      <c r="L1458" t="n">
        <v>2986</v>
      </c>
    </row>
    <row r="1459">
      <c r="A1459" s="64" t="n">
        <v>44082</v>
      </c>
      <c r="B1459" t="n">
        <v>-2044</v>
      </c>
      <c r="C1459" t="n">
        <v>-26136</v>
      </c>
      <c r="D1459" t="n">
        <v>-17355</v>
      </c>
      <c r="E1459" t="n">
        <v>11527</v>
      </c>
      <c r="F1459" t="n">
        <v>196814</v>
      </c>
      <c r="G1459" t="n">
        <v>12730</v>
      </c>
      <c r="H1459" t="n">
        <v>21742</v>
      </c>
      <c r="I1459" t="n">
        <v>8373</v>
      </c>
      <c r="J1459" t="n">
        <v>4900</v>
      </c>
      <c r="K1459" t="n">
        <v>8282</v>
      </c>
      <c r="L1459" t="n">
        <v>3854</v>
      </c>
    </row>
    <row r="1460">
      <c r="A1460" s="64" t="n">
        <v>44089</v>
      </c>
      <c r="B1460" t="n">
        <v>16219</v>
      </c>
      <c r="C1460" t="n">
        <v>-25013</v>
      </c>
      <c r="D1460" t="n">
        <v>-16943</v>
      </c>
      <c r="E1460" t="n">
        <v>12066</v>
      </c>
      <c r="F1460" t="n">
        <v>178576</v>
      </c>
      <c r="G1460" t="n">
        <v>2293</v>
      </c>
      <c r="H1460" t="n">
        <v>22889</v>
      </c>
      <c r="I1460" t="n">
        <v>26471</v>
      </c>
      <c r="J1460" t="n">
        <v>3242</v>
      </c>
      <c r="K1460" t="n">
        <v>7652</v>
      </c>
      <c r="L1460" t="n">
        <v>3459</v>
      </c>
    </row>
    <row r="1461">
      <c r="A1461" s="64" t="n">
        <v>44096</v>
      </c>
      <c r="B1461" t="n">
        <v>16339</v>
      </c>
      <c r="C1461" t="n">
        <v>-23794</v>
      </c>
      <c r="D1461" t="n">
        <v>-18882</v>
      </c>
      <c r="E1461" t="n">
        <v>15916</v>
      </c>
      <c r="F1461" t="n">
        <v>190822</v>
      </c>
      <c r="G1461" t="n">
        <v>2964</v>
      </c>
      <c r="H1461" t="n">
        <v>29581</v>
      </c>
      <c r="I1461" t="n">
        <v>26650</v>
      </c>
      <c r="J1461" t="n">
        <v>4860</v>
      </c>
      <c r="K1461" t="n">
        <v>-3382</v>
      </c>
      <c r="L1461" t="n">
        <v>4835</v>
      </c>
    </row>
    <row r="1462">
      <c r="A1462" s="64" t="n">
        <v>44103</v>
      </c>
      <c r="B1462" t="n">
        <v>8937</v>
      </c>
      <c r="C1462" t="n">
        <v>-23214</v>
      </c>
      <c r="D1462" t="n">
        <v>-18948</v>
      </c>
      <c r="E1462" t="n">
        <v>12741</v>
      </c>
      <c r="F1462" t="n">
        <v>188116</v>
      </c>
      <c r="G1462" t="n">
        <v>-12745</v>
      </c>
      <c r="H1462" t="n">
        <v>24789</v>
      </c>
      <c r="I1462" t="n">
        <v>12636</v>
      </c>
      <c r="J1462" t="n">
        <v>3329</v>
      </c>
      <c r="K1462" t="n">
        <v>-4923</v>
      </c>
      <c r="L1462" t="n">
        <v>5330</v>
      </c>
    </row>
    <row r="1463">
      <c r="A1463" s="64" t="n">
        <v>44110</v>
      </c>
      <c r="B1463" t="n">
        <v>10847</v>
      </c>
      <c r="C1463" t="n">
        <v>-26298</v>
      </c>
      <c r="D1463" t="n">
        <v>-18047</v>
      </c>
      <c r="E1463" t="n">
        <v>13096</v>
      </c>
      <c r="F1463" t="n">
        <v>174308</v>
      </c>
      <c r="G1463" t="n">
        <v>-11298</v>
      </c>
      <c r="H1463" t="n">
        <v>21102</v>
      </c>
      <c r="I1463" t="n">
        <v>21342</v>
      </c>
      <c r="J1463" t="n">
        <v>5090</v>
      </c>
      <c r="K1463" t="n">
        <v>-4547</v>
      </c>
      <c r="L1463" t="n">
        <v>5221</v>
      </c>
    </row>
    <row r="1464">
      <c r="A1464" s="64" t="n">
        <v>44117</v>
      </c>
      <c r="B1464" t="n">
        <v>3854</v>
      </c>
      <c r="C1464" t="n">
        <v>-26591</v>
      </c>
      <c r="D1464" t="n">
        <v>-13564</v>
      </c>
      <c r="E1464" t="n">
        <v>12172</v>
      </c>
      <c r="F1464" t="n">
        <v>168637</v>
      </c>
      <c r="G1464" t="n">
        <v>-9802</v>
      </c>
      <c r="H1464" t="n">
        <v>19976</v>
      </c>
      <c r="I1464" t="n">
        <v>22478</v>
      </c>
      <c r="J1464" t="n">
        <v>6490</v>
      </c>
      <c r="K1464" t="n">
        <v>-4567</v>
      </c>
      <c r="L1464" t="n">
        <v>5227</v>
      </c>
    </row>
    <row r="1465">
      <c r="A1465" s="64" t="n">
        <v>44124</v>
      </c>
      <c r="B1465" t="n">
        <v>6755</v>
      </c>
      <c r="C1465" t="n">
        <v>-27570</v>
      </c>
      <c r="D1465" t="n">
        <v>-19075</v>
      </c>
      <c r="E1465" t="n">
        <v>14399</v>
      </c>
      <c r="F1465" t="n">
        <v>165943</v>
      </c>
      <c r="G1465" t="n">
        <v>-2000</v>
      </c>
      <c r="H1465" t="n">
        <v>14183</v>
      </c>
      <c r="I1465" t="n">
        <v>19842</v>
      </c>
      <c r="J1465" t="n">
        <v>6602</v>
      </c>
      <c r="K1465" t="n">
        <v>-4176</v>
      </c>
      <c r="L1465" t="n">
        <v>5016</v>
      </c>
    </row>
    <row r="1466">
      <c r="A1466" s="64" t="n">
        <v>44131</v>
      </c>
      <c r="B1466" t="n">
        <v>8890</v>
      </c>
      <c r="C1466" t="n">
        <v>-26894</v>
      </c>
      <c r="D1466" t="n">
        <v>-18069</v>
      </c>
      <c r="E1466" t="n">
        <v>15503</v>
      </c>
      <c r="F1466" t="n">
        <v>155555</v>
      </c>
      <c r="G1466" t="n">
        <v>-6660</v>
      </c>
      <c r="H1466" t="n">
        <v>17893</v>
      </c>
      <c r="I1466" t="n">
        <v>27946</v>
      </c>
      <c r="J1466" t="n">
        <v>6995</v>
      </c>
      <c r="K1466" t="n">
        <v>-4124</v>
      </c>
      <c r="L1466" t="n">
        <v>4652</v>
      </c>
    </row>
    <row r="1467">
      <c r="A1467" s="64" t="n">
        <v>44138</v>
      </c>
      <c r="B1467" t="n">
        <v>-1314</v>
      </c>
      <c r="C1467" t="n">
        <v>-28162</v>
      </c>
      <c r="D1467" t="n">
        <v>-20686</v>
      </c>
      <c r="E1467" t="n">
        <v>14895</v>
      </c>
      <c r="F1467" t="n">
        <v>140349</v>
      </c>
      <c r="G1467" t="n">
        <v>-11227</v>
      </c>
      <c r="H1467" t="n">
        <v>28098</v>
      </c>
      <c r="I1467" t="n">
        <v>24097</v>
      </c>
      <c r="J1467" t="n">
        <v>7051</v>
      </c>
      <c r="K1467" t="n">
        <v>-5655</v>
      </c>
      <c r="L1467" t="n">
        <v>6090</v>
      </c>
    </row>
    <row r="1468">
      <c r="A1468" s="64" t="n">
        <v>44145</v>
      </c>
      <c r="B1468" t="n">
        <v>-8720</v>
      </c>
      <c r="C1468" t="n">
        <v>-25938</v>
      </c>
      <c r="D1468" t="n">
        <v>-21349</v>
      </c>
      <c r="E1468" t="n">
        <v>15864</v>
      </c>
      <c r="F1468" t="n">
        <v>135287</v>
      </c>
      <c r="G1468" t="n">
        <v>-17695</v>
      </c>
      <c r="H1468" t="n">
        <v>41894</v>
      </c>
      <c r="I1468" t="n">
        <v>18322</v>
      </c>
      <c r="J1468" t="n">
        <v>7717</v>
      </c>
      <c r="K1468" t="n">
        <v>-5190</v>
      </c>
      <c r="L1468" t="n">
        <v>6948</v>
      </c>
    </row>
    <row r="1469">
      <c r="A1469" s="64" t="n">
        <v>44152</v>
      </c>
      <c r="B1469" t="n">
        <v>-6123</v>
      </c>
      <c r="C1469" t="n">
        <v>-21089</v>
      </c>
      <c r="D1469" t="n">
        <v>-20359</v>
      </c>
      <c r="E1469" t="n">
        <v>14924</v>
      </c>
      <c r="F1469" t="n">
        <v>133960</v>
      </c>
      <c r="G1469" t="n">
        <v>-19746</v>
      </c>
      <c r="H1469" t="n">
        <v>29667</v>
      </c>
      <c r="I1469" t="n">
        <v>20409</v>
      </c>
      <c r="J1469" t="n">
        <v>8868</v>
      </c>
      <c r="K1469" t="n">
        <v>-5227</v>
      </c>
      <c r="L1469" t="n">
        <v>7667</v>
      </c>
    </row>
    <row r="1470">
      <c r="A1470" s="64" t="n">
        <v>44159</v>
      </c>
      <c r="B1470" t="n">
        <v>-5277</v>
      </c>
      <c r="C1470" t="n">
        <v>-18145</v>
      </c>
      <c r="D1470" t="n">
        <v>-16846</v>
      </c>
      <c r="E1470" t="n">
        <v>14986</v>
      </c>
      <c r="F1470" t="n">
        <v>138250</v>
      </c>
      <c r="G1470" t="n">
        <v>-17130</v>
      </c>
      <c r="H1470" t="n">
        <v>40242</v>
      </c>
      <c r="I1470" t="n">
        <v>23795</v>
      </c>
      <c r="J1470" t="n">
        <v>8312</v>
      </c>
      <c r="K1470" t="n">
        <v>-3884</v>
      </c>
      <c r="L1470" t="n">
        <v>7733</v>
      </c>
    </row>
    <row r="1471">
      <c r="A1471" s="64" t="n">
        <v>44166</v>
      </c>
      <c r="B1471" t="n">
        <v>-10800</v>
      </c>
      <c r="C1471" t="n">
        <v>-17773</v>
      </c>
      <c r="D1471" t="n">
        <v>-21243</v>
      </c>
      <c r="E1471" t="n">
        <v>14651</v>
      </c>
      <c r="F1471" t="n">
        <v>139894</v>
      </c>
      <c r="G1471" t="n">
        <v>-7899</v>
      </c>
      <c r="H1471" t="n">
        <v>47503</v>
      </c>
      <c r="I1471" t="n">
        <v>29041</v>
      </c>
      <c r="J1471" t="n">
        <v>9058</v>
      </c>
      <c r="K1471" t="n">
        <v>-3182</v>
      </c>
      <c r="L1471" t="n">
        <v>8112</v>
      </c>
    </row>
    <row r="1472">
      <c r="A1472" s="64" t="n">
        <v>44173</v>
      </c>
      <c r="B1472" t="n">
        <v>-10107</v>
      </c>
      <c r="C1472" t="n">
        <v>-12718</v>
      </c>
      <c r="D1472" t="n">
        <v>-20738</v>
      </c>
      <c r="E1472" t="n">
        <v>10423</v>
      </c>
      <c r="F1472" t="n">
        <v>156429</v>
      </c>
      <c r="G1472" t="n">
        <v>5710</v>
      </c>
      <c r="H1472" t="n">
        <v>48166</v>
      </c>
      <c r="I1472" t="n">
        <v>26522</v>
      </c>
      <c r="J1472" t="n">
        <v>10550</v>
      </c>
      <c r="K1472" t="n">
        <v>-4668</v>
      </c>
      <c r="L1472" t="n">
        <v>7303</v>
      </c>
    </row>
    <row r="1473">
      <c r="A1473" s="64" t="n">
        <v>44180</v>
      </c>
      <c r="B1473" t="n">
        <v>-9325</v>
      </c>
      <c r="C1473" t="n">
        <v>-9213</v>
      </c>
      <c r="D1473" t="n">
        <v>-15716</v>
      </c>
      <c r="E1473" t="n">
        <v>9291</v>
      </c>
      <c r="F1473" t="n">
        <v>141833</v>
      </c>
      <c r="G1473" t="n">
        <v>4068</v>
      </c>
      <c r="H1473" t="n">
        <v>43963</v>
      </c>
      <c r="I1473" t="n">
        <v>-3227</v>
      </c>
      <c r="J1473" t="n">
        <v>14193</v>
      </c>
      <c r="K1473" t="n">
        <v>-2627</v>
      </c>
      <c r="L1473" t="n">
        <v>7957</v>
      </c>
    </row>
    <row r="1474">
      <c r="A1474" s="64" t="n">
        <v>44186</v>
      </c>
      <c r="B1474" t="n">
        <v>-4419</v>
      </c>
      <c r="C1474" t="n">
        <v>-9503</v>
      </c>
      <c r="D1474" t="n">
        <v>10085</v>
      </c>
      <c r="E1474" t="n">
        <v>11244</v>
      </c>
      <c r="F1474" t="n">
        <v>143902</v>
      </c>
      <c r="G1474" t="n">
        <v>6032</v>
      </c>
      <c r="H1474" t="n">
        <v>46093</v>
      </c>
      <c r="I1474" t="n">
        <v>-8249</v>
      </c>
      <c r="J1474" t="n">
        <v>13654</v>
      </c>
      <c r="K1474" t="n">
        <v>1835</v>
      </c>
      <c r="L1474" t="n">
        <v>7477</v>
      </c>
    </row>
    <row r="1475">
      <c r="A1475" s="64" t="n">
        <v>44194</v>
      </c>
      <c r="B1475" t="n">
        <v>-6506</v>
      </c>
      <c r="C1475" t="n">
        <v>-9677</v>
      </c>
      <c r="D1475" t="n">
        <v>15368</v>
      </c>
      <c r="E1475" t="n">
        <v>11787</v>
      </c>
      <c r="F1475" t="n">
        <v>143076</v>
      </c>
      <c r="G1475" t="n">
        <v>4832</v>
      </c>
      <c r="H1475" t="n">
        <v>47350</v>
      </c>
      <c r="I1475" t="n">
        <v>-5258</v>
      </c>
      <c r="J1475" t="n">
        <v>12534</v>
      </c>
      <c r="K1475" t="n">
        <v>2051</v>
      </c>
      <c r="L1475" t="n">
        <v>7377</v>
      </c>
    </row>
    <row r="1476">
      <c r="A1476" s="64" t="n">
        <v>44201</v>
      </c>
      <c r="B1476" t="n">
        <v>-3907</v>
      </c>
      <c r="C1476" t="n">
        <v>-3194</v>
      </c>
      <c r="D1476" t="n">
        <v>14524</v>
      </c>
      <c r="E1476" t="n">
        <v>9372</v>
      </c>
      <c r="F1476" t="n">
        <v>142991</v>
      </c>
      <c r="G1476" t="n">
        <v>3665</v>
      </c>
      <c r="H1476" t="n">
        <v>50190</v>
      </c>
      <c r="I1476" t="n">
        <v>-7723</v>
      </c>
      <c r="J1476" t="n">
        <v>11996</v>
      </c>
      <c r="K1476" t="n">
        <v>825</v>
      </c>
      <c r="L1476" t="n">
        <v>7620</v>
      </c>
    </row>
    <row r="1477">
      <c r="A1477" s="64" t="n">
        <v>44208</v>
      </c>
      <c r="B1477" t="n">
        <v>5456</v>
      </c>
      <c r="C1477" t="n">
        <v>-5732</v>
      </c>
      <c r="D1477" t="n">
        <v>12073</v>
      </c>
      <c r="E1477" t="n">
        <v>11975</v>
      </c>
      <c r="F1477" t="n">
        <v>155890</v>
      </c>
      <c r="G1477" t="n">
        <v>12942</v>
      </c>
      <c r="H1477" t="n">
        <v>50520</v>
      </c>
      <c r="I1477" t="n">
        <v>-5452</v>
      </c>
      <c r="J1477" t="n">
        <v>14707</v>
      </c>
      <c r="K1477" t="n">
        <v>1636</v>
      </c>
      <c r="L1477" t="n">
        <v>6453</v>
      </c>
    </row>
    <row r="1478">
      <c r="A1478" s="64" t="n">
        <v>44215</v>
      </c>
      <c r="B1478" t="n">
        <v>4860</v>
      </c>
      <c r="C1478" t="n">
        <v>-7145</v>
      </c>
      <c r="D1478" t="n">
        <v>10326</v>
      </c>
      <c r="E1478" t="n">
        <v>9420</v>
      </c>
      <c r="F1478" t="n">
        <v>163466</v>
      </c>
      <c r="G1478" t="n">
        <v>13705</v>
      </c>
      <c r="H1478" t="n">
        <v>50014</v>
      </c>
      <c r="I1478" t="n">
        <v>-7687</v>
      </c>
      <c r="J1478" t="n">
        <v>15983</v>
      </c>
      <c r="K1478" t="n">
        <v>885</v>
      </c>
      <c r="L1478" t="n">
        <v>5283</v>
      </c>
    </row>
    <row r="1479">
      <c r="A1479" s="64" t="n">
        <v>44222</v>
      </c>
      <c r="B1479" t="n">
        <v>771</v>
      </c>
      <c r="C1479" t="n">
        <v>-8330</v>
      </c>
      <c r="D1479" t="n">
        <v>13770</v>
      </c>
      <c r="E1479" t="n">
        <v>10092</v>
      </c>
      <c r="F1479" t="n">
        <v>165344</v>
      </c>
      <c r="G1479" t="n">
        <v>7965</v>
      </c>
      <c r="H1479" t="n">
        <v>44992</v>
      </c>
      <c r="I1479" t="n">
        <v>-950</v>
      </c>
      <c r="J1479" t="n">
        <v>14758</v>
      </c>
      <c r="K1479" t="n">
        <v>-484</v>
      </c>
      <c r="L1479" t="n">
        <v>5050</v>
      </c>
    </row>
    <row r="1480">
      <c r="A1480" s="64" t="n">
        <v>44229</v>
      </c>
      <c r="B1480" t="n">
        <v>-1467</v>
      </c>
      <c r="C1480" t="n">
        <v>-14449</v>
      </c>
      <c r="D1480" t="n">
        <v>16096</v>
      </c>
      <c r="E1480" t="n">
        <v>14641</v>
      </c>
      <c r="F1480" t="n">
        <v>137003</v>
      </c>
      <c r="G1480" t="n">
        <v>9616</v>
      </c>
      <c r="H1480" t="n">
        <v>44629</v>
      </c>
      <c r="I1480" t="n">
        <v>2868</v>
      </c>
      <c r="J1480" t="n">
        <v>11647</v>
      </c>
      <c r="K1480" t="n">
        <v>-618</v>
      </c>
      <c r="L1480" t="n">
        <v>4259</v>
      </c>
    </row>
    <row r="1481">
      <c r="A1481" s="64" t="n">
        <v>44236</v>
      </c>
      <c r="B1481" t="n">
        <v>-216</v>
      </c>
      <c r="C1481" t="n">
        <v>-17366</v>
      </c>
      <c r="D1481" t="n">
        <v>9528</v>
      </c>
      <c r="E1481" t="n">
        <v>11408</v>
      </c>
      <c r="F1481" t="n">
        <v>140222</v>
      </c>
      <c r="G1481" t="n">
        <v>21118</v>
      </c>
      <c r="H1481" t="n">
        <v>34618</v>
      </c>
      <c r="I1481" t="n">
        <v>1483</v>
      </c>
      <c r="J1481" t="n">
        <v>11544</v>
      </c>
      <c r="K1481" t="n">
        <v>-190</v>
      </c>
      <c r="L1481" t="n">
        <v>3845</v>
      </c>
    </row>
    <row r="1482">
      <c r="A1482" s="64" t="n">
        <v>44243</v>
      </c>
      <c r="B1482" t="n">
        <v>-2821</v>
      </c>
      <c r="C1482" t="n">
        <v>-18206</v>
      </c>
      <c r="D1482" t="n">
        <v>8164</v>
      </c>
      <c r="E1482" t="n">
        <v>8371</v>
      </c>
      <c r="F1482" t="n">
        <v>140006</v>
      </c>
      <c r="G1482" t="n">
        <v>22167</v>
      </c>
      <c r="H1482" t="n">
        <v>37182</v>
      </c>
      <c r="I1482" t="n">
        <v>1412</v>
      </c>
      <c r="J1482" t="n">
        <v>13711</v>
      </c>
      <c r="K1482" t="n">
        <v>-531</v>
      </c>
      <c r="L1482" t="n">
        <v>4579</v>
      </c>
    </row>
    <row r="1483">
      <c r="A1483" s="64" t="n">
        <v>44250</v>
      </c>
      <c r="B1483" t="n">
        <v>-1636</v>
      </c>
      <c r="C1483" t="n">
        <v>-15937</v>
      </c>
      <c r="D1483" t="n">
        <v>9132</v>
      </c>
      <c r="E1483" t="n">
        <v>11523</v>
      </c>
      <c r="F1483" t="n">
        <v>138365</v>
      </c>
      <c r="G1483" t="n">
        <v>30978</v>
      </c>
      <c r="H1483" t="n">
        <v>28622</v>
      </c>
      <c r="I1483" t="n">
        <v>3025</v>
      </c>
      <c r="J1483" t="n">
        <v>14649</v>
      </c>
      <c r="K1483" t="n">
        <v>-259</v>
      </c>
      <c r="L1483" t="n">
        <v>5780</v>
      </c>
    </row>
    <row r="1484">
      <c r="A1484" s="64" t="n">
        <v>44257</v>
      </c>
      <c r="B1484" t="n">
        <v>6041</v>
      </c>
      <c r="C1484" t="n">
        <v>-21051</v>
      </c>
      <c r="D1484" t="n">
        <v>15327</v>
      </c>
      <c r="E1484" t="n">
        <v>12261</v>
      </c>
      <c r="F1484" t="n">
        <v>125988</v>
      </c>
      <c r="G1484" t="n">
        <v>36082</v>
      </c>
      <c r="H1484" t="n">
        <v>19270</v>
      </c>
      <c r="I1484" t="n">
        <v>4431</v>
      </c>
      <c r="J1484" t="n">
        <v>16408</v>
      </c>
      <c r="K1484" t="n">
        <v>-928</v>
      </c>
      <c r="L1484" t="n">
        <v>6361</v>
      </c>
    </row>
    <row r="1485">
      <c r="A1485" s="64" t="n">
        <v>44264</v>
      </c>
      <c r="B1485" t="n">
        <v>8075</v>
      </c>
      <c r="C1485" t="n">
        <v>-23314</v>
      </c>
      <c r="D1485" t="n">
        <v>10981</v>
      </c>
      <c r="E1485" t="n">
        <v>14393</v>
      </c>
      <c r="F1485" t="n">
        <v>101964</v>
      </c>
      <c r="G1485" t="n">
        <v>33911</v>
      </c>
      <c r="H1485" t="n">
        <v>6514</v>
      </c>
      <c r="I1485" t="n">
        <v>1852</v>
      </c>
      <c r="J1485" t="n">
        <v>17126</v>
      </c>
      <c r="K1485" t="n">
        <v>-1609</v>
      </c>
      <c r="L1485" t="n">
        <v>5606</v>
      </c>
    </row>
    <row r="1486">
      <c r="A1486" s="64" t="n">
        <v>44271</v>
      </c>
      <c r="B1486" t="n">
        <v>7620</v>
      </c>
      <c r="C1486" t="n">
        <v>-23767</v>
      </c>
      <c r="D1486" t="n">
        <v>10263</v>
      </c>
      <c r="E1486" t="n">
        <v>4671</v>
      </c>
      <c r="F1486" t="n">
        <v>89976</v>
      </c>
      <c r="G1486" t="n">
        <v>28600</v>
      </c>
      <c r="H1486" t="n">
        <v>-39368</v>
      </c>
      <c r="I1486" t="n">
        <v>-29457</v>
      </c>
      <c r="J1486" t="n">
        <v>6029</v>
      </c>
      <c r="K1486" t="n">
        <v>3973</v>
      </c>
      <c r="L1486" t="n">
        <v>2185</v>
      </c>
    </row>
    <row r="1487">
      <c r="A1487" s="64" t="n">
        <v>44278</v>
      </c>
      <c r="B1487" t="n">
        <v>5942</v>
      </c>
      <c r="C1487" t="n">
        <v>-25249</v>
      </c>
      <c r="D1487" t="n">
        <v>5103</v>
      </c>
      <c r="E1487" t="n">
        <v>2872</v>
      </c>
      <c r="F1487" t="n">
        <v>93322</v>
      </c>
      <c r="G1487" t="n">
        <v>21819</v>
      </c>
      <c r="H1487" t="n">
        <v>-53525</v>
      </c>
      <c r="I1487" t="n">
        <v>-20894</v>
      </c>
      <c r="J1487" t="n">
        <v>4724</v>
      </c>
      <c r="K1487" t="n">
        <v>5625</v>
      </c>
      <c r="L1487" t="n">
        <v>2050</v>
      </c>
    </row>
    <row r="1488">
      <c r="A1488" s="64" t="n">
        <v>44285</v>
      </c>
      <c r="B1488" t="n">
        <v>12263</v>
      </c>
      <c r="C1488" t="n">
        <v>-25309</v>
      </c>
      <c r="D1488" t="n">
        <v>6518</v>
      </c>
      <c r="E1488" t="n">
        <v>4269</v>
      </c>
      <c r="F1488" t="n">
        <v>73739</v>
      </c>
      <c r="G1488" t="n">
        <v>24959</v>
      </c>
      <c r="H1488" t="n">
        <v>-59481</v>
      </c>
      <c r="I1488" t="n">
        <v>-15113</v>
      </c>
      <c r="J1488" t="n">
        <v>4046</v>
      </c>
      <c r="K1488" t="n">
        <v>6784</v>
      </c>
      <c r="L1488" t="n">
        <v>2116</v>
      </c>
    </row>
    <row r="1489">
      <c r="A1489" s="64" t="n">
        <v>44292</v>
      </c>
      <c r="B1489" t="n">
        <v>4066</v>
      </c>
      <c r="C1489" t="n">
        <v>-26506</v>
      </c>
      <c r="D1489" t="n">
        <v>2690</v>
      </c>
      <c r="E1489" t="n">
        <v>3245</v>
      </c>
      <c r="F1489" t="n">
        <v>67522</v>
      </c>
      <c r="G1489" t="n">
        <v>19951</v>
      </c>
      <c r="H1489" t="n">
        <v>-57989</v>
      </c>
      <c r="I1489" t="n">
        <v>-13142</v>
      </c>
      <c r="J1489" t="n">
        <v>3138</v>
      </c>
      <c r="K1489" t="n">
        <v>6875</v>
      </c>
      <c r="L1489" t="n">
        <v>1900</v>
      </c>
    </row>
    <row r="1490">
      <c r="A1490" s="64" t="n">
        <v>44299</v>
      </c>
      <c r="B1490" t="n">
        <v>3759</v>
      </c>
      <c r="C1490" t="n">
        <v>-26591</v>
      </c>
      <c r="D1490" t="n">
        <v>2406</v>
      </c>
      <c r="E1490" t="n">
        <v>824</v>
      </c>
      <c r="F1490" t="n">
        <v>66851</v>
      </c>
      <c r="G1490" t="n">
        <v>25590</v>
      </c>
      <c r="H1490" t="n">
        <v>-58312</v>
      </c>
      <c r="I1490" t="n">
        <v>-11978</v>
      </c>
      <c r="J1490" t="n">
        <v>2520</v>
      </c>
      <c r="K1490" t="n">
        <v>6313</v>
      </c>
      <c r="L1490" t="n">
        <v>2523</v>
      </c>
    </row>
    <row r="1491">
      <c r="A1491" s="64" t="n">
        <v>44306</v>
      </c>
      <c r="B1491" t="n">
        <v>-1806</v>
      </c>
      <c r="C1491" t="n">
        <v>-25995</v>
      </c>
      <c r="D1491" t="n">
        <v>13246</v>
      </c>
      <c r="E1491" t="n">
        <v>-1642</v>
      </c>
      <c r="F1491" t="n">
        <v>80808</v>
      </c>
      <c r="G1491" t="n">
        <v>25178</v>
      </c>
      <c r="H1491" t="n">
        <v>-59819</v>
      </c>
      <c r="I1491" t="n">
        <v>-3554</v>
      </c>
      <c r="J1491" t="n">
        <v>4322</v>
      </c>
      <c r="K1491" t="n">
        <v>6852</v>
      </c>
      <c r="L1491" t="n">
        <v>3828</v>
      </c>
    </row>
    <row r="1492">
      <c r="A1492" s="64" t="n">
        <v>44313</v>
      </c>
      <c r="B1492" t="n">
        <v>-1410</v>
      </c>
      <c r="C1492" t="n">
        <v>-26286</v>
      </c>
      <c r="D1492" t="n">
        <v>15722</v>
      </c>
      <c r="E1492" t="n">
        <v>-686</v>
      </c>
      <c r="F1492" t="n">
        <v>80967</v>
      </c>
      <c r="G1492" t="n">
        <v>29218</v>
      </c>
      <c r="H1492" t="n">
        <v>-48509</v>
      </c>
      <c r="I1492" t="n">
        <v>960</v>
      </c>
      <c r="J1492" t="n">
        <v>6979</v>
      </c>
      <c r="K1492" t="n">
        <v>6378</v>
      </c>
      <c r="L1492" t="n">
        <v>5443</v>
      </c>
    </row>
    <row r="1493">
      <c r="A1493" s="64" t="n">
        <v>44320</v>
      </c>
      <c r="B1493" t="n">
        <v>1476</v>
      </c>
      <c r="C1493" t="n">
        <v>-9898</v>
      </c>
      <c r="D1493" t="n">
        <v>25947</v>
      </c>
      <c r="E1493" t="n">
        <v>56</v>
      </c>
      <c r="F1493" t="n">
        <v>84829</v>
      </c>
      <c r="G1493" t="n">
        <v>19848</v>
      </c>
      <c r="H1493" t="n">
        <v>-41492</v>
      </c>
      <c r="I1493" t="n">
        <v>-4446</v>
      </c>
      <c r="J1493" t="n">
        <v>8588</v>
      </c>
      <c r="K1493" t="n">
        <v>5509</v>
      </c>
      <c r="L1493" t="n">
        <v>4535</v>
      </c>
    </row>
    <row r="1494">
      <c r="A1494" s="64" t="n">
        <v>44327</v>
      </c>
      <c r="B1494" t="n">
        <v>2416</v>
      </c>
      <c r="C1494" t="n">
        <v>2513</v>
      </c>
      <c r="D1494" t="n">
        <v>38629</v>
      </c>
      <c r="E1494" t="n">
        <v>-2851</v>
      </c>
      <c r="F1494" t="n">
        <v>93907</v>
      </c>
      <c r="G1494" t="n">
        <v>28176</v>
      </c>
      <c r="H1494" t="n">
        <v>-41728</v>
      </c>
      <c r="I1494" t="n">
        <v>-8480</v>
      </c>
      <c r="J1494" t="n">
        <v>9344</v>
      </c>
      <c r="K1494" t="n">
        <v>5483</v>
      </c>
      <c r="L1494" t="n">
        <v>5622</v>
      </c>
    </row>
    <row r="1495">
      <c r="A1495" s="64" t="n">
        <v>44334</v>
      </c>
      <c r="B1495" t="n">
        <v>3002</v>
      </c>
      <c r="C1495" t="n">
        <v>4831</v>
      </c>
      <c r="D1495" t="n">
        <v>46112</v>
      </c>
      <c r="E1495" t="n">
        <v>-4265</v>
      </c>
      <c r="F1495" t="n">
        <v>99858</v>
      </c>
      <c r="G1495" t="n">
        <v>24900</v>
      </c>
      <c r="H1495" t="n">
        <v>-50948</v>
      </c>
      <c r="I1495" t="n">
        <v>-10118</v>
      </c>
      <c r="J1495" t="n">
        <v>8450</v>
      </c>
      <c r="K1495" t="n">
        <v>4680</v>
      </c>
      <c r="L1495" t="n">
        <v>5779</v>
      </c>
    </row>
    <row r="1496">
      <c r="A1496" s="64" t="n">
        <v>44341</v>
      </c>
      <c r="B1496" t="n">
        <v>-809</v>
      </c>
      <c r="C1496" t="n">
        <v>5607</v>
      </c>
      <c r="D1496" t="n">
        <v>44811</v>
      </c>
      <c r="E1496" t="n">
        <v>-1203</v>
      </c>
      <c r="F1496" t="n">
        <v>104000</v>
      </c>
      <c r="G1496" t="n">
        <v>30659</v>
      </c>
      <c r="H1496" t="n">
        <v>-50156</v>
      </c>
      <c r="I1496" t="n">
        <v>-8498</v>
      </c>
      <c r="J1496" t="n">
        <v>8585</v>
      </c>
      <c r="K1496" t="n">
        <v>5372</v>
      </c>
      <c r="L1496" t="n">
        <v>4883</v>
      </c>
    </row>
    <row r="1497">
      <c r="A1497" s="64" t="n">
        <v>44348</v>
      </c>
      <c r="B1497" t="n">
        <v>-1925</v>
      </c>
      <c r="C1497" t="n">
        <v>4088</v>
      </c>
      <c r="D1497" t="n">
        <v>48772</v>
      </c>
      <c r="E1497" t="n">
        <v>324</v>
      </c>
      <c r="F1497" t="n">
        <v>109322</v>
      </c>
      <c r="G1497" t="n">
        <v>24125</v>
      </c>
      <c r="H1497" t="n">
        <v>-47115</v>
      </c>
      <c r="I1497" t="n">
        <v>-3646</v>
      </c>
      <c r="J1497" t="n">
        <v>5927</v>
      </c>
      <c r="K1497" t="n">
        <v>4586</v>
      </c>
      <c r="L1497" t="n">
        <v>5037</v>
      </c>
    </row>
    <row r="1498">
      <c r="A1498" s="64" t="n">
        <v>44355</v>
      </c>
      <c r="B1498" t="n">
        <v>-9437</v>
      </c>
      <c r="C1498" t="n">
        <v>20048</v>
      </c>
      <c r="D1498" t="n">
        <v>45281</v>
      </c>
      <c r="E1498" t="n">
        <v>1076</v>
      </c>
      <c r="F1498" t="n">
        <v>107213</v>
      </c>
      <c r="G1498" t="n">
        <v>27714</v>
      </c>
      <c r="H1498" t="n">
        <v>-37314</v>
      </c>
      <c r="I1498" t="n">
        <v>-6561</v>
      </c>
      <c r="J1498" t="n">
        <v>5506</v>
      </c>
      <c r="K1498" t="n">
        <v>1740</v>
      </c>
      <c r="L1498" t="n">
        <v>5254</v>
      </c>
    </row>
    <row r="1499">
      <c r="A1499" s="64" t="n">
        <v>44362</v>
      </c>
      <c r="B1499" t="n">
        <v>-17880</v>
      </c>
      <c r="C1499" t="n">
        <v>18659</v>
      </c>
      <c r="D1499" t="n">
        <v>44254</v>
      </c>
      <c r="E1499" t="n">
        <v>9387</v>
      </c>
      <c r="F1499" t="n">
        <v>118186</v>
      </c>
      <c r="G1499" t="n">
        <v>32170</v>
      </c>
      <c r="H1499" t="n">
        <v>-46850</v>
      </c>
      <c r="I1499" t="n">
        <v>-23930</v>
      </c>
      <c r="J1499" t="n">
        <v>3265</v>
      </c>
      <c r="K1499" t="n">
        <v>1904</v>
      </c>
      <c r="L1499" t="n">
        <v>7030</v>
      </c>
    </row>
    <row r="1500">
      <c r="A1500" s="64" t="n">
        <v>44369</v>
      </c>
      <c r="B1500" t="n">
        <v>-17575</v>
      </c>
      <c r="C1500" t="n">
        <v>18265</v>
      </c>
      <c r="D1500" t="n">
        <v>43225</v>
      </c>
      <c r="E1500" t="n">
        <v>13552</v>
      </c>
      <c r="F1500" t="n">
        <v>89057</v>
      </c>
      <c r="G1500" t="n">
        <v>17927</v>
      </c>
      <c r="H1500" t="n">
        <v>-53862</v>
      </c>
      <c r="I1500" t="n">
        <v>-28591</v>
      </c>
      <c r="J1500" t="n">
        <v>3286</v>
      </c>
      <c r="K1500" t="n">
        <v>10096</v>
      </c>
      <c r="L1500" t="n">
        <v>7301</v>
      </c>
    </row>
    <row r="1501">
      <c r="A1501" s="64" t="n">
        <v>44376</v>
      </c>
      <c r="B1501" t="n">
        <v>-17800</v>
      </c>
      <c r="C1501" t="n">
        <v>20486</v>
      </c>
      <c r="D1501" t="n">
        <v>45801</v>
      </c>
      <c r="E1501" t="n">
        <v>11065</v>
      </c>
      <c r="F1501" t="n">
        <v>87146</v>
      </c>
      <c r="G1501" t="n">
        <v>17723</v>
      </c>
      <c r="H1501" t="n">
        <v>-69895</v>
      </c>
      <c r="I1501" t="n">
        <v>-19454</v>
      </c>
      <c r="J1501" t="n">
        <v>3124</v>
      </c>
      <c r="K1501" t="n">
        <v>10338</v>
      </c>
      <c r="L1501" t="n">
        <v>6440</v>
      </c>
    </row>
    <row r="1502">
      <c r="A1502" s="64" t="n">
        <v>44383</v>
      </c>
      <c r="B1502" t="n">
        <v>-24870</v>
      </c>
      <c r="C1502" t="n">
        <v>21305</v>
      </c>
      <c r="D1502" t="n">
        <v>41178</v>
      </c>
      <c r="E1502" t="n">
        <v>10162</v>
      </c>
      <c r="F1502" t="n">
        <v>77190</v>
      </c>
      <c r="G1502" t="n">
        <v>21903</v>
      </c>
      <c r="H1502" t="n">
        <v>-69136</v>
      </c>
      <c r="I1502" t="n">
        <v>-22333</v>
      </c>
      <c r="J1502" t="n">
        <v>1761</v>
      </c>
      <c r="K1502" t="n">
        <v>8897</v>
      </c>
      <c r="L1502" t="n">
        <v>6046</v>
      </c>
    </row>
    <row r="1503">
      <c r="A1503" s="64" t="n">
        <v>44390</v>
      </c>
      <c r="B1503" t="n">
        <v>-28788</v>
      </c>
      <c r="C1503" t="n">
        <v>22220</v>
      </c>
      <c r="D1503" t="n">
        <v>26376</v>
      </c>
      <c r="E1503" t="n">
        <v>7137</v>
      </c>
      <c r="F1503" t="n">
        <v>59713</v>
      </c>
      <c r="G1503" t="n">
        <v>7969</v>
      </c>
      <c r="H1503" t="n">
        <v>-56250</v>
      </c>
      <c r="I1503" t="n">
        <v>-27432</v>
      </c>
      <c r="J1503" t="n">
        <v>3230</v>
      </c>
      <c r="K1503" t="n">
        <v>5791</v>
      </c>
      <c r="L1503" t="n">
        <v>6626</v>
      </c>
    </row>
    <row r="1504">
      <c r="A1504" s="64" t="n">
        <v>44397</v>
      </c>
      <c r="B1504" t="n">
        <v>-35690</v>
      </c>
      <c r="C1504" t="n">
        <v>21413</v>
      </c>
      <c r="D1504" t="n">
        <v>12915</v>
      </c>
      <c r="E1504" t="n">
        <v>8042</v>
      </c>
      <c r="F1504" t="n">
        <v>45822</v>
      </c>
      <c r="G1504" t="n">
        <v>-3497</v>
      </c>
      <c r="H1504" t="n">
        <v>-55731</v>
      </c>
      <c r="I1504" t="n">
        <v>-28421</v>
      </c>
      <c r="J1504" t="n">
        <v>3046</v>
      </c>
      <c r="K1504" t="n">
        <v>7801</v>
      </c>
      <c r="L1504" t="n">
        <v>5643</v>
      </c>
    </row>
    <row r="1505">
      <c r="A1505" s="64" t="n">
        <v>44404</v>
      </c>
      <c r="B1505" t="n">
        <v>-39347</v>
      </c>
      <c r="C1505" t="n">
        <v>21761</v>
      </c>
      <c r="D1505" t="n">
        <v>5374</v>
      </c>
      <c r="E1505" t="n">
        <v>8489</v>
      </c>
      <c r="F1505" t="n">
        <v>38126</v>
      </c>
      <c r="G1505" t="n">
        <v>-5684</v>
      </c>
      <c r="H1505" t="n">
        <v>-59934</v>
      </c>
      <c r="I1505" t="n">
        <v>-26407</v>
      </c>
      <c r="J1505" t="n">
        <v>1421</v>
      </c>
      <c r="K1505" t="n">
        <v>7593</v>
      </c>
      <c r="L1505" t="n">
        <v>5005</v>
      </c>
    </row>
    <row r="1506">
      <c r="A1506" s="64" t="n">
        <v>44411</v>
      </c>
      <c r="B1506" t="n">
        <v>-41283</v>
      </c>
      <c r="C1506" t="n">
        <v>23444</v>
      </c>
      <c r="D1506" t="n">
        <v>7460</v>
      </c>
      <c r="E1506" t="n">
        <v>7543</v>
      </c>
      <c r="F1506" t="n">
        <v>38007</v>
      </c>
      <c r="G1506" t="n">
        <v>-86</v>
      </c>
      <c r="H1506" t="n">
        <v>-55190</v>
      </c>
      <c r="I1506" t="n">
        <v>-21297</v>
      </c>
      <c r="J1506" t="n">
        <v>-325</v>
      </c>
      <c r="K1506" t="n">
        <v>8923</v>
      </c>
      <c r="L1506" t="n">
        <v>3949</v>
      </c>
    </row>
    <row r="1507">
      <c r="A1507" s="64" t="n">
        <v>44418</v>
      </c>
      <c r="B1507" t="n">
        <v>-49313</v>
      </c>
      <c r="C1507" t="n">
        <v>20538</v>
      </c>
      <c r="D1507" t="n">
        <v>6465</v>
      </c>
      <c r="E1507" t="n">
        <v>9678</v>
      </c>
      <c r="F1507" t="n">
        <v>33857</v>
      </c>
      <c r="G1507" t="n">
        <v>7070</v>
      </c>
      <c r="H1507" t="n">
        <v>-60657</v>
      </c>
      <c r="I1507" t="n">
        <v>-23887</v>
      </c>
      <c r="J1507" t="n">
        <v>-1032</v>
      </c>
      <c r="K1507" t="n">
        <v>10702</v>
      </c>
      <c r="L1507" t="n">
        <v>4509</v>
      </c>
    </row>
    <row r="1508">
      <c r="A1508" s="64" t="n">
        <v>44425</v>
      </c>
      <c r="B1508" t="n">
        <v>-50367</v>
      </c>
      <c r="C1508" t="n">
        <v>18989</v>
      </c>
      <c r="D1508" t="n">
        <v>2660</v>
      </c>
      <c r="E1508" t="n">
        <v>5547</v>
      </c>
      <c r="F1508" t="n">
        <v>57640</v>
      </c>
      <c r="G1508" t="n">
        <v>4651</v>
      </c>
      <c r="H1508" t="n">
        <v>-63208</v>
      </c>
      <c r="I1508" t="n">
        <v>-19117</v>
      </c>
      <c r="J1508" t="n">
        <v>-235</v>
      </c>
      <c r="K1508" t="n">
        <v>11701</v>
      </c>
      <c r="L1508" t="n">
        <v>5117</v>
      </c>
    </row>
    <row r="1509">
      <c r="A1509" s="64" t="n">
        <v>44432</v>
      </c>
      <c r="B1509" t="n">
        <v>-56600</v>
      </c>
      <c r="C1509" t="n">
        <v>13346</v>
      </c>
      <c r="D1509" t="n">
        <v>5877</v>
      </c>
      <c r="E1509" t="n">
        <v>4094</v>
      </c>
      <c r="F1509" t="n">
        <v>24630</v>
      </c>
      <c r="G1509" t="n">
        <v>-16745</v>
      </c>
      <c r="H1509" t="n">
        <v>-66671</v>
      </c>
      <c r="I1509" t="n">
        <v>-23830</v>
      </c>
      <c r="J1509" t="n">
        <v>-362</v>
      </c>
      <c r="K1509" t="n">
        <v>12965</v>
      </c>
      <c r="L1509" t="n">
        <v>5483</v>
      </c>
    </row>
    <row r="1510">
      <c r="A1510" s="64" t="n">
        <v>44439</v>
      </c>
      <c r="B1510" t="n">
        <v>-60078</v>
      </c>
      <c r="C1510" t="n">
        <v>12258</v>
      </c>
      <c r="D1510" t="n">
        <v>-2848</v>
      </c>
      <c r="E1510" t="n">
        <v>3975</v>
      </c>
      <c r="F1510" t="n">
        <v>10476</v>
      </c>
      <c r="G1510" t="n">
        <v>-14900</v>
      </c>
      <c r="H1510" t="n">
        <v>-63130</v>
      </c>
      <c r="I1510" t="n">
        <v>-21043</v>
      </c>
      <c r="J1510" t="n">
        <v>-2141</v>
      </c>
      <c r="K1510" t="n">
        <v>21471</v>
      </c>
      <c r="L1510" t="n">
        <v>5400</v>
      </c>
    </row>
    <row r="1511">
      <c r="A1511" s="64" t="n">
        <v>44446</v>
      </c>
      <c r="B1511" t="n">
        <v>-70488</v>
      </c>
      <c r="C1511" t="n">
        <v>6334</v>
      </c>
      <c r="D1511" t="n">
        <v>-6010</v>
      </c>
      <c r="E1511" t="n">
        <v>220</v>
      </c>
      <c r="F1511" t="n">
        <v>26308</v>
      </c>
      <c r="G1511" t="n">
        <v>-24524</v>
      </c>
      <c r="H1511" t="n">
        <v>-62325</v>
      </c>
      <c r="I1511" t="n">
        <v>-17517</v>
      </c>
      <c r="J1511" t="n">
        <v>3863</v>
      </c>
      <c r="K1511" t="n">
        <v>20945</v>
      </c>
      <c r="L1511" t="n">
        <v>5407</v>
      </c>
    </row>
    <row r="1512">
      <c r="A1512" s="64" t="n">
        <v>44453</v>
      </c>
      <c r="B1512" t="n">
        <v>-83383</v>
      </c>
      <c r="C1512" t="n">
        <v>6994</v>
      </c>
      <c r="D1512" t="n">
        <v>-9283</v>
      </c>
      <c r="E1512" t="n">
        <v>-5878</v>
      </c>
      <c r="F1512" t="n">
        <v>27805</v>
      </c>
      <c r="G1512" t="n">
        <v>4790</v>
      </c>
      <c r="H1512" t="n">
        <v>-60295</v>
      </c>
      <c r="I1512" t="n">
        <v>-15852</v>
      </c>
      <c r="J1512" t="n">
        <v>6206</v>
      </c>
      <c r="K1512" t="n">
        <v>20223</v>
      </c>
      <c r="L1512" t="n">
        <v>4374</v>
      </c>
    </row>
    <row r="1513">
      <c r="A1513" s="64" t="n">
        <v>44460</v>
      </c>
      <c r="B1513" t="n">
        <v>-85584</v>
      </c>
      <c r="C1513" t="n">
        <v>5772</v>
      </c>
      <c r="D1513" t="n">
        <v>-27877</v>
      </c>
      <c r="E1513" t="n">
        <v>-9217</v>
      </c>
      <c r="F1513" t="n">
        <v>12095</v>
      </c>
      <c r="G1513" t="n">
        <v>-218</v>
      </c>
      <c r="H1513" t="n">
        <v>-56071</v>
      </c>
      <c r="I1513" t="n">
        <v>-19015</v>
      </c>
      <c r="J1513" t="n">
        <v>8102</v>
      </c>
      <c r="K1513" t="n">
        <v>18233</v>
      </c>
      <c r="L1513" t="n">
        <v>4305</v>
      </c>
    </row>
    <row r="1514">
      <c r="A1514" s="64" t="n">
        <v>44467</v>
      </c>
      <c r="B1514" t="n">
        <v>-86383</v>
      </c>
      <c r="C1514" t="n">
        <v>5086</v>
      </c>
      <c r="D1514" t="n">
        <v>-20235</v>
      </c>
      <c r="E1514" t="n">
        <v>-11587</v>
      </c>
      <c r="F1514" t="n">
        <v>872</v>
      </c>
      <c r="G1514" t="n">
        <v>1964</v>
      </c>
      <c r="H1514" t="n">
        <v>-64760</v>
      </c>
      <c r="I1514" t="n">
        <v>-19595</v>
      </c>
      <c r="J1514" t="n">
        <v>10246</v>
      </c>
      <c r="K1514" t="n">
        <v>20828</v>
      </c>
      <c r="L1514" t="n">
        <v>2519</v>
      </c>
    </row>
    <row r="1515">
      <c r="A1515" s="64" t="n">
        <v>44474</v>
      </c>
      <c r="B1515" t="n">
        <v>-89979</v>
      </c>
      <c r="C1515" t="n">
        <v>-2290</v>
      </c>
      <c r="D1515" t="n">
        <v>-26866</v>
      </c>
      <c r="E1515" t="n">
        <v>-15679</v>
      </c>
      <c r="F1515" t="n">
        <v>-22334</v>
      </c>
      <c r="G1515" t="n">
        <v>-20018</v>
      </c>
      <c r="H1515" t="n">
        <v>-63694</v>
      </c>
      <c r="I1515" t="n">
        <v>-35579</v>
      </c>
      <c r="J1515" t="n">
        <v>8056</v>
      </c>
      <c r="K1515" t="n">
        <v>20409</v>
      </c>
      <c r="L1515" t="n">
        <v>2536</v>
      </c>
    </row>
    <row r="1516">
      <c r="A1516" s="64" t="n">
        <v>44481</v>
      </c>
      <c r="B1516" t="n">
        <v>-87608</v>
      </c>
      <c r="C1516" t="n">
        <v>-373</v>
      </c>
      <c r="D1516" t="n">
        <v>-27860</v>
      </c>
      <c r="E1516" t="n">
        <v>-12972</v>
      </c>
      <c r="F1516" t="n">
        <v>-18398</v>
      </c>
      <c r="G1516" t="n">
        <v>-11979</v>
      </c>
      <c r="H1516" t="n">
        <v>-76634</v>
      </c>
      <c r="I1516" t="n">
        <v>-39634</v>
      </c>
      <c r="J1516" t="n">
        <v>8748</v>
      </c>
      <c r="K1516" t="n">
        <v>19308</v>
      </c>
      <c r="L1516" t="n">
        <v>2156</v>
      </c>
    </row>
    <row r="1517">
      <c r="A1517" s="64" t="n">
        <v>44488</v>
      </c>
      <c r="B1517" t="n">
        <v>-76058</v>
      </c>
      <c r="C1517" t="n">
        <v>-658</v>
      </c>
      <c r="D1517" t="n">
        <v>-10924</v>
      </c>
      <c r="E1517" t="n">
        <v>-17584</v>
      </c>
      <c r="F1517" t="n">
        <v>-12107</v>
      </c>
      <c r="G1517" t="n">
        <v>1615</v>
      </c>
      <c r="H1517" t="n">
        <v>-102734</v>
      </c>
      <c r="I1517" t="n">
        <v>-38571</v>
      </c>
      <c r="J1517" t="n">
        <v>6440</v>
      </c>
      <c r="K1517" t="n">
        <v>22171</v>
      </c>
      <c r="L1517" t="n">
        <v>3713</v>
      </c>
    </row>
    <row r="1518">
      <c r="A1518" s="64" t="n">
        <v>44495</v>
      </c>
      <c r="B1518" t="n">
        <v>-75246</v>
      </c>
      <c r="C1518" t="n">
        <v>-942</v>
      </c>
      <c r="D1518" t="n">
        <v>3320</v>
      </c>
      <c r="E1518" t="n">
        <v>-19379</v>
      </c>
      <c r="F1518" t="n">
        <v>-11256</v>
      </c>
      <c r="G1518" t="n">
        <v>14953</v>
      </c>
      <c r="H1518" t="n">
        <v>-107036</v>
      </c>
      <c r="I1518" t="n">
        <v>-43289</v>
      </c>
      <c r="J1518" t="n">
        <v>8906</v>
      </c>
      <c r="K1518" t="n">
        <v>21462</v>
      </c>
      <c r="L1518" t="n">
        <v>3951</v>
      </c>
    </row>
    <row r="1519">
      <c r="A1519" s="64" t="n">
        <v>44502</v>
      </c>
      <c r="B1519" t="n">
        <v>-75496</v>
      </c>
      <c r="C1519" t="n">
        <v>-14272</v>
      </c>
      <c r="D1519" t="n">
        <v>4162</v>
      </c>
      <c r="E1519" t="n">
        <v>-20648</v>
      </c>
      <c r="F1519" t="n">
        <v>-6138</v>
      </c>
      <c r="G1519" t="n">
        <v>15047</v>
      </c>
      <c r="H1519" t="n">
        <v>-107624</v>
      </c>
      <c r="I1519" t="n">
        <v>-51018</v>
      </c>
      <c r="J1519" t="n">
        <v>13861</v>
      </c>
      <c r="K1519" t="n">
        <v>19982</v>
      </c>
      <c r="L1519" t="n">
        <v>2427</v>
      </c>
    </row>
    <row r="1520">
      <c r="A1520" s="64" t="n">
        <v>44509</v>
      </c>
      <c r="B1520" t="n">
        <v>-63424</v>
      </c>
      <c r="C1520" t="n">
        <v>-15458</v>
      </c>
      <c r="D1520" t="n">
        <v>5104</v>
      </c>
      <c r="E1520" t="n">
        <v>-17043</v>
      </c>
      <c r="F1520" t="n">
        <v>3773</v>
      </c>
      <c r="G1520" t="n">
        <v>-12093</v>
      </c>
      <c r="H1520" t="n">
        <v>-105351</v>
      </c>
      <c r="I1520" t="n">
        <v>-48407</v>
      </c>
      <c r="J1520" t="n">
        <v>12882</v>
      </c>
      <c r="K1520" t="n">
        <v>20703</v>
      </c>
      <c r="L1520" t="n">
        <v>1638</v>
      </c>
    </row>
    <row r="1521">
      <c r="A1521" s="64" t="n">
        <v>44516</v>
      </c>
      <c r="B1521" t="n">
        <v>-61153</v>
      </c>
      <c r="C1521" t="n">
        <v>-15698</v>
      </c>
      <c r="D1521" t="n">
        <v>8709</v>
      </c>
      <c r="E1521" t="n">
        <v>-8889</v>
      </c>
      <c r="F1521" t="n">
        <v>-3826</v>
      </c>
      <c r="G1521" t="n">
        <v>-31599</v>
      </c>
      <c r="H1521" t="n">
        <v>-93126</v>
      </c>
      <c r="I1521" t="n">
        <v>-47655</v>
      </c>
      <c r="J1521" t="n">
        <v>13965</v>
      </c>
      <c r="K1521" t="n">
        <v>22625</v>
      </c>
      <c r="L1521" t="n">
        <v>3277</v>
      </c>
    </row>
    <row r="1522">
      <c r="A1522" s="64" t="n">
        <v>44523</v>
      </c>
      <c r="B1522" t="n">
        <v>-63265</v>
      </c>
      <c r="C1522" t="n">
        <v>-14804</v>
      </c>
      <c r="D1522" t="n">
        <v>-3135</v>
      </c>
      <c r="E1522" t="n">
        <v>-11376</v>
      </c>
      <c r="F1522" t="n">
        <v>-16452</v>
      </c>
      <c r="G1522" t="n">
        <v>-34579</v>
      </c>
      <c r="H1522" t="n">
        <v>-97253</v>
      </c>
      <c r="I1522" t="n">
        <v>-49461</v>
      </c>
      <c r="J1522" t="n">
        <v>13939</v>
      </c>
      <c r="K1522" t="n">
        <v>18064</v>
      </c>
      <c r="L1522" t="n">
        <v>3230</v>
      </c>
    </row>
    <row r="1523">
      <c r="A1523" s="64" t="n">
        <v>44530</v>
      </c>
      <c r="B1523" t="n">
        <v>-80185</v>
      </c>
      <c r="C1523" t="n">
        <v>-13842</v>
      </c>
      <c r="D1523" t="n">
        <v>-14075</v>
      </c>
      <c r="E1523" t="n">
        <v>-14182</v>
      </c>
      <c r="F1523" t="n">
        <v>-23240</v>
      </c>
      <c r="G1523" t="n">
        <v>-38899</v>
      </c>
      <c r="H1523" t="n">
        <v>-78866</v>
      </c>
      <c r="I1523" t="n">
        <v>-59747</v>
      </c>
      <c r="J1523" t="n">
        <v>10630</v>
      </c>
      <c r="K1523" t="n">
        <v>13637</v>
      </c>
      <c r="L1523" t="n">
        <v>4239</v>
      </c>
    </row>
    <row r="1524">
      <c r="A1524" s="64" t="n">
        <v>44537</v>
      </c>
      <c r="B1524" t="n">
        <v>-81792</v>
      </c>
      <c r="C1524" t="n">
        <v>-5624</v>
      </c>
      <c r="D1524" t="n">
        <v>-9358</v>
      </c>
      <c r="E1524" t="n">
        <v>-12053</v>
      </c>
      <c r="F1524" t="n">
        <v>-8299</v>
      </c>
      <c r="G1524" t="n">
        <v>-38277</v>
      </c>
      <c r="H1524" t="n">
        <v>-63081</v>
      </c>
      <c r="I1524" t="n">
        <v>-64126</v>
      </c>
      <c r="J1524" t="n">
        <v>10708</v>
      </c>
      <c r="K1524" t="n">
        <v>13799</v>
      </c>
      <c r="L1524" t="n">
        <v>3818</v>
      </c>
    </row>
    <row r="1525">
      <c r="A1525" s="64" t="n">
        <v>44544</v>
      </c>
      <c r="B1525" t="n">
        <v>-78903</v>
      </c>
      <c r="C1525" t="n">
        <v>-4617</v>
      </c>
      <c r="D1525" t="n">
        <v>-13128</v>
      </c>
      <c r="E1525" t="n">
        <v>-8336</v>
      </c>
      <c r="F1525" t="n">
        <v>-11879</v>
      </c>
      <c r="G1525" t="n">
        <v>-50748</v>
      </c>
      <c r="H1525" t="n">
        <v>-53523</v>
      </c>
      <c r="I1525" t="n">
        <v>-10673</v>
      </c>
      <c r="J1525" t="n">
        <v>-5861</v>
      </c>
      <c r="K1525" t="n">
        <v>16524</v>
      </c>
      <c r="L1525" t="n">
        <v>-187</v>
      </c>
    </row>
    <row r="1526">
      <c r="A1526" s="64" t="n">
        <v>44551</v>
      </c>
      <c r="B1526" t="n">
        <v>-80354</v>
      </c>
      <c r="C1526" t="n">
        <v>-6547</v>
      </c>
      <c r="D1526" t="n">
        <v>-9877</v>
      </c>
      <c r="E1526" t="n">
        <v>-9227</v>
      </c>
      <c r="F1526" t="n">
        <v>-10162</v>
      </c>
      <c r="G1526" t="n">
        <v>-57686</v>
      </c>
      <c r="H1526" t="n">
        <v>-52286</v>
      </c>
      <c r="I1526" t="n">
        <v>-4792</v>
      </c>
      <c r="J1526" t="n">
        <v>-6136</v>
      </c>
      <c r="K1526" t="n">
        <v>8621</v>
      </c>
      <c r="L1526" t="n">
        <v>-440</v>
      </c>
    </row>
    <row r="1527">
      <c r="A1527" s="64" t="n">
        <v>44558</v>
      </c>
      <c r="B1527" t="n">
        <v>-81741</v>
      </c>
      <c r="C1527" t="n">
        <v>-5286</v>
      </c>
      <c r="D1527" t="n">
        <v>-10334</v>
      </c>
      <c r="E1527" t="n">
        <v>-10718</v>
      </c>
      <c r="F1527" t="n">
        <v>-6634</v>
      </c>
      <c r="G1527" t="n">
        <v>-50719</v>
      </c>
      <c r="H1527" t="n">
        <v>-53102</v>
      </c>
      <c r="I1527" t="n">
        <v>-9008</v>
      </c>
      <c r="J1527" t="n">
        <v>-8421</v>
      </c>
      <c r="K1527" t="n">
        <v>8464</v>
      </c>
      <c r="L1527" t="n">
        <v>8</v>
      </c>
    </row>
    <row r="1528">
      <c r="A1528" s="64" t="n">
        <v>44565</v>
      </c>
      <c r="B1528" t="n">
        <v>-89366</v>
      </c>
      <c r="C1528" t="n">
        <v>-1076</v>
      </c>
      <c r="D1528" t="n">
        <v>-11025</v>
      </c>
      <c r="E1528" t="n">
        <v>-9529</v>
      </c>
      <c r="F1528" t="n">
        <v>-11458</v>
      </c>
      <c r="G1528" t="n">
        <v>-39171</v>
      </c>
      <c r="H1528" t="n">
        <v>-62262</v>
      </c>
      <c r="I1528" t="n">
        <v>-9490</v>
      </c>
      <c r="J1528" t="n">
        <v>-8845</v>
      </c>
      <c r="K1528" t="n">
        <v>7329</v>
      </c>
      <c r="L1528" t="n">
        <v>193</v>
      </c>
    </row>
    <row r="1529">
      <c r="A1529" s="64" t="n">
        <v>44572</v>
      </c>
      <c r="B1529" t="n">
        <v>-91486</v>
      </c>
      <c r="C1529" t="n">
        <v>-10812</v>
      </c>
      <c r="D1529" t="n">
        <v>-7376</v>
      </c>
      <c r="E1529" t="n">
        <v>-7660</v>
      </c>
      <c r="F1529" t="n">
        <v>-4805</v>
      </c>
      <c r="G1529" t="n">
        <v>-29166</v>
      </c>
      <c r="H1529" t="n">
        <v>-87525</v>
      </c>
      <c r="I1529" t="n">
        <v>-4451</v>
      </c>
      <c r="J1529" t="n">
        <v>-8604</v>
      </c>
      <c r="K1529" t="n">
        <v>9617</v>
      </c>
      <c r="L1529" t="n">
        <v>1761</v>
      </c>
    </row>
    <row r="1530">
      <c r="A1530" s="64" t="n">
        <v>44579</v>
      </c>
      <c r="B1530" t="n">
        <v>-88454</v>
      </c>
      <c r="C1530" t="n">
        <v>-11369</v>
      </c>
      <c r="D1530" t="n">
        <v>7492</v>
      </c>
      <c r="E1530" t="n">
        <v>-10810</v>
      </c>
      <c r="F1530" t="n">
        <v>15640</v>
      </c>
      <c r="G1530" t="n">
        <v>-247</v>
      </c>
      <c r="H1530" t="n">
        <v>-80879</v>
      </c>
      <c r="I1530" t="n">
        <v>4920</v>
      </c>
      <c r="J1530" t="n">
        <v>-8331</v>
      </c>
      <c r="K1530" t="n">
        <v>6422</v>
      </c>
      <c r="L1530" t="n">
        <v>1853</v>
      </c>
    </row>
    <row r="1531">
      <c r="A1531" s="64" t="n">
        <v>44586</v>
      </c>
      <c r="B1531" t="n">
        <v>-83273</v>
      </c>
      <c r="C1531" t="n">
        <v>-12616</v>
      </c>
      <c r="D1531" t="n">
        <v>12317</v>
      </c>
      <c r="E1531" t="n">
        <v>-8796</v>
      </c>
      <c r="F1531" t="n">
        <v>32140</v>
      </c>
      <c r="G1531" t="n">
        <v>-7763</v>
      </c>
      <c r="H1531" t="n">
        <v>-68273</v>
      </c>
      <c r="I1531" t="n">
        <v>-790</v>
      </c>
      <c r="J1531" t="n">
        <v>-10773</v>
      </c>
      <c r="K1531" t="n">
        <v>3944</v>
      </c>
      <c r="L1531" t="n">
        <v>2183</v>
      </c>
    </row>
    <row r="1532">
      <c r="A1532" s="64" t="n">
        <v>44593</v>
      </c>
      <c r="B1532" t="n">
        <v>-79829</v>
      </c>
      <c r="C1532" t="n">
        <v>-13353</v>
      </c>
      <c r="D1532" t="n">
        <v>18264</v>
      </c>
      <c r="E1532" t="n">
        <v>-8239</v>
      </c>
      <c r="F1532" t="n">
        <v>22937</v>
      </c>
      <c r="G1532" t="n">
        <v>-23605</v>
      </c>
      <c r="H1532" t="n">
        <v>-60640</v>
      </c>
      <c r="I1532" t="n">
        <v>730</v>
      </c>
      <c r="J1532" t="n">
        <v>-11698</v>
      </c>
      <c r="K1532" t="n">
        <v>14151</v>
      </c>
      <c r="L1532" t="n">
        <v>2820</v>
      </c>
    </row>
    <row r="1533">
      <c r="A1533" s="64" t="n">
        <v>44600</v>
      </c>
      <c r="B1533" t="n">
        <v>-85741</v>
      </c>
      <c r="C1533" t="n">
        <v>20246</v>
      </c>
      <c r="D1533" t="n">
        <v>14886</v>
      </c>
      <c r="E1533" t="n">
        <v>-9399</v>
      </c>
      <c r="F1533" t="n">
        <v>29133</v>
      </c>
      <c r="G1533" t="n">
        <v>-8545</v>
      </c>
      <c r="H1533" t="n">
        <v>-59148</v>
      </c>
      <c r="I1533" t="n">
        <v>1244</v>
      </c>
      <c r="J1533" t="n">
        <v>-10366</v>
      </c>
      <c r="K1533" t="n">
        <v>15443</v>
      </c>
      <c r="L1533" t="n">
        <v>3299</v>
      </c>
    </row>
    <row r="1534">
      <c r="A1534" s="64" t="n">
        <v>44607</v>
      </c>
      <c r="B1534" t="n">
        <v>-86694</v>
      </c>
      <c r="C1534" t="n">
        <v>23760</v>
      </c>
      <c r="D1534" t="n">
        <v>12170</v>
      </c>
      <c r="E1534" t="n">
        <v>-9715</v>
      </c>
      <c r="F1534" t="n">
        <v>37831</v>
      </c>
      <c r="G1534" t="n">
        <v>2237</v>
      </c>
      <c r="H1534" t="n">
        <v>-66162</v>
      </c>
      <c r="I1534" t="n">
        <v>8974</v>
      </c>
      <c r="J1534" t="n">
        <v>-9333</v>
      </c>
      <c r="K1534" t="n">
        <v>16164</v>
      </c>
      <c r="L1534" t="n">
        <v>2798</v>
      </c>
    </row>
    <row r="1535">
      <c r="A1535" s="64" t="n">
        <v>44614</v>
      </c>
      <c r="B1535" t="n">
        <v>-84080</v>
      </c>
      <c r="C1535" t="n">
        <v>24445</v>
      </c>
      <c r="D1535" t="n">
        <v>9253</v>
      </c>
      <c r="E1535" t="n">
        <v>-10987</v>
      </c>
      <c r="F1535" t="n">
        <v>49291</v>
      </c>
      <c r="G1535" t="n">
        <v>-5809</v>
      </c>
      <c r="H1535" t="n">
        <v>-63187</v>
      </c>
      <c r="I1535" t="n">
        <v>16825</v>
      </c>
      <c r="J1535" t="n">
        <v>-11551</v>
      </c>
      <c r="K1535" t="n">
        <v>19517</v>
      </c>
      <c r="L1535" t="n">
        <v>1742</v>
      </c>
    </row>
    <row r="1536">
      <c r="A1536" s="64" t="n">
        <v>44621</v>
      </c>
      <c r="B1536" t="n">
        <v>-78336</v>
      </c>
      <c r="C1536" t="n">
        <v>50448</v>
      </c>
      <c r="D1536" t="n">
        <v>14140</v>
      </c>
      <c r="E1536" t="n">
        <v>-15248</v>
      </c>
      <c r="F1536" t="n">
        <v>57286</v>
      </c>
      <c r="G1536" t="n">
        <v>-337</v>
      </c>
      <c r="H1536" t="n">
        <v>-68732</v>
      </c>
      <c r="I1536" t="n">
        <v>42378</v>
      </c>
      <c r="J1536" t="n">
        <v>-14172</v>
      </c>
      <c r="K1536" t="n">
        <v>9674</v>
      </c>
      <c r="L1536" t="n">
        <v>2376</v>
      </c>
    </row>
    <row r="1537">
      <c r="A1537" s="64" t="n">
        <v>44628</v>
      </c>
      <c r="B1537" t="n">
        <v>-78195</v>
      </c>
      <c r="C1537" t="n">
        <v>50496</v>
      </c>
      <c r="D1537" t="n">
        <v>7646</v>
      </c>
      <c r="E1537" t="n">
        <v>-9710</v>
      </c>
      <c r="F1537" t="n">
        <v>51725</v>
      </c>
      <c r="G1537" t="n">
        <v>-12526</v>
      </c>
      <c r="H1537" t="n">
        <v>-55856</v>
      </c>
      <c r="I1537" t="n">
        <v>53017</v>
      </c>
      <c r="J1537" t="n">
        <v>-12379</v>
      </c>
      <c r="K1537" t="n">
        <v>7806</v>
      </c>
      <c r="L1537" t="n">
        <v>-239</v>
      </c>
    </row>
    <row r="1538">
      <c r="A1538" s="64" t="n">
        <v>44635</v>
      </c>
      <c r="B1538" t="n">
        <v>-44856</v>
      </c>
      <c r="C1538" t="n">
        <v>44163</v>
      </c>
      <c r="D1538" t="n">
        <v>17740</v>
      </c>
      <c r="E1538" t="n">
        <v>-5229</v>
      </c>
      <c r="F1538" t="n">
        <v>8555</v>
      </c>
      <c r="G1538" t="n">
        <v>-29061</v>
      </c>
      <c r="H1538" t="n">
        <v>-62340</v>
      </c>
      <c r="I1538" t="n">
        <v>-10576</v>
      </c>
      <c r="J1538" t="n">
        <v>3653</v>
      </c>
      <c r="K1538" t="n">
        <v>7543</v>
      </c>
      <c r="L1538" t="n">
        <v>13402</v>
      </c>
    </row>
    <row r="1539">
      <c r="A1539" s="64" t="n">
        <v>44642</v>
      </c>
      <c r="B1539" t="n">
        <v>-51189</v>
      </c>
      <c r="C1539" t="n">
        <v>41564</v>
      </c>
      <c r="D1539" t="n">
        <v>-4940</v>
      </c>
      <c r="E1539" t="n">
        <v>-8424</v>
      </c>
      <c r="F1539" t="n">
        <v>21349</v>
      </c>
      <c r="G1539" t="n">
        <v>-37244</v>
      </c>
      <c r="H1539" t="n">
        <v>-78482</v>
      </c>
      <c r="I1539" t="n">
        <v>-18051</v>
      </c>
      <c r="J1539" t="n">
        <v>2520</v>
      </c>
      <c r="K1539" t="n">
        <v/>
      </c>
      <c r="L1539" t="n">
        <v>13113</v>
      </c>
    </row>
    <row r="1540">
      <c r="A1540" s="64" t="n">
        <v>44649</v>
      </c>
      <c r="B1540" t="n">
        <v>-49606</v>
      </c>
      <c r="C1540" t="n">
        <v>42616</v>
      </c>
      <c r="D1540" t="n">
        <v>-1535</v>
      </c>
      <c r="E1540" t="n">
        <v>-11579</v>
      </c>
      <c r="F1540" t="n">
        <v>19060</v>
      </c>
      <c r="G1540" t="n">
        <v>-40070</v>
      </c>
      <c r="H1540" t="n">
        <v>-102131</v>
      </c>
      <c r="I1540" t="n">
        <v>-8247</v>
      </c>
      <c r="J1540" t="n">
        <v>-867</v>
      </c>
      <c r="K1540" t="n">
        <v/>
      </c>
      <c r="L1540" t="n">
        <v>13682</v>
      </c>
    </row>
    <row r="1541">
      <c r="A1541" s="64" t="n">
        <v>44656</v>
      </c>
      <c r="B1541" t="n">
        <v>-37513</v>
      </c>
      <c r="C1541" t="n">
        <v>45526</v>
      </c>
      <c r="D1541" t="n">
        <v>6923</v>
      </c>
      <c r="E1541" t="n">
        <v>-12393</v>
      </c>
      <c r="F1541" t="n">
        <v>18056</v>
      </c>
      <c r="G1541" t="n">
        <v>-41758</v>
      </c>
      <c r="H1541" t="n">
        <v>-103829</v>
      </c>
      <c r="I1541" t="n">
        <v>910</v>
      </c>
      <c r="J1541" t="n">
        <v>-1569</v>
      </c>
      <c r="K1541" t="n">
        <v/>
      </c>
      <c r="L1541" t="n">
        <v>13737</v>
      </c>
    </row>
    <row r="1542">
      <c r="A1542" s="64" t="n">
        <v>44663</v>
      </c>
      <c r="B1542" t="n">
        <v>-28715</v>
      </c>
      <c r="C1542" t="n">
        <v>46129</v>
      </c>
      <c r="D1542" t="n">
        <v>12158</v>
      </c>
      <c r="E1542" t="n">
        <v>-13942</v>
      </c>
      <c r="F1542" t="n">
        <v>29821</v>
      </c>
      <c r="G1542" t="n">
        <v>-53054</v>
      </c>
      <c r="H1542" t="n">
        <v>-111827</v>
      </c>
      <c r="I1542" t="n">
        <v>14960</v>
      </c>
      <c r="J1542" t="n">
        <v>-289</v>
      </c>
      <c r="K1542" t="n">
        <v/>
      </c>
      <c r="L1542" t="n">
        <v>14344</v>
      </c>
    </row>
    <row r="1543">
      <c r="A1543" s="64" t="n">
        <v>44670</v>
      </c>
      <c r="B1543" t="n">
        <v>-28837</v>
      </c>
      <c r="C1543" t="n">
        <v>44572</v>
      </c>
      <c r="D1543" t="n">
        <v>21226</v>
      </c>
      <c r="E1543" t="n">
        <v>-11450</v>
      </c>
      <c r="F1543" t="n">
        <v>22216</v>
      </c>
      <c r="G1543" t="n">
        <v>-58914</v>
      </c>
      <c r="H1543" t="n">
        <v>-107187</v>
      </c>
      <c r="I1543" t="n">
        <v>21664</v>
      </c>
      <c r="J1543" t="n">
        <v>365</v>
      </c>
      <c r="K1543" t="n">
        <v/>
      </c>
      <c r="L1543" t="n">
        <v>15526</v>
      </c>
    </row>
    <row r="1544">
      <c r="A1544" s="64" t="n">
        <v>44677</v>
      </c>
      <c r="B1544" t="n">
        <v>-27651</v>
      </c>
      <c r="C1544" t="n">
        <v>46884</v>
      </c>
      <c r="D1544" t="n">
        <v>20881</v>
      </c>
      <c r="E1544" t="n">
        <v>-12869</v>
      </c>
      <c r="F1544" t="n">
        <v>12403</v>
      </c>
      <c r="G1544" t="n">
        <v>-69621</v>
      </c>
      <c r="H1544" t="n">
        <v>-95535</v>
      </c>
      <c r="I1544" t="n">
        <v>20126</v>
      </c>
      <c r="J1544" t="n">
        <v>66</v>
      </c>
      <c r="K1544" t="n">
        <v/>
      </c>
      <c r="L1544" t="n">
        <v>15493</v>
      </c>
    </row>
    <row r="1545">
      <c r="A1545" s="64" t="n">
        <v>44684</v>
      </c>
      <c r="B1545" t="n">
        <v>-28516</v>
      </c>
      <c r="C1545" t="n">
        <v>41788</v>
      </c>
      <c r="D1545" t="n">
        <v>9029</v>
      </c>
      <c r="E1545" t="n">
        <v>-13907</v>
      </c>
      <c r="F1545" t="n">
        <v>-14637</v>
      </c>
      <c r="G1545" t="n">
        <v>-73813</v>
      </c>
      <c r="H1545" t="n">
        <v>-100794</v>
      </c>
      <c r="I1545" t="n">
        <v>14623</v>
      </c>
      <c r="J1545" t="n">
        <v>-6610</v>
      </c>
      <c r="K1545" t="n">
        <v/>
      </c>
      <c r="L1545" t="n">
        <v>15338</v>
      </c>
    </row>
    <row r="1546">
      <c r="A1546" s="64" t="n">
        <v>44691</v>
      </c>
      <c r="B1546" t="n">
        <v>-41714</v>
      </c>
      <c r="C1546" t="n">
        <v>40778</v>
      </c>
      <c r="D1546" t="n">
        <v>-5407</v>
      </c>
      <c r="E1546" t="n">
        <v>-15763</v>
      </c>
      <c r="F1546" t="n">
        <v>8687</v>
      </c>
      <c r="G1546" t="n">
        <v>-79598</v>
      </c>
      <c r="H1546" t="n">
        <v>-110454</v>
      </c>
      <c r="I1546" t="n">
        <v>16725</v>
      </c>
      <c r="J1546" t="n">
        <v>-12996</v>
      </c>
      <c r="K1546" t="n">
        <v/>
      </c>
      <c r="L1546" t="n">
        <v>13542</v>
      </c>
    </row>
    <row r="1547">
      <c r="A1547" s="64" t="n">
        <v>44698</v>
      </c>
      <c r="B1547" t="n">
        <v>-44642</v>
      </c>
      <c r="C1547" t="n">
        <v>38095</v>
      </c>
      <c r="D1547" t="n">
        <v>-14496</v>
      </c>
      <c r="E1547" t="n">
        <v>-16592</v>
      </c>
      <c r="F1547" t="n">
        <v>12181</v>
      </c>
      <c r="G1547" t="n">
        <v>-79241</v>
      </c>
      <c r="H1547" t="n">
        <v>-102309</v>
      </c>
      <c r="I1547" t="n">
        <v>28215</v>
      </c>
      <c r="J1547" t="n">
        <v>-17767</v>
      </c>
      <c r="K1547" t="n">
        <v/>
      </c>
      <c r="L1547" t="n">
        <v>13373</v>
      </c>
    </row>
    <row r="1548">
      <c r="A1548" s="64" t="n">
        <v>44705</v>
      </c>
      <c r="B1548" t="n">
        <v>-45446</v>
      </c>
      <c r="C1548" t="n">
        <v>38714</v>
      </c>
      <c r="D1548" t="n">
        <v>-12687</v>
      </c>
      <c r="E1548" t="n">
        <v>-19673</v>
      </c>
      <c r="F1548" t="n">
        <v>37827</v>
      </c>
      <c r="G1548" t="n">
        <v>-80372</v>
      </c>
      <c r="H1548" t="n">
        <v>-99444</v>
      </c>
      <c r="I1548" t="n">
        <v>29792</v>
      </c>
      <c r="J1548" t="n">
        <v>-19321</v>
      </c>
      <c r="K1548" t="n">
        <v/>
      </c>
      <c r="L1548" t="n">
        <v>13712</v>
      </c>
    </row>
    <row r="1549">
      <c r="A1549" s="64" t="n">
        <v>44712</v>
      </c>
      <c r="B1549" t="n">
        <v>-48682</v>
      </c>
      <c r="C1549" t="n">
        <v>45316</v>
      </c>
      <c r="D1549" t="n">
        <v>-7007</v>
      </c>
      <c r="E1549" t="n">
        <v>-20458</v>
      </c>
      <c r="F1549" t="n">
        <v>46523</v>
      </c>
      <c r="G1549" t="n">
        <v>-74105</v>
      </c>
      <c r="H1549" t="n">
        <v>-94439</v>
      </c>
      <c r="I1549" t="n">
        <v>35449</v>
      </c>
      <c r="J1549" t="n">
        <v>-18724</v>
      </c>
      <c r="K1549" t="n">
        <v/>
      </c>
      <c r="L1549" t="n">
        <v>13665</v>
      </c>
    </row>
    <row r="1550">
      <c r="A1550" s="64" t="n">
        <v>44719</v>
      </c>
      <c r="B1550" t="n">
        <v>-47896</v>
      </c>
      <c r="C1550" t="n">
        <v>46705</v>
      </c>
      <c r="D1550" t="n">
        <v>-1062</v>
      </c>
      <c r="E1550" t="n">
        <v>-16132</v>
      </c>
      <c r="F1550" t="n">
        <v>43597</v>
      </c>
      <c r="G1550" t="n">
        <v>-70810</v>
      </c>
      <c r="H1550" t="n">
        <v>-91646</v>
      </c>
      <c r="I1550" t="n">
        <v>32726</v>
      </c>
      <c r="J1550" t="n">
        <v>-19771</v>
      </c>
      <c r="K1550" t="n">
        <v/>
      </c>
      <c r="L1550" t="n">
        <v>14207</v>
      </c>
    </row>
    <row r="1551">
      <c r="A1551" s="64" t="n">
        <v>44726</v>
      </c>
      <c r="B1551" t="n">
        <v>-43254</v>
      </c>
      <c r="C1551" t="n">
        <v>47213</v>
      </c>
      <c r="D1551" t="n">
        <v>23202</v>
      </c>
      <c r="E1551" t="n">
        <v>-6808</v>
      </c>
      <c r="F1551" t="n">
        <v>-11147</v>
      </c>
      <c r="G1551" t="n">
        <v>-65596</v>
      </c>
      <c r="H1551" t="n">
        <v>-69755</v>
      </c>
      <c r="I1551" t="n">
        <v>-26381</v>
      </c>
      <c r="J1551" t="n">
        <v>-6838</v>
      </c>
      <c r="K1551" t="n">
        <v/>
      </c>
      <c r="L1551" t="n">
        <v>21795</v>
      </c>
    </row>
    <row r="1552">
      <c r="A1552" s="64" t="n">
        <v>44733</v>
      </c>
      <c r="B1552" t="n">
        <v>-40606</v>
      </c>
      <c r="C1552" t="n">
        <v>44345</v>
      </c>
      <c r="D1552" t="n">
        <v>4105</v>
      </c>
      <c r="E1552" t="n">
        <v>-7157</v>
      </c>
      <c r="F1552" t="n">
        <v>-15893</v>
      </c>
      <c r="G1552" t="n">
        <v>-63247</v>
      </c>
      <c r="H1552" t="n">
        <v>-58454</v>
      </c>
      <c r="I1552" t="n">
        <v>-26870</v>
      </c>
      <c r="J1552" t="n">
        <v>-5423</v>
      </c>
      <c r="K1552" t="n">
        <v/>
      </c>
      <c r="L1552" t="n">
        <v>22383</v>
      </c>
    </row>
    <row r="1553">
      <c r="A1553" s="64" t="n">
        <v>44740</v>
      </c>
      <c r="B1553" t="n">
        <v>-42980</v>
      </c>
      <c r="C1553" t="n">
        <v>37028</v>
      </c>
      <c r="D1553" t="n">
        <v>9097</v>
      </c>
      <c r="E1553" t="n">
        <v>-8591</v>
      </c>
      <c r="F1553" t="n">
        <v>-7786</v>
      </c>
      <c r="G1553" t="n">
        <v>-53118</v>
      </c>
      <c r="H1553" t="n">
        <v>-52570</v>
      </c>
      <c r="I1553" t="n">
        <v>-13980</v>
      </c>
      <c r="J1553" t="n">
        <v>-5311</v>
      </c>
      <c r="K1553" t="n">
        <v/>
      </c>
      <c r="L1553" t="n">
        <v>22579</v>
      </c>
    </row>
    <row r="1554">
      <c r="A1554" s="64" t="n">
        <v>44747</v>
      </c>
      <c r="B1554" t="n">
        <v>-47621</v>
      </c>
      <c r="C1554" t="n">
        <v>16333</v>
      </c>
      <c r="D1554" t="n">
        <v>4293</v>
      </c>
      <c r="E1554" t="n">
        <v>-10135</v>
      </c>
      <c r="F1554" t="n">
        <v>-13810</v>
      </c>
      <c r="G1554" t="n">
        <v>-56208</v>
      </c>
      <c r="H1554" t="n">
        <v>-54445</v>
      </c>
      <c r="I1554" t="n">
        <v>-14418</v>
      </c>
      <c r="J1554" t="n">
        <v>-7056</v>
      </c>
      <c r="K1554" t="n">
        <v/>
      </c>
      <c r="L1554" t="n">
        <v>22713</v>
      </c>
    </row>
    <row r="1555">
      <c r="A1555" s="64" t="n">
        <v>44754</v>
      </c>
      <c r="B1555" t="n">
        <v>-41600</v>
      </c>
      <c r="C1555" t="n">
        <v>10205</v>
      </c>
      <c r="D1555" t="n">
        <v>3505</v>
      </c>
      <c r="E1555" t="n">
        <v>-8724</v>
      </c>
      <c r="F1555" t="n">
        <v>-21698</v>
      </c>
      <c r="G1555" t="n">
        <v>-59089</v>
      </c>
      <c r="H1555" t="n">
        <v>-59998</v>
      </c>
      <c r="I1555" t="n">
        <v>-23238</v>
      </c>
      <c r="J1555" t="n">
        <v>-5283</v>
      </c>
      <c r="K1555" t="n">
        <v/>
      </c>
      <c r="L1555" t="n">
        <v>13529</v>
      </c>
    </row>
    <row r="1556">
      <c r="A1556" s="64" t="n">
        <v>44761</v>
      </c>
      <c r="B1556" t="n">
        <v>-43148</v>
      </c>
      <c r="C1556" t="n">
        <v>10475</v>
      </c>
      <c r="D1556" t="n">
        <v>6667</v>
      </c>
      <c r="E1556" t="n">
        <v>-10912</v>
      </c>
      <c r="F1556" t="n">
        <v>-39294</v>
      </c>
      <c r="G1556" t="n">
        <v>-57250</v>
      </c>
      <c r="H1556" t="n">
        <v>-59225</v>
      </c>
      <c r="I1556" t="n">
        <v>-30760</v>
      </c>
      <c r="J1556" t="n">
        <v>-3671</v>
      </c>
      <c r="K1556" t="n">
        <v/>
      </c>
      <c r="L1556" t="n">
        <v>9539</v>
      </c>
    </row>
    <row r="1557">
      <c r="A1557" s="64" t="n">
        <v>44768</v>
      </c>
      <c r="B1557" t="n">
        <v>-47385</v>
      </c>
      <c r="C1557" t="n">
        <v>11712</v>
      </c>
      <c r="D1557" t="n">
        <v>15769</v>
      </c>
      <c r="E1557" t="n">
        <v>-11299</v>
      </c>
      <c r="F1557" t="n">
        <v>-38092</v>
      </c>
      <c r="G1557" t="n">
        <v>-53990</v>
      </c>
      <c r="H1557" t="n">
        <v>-61481</v>
      </c>
      <c r="I1557" t="n">
        <v>-29898</v>
      </c>
      <c r="J1557" t="n">
        <v>-4186</v>
      </c>
      <c r="K1557" t="n">
        <v/>
      </c>
      <c r="L1557" t="n">
        <v>6649</v>
      </c>
    </row>
    <row r="1558">
      <c r="A1558" s="64" t="n">
        <v>44775</v>
      </c>
      <c r="B1558" t="n">
        <v>-55950</v>
      </c>
      <c r="C1558" t="n">
        <v>-1130</v>
      </c>
      <c r="D1558" t="n">
        <v>20277</v>
      </c>
      <c r="E1558" t="n">
        <v>-13308</v>
      </c>
      <c r="F1558" t="n">
        <v>-34265</v>
      </c>
      <c r="G1558" t="n">
        <v>-56409</v>
      </c>
      <c r="H1558" t="n">
        <v>-42753</v>
      </c>
      <c r="I1558" t="n">
        <v>-23053</v>
      </c>
      <c r="J1558" t="n">
        <v>-1573</v>
      </c>
      <c r="K1558" t="n">
        <v/>
      </c>
      <c r="L1558" t="n">
        <v>6388</v>
      </c>
    </row>
    <row r="1559">
      <c r="A1559" s="64" t="n">
        <v>44782</v>
      </c>
      <c r="B1559" t="n">
        <v>-57588</v>
      </c>
      <c r="C1559" t="n">
        <v>1733</v>
      </c>
      <c r="D1559" t="n">
        <v>21223</v>
      </c>
      <c r="E1559" t="n">
        <v>-9782</v>
      </c>
      <c r="F1559" t="n">
        <v>-29628</v>
      </c>
      <c r="G1559" t="n">
        <v>-34468</v>
      </c>
      <c r="H1559" t="n">
        <v>-25032</v>
      </c>
      <c r="I1559" t="n">
        <v>-27621</v>
      </c>
      <c r="J1559" t="n">
        <v>-276</v>
      </c>
      <c r="K1559" t="n">
        <v/>
      </c>
      <c r="L1559" t="n">
        <v>5938</v>
      </c>
    </row>
    <row r="1560">
      <c r="A1560" s="64" t="n">
        <v>44789</v>
      </c>
      <c r="B1560" t="n">
        <v>-59248</v>
      </c>
      <c r="C1560" t="n">
        <v>6523</v>
      </c>
      <c r="D1560" t="n">
        <v>26867</v>
      </c>
      <c r="E1560" t="n">
        <v>-5096</v>
      </c>
      <c r="F1560" t="n">
        <v>-37541</v>
      </c>
      <c r="G1560" t="n">
        <v>-33109</v>
      </c>
      <c r="H1560" t="n">
        <v>-28891</v>
      </c>
      <c r="I1560" t="n">
        <v>-21371</v>
      </c>
      <c r="J1560" t="n">
        <v>1769</v>
      </c>
      <c r="K1560" t="n">
        <v/>
      </c>
      <c r="L1560" t="n">
        <v>5925</v>
      </c>
    </row>
    <row r="1561">
      <c r="A1561" s="64" t="n">
        <v>44796</v>
      </c>
      <c r="B1561" t="n">
        <v>-60028</v>
      </c>
      <c r="C1561" t="n">
        <v>6365</v>
      </c>
      <c r="D1561" t="n">
        <v>23227</v>
      </c>
      <c r="E1561" t="n">
        <v>-2405</v>
      </c>
      <c r="F1561" t="n">
        <v>-39086</v>
      </c>
      <c r="G1561" t="n">
        <v>-27966</v>
      </c>
      <c r="H1561" t="n">
        <v>-38807</v>
      </c>
      <c r="I1561" t="n">
        <v>-31316</v>
      </c>
      <c r="J1561" t="n">
        <v>-1474</v>
      </c>
      <c r="K1561" t="n">
        <v/>
      </c>
      <c r="L1561" t="n">
        <v>6885</v>
      </c>
    </row>
    <row r="1562">
      <c r="A1562" s="64" t="n">
        <v>44803</v>
      </c>
      <c r="B1562" t="n">
        <v>-57393</v>
      </c>
      <c r="C1562" t="n">
        <v>8859</v>
      </c>
      <c r="D1562" t="n">
        <v>24179</v>
      </c>
      <c r="E1562" t="n">
        <v>-2262</v>
      </c>
      <c r="F1562" t="n">
        <v>-45078</v>
      </c>
      <c r="G1562" t="n">
        <v>-29170</v>
      </c>
      <c r="H1562" t="n">
        <v>-41531</v>
      </c>
      <c r="I1562" t="n">
        <v>-29030</v>
      </c>
      <c r="J1562" t="n">
        <v>-3124</v>
      </c>
      <c r="K1562" t="n">
        <v/>
      </c>
      <c r="L1562" t="n">
        <v>6841</v>
      </c>
    </row>
    <row r="1563">
      <c r="A1563" s="64" t="n">
        <v>44810</v>
      </c>
      <c r="B1563" t="n">
        <v>-56500</v>
      </c>
      <c r="C1563" t="n">
        <v>30860</v>
      </c>
      <c r="D1563" t="n">
        <v>17910</v>
      </c>
      <c r="E1563" t="n">
        <v>-4037</v>
      </c>
      <c r="F1563" t="n">
        <v>-33996</v>
      </c>
      <c r="G1563" t="n">
        <v>-50432</v>
      </c>
      <c r="H1563" t="n">
        <v>-58189</v>
      </c>
      <c r="I1563" t="n">
        <v>-29460</v>
      </c>
      <c r="J1563" t="n">
        <v>-2746</v>
      </c>
      <c r="K1563" t="n">
        <v/>
      </c>
      <c r="L1563" t="n">
        <v>7115</v>
      </c>
    </row>
    <row r="1564">
      <c r="A1564" s="64" t="n">
        <v>44817</v>
      </c>
      <c r="B1564" t="n">
        <v>-57850</v>
      </c>
      <c r="C1564" t="n">
        <v>32953</v>
      </c>
      <c r="D1564" t="n">
        <v>12425</v>
      </c>
      <c r="E1564" t="n">
        <v>-7305</v>
      </c>
      <c r="F1564" t="n">
        <v>-9811</v>
      </c>
      <c r="G1564" t="n">
        <v>-68086</v>
      </c>
      <c r="H1564" t="n">
        <v>-80692</v>
      </c>
      <c r="I1564" t="n">
        <v>-25381</v>
      </c>
      <c r="J1564" t="n">
        <v>-5301</v>
      </c>
      <c r="K1564" t="n">
        <v/>
      </c>
      <c r="L1564" t="n">
        <v>6634</v>
      </c>
    </row>
    <row r="1565">
      <c r="A1565" s="64" t="n">
        <v>44824</v>
      </c>
      <c r="B1565" t="n">
        <v>-40556</v>
      </c>
      <c r="C1565" t="n">
        <v>32369</v>
      </c>
      <c r="D1565" t="n">
        <v>2056</v>
      </c>
      <c r="E1565" t="n">
        <v>-6740</v>
      </c>
      <c r="F1565" t="n">
        <v>37552</v>
      </c>
      <c r="G1565" t="n">
        <v>-54843</v>
      </c>
      <c r="H1565" t="n">
        <v>-81280</v>
      </c>
      <c r="I1565" t="n">
        <v>-28033</v>
      </c>
      <c r="J1565" t="n">
        <v>-12589</v>
      </c>
      <c r="K1565" t="n">
        <v/>
      </c>
      <c r="L1565" t="n">
        <v>5220</v>
      </c>
    </row>
    <row r="1566">
      <c r="A1566" s="64" t="n">
        <v>44831</v>
      </c>
      <c r="B1566" t="n">
        <v>-34653</v>
      </c>
      <c r="C1566" t="n">
        <v>33764</v>
      </c>
      <c r="D1566" t="n">
        <v>-17666</v>
      </c>
      <c r="E1566" t="n">
        <v>-5730</v>
      </c>
      <c r="F1566" t="n">
        <v>38004</v>
      </c>
      <c r="G1566" t="n">
        <v>-46424</v>
      </c>
      <c r="H1566" t="n">
        <v>-82556</v>
      </c>
      <c r="I1566" t="n">
        <v>-41322</v>
      </c>
      <c r="J1566" t="n">
        <v>-11471</v>
      </c>
      <c r="K1566" t="n">
        <v/>
      </c>
      <c r="L1566" t="n">
        <v>4096</v>
      </c>
    </row>
    <row r="1567">
      <c r="A1567" s="64" t="n">
        <v>44838</v>
      </c>
      <c r="B1567" t="n">
        <v>-27764</v>
      </c>
      <c r="C1567" t="n">
        <v>25779</v>
      </c>
      <c r="D1567" t="n">
        <v>-21407</v>
      </c>
      <c r="E1567" t="n">
        <v>-6852</v>
      </c>
      <c r="F1567" t="n">
        <v>48665</v>
      </c>
      <c r="G1567" t="n">
        <v>-49539</v>
      </c>
      <c r="H1567" t="n">
        <v>-81623</v>
      </c>
      <c r="I1567" t="n">
        <v>-37321</v>
      </c>
      <c r="J1567" t="n">
        <v>-13978</v>
      </c>
      <c r="K1567" t="n">
        <v/>
      </c>
      <c r="L1567" t="n">
        <v>4286</v>
      </c>
    </row>
    <row r="1568">
      <c r="A1568" s="64" t="n">
        <v>44845</v>
      </c>
      <c r="B1568" t="n">
        <v>-31271</v>
      </c>
      <c r="C1568" t="n">
        <v>26075</v>
      </c>
      <c r="D1568" t="n">
        <v>-25672</v>
      </c>
      <c r="E1568" t="n">
        <v>-5890</v>
      </c>
      <c r="F1568" t="n">
        <v>41627</v>
      </c>
      <c r="G1568" t="n">
        <v>-39170</v>
      </c>
      <c r="H1568" t="n">
        <v>-77393</v>
      </c>
      <c r="I1568" t="n">
        <v>-33654</v>
      </c>
      <c r="J1568" t="n">
        <v>-19042</v>
      </c>
      <c r="K1568" t="n">
        <v/>
      </c>
      <c r="L1568" t="n">
        <v>4366</v>
      </c>
    </row>
    <row r="1569">
      <c r="A1569" s="64" t="n">
        <v>44852</v>
      </c>
      <c r="B1569" t="n">
        <v>-35359</v>
      </c>
      <c r="C1569" t="n">
        <v>26498</v>
      </c>
      <c r="D1569" t="n">
        <v>-20573</v>
      </c>
      <c r="E1569" t="n">
        <v>-7086</v>
      </c>
      <c r="F1569" t="n">
        <v>52406</v>
      </c>
      <c r="G1569" t="n">
        <v>-51211</v>
      </c>
      <c r="H1569" t="n">
        <v>-94336</v>
      </c>
      <c r="I1569" t="n">
        <v>-22294</v>
      </c>
      <c r="J1569" t="n">
        <v>-18445</v>
      </c>
      <c r="K1569" t="n">
        <v/>
      </c>
      <c r="L1569" t="n">
        <v>4210</v>
      </c>
    </row>
    <row r="1570">
      <c r="A1570" s="64" t="n">
        <v>44859</v>
      </c>
      <c r="B1570" t="n">
        <v>-51446</v>
      </c>
      <c r="C1570" t="n">
        <v>29179</v>
      </c>
      <c r="D1570" t="n">
        <v>-18155</v>
      </c>
      <c r="E1570" t="n">
        <v>-11300</v>
      </c>
      <c r="F1570" t="n">
        <v>79653</v>
      </c>
      <c r="G1570" t="n">
        <v>-47805</v>
      </c>
      <c r="H1570" t="n">
        <v>-102618</v>
      </c>
      <c r="I1570" t="n">
        <v>12574</v>
      </c>
      <c r="J1570" t="n">
        <v>-12884</v>
      </c>
      <c r="K1570" t="n">
        <v/>
      </c>
      <c r="L1570" t="n">
        <v>2677</v>
      </c>
    </row>
    <row r="1571">
      <c r="A1571" s="64" t="n">
        <v>44866</v>
      </c>
      <c r="B1571" t="n">
        <v>-50532</v>
      </c>
      <c r="C1571" t="n">
        <v>29157</v>
      </c>
      <c r="D1571" t="n">
        <v>-17649</v>
      </c>
      <c r="E1571" t="n">
        <v>-14784</v>
      </c>
      <c r="F1571" t="n">
        <v>110312</v>
      </c>
      <c r="G1571" t="n">
        <v>-44836</v>
      </c>
      <c r="H1571" t="n">
        <v>-77620</v>
      </c>
      <c r="I1571" t="n">
        <v>44045</v>
      </c>
      <c r="J1571" t="n">
        <v>-3847</v>
      </c>
      <c r="K1571" t="n">
        <v/>
      </c>
      <c r="L1571" t="n">
        <v>-125</v>
      </c>
    </row>
    <row r="1572">
      <c r="A1572" s="64" t="n">
        <v>44873</v>
      </c>
      <c r="B1572" t="n">
        <v>-46683</v>
      </c>
      <c r="C1572" t="n">
        <v>4501</v>
      </c>
      <c r="D1572" t="n">
        <v>-18464</v>
      </c>
      <c r="E1572" t="n">
        <v>-17154</v>
      </c>
      <c r="F1572" t="n">
        <v>112207</v>
      </c>
      <c r="G1572" t="n">
        <v>-39735</v>
      </c>
      <c r="H1572" t="n">
        <v>-75258</v>
      </c>
      <c r="I1572" t="n">
        <v>59614</v>
      </c>
      <c r="J1572" t="n">
        <v>-6367</v>
      </c>
      <c r="K1572" t="n">
        <v/>
      </c>
      <c r="L1572" t="n">
        <v>-1028</v>
      </c>
    </row>
    <row r="1573">
      <c r="A1573" s="64" t="n">
        <v>44880</v>
      </c>
      <c r="B1573" t="n">
        <v>-44749</v>
      </c>
      <c r="C1573" t="n">
        <v>9018</v>
      </c>
      <c r="D1573" t="n">
        <v>-12920</v>
      </c>
      <c r="E1573" t="n">
        <v>-16827</v>
      </c>
      <c r="F1573" t="n">
        <v>117154</v>
      </c>
      <c r="G1573" t="n">
        <v>-32834</v>
      </c>
      <c r="H1573" t="n">
        <v>-65842</v>
      </c>
      <c r="I1573" t="n">
        <v>67851</v>
      </c>
      <c r="J1573" t="n">
        <v>-6628</v>
      </c>
      <c r="K1573" t="n">
        <v/>
      </c>
      <c r="L1573" t="n">
        <v>-938</v>
      </c>
    </row>
    <row r="1574">
      <c r="A1574" s="64" t="n">
        <v>44887</v>
      </c>
      <c r="B1574" t="n">
        <v>-42786</v>
      </c>
      <c r="C1574" t="n">
        <v>8736</v>
      </c>
      <c r="D1574" t="n">
        <v>-11672</v>
      </c>
      <c r="E1574" t="n">
        <v>-14476</v>
      </c>
      <c r="F1574" t="n">
        <v>127908</v>
      </c>
      <c r="G1574" t="n">
        <v>-35942</v>
      </c>
      <c r="H1574" t="n">
        <v>-64850</v>
      </c>
      <c r="I1574" t="n">
        <v>63319</v>
      </c>
      <c r="J1574" t="n">
        <v>-4284</v>
      </c>
      <c r="K1574" t="n">
        <v/>
      </c>
      <c r="L1574" t="n">
        <v>-1122</v>
      </c>
    </row>
    <row r="1575">
      <c r="A1575" s="64" t="n">
        <v>44894</v>
      </c>
      <c r="B1575" t="n">
        <v>-44630</v>
      </c>
      <c r="C1575" t="n">
        <v>7637</v>
      </c>
      <c r="D1575" t="n">
        <v>-16116</v>
      </c>
      <c r="E1575" t="n">
        <v>-14247</v>
      </c>
      <c r="F1575" t="n">
        <v>126518</v>
      </c>
      <c r="G1575" t="n">
        <v>-36584</v>
      </c>
      <c r="H1575" t="n">
        <v>-67394</v>
      </c>
      <c r="I1575" t="n">
        <v>66086</v>
      </c>
      <c r="J1575" t="n">
        <v>-5054</v>
      </c>
      <c r="K1575" t="n">
        <v/>
      </c>
      <c r="L1575" t="n">
        <v>-1015</v>
      </c>
    </row>
    <row r="1576">
      <c r="A1576" s="64" t="n">
        <v>44901</v>
      </c>
      <c r="B1576" t="n">
        <v>-40563</v>
      </c>
      <c r="C1576" t="n">
        <v>2198</v>
      </c>
      <c r="D1576" t="n">
        <v>-22090</v>
      </c>
      <c r="E1576" t="n">
        <v>-12230</v>
      </c>
      <c r="F1576" t="n">
        <v>130473</v>
      </c>
      <c r="G1576" t="n">
        <v>-28193</v>
      </c>
      <c r="H1576" t="n">
        <v>-65996</v>
      </c>
      <c r="I1576" t="n">
        <v>47952</v>
      </c>
      <c r="J1576" t="n">
        <v>-6498</v>
      </c>
      <c r="K1576" t="n">
        <v/>
      </c>
      <c r="L1576" t="n">
        <v>-480</v>
      </c>
    </row>
    <row r="1577">
      <c r="A1577" s="64" t="n">
        <v>44908</v>
      </c>
      <c r="B1577" t="n">
        <v>-37837</v>
      </c>
      <c r="C1577" t="n">
        <v>3459</v>
      </c>
      <c r="D1577" t="n">
        <v>-27248</v>
      </c>
      <c r="E1577" t="n">
        <v>-11811</v>
      </c>
      <c r="F1577" t="n">
        <v>129786</v>
      </c>
      <c r="G1577" t="n">
        <v>-25739</v>
      </c>
      <c r="H1577" t="n">
        <v>-53188</v>
      </c>
      <c r="I1577" t="n">
        <v>44364</v>
      </c>
      <c r="J1577" t="n">
        <v>-7506</v>
      </c>
      <c r="K1577" t="n">
        <v/>
      </c>
      <c r="L1577" t="n">
        <v>1105</v>
      </c>
    </row>
    <row r="1578">
      <c r="A1578" s="64" t="n">
        <v>44915</v>
      </c>
      <c r="B1578" t="n">
        <v>-34115</v>
      </c>
      <c r="C1578" t="n">
        <v>2236</v>
      </c>
      <c r="D1578" t="n">
        <v>-26961</v>
      </c>
      <c r="E1578" t="n">
        <v>-4064</v>
      </c>
      <c r="F1578" t="n">
        <v>138829</v>
      </c>
      <c r="G1578" t="n">
        <v>-5603</v>
      </c>
      <c r="H1578" t="n">
        <v>-40881</v>
      </c>
      <c r="I1578" t="n">
        <v>-55096</v>
      </c>
      <c r="J1578" t="n">
        <v>6334</v>
      </c>
      <c r="K1578" t="n">
        <v/>
      </c>
      <c r="L1578" t="n">
        <v>1434</v>
      </c>
    </row>
    <row r="1579">
      <c r="A1579" s="64" t="n">
        <v>44922</v>
      </c>
      <c r="B1579" t="n">
        <v>-36791</v>
      </c>
      <c r="C1579" t="n">
        <v>7415</v>
      </c>
      <c r="D1579" t="n">
        <v>-30033</v>
      </c>
      <c r="E1579" t="n">
        <v>-4131</v>
      </c>
      <c r="F1579" t="n">
        <v>142405</v>
      </c>
      <c r="G1579" t="n">
        <v>-10887</v>
      </c>
      <c r="H1579" t="n">
        <v>-37730</v>
      </c>
      <c r="I1579" t="n">
        <v>-51726</v>
      </c>
      <c r="J1579" t="n">
        <v>6907</v>
      </c>
      <c r="K1579" t="n">
        <v/>
      </c>
      <c r="L1579" t="n">
        <v>1061</v>
      </c>
    </row>
    <row r="1580">
      <c r="A1580" s="64" t="n">
        <v>44929</v>
      </c>
      <c r="B1580" t="n">
        <v>-36267</v>
      </c>
      <c r="C1580" t="n">
        <v>28211</v>
      </c>
      <c r="D1580" t="n">
        <v>-26766</v>
      </c>
      <c r="E1580" t="n">
        <v>-2854</v>
      </c>
      <c r="F1580" t="n">
        <v>126751</v>
      </c>
      <c r="G1580" t="n">
        <v>-20301</v>
      </c>
      <c r="H1580" t="n">
        <v>-46864</v>
      </c>
      <c r="I1580" t="n">
        <v>-56376</v>
      </c>
      <c r="J1580" t="n">
        <v>7480</v>
      </c>
      <c r="K1580" t="n">
        <v/>
      </c>
      <c r="L1580" t="n">
        <v>762</v>
      </c>
    </row>
    <row r="1581">
      <c r="A1581" s="64" t="n">
        <v>44936</v>
      </c>
      <c r="B1581" t="n">
        <v>-33690</v>
      </c>
      <c r="C1581" t="n">
        <v>21701</v>
      </c>
      <c r="D1581" t="n">
        <v>-30955</v>
      </c>
      <c r="E1581" t="n">
        <v>-7370</v>
      </c>
      <c r="F1581" t="n">
        <v>131884</v>
      </c>
      <c r="G1581" t="n">
        <v>-29456</v>
      </c>
      <c r="H1581" t="n">
        <v>-35377</v>
      </c>
      <c r="I1581" t="n">
        <v>-53381</v>
      </c>
      <c r="J1581" t="n">
        <v>7350</v>
      </c>
      <c r="K1581" t="n">
        <v/>
      </c>
      <c r="L1581" t="n">
        <v>2191</v>
      </c>
    </row>
  </sheetData>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C1:I17"/>
  <sheetViews>
    <sheetView zoomScale="150" zoomScaleNormal="150" workbookViewId="0">
      <selection activeCell="M12" sqref="M12"/>
    </sheetView>
  </sheetViews>
  <sheetFormatPr baseColWidth="8" defaultColWidth="9.1796875" defaultRowHeight="14.5"/>
  <cols>
    <col width="9.1796875" customWidth="1" style="52" min="1" max="2"/>
    <col width="19.453125" customWidth="1" style="52" min="3" max="3"/>
    <col width="15.36328125" customWidth="1" style="52" min="4" max="9"/>
    <col width="9.1796875" customWidth="1" style="52" min="10" max="22"/>
    <col width="9.1796875" customWidth="1" style="52" min="23" max="16384"/>
  </cols>
  <sheetData>
    <row r="1" ht="16" customHeight="1" thickBot="1">
      <c r="C1" s="24" t="inlineStr">
        <is>
          <t>Date</t>
        </is>
      </c>
      <c r="D1" s="43" t="n">
        <v>44936</v>
      </c>
    </row>
    <row r="2">
      <c r="C2" s="46" t="n"/>
      <c r="D2" s="47" t="n"/>
    </row>
    <row r="4" ht="16" customHeight="1" thickBot="1"/>
    <row r="5" ht="17" customHeight="1" thickBot="1">
      <c r="C5" s="7" t="n"/>
      <c r="D5" s="10" t="inlineStr">
        <is>
          <t>Last</t>
        </is>
      </c>
      <c r="E5" s="11" t="inlineStr">
        <is>
          <t>Last -1</t>
        </is>
      </c>
      <c r="F5" s="12" t="inlineStr">
        <is>
          <t>Weekly Change</t>
        </is>
      </c>
      <c r="G5" s="13" t="inlineStr">
        <is>
          <t>1 Year Low</t>
        </is>
      </c>
      <c r="H5" s="14" t="inlineStr">
        <is>
          <t>1 Year High</t>
        </is>
      </c>
      <c r="I5" s="15" t="inlineStr">
        <is>
          <t>Percentile</t>
        </is>
      </c>
    </row>
    <row r="6">
      <c r="C6" s="16" t="inlineStr">
        <is>
          <t>Currencies</t>
        </is>
      </c>
      <c r="D6" s="36" t="n"/>
      <c r="E6" s="2" t="n"/>
      <c r="F6" s="37" t="n"/>
      <c r="G6" s="3" t="n"/>
      <c r="H6" s="2" t="n"/>
      <c r="I6" s="4" t="n"/>
    </row>
    <row r="7" ht="28.5" customHeight="1">
      <c r="C7" s="8" t="inlineStr">
        <is>
          <t>EUR</t>
        </is>
      </c>
      <c r="D7" s="38">
        <f>VLOOKUP($D$1,Database!$A:$V,MATCH(C7,Database!$A$1:$V$1,),)</f>
        <v/>
      </c>
      <c r="E7" s="48">
        <f>VLOOKUP(OFFSET(Database!$A$1,MATCH($D$1,Database!$A:$A)-2,0),Database!$A:$V,MATCH(C7,Database!$A$1:$V$1,),)</f>
        <v/>
      </c>
      <c r="F7" s="44">
        <f>D7-E7</f>
        <v/>
      </c>
      <c r="G7" s="38">
        <f>MIN(OFFSET(Database!$A$1,MATCH($D$1,Database!$A:$A)-1,MATCH(C7,Database!$A$1:$V$1)-1,-12))</f>
        <v/>
      </c>
      <c r="H7" s="48">
        <f>MAX(OFFSET(Database!$A$1,MATCH($D$1,Database!$A:$A)-1,MATCH(C7,Database!$A$1:$V$1)-1,-12))</f>
        <v/>
      </c>
      <c r="I7" s="5">
        <f>(ABS(D7-G7))/(H7-G7)</f>
        <v/>
      </c>
    </row>
    <row r="8" ht="28.5" customHeight="1">
      <c r="C8" s="8" t="inlineStr">
        <is>
          <t>CAD</t>
        </is>
      </c>
      <c r="D8" s="38">
        <f>VLOOKUP($D$1,Database!$A:$V,MATCH(C8,Database!$A$1:$V$1,),)</f>
        <v/>
      </c>
      <c r="E8" s="48">
        <f>VLOOKUP(OFFSET(Database!$A$1,MATCH($D$1,Database!$A:$A)-2,0),Database!$A:$V,MATCH(C8,Database!$A$1:$V$1,),)</f>
        <v/>
      </c>
      <c r="F8" s="44">
        <f>D8-E8</f>
        <v/>
      </c>
      <c r="G8" s="38">
        <f>MIN(OFFSET(Database!$A$1,MATCH($D$1,Database!$A:$A)-1,MATCH(C8,Database!$A$1:$V$1)-1,-12))</f>
        <v/>
      </c>
      <c r="H8" s="48">
        <f>MAX(OFFSET(Database!$A$1,MATCH($D$1,Database!$A:$A)-1,MATCH(C8,Database!$A$1:$V$1)-1,-12))</f>
        <v/>
      </c>
      <c r="I8" s="5">
        <f>(ABS(D8-G8))/(H8-G8)</f>
        <v/>
      </c>
    </row>
    <row r="9" ht="28.5" customHeight="1">
      <c r="C9" s="8" t="inlineStr">
        <is>
          <t>MEX</t>
        </is>
      </c>
      <c r="D9" s="38">
        <f>VLOOKUP($D$1,Database!$A:$V,MATCH(C9,Database!$A$1:$V$1,),)</f>
        <v/>
      </c>
      <c r="E9" s="48">
        <f>VLOOKUP(OFFSET(Database!$A$1,MATCH($D$1,Database!$A:$A)-2,0),Database!$A:$V,MATCH(C9,Database!$A$1:$V$1,),)</f>
        <v/>
      </c>
      <c r="F9" s="44">
        <f>D9-E9</f>
        <v/>
      </c>
      <c r="G9" s="38">
        <f>MIN(OFFSET(Database!$A$1,MATCH($D$1,Database!$A:$A)-1,MATCH(C9,Database!$A$1:$V$1)-1,-12))</f>
        <v/>
      </c>
      <c r="H9" s="48">
        <f>MAX(OFFSET(Database!$A$1,MATCH($D$1,Database!$A:$A)-1,MATCH(C9,Database!$A$1:$V$1)-1,-12))</f>
        <v/>
      </c>
      <c r="I9" s="5">
        <f>(ABS(D9-G9))/(H9-G9)</f>
        <v/>
      </c>
    </row>
    <row r="10" ht="28.5" customHeight="1">
      <c r="C10" s="8" t="inlineStr">
        <is>
          <t>JPY</t>
        </is>
      </c>
      <c r="D10" s="38">
        <f>VLOOKUP($D$1,Database!$A:$V,MATCH(C10,Database!$A$1:$V$1,),)</f>
        <v/>
      </c>
      <c r="E10" s="48">
        <f>VLOOKUP(OFFSET(Database!$A$1,MATCH($D$1,Database!$A:$A)-2,0),Database!$A:$V,MATCH(C10,Database!$A$1:$V$1,),)</f>
        <v/>
      </c>
      <c r="F10" s="44">
        <f>D10-E10</f>
        <v/>
      </c>
      <c r="G10" s="38">
        <f>MIN(OFFSET(Database!$A$1,MATCH($D$1,Database!$A:$A)-1,MATCH(C10,Database!$A$1:$V$1)-1,-12))</f>
        <v/>
      </c>
      <c r="H10" s="48">
        <f>MAX(OFFSET(Database!$A$1,MATCH($D$1,Database!$A:$A)-1,MATCH(C10,Database!$A$1:$V$1)-1,-12))</f>
        <v/>
      </c>
      <c r="I10" s="5">
        <f>(ABS(D10-G10))/(H10-G10)</f>
        <v/>
      </c>
    </row>
    <row r="11" ht="28.5" customHeight="1">
      <c r="C11" s="8" t="inlineStr">
        <is>
          <t>NZD</t>
        </is>
      </c>
      <c r="D11" s="38">
        <f>VLOOKUP($D$1,Database!$A:$V,MATCH(C11,Database!$A$1:$V$1,),)</f>
        <v/>
      </c>
      <c r="E11" s="48">
        <f>VLOOKUP(OFFSET(Database!$A$1,MATCH($D$1,Database!$A:$A)-2,0),Database!$A:$V,MATCH(C11,Database!$A$1:$V$1,),)</f>
        <v/>
      </c>
      <c r="F11" s="44">
        <f>D11-E11</f>
        <v/>
      </c>
      <c r="G11" s="38">
        <f>MIN(OFFSET(Database!$A$1,MATCH($D$1,Database!$A:$A)-1,MATCH(C11,Database!$A$1:$V$1)-1,-12))</f>
        <v/>
      </c>
      <c r="H11" s="48">
        <f>MAX(OFFSET(Database!$A$1,MATCH($D$1,Database!$A:$A)-1,MATCH(C11,Database!$A$1:$V$1)-1,-12))</f>
        <v/>
      </c>
      <c r="I11" s="5">
        <f>(ABS(D11-G11))/(H11-G11)</f>
        <v/>
      </c>
    </row>
    <row r="12" ht="28.5" customHeight="1">
      <c r="C12" s="8" t="inlineStr">
        <is>
          <t>ZAR</t>
        </is>
      </c>
      <c r="D12" s="38">
        <f>VLOOKUP($D$1,Database!$A:$V,MATCH(C12,Database!$A$1:$V$1,),)</f>
        <v/>
      </c>
      <c r="E12" s="48">
        <f>VLOOKUP(OFFSET(Database!$A$1,MATCH($D$1,Database!$A:$A)-2,0),Database!$A:$V,MATCH(C12,Database!$A$1:$V$1,),)</f>
        <v/>
      </c>
      <c r="F12" s="44">
        <f>D12-E12</f>
        <v/>
      </c>
      <c r="G12" s="38">
        <f>MIN(OFFSET(Database!$A$1,MATCH($D$1,Database!$A:$A)-1,MATCH(C12,Database!$A$1:$V$1)-1,-12))</f>
        <v/>
      </c>
      <c r="H12" s="48">
        <f>MAX(OFFSET(Database!$A$1,MATCH($D$1,Database!$A:$A)-1,MATCH(C12,Database!$A$1:$V$1)-1,-12))</f>
        <v/>
      </c>
      <c r="I12" s="5">
        <f>(ABS(D12-G12))/(H12-G12)</f>
        <v/>
      </c>
    </row>
    <row r="13" ht="28.5" customHeight="1">
      <c r="C13" s="8" t="inlineStr">
        <is>
          <t>AUD</t>
        </is>
      </c>
      <c r="D13" s="38">
        <f>VLOOKUP($D$1,Database!$A:$V,MATCH(C13,Database!$A$1:$V$1,),)</f>
        <v/>
      </c>
      <c r="E13" s="48">
        <f>VLOOKUP(OFFSET(Database!$A$1,MATCH($D$1,Database!$A:$A)-2,0),Database!$A:$V,MATCH(C13,Database!$A$1:$V$1,),)</f>
        <v/>
      </c>
      <c r="F13" s="44">
        <f>D13-E13</f>
        <v/>
      </c>
      <c r="G13" s="38">
        <f>MIN(OFFSET(Database!$A$1,MATCH($D$1,Database!$A:$A)-1,MATCH(C13,Database!$A$1:$V$1)-1,-12))</f>
        <v/>
      </c>
      <c r="H13" s="48">
        <f>MAX(OFFSET(Database!$A$1,MATCH($D$1,Database!$A:$A)-1,MATCH(C13,Database!$A$1:$V$1)-1,-12))</f>
        <v/>
      </c>
      <c r="I13" s="5">
        <f>(ABS(D13-G13))/(H13-G13)</f>
        <v/>
      </c>
    </row>
    <row r="14" ht="28.5" customHeight="1">
      <c r="C14" s="8" t="inlineStr">
        <is>
          <t>CHF</t>
        </is>
      </c>
      <c r="D14" s="38">
        <f>VLOOKUP($D$1,Database!$A:$V,MATCH(C14,Database!$A$1:$V$1,),)</f>
        <v/>
      </c>
      <c r="E14" s="48">
        <f>VLOOKUP(OFFSET(Database!$A$1,MATCH($D$1,Database!$A:$A)-2,0),Database!$A:$V,MATCH(C14,Database!$A$1:$V$1,),)</f>
        <v/>
      </c>
      <c r="F14" s="44">
        <f>D14-E14</f>
        <v/>
      </c>
      <c r="G14" s="38">
        <f>MIN(OFFSET(Database!$A$1,MATCH($D$1,Database!$A:$A)-1,MATCH(C14,Database!$A$1:$V$1)-1,-12))</f>
        <v/>
      </c>
      <c r="H14" s="48">
        <f>MAX(OFFSET(Database!$A$1,MATCH($D$1,Database!$A:$A)-1,MATCH(C14,Database!$A$1:$V$1)-1,-12))</f>
        <v/>
      </c>
      <c r="I14" s="5">
        <f>(ABS(D14-G14))/(H14-G14)</f>
        <v/>
      </c>
    </row>
    <row r="15" ht="28.5" customHeight="1">
      <c r="C15" s="8" t="inlineStr">
        <is>
          <t>RUB</t>
        </is>
      </c>
      <c r="D15" s="38">
        <f>VLOOKUP($D$1,Database!$A:$V,MATCH(C15,Database!$A$1:$V$1,),)</f>
        <v/>
      </c>
      <c r="E15" s="48">
        <f>VLOOKUP(OFFSET(Database!$A$1,MATCH($D$1,Database!$A:$A)-2,0),Database!$A:$V,MATCH(C15,Database!$A$1:$V$1,),)</f>
        <v/>
      </c>
      <c r="F15" s="44">
        <f>D15-E15</f>
        <v/>
      </c>
      <c r="G15" s="38">
        <f>MIN(OFFSET(Database!$A$1,MATCH($D$1,Database!$A:$A)-1,MATCH(C15,Database!$A$1:$V$1)-1,-12))</f>
        <v/>
      </c>
      <c r="H15" s="48">
        <f>MAX(OFFSET(Database!$A$1,MATCH($D$1,Database!$A:$A)-1,MATCH(C15,Database!$A$1:$V$1)-1,-12))</f>
        <v/>
      </c>
      <c r="I15" s="5">
        <f>(ABS(D15-G15))/(H15-G15)</f>
        <v/>
      </c>
    </row>
    <row r="16" ht="28.5" customHeight="1">
      <c r="C16" s="8" t="inlineStr">
        <is>
          <t>BRL</t>
        </is>
      </c>
      <c r="D16" s="38">
        <f>VLOOKUP($D$1,Database!$A:$V,MATCH(C16,Database!$A$1:$V$1,),)</f>
        <v/>
      </c>
      <c r="E16" s="48">
        <f>VLOOKUP(OFFSET(Database!$A$1,MATCH($D$1,Database!$A:$A)-2,0),Database!$A:$V,MATCH(C16,Database!$A$1:$V$1,),)</f>
        <v/>
      </c>
      <c r="F16" s="44">
        <f>D16-E16</f>
        <v/>
      </c>
      <c r="G16" s="38">
        <f>MIN(OFFSET(Database!$A$1,MATCH($D$1,Database!$A:$A)-1,MATCH(C16,Database!$A$1:$V$1)-1,-12))</f>
        <v/>
      </c>
      <c r="H16" s="48">
        <f>MAX(OFFSET(Database!$A$1,MATCH($D$1,Database!$A:$A)-1,MATCH(C16,Database!$A$1:$V$1)-1,-12))</f>
        <v/>
      </c>
      <c r="I16" s="5">
        <f>(ABS(D16-G16))/(H16-G16)</f>
        <v/>
      </c>
    </row>
    <row r="17" ht="28.5" customHeight="1" thickBot="1">
      <c r="C17" s="9" t="inlineStr">
        <is>
          <t>GBP</t>
        </is>
      </c>
      <c r="D17" s="39">
        <f>VLOOKUP($D$1,Database!$A:$V,MATCH(C17,Database!$A$1:$V$1,),)</f>
        <v/>
      </c>
      <c r="E17" s="40">
        <f>VLOOKUP(OFFSET(Database!$A$1,MATCH($D$1,Database!$A:$A)-2,0),Database!$A:$V,MATCH(C17,Database!$A$1:$V$1,),)</f>
        <v/>
      </c>
      <c r="F17" s="45">
        <f>D17-E17</f>
        <v/>
      </c>
      <c r="G17" s="39">
        <f>MIN(OFFSET(Database!$A$1,MATCH($D$1,Database!$A:$A)-1,MATCH(C17,Database!$A$1:$V$1)-1,-12))</f>
        <v/>
      </c>
      <c r="H17" s="40">
        <f>MAX(OFFSET(Database!$A$1,MATCH($D$1,Database!$A:$A)-1,MATCH(C17,Database!$A$1:$V$1)-1,-12))</f>
        <v/>
      </c>
      <c r="I17" s="6">
        <f>(ABS(D17-G17))/(H17-G17)</f>
        <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H1260"/>
  <sheetViews>
    <sheetView zoomScale="120" zoomScaleNormal="120" workbookViewId="0">
      <pane ySplit="6" topLeftCell="A1240" activePane="bottomLeft" state="frozen"/>
      <selection activeCell="L9" sqref="L9"/>
      <selection pane="bottomLeft" activeCell="AC1253" sqref="AC1253"/>
    </sheetView>
  </sheetViews>
  <sheetFormatPr baseColWidth="8" defaultColWidth="9.1796875" defaultRowHeight="14.5"/>
  <cols>
    <col width="13.36328125" customWidth="1" style="7" min="1" max="1"/>
    <col width="20.81640625" customWidth="1" style="7" min="2" max="2"/>
    <col width="9.1796875" customWidth="1" style="52" min="3" max="15"/>
    <col width="9.1796875" customWidth="1" style="52" min="16" max="16384"/>
  </cols>
  <sheetData>
    <row r="1" ht="16" customHeight="1" thickBot="1">
      <c r="A1" s="24" t="inlineStr">
        <is>
          <t>Currency</t>
        </is>
      </c>
      <c r="B1" s="23" t="inlineStr">
        <is>
          <t>JPY</t>
        </is>
      </c>
      <c r="H1" s="22" t="inlineStr">
        <is>
          <t>* Currency Code to Modify</t>
        </is>
      </c>
    </row>
    <row r="2">
      <c r="B2" s="46">
        <f>"COT Non-Commercial Net - "&amp;B1</f>
        <v/>
      </c>
      <c r="H2" s="22" t="inlineStr">
        <is>
          <t>Example: EUR for Euro, JPY for Japanse Yen</t>
        </is>
      </c>
    </row>
    <row r="5" ht="16" customHeight="1" thickBot="1"/>
    <row r="6" ht="17" customHeight="1" thickBot="1">
      <c r="A6" s="20" t="inlineStr">
        <is>
          <t>Date</t>
        </is>
      </c>
      <c r="B6" s="21" t="inlineStr">
        <is>
          <t xml:space="preserve">COT Non-Commercial Net </t>
        </is>
      </c>
    </row>
    <row r="7">
      <c r="A7" s="19">
        <f>Database!A328</f>
        <v/>
      </c>
      <c r="B7" s="48">
        <f>VLOOKUP(A7,Database!$A:$V,MATCH(Currency!$B$1,Database!$A$1:$V$1,),)</f>
        <v/>
      </c>
    </row>
    <row r="8">
      <c r="A8" s="19">
        <f>Database!A329</f>
        <v/>
      </c>
      <c r="B8" s="48">
        <f>VLOOKUP(A8,Database!$A:$V,MATCH(Currency!$B$1,Database!$A$1:$V$1,),)</f>
        <v/>
      </c>
    </row>
    <row r="9">
      <c r="A9" s="19">
        <f>Database!A330</f>
        <v/>
      </c>
      <c r="B9" s="48">
        <f>VLOOKUP(A9,Database!$A:$V,MATCH(Currency!$B$1,Database!$A$1:$V$1,),)</f>
        <v/>
      </c>
    </row>
    <row r="10">
      <c r="A10" s="19">
        <f>Database!A331</f>
        <v/>
      </c>
      <c r="B10" s="48">
        <f>VLOOKUP(A10,Database!$A:$V,MATCH(Currency!$B$1,Database!$A$1:$V$1,),)</f>
        <v/>
      </c>
    </row>
    <row r="11">
      <c r="A11" s="19">
        <f>Database!A332</f>
        <v/>
      </c>
      <c r="B11" s="48">
        <f>VLOOKUP(A11,Database!$A:$V,MATCH(Currency!$B$1,Database!$A$1:$V$1,),)</f>
        <v/>
      </c>
    </row>
    <row r="12">
      <c r="A12" s="19">
        <f>Database!A333</f>
        <v/>
      </c>
      <c r="B12" s="48">
        <f>VLOOKUP(A12,Database!$A:$V,MATCH(Currency!$B$1,Database!$A$1:$V$1,),)</f>
        <v/>
      </c>
    </row>
    <row r="13">
      <c r="A13" s="19">
        <f>Database!A334</f>
        <v/>
      </c>
      <c r="B13" s="48">
        <f>VLOOKUP(A13,Database!$A:$V,MATCH(Currency!$B$1,Database!$A$1:$V$1,),)</f>
        <v/>
      </c>
    </row>
    <row r="14">
      <c r="A14" s="19">
        <f>Database!A335</f>
        <v/>
      </c>
      <c r="B14" s="48">
        <f>VLOOKUP(A14,Database!$A:$V,MATCH(Currency!$B$1,Database!$A$1:$V$1,),)</f>
        <v/>
      </c>
    </row>
    <row r="15">
      <c r="A15" s="19">
        <f>Database!A336</f>
        <v/>
      </c>
      <c r="B15" s="48">
        <f>VLOOKUP(A15,Database!$A:$V,MATCH(Currency!$B$1,Database!$A$1:$V$1,),)</f>
        <v/>
      </c>
    </row>
    <row r="16">
      <c r="A16" s="19">
        <f>Database!A337</f>
        <v/>
      </c>
      <c r="B16" s="48">
        <f>VLOOKUP(A16,Database!$A:$V,MATCH(Currency!$B$1,Database!$A$1:$V$1,),)</f>
        <v/>
      </c>
    </row>
    <row r="17">
      <c r="A17" s="19">
        <f>Database!A338</f>
        <v/>
      </c>
      <c r="B17" s="48">
        <f>VLOOKUP(A17,Database!$A:$V,MATCH(Currency!$B$1,Database!$A$1:$V$1,),)</f>
        <v/>
      </c>
    </row>
    <row r="18">
      <c r="A18" s="19">
        <f>Database!A339</f>
        <v/>
      </c>
      <c r="B18" s="48">
        <f>VLOOKUP(A18,Database!$A:$V,MATCH(Currency!$B$1,Database!$A$1:$V$1,),)</f>
        <v/>
      </c>
    </row>
    <row r="19">
      <c r="A19" s="19">
        <f>Database!A340</f>
        <v/>
      </c>
      <c r="B19" s="48">
        <f>VLOOKUP(A19,Database!$A:$V,MATCH(Currency!$B$1,Database!$A$1:$V$1,),)</f>
        <v/>
      </c>
    </row>
    <row r="20">
      <c r="A20" s="19">
        <f>Database!A341</f>
        <v/>
      </c>
      <c r="B20" s="48">
        <f>VLOOKUP(A20,Database!$A:$V,MATCH(Currency!$B$1,Database!$A$1:$V$1,),)</f>
        <v/>
      </c>
    </row>
    <row r="21">
      <c r="A21" s="19">
        <f>Database!A342</f>
        <v/>
      </c>
      <c r="B21" s="48">
        <f>VLOOKUP(A21,Database!$A:$V,MATCH(Currency!$B$1,Database!$A$1:$V$1,),)</f>
        <v/>
      </c>
    </row>
    <row r="22">
      <c r="A22" s="19">
        <f>Database!A343</f>
        <v/>
      </c>
      <c r="B22" s="48">
        <f>VLOOKUP(A22,Database!$A:$V,MATCH(Currency!$B$1,Database!$A$1:$V$1,),)</f>
        <v/>
      </c>
    </row>
    <row r="23">
      <c r="A23" s="19">
        <f>Database!A344</f>
        <v/>
      </c>
      <c r="B23" s="48">
        <f>VLOOKUP(A23,Database!$A:$V,MATCH(Currency!$B$1,Database!$A$1:$V$1,),)</f>
        <v/>
      </c>
    </row>
    <row r="24">
      <c r="A24" s="19">
        <f>Database!A345</f>
        <v/>
      </c>
      <c r="B24" s="48">
        <f>VLOOKUP(A24,Database!$A:$V,MATCH(Currency!$B$1,Database!$A$1:$V$1,),)</f>
        <v/>
      </c>
    </row>
    <row r="25">
      <c r="A25" s="19">
        <f>Database!A346</f>
        <v/>
      </c>
      <c r="B25" s="48">
        <f>VLOOKUP(A25,Database!$A:$V,MATCH(Currency!$B$1,Database!$A$1:$V$1,),)</f>
        <v/>
      </c>
    </row>
    <row r="26">
      <c r="A26" s="19">
        <f>Database!A347</f>
        <v/>
      </c>
      <c r="B26" s="48">
        <f>VLOOKUP(A26,Database!$A:$V,MATCH(Currency!$B$1,Database!$A$1:$V$1,),)</f>
        <v/>
      </c>
    </row>
    <row r="27">
      <c r="A27" s="19">
        <f>Database!A348</f>
        <v/>
      </c>
      <c r="B27" s="48">
        <f>VLOOKUP(A27,Database!$A:$V,MATCH(Currency!$B$1,Database!$A$1:$V$1,),)</f>
        <v/>
      </c>
    </row>
    <row r="28">
      <c r="A28" s="19">
        <f>Database!A349</f>
        <v/>
      </c>
      <c r="B28" s="48">
        <f>VLOOKUP(A28,Database!$A:$V,MATCH(Currency!$B$1,Database!$A$1:$V$1,),)</f>
        <v/>
      </c>
    </row>
    <row r="29">
      <c r="A29" s="19">
        <f>Database!A350</f>
        <v/>
      </c>
      <c r="B29" s="48">
        <f>VLOOKUP(A29,Database!$A:$V,MATCH(Currency!$B$1,Database!$A$1:$V$1,),)</f>
        <v/>
      </c>
    </row>
    <row r="30">
      <c r="A30" s="19">
        <f>Database!A351</f>
        <v/>
      </c>
      <c r="B30" s="48">
        <f>VLOOKUP(A30,Database!$A:$V,MATCH(Currency!$B$1,Database!$A$1:$V$1,),)</f>
        <v/>
      </c>
    </row>
    <row r="31">
      <c r="A31" s="19">
        <f>Database!A352</f>
        <v/>
      </c>
      <c r="B31" s="48">
        <f>VLOOKUP(A31,Database!$A:$V,MATCH(Currency!$B$1,Database!$A$1:$V$1,),)</f>
        <v/>
      </c>
    </row>
    <row r="32">
      <c r="A32" s="19">
        <f>Database!A353</f>
        <v/>
      </c>
      <c r="B32" s="48">
        <f>VLOOKUP(A32,Database!$A:$V,MATCH(Currency!$B$1,Database!$A$1:$V$1,),)</f>
        <v/>
      </c>
    </row>
    <row r="33">
      <c r="A33" s="19">
        <f>Database!A354</f>
        <v/>
      </c>
      <c r="B33" s="48">
        <f>VLOOKUP(A33,Database!$A:$V,MATCH(Currency!$B$1,Database!$A$1:$V$1,),)</f>
        <v/>
      </c>
    </row>
    <row r="34">
      <c r="A34" s="19">
        <f>Database!A355</f>
        <v/>
      </c>
      <c r="B34" s="48">
        <f>VLOOKUP(A34,Database!$A:$V,MATCH(Currency!$B$1,Database!$A$1:$V$1,),)</f>
        <v/>
      </c>
    </row>
    <row r="35">
      <c r="A35" s="19">
        <f>Database!A356</f>
        <v/>
      </c>
      <c r="B35" s="48">
        <f>VLOOKUP(A35,Database!$A:$V,MATCH(Currency!$B$1,Database!$A$1:$V$1,),)</f>
        <v/>
      </c>
    </row>
    <row r="36">
      <c r="A36" s="19">
        <f>Database!A357</f>
        <v/>
      </c>
      <c r="B36" s="48">
        <f>VLOOKUP(A36,Database!$A:$V,MATCH(Currency!$B$1,Database!$A$1:$V$1,),)</f>
        <v/>
      </c>
    </row>
    <row r="37">
      <c r="A37" s="19">
        <f>Database!A358</f>
        <v/>
      </c>
      <c r="B37" s="48">
        <f>VLOOKUP(A37,Database!$A:$V,MATCH(Currency!$B$1,Database!$A$1:$V$1,),)</f>
        <v/>
      </c>
    </row>
    <row r="38">
      <c r="A38" s="19">
        <f>Database!A359</f>
        <v/>
      </c>
      <c r="B38" s="48">
        <f>VLOOKUP(A38,Database!$A:$V,MATCH(Currency!$B$1,Database!$A$1:$V$1,),)</f>
        <v/>
      </c>
    </row>
    <row r="39">
      <c r="A39" s="19">
        <f>Database!A360</f>
        <v/>
      </c>
      <c r="B39" s="48">
        <f>VLOOKUP(A39,Database!$A:$V,MATCH(Currency!$B$1,Database!$A$1:$V$1,),)</f>
        <v/>
      </c>
    </row>
    <row r="40">
      <c r="A40" s="19">
        <f>Database!A361</f>
        <v/>
      </c>
      <c r="B40" s="48">
        <f>VLOOKUP(A40,Database!$A:$V,MATCH(Currency!$B$1,Database!$A$1:$V$1,),)</f>
        <v/>
      </c>
    </row>
    <row r="41">
      <c r="A41" s="19">
        <f>Database!A362</f>
        <v/>
      </c>
      <c r="B41" s="48">
        <f>VLOOKUP(A41,Database!$A:$V,MATCH(Currency!$B$1,Database!$A$1:$V$1,),)</f>
        <v/>
      </c>
    </row>
    <row r="42">
      <c r="A42" s="19">
        <f>Database!A363</f>
        <v/>
      </c>
      <c r="B42" s="48">
        <f>VLOOKUP(A42,Database!$A:$V,MATCH(Currency!$B$1,Database!$A$1:$V$1,),)</f>
        <v/>
      </c>
    </row>
    <row r="43">
      <c r="A43" s="19">
        <f>Database!A364</f>
        <v/>
      </c>
      <c r="B43" s="48">
        <f>VLOOKUP(A43,Database!$A:$V,MATCH(Currency!$B$1,Database!$A$1:$V$1,),)</f>
        <v/>
      </c>
    </row>
    <row r="44">
      <c r="A44" s="19">
        <f>Database!A365</f>
        <v/>
      </c>
      <c r="B44" s="48">
        <f>VLOOKUP(A44,Database!$A:$V,MATCH(Currency!$B$1,Database!$A$1:$V$1,),)</f>
        <v/>
      </c>
    </row>
    <row r="45">
      <c r="A45" s="19">
        <f>Database!A366</f>
        <v/>
      </c>
      <c r="B45" s="48">
        <f>VLOOKUP(A45,Database!$A:$V,MATCH(Currency!$B$1,Database!$A$1:$V$1,),)</f>
        <v/>
      </c>
    </row>
    <row r="46">
      <c r="A46" s="19">
        <f>Database!A367</f>
        <v/>
      </c>
      <c r="B46" s="48">
        <f>VLOOKUP(A46,Database!$A:$V,MATCH(Currency!$B$1,Database!$A$1:$V$1,),)</f>
        <v/>
      </c>
    </row>
    <row r="47">
      <c r="A47" s="19">
        <f>Database!A368</f>
        <v/>
      </c>
      <c r="B47" s="48">
        <f>VLOOKUP(A47,Database!$A:$V,MATCH(Currency!$B$1,Database!$A$1:$V$1,),)</f>
        <v/>
      </c>
    </row>
    <row r="48">
      <c r="A48" s="19">
        <f>Database!A369</f>
        <v/>
      </c>
      <c r="B48" s="48">
        <f>VLOOKUP(A48,Database!$A:$V,MATCH(Currency!$B$1,Database!$A$1:$V$1,),)</f>
        <v/>
      </c>
    </row>
    <row r="49">
      <c r="A49" s="19">
        <f>Database!A370</f>
        <v/>
      </c>
      <c r="B49" s="48">
        <f>VLOOKUP(A49,Database!$A:$V,MATCH(Currency!$B$1,Database!$A$1:$V$1,),)</f>
        <v/>
      </c>
    </row>
    <row r="50">
      <c r="A50" s="19">
        <f>Database!A371</f>
        <v/>
      </c>
      <c r="B50" s="48">
        <f>VLOOKUP(A50,Database!$A:$V,MATCH(Currency!$B$1,Database!$A$1:$V$1,),)</f>
        <v/>
      </c>
    </row>
    <row r="51">
      <c r="A51" s="19">
        <f>Database!A372</f>
        <v/>
      </c>
      <c r="B51" s="48">
        <f>VLOOKUP(A51,Database!$A:$V,MATCH(Currency!$B$1,Database!$A$1:$V$1,),)</f>
        <v/>
      </c>
    </row>
    <row r="52">
      <c r="A52" s="19">
        <f>Database!A373</f>
        <v/>
      </c>
      <c r="B52" s="48">
        <f>VLOOKUP(A52,Database!$A:$V,MATCH(Currency!$B$1,Database!$A$1:$V$1,),)</f>
        <v/>
      </c>
    </row>
    <row r="53">
      <c r="A53" s="19">
        <f>Database!A374</f>
        <v/>
      </c>
      <c r="B53" s="48">
        <f>VLOOKUP(A53,Database!$A:$V,MATCH(Currency!$B$1,Database!$A$1:$V$1,),)</f>
        <v/>
      </c>
    </row>
    <row r="54">
      <c r="A54" s="19">
        <f>Database!A375</f>
        <v/>
      </c>
      <c r="B54" s="48">
        <f>VLOOKUP(A54,Database!$A:$V,MATCH(Currency!$B$1,Database!$A$1:$V$1,),)</f>
        <v/>
      </c>
    </row>
    <row r="55">
      <c r="A55" s="19">
        <f>Database!A376</f>
        <v/>
      </c>
      <c r="B55" s="48">
        <f>VLOOKUP(A55,Database!$A:$V,MATCH(Currency!$B$1,Database!$A$1:$V$1,),)</f>
        <v/>
      </c>
    </row>
    <row r="56">
      <c r="A56" s="19">
        <f>Database!A377</f>
        <v/>
      </c>
      <c r="B56" s="48">
        <f>VLOOKUP(A56,Database!$A:$V,MATCH(Currency!$B$1,Database!$A$1:$V$1,),)</f>
        <v/>
      </c>
    </row>
    <row r="57">
      <c r="A57" s="19">
        <f>Database!A378</f>
        <v/>
      </c>
      <c r="B57" s="48">
        <f>VLOOKUP(A57,Database!$A:$V,MATCH(Currency!$B$1,Database!$A$1:$V$1,),)</f>
        <v/>
      </c>
    </row>
    <row r="58">
      <c r="A58" s="19">
        <f>Database!A379</f>
        <v/>
      </c>
      <c r="B58" s="48">
        <f>VLOOKUP(A58,Database!$A:$V,MATCH(Currency!$B$1,Database!$A$1:$V$1,),)</f>
        <v/>
      </c>
    </row>
    <row r="59">
      <c r="A59" s="19">
        <f>Database!A380</f>
        <v/>
      </c>
      <c r="B59" s="48">
        <f>VLOOKUP(A59,Database!$A:$V,MATCH(Currency!$B$1,Database!$A$1:$V$1,),)</f>
        <v/>
      </c>
    </row>
    <row r="60">
      <c r="A60" s="19">
        <f>Database!A381</f>
        <v/>
      </c>
      <c r="B60" s="48">
        <f>VLOOKUP(A60,Database!$A:$V,MATCH(Currency!$B$1,Database!$A$1:$V$1,),)</f>
        <v/>
      </c>
    </row>
    <row r="61">
      <c r="A61" s="19">
        <f>Database!A382</f>
        <v/>
      </c>
      <c r="B61" s="48">
        <f>VLOOKUP(A61,Database!$A:$V,MATCH(Currency!$B$1,Database!$A$1:$V$1,),)</f>
        <v/>
      </c>
    </row>
    <row r="62">
      <c r="A62" s="19">
        <f>Database!A383</f>
        <v/>
      </c>
      <c r="B62" s="48">
        <f>VLOOKUP(A62,Database!$A:$V,MATCH(Currency!$B$1,Database!$A$1:$V$1,),)</f>
        <v/>
      </c>
    </row>
    <row r="63">
      <c r="A63" s="19">
        <f>Database!A384</f>
        <v/>
      </c>
      <c r="B63" s="48">
        <f>VLOOKUP(A63,Database!$A:$V,MATCH(Currency!$B$1,Database!$A$1:$V$1,),)</f>
        <v/>
      </c>
    </row>
    <row r="64">
      <c r="A64" s="19">
        <f>Database!A385</f>
        <v/>
      </c>
      <c r="B64" s="48">
        <f>VLOOKUP(A64,Database!$A:$V,MATCH(Currency!$B$1,Database!$A$1:$V$1,),)</f>
        <v/>
      </c>
    </row>
    <row r="65">
      <c r="A65" s="19">
        <f>Database!A386</f>
        <v/>
      </c>
      <c r="B65" s="48">
        <f>VLOOKUP(A65,Database!$A:$V,MATCH(Currency!$B$1,Database!$A$1:$V$1,),)</f>
        <v/>
      </c>
    </row>
    <row r="66">
      <c r="A66" s="19">
        <f>Database!A387</f>
        <v/>
      </c>
      <c r="B66" s="48">
        <f>VLOOKUP(A66,Database!$A:$V,MATCH(Currency!$B$1,Database!$A$1:$V$1,),)</f>
        <v/>
      </c>
    </row>
    <row r="67">
      <c r="A67" s="19">
        <f>Database!A388</f>
        <v/>
      </c>
      <c r="B67" s="48">
        <f>VLOOKUP(A67,Database!$A:$V,MATCH(Currency!$B$1,Database!$A$1:$V$1,),)</f>
        <v/>
      </c>
    </row>
    <row r="68">
      <c r="A68" s="19">
        <f>Database!A389</f>
        <v/>
      </c>
      <c r="B68" s="48">
        <f>VLOOKUP(A68,Database!$A:$V,MATCH(Currency!$B$1,Database!$A$1:$V$1,),)</f>
        <v/>
      </c>
    </row>
    <row r="69">
      <c r="A69" s="19">
        <f>Database!A390</f>
        <v/>
      </c>
      <c r="B69" s="48">
        <f>VLOOKUP(A69,Database!$A:$V,MATCH(Currency!$B$1,Database!$A$1:$V$1,),)</f>
        <v/>
      </c>
    </row>
    <row r="70">
      <c r="A70" s="19">
        <f>Database!A391</f>
        <v/>
      </c>
      <c r="B70" s="48">
        <f>VLOOKUP(A70,Database!$A:$V,MATCH(Currency!$B$1,Database!$A$1:$V$1,),)</f>
        <v/>
      </c>
    </row>
    <row r="71">
      <c r="A71" s="19">
        <f>Database!A392</f>
        <v/>
      </c>
      <c r="B71" s="48">
        <f>VLOOKUP(A71,Database!$A:$V,MATCH(Currency!$B$1,Database!$A$1:$V$1,),)</f>
        <v/>
      </c>
    </row>
    <row r="72">
      <c r="A72" s="19">
        <f>Database!A393</f>
        <v/>
      </c>
      <c r="B72" s="48">
        <f>VLOOKUP(A72,Database!$A:$V,MATCH(Currency!$B$1,Database!$A$1:$V$1,),)</f>
        <v/>
      </c>
    </row>
    <row r="73">
      <c r="A73" s="19">
        <f>Database!A394</f>
        <v/>
      </c>
      <c r="B73" s="48">
        <f>VLOOKUP(A73,Database!$A:$V,MATCH(Currency!$B$1,Database!$A$1:$V$1,),)</f>
        <v/>
      </c>
    </row>
    <row r="74">
      <c r="A74" s="19">
        <f>Database!A395</f>
        <v/>
      </c>
      <c r="B74" s="48">
        <f>VLOOKUP(A74,Database!$A:$V,MATCH(Currency!$B$1,Database!$A$1:$V$1,),)</f>
        <v/>
      </c>
    </row>
    <row r="75">
      <c r="A75" s="19">
        <f>Database!A396</f>
        <v/>
      </c>
      <c r="B75" s="48">
        <f>VLOOKUP(A75,Database!$A:$V,MATCH(Currency!$B$1,Database!$A$1:$V$1,),)</f>
        <v/>
      </c>
    </row>
    <row r="76">
      <c r="A76" s="19">
        <f>Database!A397</f>
        <v/>
      </c>
      <c r="B76" s="48">
        <f>VLOOKUP(A76,Database!$A:$V,MATCH(Currency!$B$1,Database!$A$1:$V$1,),)</f>
        <v/>
      </c>
    </row>
    <row r="77">
      <c r="A77" s="19">
        <f>Database!A398</f>
        <v/>
      </c>
      <c r="B77" s="48">
        <f>VLOOKUP(A77,Database!$A:$V,MATCH(Currency!$B$1,Database!$A$1:$V$1,),)</f>
        <v/>
      </c>
    </row>
    <row r="78">
      <c r="A78" s="19">
        <f>Database!A399</f>
        <v/>
      </c>
      <c r="B78" s="48">
        <f>VLOOKUP(A78,Database!$A:$V,MATCH(Currency!$B$1,Database!$A$1:$V$1,),)</f>
        <v/>
      </c>
    </row>
    <row r="79">
      <c r="A79" s="19">
        <f>Database!A400</f>
        <v/>
      </c>
      <c r="B79" s="48">
        <f>VLOOKUP(A79,Database!$A:$V,MATCH(Currency!$B$1,Database!$A$1:$V$1,),)</f>
        <v/>
      </c>
    </row>
    <row r="80">
      <c r="A80" s="19">
        <f>Database!A401</f>
        <v/>
      </c>
      <c r="B80" s="48">
        <f>VLOOKUP(A80,Database!$A:$V,MATCH(Currency!$B$1,Database!$A$1:$V$1,),)</f>
        <v/>
      </c>
    </row>
    <row r="81">
      <c r="A81" s="19">
        <f>Database!A402</f>
        <v/>
      </c>
      <c r="B81" s="48">
        <f>VLOOKUP(A81,Database!$A:$V,MATCH(Currency!$B$1,Database!$A$1:$V$1,),)</f>
        <v/>
      </c>
    </row>
    <row r="82">
      <c r="A82" s="19">
        <f>Database!A403</f>
        <v/>
      </c>
      <c r="B82" s="48">
        <f>VLOOKUP(A82,Database!$A:$V,MATCH(Currency!$B$1,Database!$A$1:$V$1,),)</f>
        <v/>
      </c>
    </row>
    <row r="83">
      <c r="A83" s="19">
        <f>Database!A404</f>
        <v/>
      </c>
      <c r="B83" s="48">
        <f>VLOOKUP(A83,Database!$A:$V,MATCH(Currency!$B$1,Database!$A$1:$V$1,),)</f>
        <v/>
      </c>
    </row>
    <row r="84">
      <c r="A84" s="19">
        <f>Database!A405</f>
        <v/>
      </c>
      <c r="B84" s="48">
        <f>VLOOKUP(A84,Database!$A:$V,MATCH(Currency!$B$1,Database!$A$1:$V$1,),)</f>
        <v/>
      </c>
    </row>
    <row r="85">
      <c r="A85" s="19">
        <f>Database!A406</f>
        <v/>
      </c>
      <c r="B85" s="48">
        <f>VLOOKUP(A85,Database!$A:$V,MATCH(Currency!$B$1,Database!$A$1:$V$1,),)</f>
        <v/>
      </c>
    </row>
    <row r="86">
      <c r="A86" s="19">
        <f>Database!A407</f>
        <v/>
      </c>
      <c r="B86" s="48">
        <f>VLOOKUP(A86,Database!$A:$V,MATCH(Currency!$B$1,Database!$A$1:$V$1,),)</f>
        <v/>
      </c>
    </row>
    <row r="87">
      <c r="A87" s="19">
        <f>Database!A408</f>
        <v/>
      </c>
      <c r="B87" s="48">
        <f>VLOOKUP(A87,Database!$A:$V,MATCH(Currency!$B$1,Database!$A$1:$V$1,),)</f>
        <v/>
      </c>
    </row>
    <row r="88">
      <c r="A88" s="19">
        <f>Database!A409</f>
        <v/>
      </c>
      <c r="B88" s="48">
        <f>VLOOKUP(A88,Database!$A:$V,MATCH(Currency!$B$1,Database!$A$1:$V$1,),)</f>
        <v/>
      </c>
    </row>
    <row r="89">
      <c r="A89" s="19">
        <f>Database!A410</f>
        <v/>
      </c>
      <c r="B89" s="48">
        <f>VLOOKUP(A89,Database!$A:$V,MATCH(Currency!$B$1,Database!$A$1:$V$1,),)</f>
        <v/>
      </c>
    </row>
    <row r="90">
      <c r="A90" s="19">
        <f>Database!A411</f>
        <v/>
      </c>
      <c r="B90" s="48">
        <f>VLOOKUP(A90,Database!$A:$V,MATCH(Currency!$B$1,Database!$A$1:$V$1,),)</f>
        <v/>
      </c>
    </row>
    <row r="91">
      <c r="A91" s="19">
        <f>Database!A412</f>
        <v/>
      </c>
      <c r="B91" s="48">
        <f>VLOOKUP(A91,Database!$A:$V,MATCH(Currency!$B$1,Database!$A$1:$V$1,),)</f>
        <v/>
      </c>
    </row>
    <row r="92">
      <c r="A92" s="19">
        <f>Database!A413</f>
        <v/>
      </c>
      <c r="B92" s="48">
        <f>VLOOKUP(A92,Database!$A:$V,MATCH(Currency!$B$1,Database!$A$1:$V$1,),)</f>
        <v/>
      </c>
    </row>
    <row r="93">
      <c r="A93" s="19">
        <f>Database!A414</f>
        <v/>
      </c>
      <c r="B93" s="48">
        <f>VLOOKUP(A93,Database!$A:$V,MATCH(Currency!$B$1,Database!$A$1:$V$1,),)</f>
        <v/>
      </c>
    </row>
    <row r="94">
      <c r="A94" s="19">
        <f>Database!A415</f>
        <v/>
      </c>
      <c r="B94" s="48">
        <f>VLOOKUP(A94,Database!$A:$V,MATCH(Currency!$B$1,Database!$A$1:$V$1,),)</f>
        <v/>
      </c>
    </row>
    <row r="95">
      <c r="A95" s="19">
        <f>Database!A416</f>
        <v/>
      </c>
      <c r="B95" s="48">
        <f>VLOOKUP(A95,Database!$A:$V,MATCH(Currency!$B$1,Database!$A$1:$V$1,),)</f>
        <v/>
      </c>
    </row>
    <row r="96">
      <c r="A96" s="19">
        <f>Database!A417</f>
        <v/>
      </c>
      <c r="B96" s="48">
        <f>VLOOKUP(A96,Database!$A:$V,MATCH(Currency!$B$1,Database!$A$1:$V$1,),)</f>
        <v/>
      </c>
    </row>
    <row r="97">
      <c r="A97" s="19">
        <f>Database!A418</f>
        <v/>
      </c>
      <c r="B97" s="48">
        <f>VLOOKUP(A97,Database!$A:$V,MATCH(Currency!$B$1,Database!$A$1:$V$1,),)</f>
        <v/>
      </c>
    </row>
    <row r="98">
      <c r="A98" s="19">
        <f>Database!A419</f>
        <v/>
      </c>
      <c r="B98" s="48">
        <f>VLOOKUP(A98,Database!$A:$V,MATCH(Currency!$B$1,Database!$A$1:$V$1,),)</f>
        <v/>
      </c>
    </row>
    <row r="99">
      <c r="A99" s="19">
        <f>Database!A420</f>
        <v/>
      </c>
      <c r="B99" s="48">
        <f>VLOOKUP(A99,Database!$A:$V,MATCH(Currency!$B$1,Database!$A$1:$V$1,),)</f>
        <v/>
      </c>
    </row>
    <row r="100">
      <c r="A100" s="19">
        <f>Database!A421</f>
        <v/>
      </c>
      <c r="B100" s="48">
        <f>VLOOKUP(A100,Database!$A:$V,MATCH(Currency!$B$1,Database!$A$1:$V$1,),)</f>
        <v/>
      </c>
    </row>
    <row r="101">
      <c r="A101" s="19">
        <f>Database!A422</f>
        <v/>
      </c>
      <c r="B101" s="48">
        <f>VLOOKUP(A101,Database!$A:$V,MATCH(Currency!$B$1,Database!$A$1:$V$1,),)</f>
        <v/>
      </c>
    </row>
    <row r="102">
      <c r="A102" s="19">
        <f>Database!A423</f>
        <v/>
      </c>
      <c r="B102" s="48">
        <f>VLOOKUP(A102,Database!$A:$V,MATCH(Currency!$B$1,Database!$A$1:$V$1,),)</f>
        <v/>
      </c>
    </row>
    <row r="103">
      <c r="A103" s="19">
        <f>Database!A424</f>
        <v/>
      </c>
      <c r="B103" s="48">
        <f>VLOOKUP(A103,Database!$A:$V,MATCH(Currency!$B$1,Database!$A$1:$V$1,),)</f>
        <v/>
      </c>
    </row>
    <row r="104">
      <c r="A104" s="19">
        <f>Database!A425</f>
        <v/>
      </c>
      <c r="B104" s="48">
        <f>VLOOKUP(A104,Database!$A:$V,MATCH(Currency!$B$1,Database!$A$1:$V$1,),)</f>
        <v/>
      </c>
    </row>
    <row r="105">
      <c r="A105" s="19">
        <f>Database!A426</f>
        <v/>
      </c>
      <c r="B105" s="48">
        <f>VLOOKUP(A105,Database!$A:$V,MATCH(Currency!$B$1,Database!$A$1:$V$1,),)</f>
        <v/>
      </c>
    </row>
    <row r="106">
      <c r="A106" s="19">
        <f>Database!A427</f>
        <v/>
      </c>
      <c r="B106" s="48">
        <f>VLOOKUP(A106,Database!$A:$V,MATCH(Currency!$B$1,Database!$A$1:$V$1,),)</f>
        <v/>
      </c>
    </row>
    <row r="107">
      <c r="A107" s="19">
        <f>Database!A428</f>
        <v/>
      </c>
      <c r="B107" s="48">
        <f>VLOOKUP(A107,Database!$A:$V,MATCH(Currency!$B$1,Database!$A$1:$V$1,),)</f>
        <v/>
      </c>
    </row>
    <row r="108">
      <c r="A108" s="19">
        <f>Database!A429</f>
        <v/>
      </c>
      <c r="B108" s="48">
        <f>VLOOKUP(A108,Database!$A:$V,MATCH(Currency!$B$1,Database!$A$1:$V$1,),)</f>
        <v/>
      </c>
    </row>
    <row r="109">
      <c r="A109" s="19">
        <f>Database!A430</f>
        <v/>
      </c>
      <c r="B109" s="48">
        <f>VLOOKUP(A109,Database!$A:$V,MATCH(Currency!$B$1,Database!$A$1:$V$1,),)</f>
        <v/>
      </c>
    </row>
    <row r="110">
      <c r="A110" s="19">
        <f>Database!A431</f>
        <v/>
      </c>
      <c r="B110" s="48">
        <f>VLOOKUP(A110,Database!$A:$V,MATCH(Currency!$B$1,Database!$A$1:$V$1,),)</f>
        <v/>
      </c>
    </row>
    <row r="111">
      <c r="A111" s="19">
        <f>Database!A432</f>
        <v/>
      </c>
      <c r="B111" s="48">
        <f>VLOOKUP(A111,Database!$A:$V,MATCH(Currency!$B$1,Database!$A$1:$V$1,),)</f>
        <v/>
      </c>
    </row>
    <row r="112">
      <c r="A112" s="19">
        <f>Database!A433</f>
        <v/>
      </c>
      <c r="B112" s="48">
        <f>VLOOKUP(A112,Database!$A:$V,MATCH(Currency!$B$1,Database!$A$1:$V$1,),)</f>
        <v/>
      </c>
    </row>
    <row r="113">
      <c r="A113" s="19">
        <f>Database!A434</f>
        <v/>
      </c>
      <c r="B113" s="48">
        <f>VLOOKUP(A113,Database!$A:$V,MATCH(Currency!$B$1,Database!$A$1:$V$1,),)</f>
        <v/>
      </c>
    </row>
    <row r="114">
      <c r="A114" s="19">
        <f>Database!A435</f>
        <v/>
      </c>
      <c r="B114" s="48">
        <f>VLOOKUP(A114,Database!$A:$V,MATCH(Currency!$B$1,Database!$A$1:$V$1,),)</f>
        <v/>
      </c>
    </row>
    <row r="115">
      <c r="A115" s="19">
        <f>Database!A436</f>
        <v/>
      </c>
      <c r="B115" s="48">
        <f>VLOOKUP(A115,Database!$A:$V,MATCH(Currency!$B$1,Database!$A$1:$V$1,),)</f>
        <v/>
      </c>
    </row>
    <row r="116">
      <c r="A116" s="19">
        <f>Database!A437</f>
        <v/>
      </c>
      <c r="B116" s="48">
        <f>VLOOKUP(A116,Database!$A:$V,MATCH(Currency!$B$1,Database!$A$1:$V$1,),)</f>
        <v/>
      </c>
    </row>
    <row r="117">
      <c r="A117" s="19">
        <f>Database!A438</f>
        <v/>
      </c>
      <c r="B117" s="48">
        <f>VLOOKUP(A117,Database!$A:$V,MATCH(Currency!$B$1,Database!$A$1:$V$1,),)</f>
        <v/>
      </c>
    </row>
    <row r="118">
      <c r="A118" s="19">
        <f>Database!A439</f>
        <v/>
      </c>
      <c r="B118" s="48">
        <f>VLOOKUP(A118,Database!$A:$V,MATCH(Currency!$B$1,Database!$A$1:$V$1,),)</f>
        <v/>
      </c>
    </row>
    <row r="119">
      <c r="A119" s="19">
        <f>Database!A440</f>
        <v/>
      </c>
      <c r="B119" s="48">
        <f>VLOOKUP(A119,Database!$A:$V,MATCH(Currency!$B$1,Database!$A$1:$V$1,),)</f>
        <v/>
      </c>
    </row>
    <row r="120">
      <c r="A120" s="19">
        <f>Database!A441</f>
        <v/>
      </c>
      <c r="B120" s="48">
        <f>VLOOKUP(A120,Database!$A:$V,MATCH(Currency!$B$1,Database!$A$1:$V$1,),)</f>
        <v/>
      </c>
    </row>
    <row r="121">
      <c r="A121" s="19">
        <f>Database!A442</f>
        <v/>
      </c>
      <c r="B121" s="48">
        <f>VLOOKUP(A121,Database!$A:$V,MATCH(Currency!$B$1,Database!$A$1:$V$1,),)</f>
        <v/>
      </c>
    </row>
    <row r="122">
      <c r="A122" s="19">
        <f>Database!A443</f>
        <v/>
      </c>
      <c r="B122" s="48">
        <f>VLOOKUP(A122,Database!$A:$V,MATCH(Currency!$B$1,Database!$A$1:$V$1,),)</f>
        <v/>
      </c>
    </row>
    <row r="123">
      <c r="A123" s="19">
        <f>Database!A444</f>
        <v/>
      </c>
      <c r="B123" s="48">
        <f>VLOOKUP(A123,Database!$A:$V,MATCH(Currency!$B$1,Database!$A$1:$V$1,),)</f>
        <v/>
      </c>
    </row>
    <row r="124">
      <c r="A124" s="19">
        <f>Database!A445</f>
        <v/>
      </c>
      <c r="B124" s="48">
        <f>VLOOKUP(A124,Database!$A:$V,MATCH(Currency!$B$1,Database!$A$1:$V$1,),)</f>
        <v/>
      </c>
    </row>
    <row r="125">
      <c r="A125" s="19">
        <f>Database!A446</f>
        <v/>
      </c>
      <c r="B125" s="48">
        <f>VLOOKUP(A125,Database!$A:$V,MATCH(Currency!$B$1,Database!$A$1:$V$1,),)</f>
        <v/>
      </c>
    </row>
    <row r="126">
      <c r="A126" s="19">
        <f>Database!A447</f>
        <v/>
      </c>
      <c r="B126" s="48">
        <f>VLOOKUP(A126,Database!$A:$V,MATCH(Currency!$B$1,Database!$A$1:$V$1,),)</f>
        <v/>
      </c>
    </row>
    <row r="127">
      <c r="A127" s="19">
        <f>Database!A448</f>
        <v/>
      </c>
      <c r="B127" s="48">
        <f>VLOOKUP(A127,Database!$A:$V,MATCH(Currency!$B$1,Database!$A$1:$V$1,),)</f>
        <v/>
      </c>
    </row>
    <row r="128">
      <c r="A128" s="19">
        <f>Database!A449</f>
        <v/>
      </c>
      <c r="B128" s="48">
        <f>VLOOKUP(A128,Database!$A:$V,MATCH(Currency!$B$1,Database!$A$1:$V$1,),)</f>
        <v/>
      </c>
    </row>
    <row r="129">
      <c r="A129" s="19">
        <f>Database!A450</f>
        <v/>
      </c>
      <c r="B129" s="48">
        <f>VLOOKUP(A129,Database!$A:$V,MATCH(Currency!$B$1,Database!$A$1:$V$1,),)</f>
        <v/>
      </c>
    </row>
    <row r="130">
      <c r="A130" s="19">
        <f>Database!A451</f>
        <v/>
      </c>
      <c r="B130" s="48">
        <f>VLOOKUP(A130,Database!$A:$V,MATCH(Currency!$B$1,Database!$A$1:$V$1,),)</f>
        <v/>
      </c>
    </row>
    <row r="131">
      <c r="A131" s="19">
        <f>Database!A452</f>
        <v/>
      </c>
      <c r="B131" s="48">
        <f>VLOOKUP(A131,Database!$A:$V,MATCH(Currency!$B$1,Database!$A$1:$V$1,),)</f>
        <v/>
      </c>
    </row>
    <row r="132">
      <c r="A132" s="19">
        <f>Database!A453</f>
        <v/>
      </c>
      <c r="B132" s="48">
        <f>VLOOKUP(A132,Database!$A:$V,MATCH(Currency!$B$1,Database!$A$1:$V$1,),)</f>
        <v/>
      </c>
    </row>
    <row r="133">
      <c r="A133" s="19">
        <f>Database!A454</f>
        <v/>
      </c>
      <c r="B133" s="48">
        <f>VLOOKUP(A133,Database!$A:$V,MATCH(Currency!$B$1,Database!$A$1:$V$1,),)</f>
        <v/>
      </c>
    </row>
    <row r="134">
      <c r="A134" s="19">
        <f>Database!A455</f>
        <v/>
      </c>
      <c r="B134" s="48">
        <f>VLOOKUP(A134,Database!$A:$V,MATCH(Currency!$B$1,Database!$A$1:$V$1,),)</f>
        <v/>
      </c>
    </row>
    <row r="135">
      <c r="A135" s="19">
        <f>Database!A456</f>
        <v/>
      </c>
      <c r="B135" s="48">
        <f>VLOOKUP(A135,Database!$A:$V,MATCH(Currency!$B$1,Database!$A$1:$V$1,),)</f>
        <v/>
      </c>
    </row>
    <row r="136">
      <c r="A136" s="19">
        <f>Database!A457</f>
        <v/>
      </c>
      <c r="B136" s="48">
        <f>VLOOKUP(A136,Database!$A:$V,MATCH(Currency!$B$1,Database!$A$1:$V$1,),)</f>
        <v/>
      </c>
    </row>
    <row r="137">
      <c r="A137" s="19">
        <f>Database!A458</f>
        <v/>
      </c>
      <c r="B137" s="48">
        <f>VLOOKUP(A137,Database!$A:$V,MATCH(Currency!$B$1,Database!$A$1:$V$1,),)</f>
        <v/>
      </c>
    </row>
    <row r="138">
      <c r="A138" s="19">
        <f>Database!A459</f>
        <v/>
      </c>
      <c r="B138" s="48">
        <f>VLOOKUP(A138,Database!$A:$V,MATCH(Currency!$B$1,Database!$A$1:$V$1,),)</f>
        <v/>
      </c>
    </row>
    <row r="139">
      <c r="A139" s="19">
        <f>Database!A460</f>
        <v/>
      </c>
      <c r="B139" s="48">
        <f>VLOOKUP(A139,Database!$A:$V,MATCH(Currency!$B$1,Database!$A$1:$V$1,),)</f>
        <v/>
      </c>
    </row>
    <row r="140">
      <c r="A140" s="19">
        <f>Database!A461</f>
        <v/>
      </c>
      <c r="B140" s="48">
        <f>VLOOKUP(A140,Database!$A:$V,MATCH(Currency!$B$1,Database!$A$1:$V$1,),)</f>
        <v/>
      </c>
    </row>
    <row r="141">
      <c r="A141" s="19">
        <f>Database!A462</f>
        <v/>
      </c>
      <c r="B141" s="48">
        <f>VLOOKUP(A141,Database!$A:$V,MATCH(Currency!$B$1,Database!$A$1:$V$1,),)</f>
        <v/>
      </c>
    </row>
    <row r="142">
      <c r="A142" s="19">
        <f>Database!A463</f>
        <v/>
      </c>
      <c r="B142" s="48">
        <f>VLOOKUP(A142,Database!$A:$V,MATCH(Currency!$B$1,Database!$A$1:$V$1,),)</f>
        <v/>
      </c>
    </row>
    <row r="143">
      <c r="A143" s="19">
        <f>Database!A464</f>
        <v/>
      </c>
      <c r="B143" s="48">
        <f>VLOOKUP(A143,Database!$A:$V,MATCH(Currency!$B$1,Database!$A$1:$V$1,),)</f>
        <v/>
      </c>
    </row>
    <row r="144">
      <c r="A144" s="19">
        <f>Database!A465</f>
        <v/>
      </c>
      <c r="B144" s="48">
        <f>VLOOKUP(A144,Database!$A:$V,MATCH(Currency!$B$1,Database!$A$1:$V$1,),)</f>
        <v/>
      </c>
    </row>
    <row r="145">
      <c r="A145" s="19">
        <f>Database!A466</f>
        <v/>
      </c>
      <c r="B145" s="48">
        <f>VLOOKUP(A145,Database!$A:$V,MATCH(Currency!$B$1,Database!$A$1:$V$1,),)</f>
        <v/>
      </c>
    </row>
    <row r="146">
      <c r="A146" s="19">
        <f>Database!A467</f>
        <v/>
      </c>
      <c r="B146" s="48">
        <f>VLOOKUP(A146,Database!$A:$V,MATCH(Currency!$B$1,Database!$A$1:$V$1,),)</f>
        <v/>
      </c>
    </row>
    <row r="147">
      <c r="A147" s="19">
        <f>Database!A468</f>
        <v/>
      </c>
      <c r="B147" s="48">
        <f>VLOOKUP(A147,Database!$A:$V,MATCH(Currency!$B$1,Database!$A$1:$V$1,),)</f>
        <v/>
      </c>
    </row>
    <row r="148">
      <c r="A148" s="19">
        <f>Database!A469</f>
        <v/>
      </c>
      <c r="B148" s="48">
        <f>VLOOKUP(A148,Database!$A:$V,MATCH(Currency!$B$1,Database!$A$1:$V$1,),)</f>
        <v/>
      </c>
    </row>
    <row r="149">
      <c r="A149" s="19">
        <f>Database!A470</f>
        <v/>
      </c>
      <c r="B149" s="48">
        <f>VLOOKUP(A149,Database!$A:$V,MATCH(Currency!$B$1,Database!$A$1:$V$1,),)</f>
        <v/>
      </c>
    </row>
    <row r="150">
      <c r="A150" s="19">
        <f>Database!A471</f>
        <v/>
      </c>
      <c r="B150" s="48">
        <f>VLOOKUP(A150,Database!$A:$V,MATCH(Currency!$B$1,Database!$A$1:$V$1,),)</f>
        <v/>
      </c>
    </row>
    <row r="151">
      <c r="A151" s="19">
        <f>Database!A472</f>
        <v/>
      </c>
      <c r="B151" s="48">
        <f>VLOOKUP(A151,Database!$A:$V,MATCH(Currency!$B$1,Database!$A$1:$V$1,),)</f>
        <v/>
      </c>
    </row>
    <row r="152">
      <c r="A152" s="19">
        <f>Database!A473</f>
        <v/>
      </c>
      <c r="B152" s="48">
        <f>VLOOKUP(A152,Database!$A:$V,MATCH(Currency!$B$1,Database!$A$1:$V$1,),)</f>
        <v/>
      </c>
    </row>
    <row r="153">
      <c r="A153" s="19">
        <f>Database!A474</f>
        <v/>
      </c>
      <c r="B153" s="48">
        <f>VLOOKUP(A153,Database!$A:$V,MATCH(Currency!$B$1,Database!$A$1:$V$1,),)</f>
        <v/>
      </c>
    </row>
    <row r="154">
      <c r="A154" s="19">
        <f>Database!A475</f>
        <v/>
      </c>
      <c r="B154" s="48">
        <f>VLOOKUP(A154,Database!$A:$V,MATCH(Currency!$B$1,Database!$A$1:$V$1,),)</f>
        <v/>
      </c>
    </row>
    <row r="155">
      <c r="A155" s="19">
        <f>Database!A476</f>
        <v/>
      </c>
      <c r="B155" s="48">
        <f>VLOOKUP(A155,Database!$A:$V,MATCH(Currency!$B$1,Database!$A$1:$V$1,),)</f>
        <v/>
      </c>
    </row>
    <row r="156">
      <c r="A156" s="19">
        <f>Database!A477</f>
        <v/>
      </c>
      <c r="B156" s="48">
        <f>VLOOKUP(A156,Database!$A:$V,MATCH(Currency!$B$1,Database!$A$1:$V$1,),)</f>
        <v/>
      </c>
    </row>
    <row r="157">
      <c r="A157" s="19">
        <f>Database!A478</f>
        <v/>
      </c>
      <c r="B157" s="48">
        <f>VLOOKUP(A157,Database!$A:$V,MATCH(Currency!$B$1,Database!$A$1:$V$1,),)</f>
        <v/>
      </c>
    </row>
    <row r="158">
      <c r="A158" s="19">
        <f>Database!A479</f>
        <v/>
      </c>
      <c r="B158" s="48">
        <f>VLOOKUP(A158,Database!$A:$V,MATCH(Currency!$B$1,Database!$A$1:$V$1,),)</f>
        <v/>
      </c>
    </row>
    <row r="159">
      <c r="A159" s="19">
        <f>Database!A480</f>
        <v/>
      </c>
      <c r="B159" s="48">
        <f>VLOOKUP(A159,Database!$A:$V,MATCH(Currency!$B$1,Database!$A$1:$V$1,),)</f>
        <v/>
      </c>
    </row>
    <row r="160">
      <c r="A160" s="19">
        <f>Database!A481</f>
        <v/>
      </c>
      <c r="B160" s="48">
        <f>VLOOKUP(A160,Database!$A:$V,MATCH(Currency!$B$1,Database!$A$1:$V$1,),)</f>
        <v/>
      </c>
    </row>
    <row r="161">
      <c r="A161" s="19">
        <f>Database!A482</f>
        <v/>
      </c>
      <c r="B161" s="48">
        <f>VLOOKUP(A161,Database!$A:$V,MATCH(Currency!$B$1,Database!$A$1:$V$1,),)</f>
        <v/>
      </c>
    </row>
    <row r="162">
      <c r="A162" s="19">
        <f>Database!A483</f>
        <v/>
      </c>
      <c r="B162" s="48">
        <f>VLOOKUP(A162,Database!$A:$V,MATCH(Currency!$B$1,Database!$A$1:$V$1,),)</f>
        <v/>
      </c>
    </row>
    <row r="163">
      <c r="A163" s="19">
        <f>Database!A484</f>
        <v/>
      </c>
      <c r="B163" s="48">
        <f>VLOOKUP(A163,Database!$A:$V,MATCH(Currency!$B$1,Database!$A$1:$V$1,),)</f>
        <v/>
      </c>
    </row>
    <row r="164">
      <c r="A164" s="19">
        <f>Database!A485</f>
        <v/>
      </c>
      <c r="B164" s="48">
        <f>VLOOKUP(A164,Database!$A:$V,MATCH(Currency!$B$1,Database!$A$1:$V$1,),)</f>
        <v/>
      </c>
    </row>
    <row r="165">
      <c r="A165" s="19">
        <f>Database!A486</f>
        <v/>
      </c>
      <c r="B165" s="48">
        <f>VLOOKUP(A165,Database!$A:$V,MATCH(Currency!$B$1,Database!$A$1:$V$1,),)</f>
        <v/>
      </c>
    </row>
    <row r="166">
      <c r="A166" s="19">
        <f>Database!A487</f>
        <v/>
      </c>
      <c r="B166" s="48">
        <f>VLOOKUP(A166,Database!$A:$V,MATCH(Currency!$B$1,Database!$A$1:$V$1,),)</f>
        <v/>
      </c>
    </row>
    <row r="167">
      <c r="A167" s="19">
        <f>Database!A488</f>
        <v/>
      </c>
      <c r="B167" s="48">
        <f>VLOOKUP(A167,Database!$A:$V,MATCH(Currency!$B$1,Database!$A$1:$V$1,),)</f>
        <v/>
      </c>
    </row>
    <row r="168">
      <c r="A168" s="19">
        <f>Database!A489</f>
        <v/>
      </c>
      <c r="B168" s="48">
        <f>VLOOKUP(A168,Database!$A:$V,MATCH(Currency!$B$1,Database!$A$1:$V$1,),)</f>
        <v/>
      </c>
    </row>
    <row r="169">
      <c r="A169" s="19">
        <f>Database!A490</f>
        <v/>
      </c>
      <c r="B169" s="48">
        <f>VLOOKUP(A169,Database!$A:$V,MATCH(Currency!$B$1,Database!$A$1:$V$1,),)</f>
        <v/>
      </c>
    </row>
    <row r="170">
      <c r="A170" s="19">
        <f>Database!A491</f>
        <v/>
      </c>
      <c r="B170" s="48">
        <f>VLOOKUP(A170,Database!$A:$V,MATCH(Currency!$B$1,Database!$A$1:$V$1,),)</f>
        <v/>
      </c>
    </row>
    <row r="171">
      <c r="A171" s="19">
        <f>Database!A492</f>
        <v/>
      </c>
      <c r="B171" s="48">
        <f>VLOOKUP(A171,Database!$A:$V,MATCH(Currency!$B$1,Database!$A$1:$V$1,),)</f>
        <v/>
      </c>
    </row>
    <row r="172">
      <c r="A172" s="19">
        <f>Database!A493</f>
        <v/>
      </c>
      <c r="B172" s="48">
        <f>VLOOKUP(A172,Database!$A:$V,MATCH(Currency!$B$1,Database!$A$1:$V$1,),)</f>
        <v/>
      </c>
    </row>
    <row r="173">
      <c r="A173" s="19">
        <f>Database!A494</f>
        <v/>
      </c>
      <c r="B173" s="48">
        <f>VLOOKUP(A173,Database!$A:$V,MATCH(Currency!$B$1,Database!$A$1:$V$1,),)</f>
        <v/>
      </c>
    </row>
    <row r="174">
      <c r="A174" s="19">
        <f>Database!A495</f>
        <v/>
      </c>
      <c r="B174" s="48">
        <f>VLOOKUP(A174,Database!$A:$V,MATCH(Currency!$B$1,Database!$A$1:$V$1,),)</f>
        <v/>
      </c>
    </row>
    <row r="175">
      <c r="A175" s="19">
        <f>Database!A496</f>
        <v/>
      </c>
      <c r="B175" s="48">
        <f>VLOOKUP(A175,Database!$A:$V,MATCH(Currency!$B$1,Database!$A$1:$V$1,),)</f>
        <v/>
      </c>
    </row>
    <row r="176">
      <c r="A176" s="19">
        <f>Database!A497</f>
        <v/>
      </c>
      <c r="B176" s="48">
        <f>VLOOKUP(A176,Database!$A:$V,MATCH(Currency!$B$1,Database!$A$1:$V$1,),)</f>
        <v/>
      </c>
    </row>
    <row r="177">
      <c r="A177" s="19">
        <f>Database!A498</f>
        <v/>
      </c>
      <c r="B177" s="48">
        <f>VLOOKUP(A177,Database!$A:$V,MATCH(Currency!$B$1,Database!$A$1:$V$1,),)</f>
        <v/>
      </c>
    </row>
    <row r="178">
      <c r="A178" s="19">
        <f>Database!A499</f>
        <v/>
      </c>
      <c r="B178" s="48">
        <f>VLOOKUP(A178,Database!$A:$V,MATCH(Currency!$B$1,Database!$A$1:$V$1,),)</f>
        <v/>
      </c>
    </row>
    <row r="179">
      <c r="A179" s="19">
        <f>Database!A500</f>
        <v/>
      </c>
      <c r="B179" s="48">
        <f>VLOOKUP(A179,Database!$A:$V,MATCH(Currency!$B$1,Database!$A$1:$V$1,),)</f>
        <v/>
      </c>
    </row>
    <row r="180">
      <c r="A180" s="19">
        <f>Database!A501</f>
        <v/>
      </c>
      <c r="B180" s="48">
        <f>VLOOKUP(A180,Database!$A:$V,MATCH(Currency!$B$1,Database!$A$1:$V$1,),)</f>
        <v/>
      </c>
    </row>
    <row r="181">
      <c r="A181" s="19">
        <f>Database!A502</f>
        <v/>
      </c>
      <c r="B181" s="48">
        <f>VLOOKUP(A181,Database!$A:$V,MATCH(Currency!$B$1,Database!$A$1:$V$1,),)</f>
        <v/>
      </c>
    </row>
    <row r="182">
      <c r="A182" s="19">
        <f>Database!A503</f>
        <v/>
      </c>
      <c r="B182" s="48">
        <f>VLOOKUP(A182,Database!$A:$V,MATCH(Currency!$B$1,Database!$A$1:$V$1,),)</f>
        <v/>
      </c>
    </row>
    <row r="183">
      <c r="A183" s="19">
        <f>Database!A504</f>
        <v/>
      </c>
      <c r="B183" s="48">
        <f>VLOOKUP(A183,Database!$A:$V,MATCH(Currency!$B$1,Database!$A$1:$V$1,),)</f>
        <v/>
      </c>
    </row>
    <row r="184">
      <c r="A184" s="19">
        <f>Database!A505</f>
        <v/>
      </c>
      <c r="B184" s="48">
        <f>VLOOKUP(A184,Database!$A:$V,MATCH(Currency!$B$1,Database!$A$1:$V$1,),)</f>
        <v/>
      </c>
    </row>
    <row r="185">
      <c r="A185" s="19">
        <f>Database!A506</f>
        <v/>
      </c>
      <c r="B185" s="48">
        <f>VLOOKUP(A185,Database!$A:$V,MATCH(Currency!$B$1,Database!$A$1:$V$1,),)</f>
        <v/>
      </c>
    </row>
    <row r="186">
      <c r="A186" s="19">
        <f>Database!A507</f>
        <v/>
      </c>
      <c r="B186" s="48">
        <f>VLOOKUP(A186,Database!$A:$V,MATCH(Currency!$B$1,Database!$A$1:$V$1,),)</f>
        <v/>
      </c>
    </row>
    <row r="187">
      <c r="A187" s="19">
        <f>Database!A508</f>
        <v/>
      </c>
      <c r="B187" s="48">
        <f>VLOOKUP(A187,Database!$A:$V,MATCH(Currency!$B$1,Database!$A$1:$V$1,),)</f>
        <v/>
      </c>
    </row>
    <row r="188">
      <c r="A188" s="19">
        <f>Database!A509</f>
        <v/>
      </c>
      <c r="B188" s="48">
        <f>VLOOKUP(A188,Database!$A:$V,MATCH(Currency!$B$1,Database!$A$1:$V$1,),)</f>
        <v/>
      </c>
    </row>
    <row r="189">
      <c r="A189" s="19">
        <f>Database!A510</f>
        <v/>
      </c>
      <c r="B189" s="48">
        <f>VLOOKUP(A189,Database!$A:$V,MATCH(Currency!$B$1,Database!$A$1:$V$1,),)</f>
        <v/>
      </c>
    </row>
    <row r="190">
      <c r="A190" s="19">
        <f>Database!A511</f>
        <v/>
      </c>
      <c r="B190" s="48">
        <f>VLOOKUP(A190,Database!$A:$V,MATCH(Currency!$B$1,Database!$A$1:$V$1,),)</f>
        <v/>
      </c>
    </row>
    <row r="191">
      <c r="A191" s="19">
        <f>Database!A512</f>
        <v/>
      </c>
      <c r="B191" s="48">
        <f>VLOOKUP(A191,Database!$A:$V,MATCH(Currency!$B$1,Database!$A$1:$V$1,),)</f>
        <v/>
      </c>
    </row>
    <row r="192">
      <c r="A192" s="19">
        <f>Database!A513</f>
        <v/>
      </c>
      <c r="B192" s="48">
        <f>VLOOKUP(A192,Database!$A:$V,MATCH(Currency!$B$1,Database!$A$1:$V$1,),)</f>
        <v/>
      </c>
    </row>
    <row r="193">
      <c r="A193" s="19">
        <f>Database!A514</f>
        <v/>
      </c>
      <c r="B193" s="48">
        <f>VLOOKUP(A193,Database!$A:$V,MATCH(Currency!$B$1,Database!$A$1:$V$1,),)</f>
        <v/>
      </c>
    </row>
    <row r="194">
      <c r="A194" s="19">
        <f>Database!A515</f>
        <v/>
      </c>
      <c r="B194" s="48">
        <f>VLOOKUP(A194,Database!$A:$V,MATCH(Currency!$B$1,Database!$A$1:$V$1,),)</f>
        <v/>
      </c>
    </row>
    <row r="195">
      <c r="A195" s="19">
        <f>Database!A516</f>
        <v/>
      </c>
      <c r="B195" s="48">
        <f>VLOOKUP(A195,Database!$A:$V,MATCH(Currency!$B$1,Database!$A$1:$V$1,),)</f>
        <v/>
      </c>
    </row>
    <row r="196">
      <c r="A196" s="19">
        <f>Database!A517</f>
        <v/>
      </c>
      <c r="B196" s="48">
        <f>VLOOKUP(A196,Database!$A:$V,MATCH(Currency!$B$1,Database!$A$1:$V$1,),)</f>
        <v/>
      </c>
    </row>
    <row r="197">
      <c r="A197" s="19">
        <f>Database!A518</f>
        <v/>
      </c>
      <c r="B197" s="48">
        <f>VLOOKUP(A197,Database!$A:$V,MATCH(Currency!$B$1,Database!$A$1:$V$1,),)</f>
        <v/>
      </c>
    </row>
    <row r="198">
      <c r="A198" s="19">
        <f>Database!A519</f>
        <v/>
      </c>
      <c r="B198" s="48">
        <f>VLOOKUP(A198,Database!$A:$V,MATCH(Currency!$B$1,Database!$A$1:$V$1,),)</f>
        <v/>
      </c>
    </row>
    <row r="199">
      <c r="A199" s="19">
        <f>Database!A520</f>
        <v/>
      </c>
      <c r="B199" s="48">
        <f>VLOOKUP(A199,Database!$A:$V,MATCH(Currency!$B$1,Database!$A$1:$V$1,),)</f>
        <v/>
      </c>
    </row>
    <row r="200">
      <c r="A200" s="19">
        <f>Database!A521</f>
        <v/>
      </c>
      <c r="B200" s="48">
        <f>VLOOKUP(A200,Database!$A:$V,MATCH(Currency!$B$1,Database!$A$1:$V$1,),)</f>
        <v/>
      </c>
    </row>
    <row r="201">
      <c r="A201" s="19">
        <f>Database!A522</f>
        <v/>
      </c>
      <c r="B201" s="48">
        <f>VLOOKUP(A201,Database!$A:$V,MATCH(Currency!$B$1,Database!$A$1:$V$1,),)</f>
        <v/>
      </c>
    </row>
    <row r="202">
      <c r="A202" s="19">
        <f>Database!A523</f>
        <v/>
      </c>
      <c r="B202" s="48">
        <f>VLOOKUP(A202,Database!$A:$V,MATCH(Currency!$B$1,Database!$A$1:$V$1,),)</f>
        <v/>
      </c>
    </row>
    <row r="203">
      <c r="A203" s="19">
        <f>Database!A524</f>
        <v/>
      </c>
      <c r="B203" s="48">
        <f>VLOOKUP(A203,Database!$A:$V,MATCH(Currency!$B$1,Database!$A$1:$V$1,),)</f>
        <v/>
      </c>
    </row>
    <row r="204">
      <c r="A204" s="19">
        <f>Database!A525</f>
        <v/>
      </c>
      <c r="B204" s="48">
        <f>VLOOKUP(A204,Database!$A:$V,MATCH(Currency!$B$1,Database!$A$1:$V$1,),)</f>
        <v/>
      </c>
    </row>
    <row r="205">
      <c r="A205" s="19">
        <f>Database!A526</f>
        <v/>
      </c>
      <c r="B205" s="48">
        <f>VLOOKUP(A205,Database!$A:$V,MATCH(Currency!$B$1,Database!$A$1:$V$1,),)</f>
        <v/>
      </c>
    </row>
    <row r="206">
      <c r="A206" s="19">
        <f>Database!A527</f>
        <v/>
      </c>
      <c r="B206" s="48">
        <f>VLOOKUP(A206,Database!$A:$V,MATCH(Currency!$B$1,Database!$A$1:$V$1,),)</f>
        <v/>
      </c>
    </row>
    <row r="207">
      <c r="A207" s="19">
        <f>Database!A528</f>
        <v/>
      </c>
      <c r="B207" s="48">
        <f>VLOOKUP(A207,Database!$A:$V,MATCH(Currency!$B$1,Database!$A$1:$V$1,),)</f>
        <v/>
      </c>
    </row>
    <row r="208">
      <c r="A208" s="19">
        <f>Database!A529</f>
        <v/>
      </c>
      <c r="B208" s="48">
        <f>VLOOKUP(A208,Database!$A:$V,MATCH(Currency!$B$1,Database!$A$1:$V$1,),)</f>
        <v/>
      </c>
    </row>
    <row r="209">
      <c r="A209" s="19">
        <f>Database!A530</f>
        <v/>
      </c>
      <c r="B209" s="48">
        <f>VLOOKUP(A209,Database!$A:$V,MATCH(Currency!$B$1,Database!$A$1:$V$1,),)</f>
        <v/>
      </c>
    </row>
    <row r="210">
      <c r="A210" s="19">
        <f>Database!A531</f>
        <v/>
      </c>
      <c r="B210" s="48">
        <f>VLOOKUP(A210,Database!$A:$V,MATCH(Currency!$B$1,Database!$A$1:$V$1,),)</f>
        <v/>
      </c>
    </row>
    <row r="211">
      <c r="A211" s="19">
        <f>Database!A532</f>
        <v/>
      </c>
      <c r="B211" s="48">
        <f>VLOOKUP(A211,Database!$A:$V,MATCH(Currency!$B$1,Database!$A$1:$V$1,),)</f>
        <v/>
      </c>
    </row>
    <row r="212">
      <c r="A212" s="19">
        <f>Database!A533</f>
        <v/>
      </c>
      <c r="B212" s="48">
        <f>VLOOKUP(A212,Database!$A:$V,MATCH(Currency!$B$1,Database!$A$1:$V$1,),)</f>
        <v/>
      </c>
    </row>
    <row r="213">
      <c r="A213" s="19">
        <f>Database!A534</f>
        <v/>
      </c>
      <c r="B213" s="48">
        <f>VLOOKUP(A213,Database!$A:$V,MATCH(Currency!$B$1,Database!$A$1:$V$1,),)</f>
        <v/>
      </c>
    </row>
    <row r="214">
      <c r="A214" s="19">
        <f>Database!A535</f>
        <v/>
      </c>
      <c r="B214" s="48">
        <f>VLOOKUP(A214,Database!$A:$V,MATCH(Currency!$B$1,Database!$A$1:$V$1,),)</f>
        <v/>
      </c>
    </row>
    <row r="215">
      <c r="A215" s="19">
        <f>Database!A536</f>
        <v/>
      </c>
      <c r="B215" s="48">
        <f>VLOOKUP(A215,Database!$A:$V,MATCH(Currency!$B$1,Database!$A$1:$V$1,),)</f>
        <v/>
      </c>
    </row>
    <row r="216">
      <c r="A216" s="19">
        <f>Database!A537</f>
        <v/>
      </c>
      <c r="B216" s="48">
        <f>VLOOKUP(A216,Database!$A:$V,MATCH(Currency!$B$1,Database!$A$1:$V$1,),)</f>
        <v/>
      </c>
    </row>
    <row r="217">
      <c r="A217" s="19">
        <f>Database!A538</f>
        <v/>
      </c>
      <c r="B217" s="48">
        <f>VLOOKUP(A217,Database!$A:$V,MATCH(Currency!$B$1,Database!$A$1:$V$1,),)</f>
        <v/>
      </c>
    </row>
    <row r="218">
      <c r="A218" s="19">
        <f>Database!A539</f>
        <v/>
      </c>
      <c r="B218" s="48">
        <f>VLOOKUP(A218,Database!$A:$V,MATCH(Currency!$B$1,Database!$A$1:$V$1,),)</f>
        <v/>
      </c>
    </row>
    <row r="219">
      <c r="A219" s="19">
        <f>Database!A540</f>
        <v/>
      </c>
      <c r="B219" s="48">
        <f>VLOOKUP(A219,Database!$A:$V,MATCH(Currency!$B$1,Database!$A$1:$V$1,),)</f>
        <v/>
      </c>
    </row>
    <row r="220">
      <c r="A220" s="19">
        <f>Database!A541</f>
        <v/>
      </c>
      <c r="B220" s="48">
        <f>VLOOKUP(A220,Database!$A:$V,MATCH(Currency!$B$1,Database!$A$1:$V$1,),)</f>
        <v/>
      </c>
    </row>
    <row r="221">
      <c r="A221" s="19">
        <f>Database!A542</f>
        <v/>
      </c>
      <c r="B221" s="48">
        <f>VLOOKUP(A221,Database!$A:$V,MATCH(Currency!$B$1,Database!$A$1:$V$1,),)</f>
        <v/>
      </c>
    </row>
    <row r="222">
      <c r="A222" s="19">
        <f>Database!A543</f>
        <v/>
      </c>
      <c r="B222" s="48">
        <f>VLOOKUP(A222,Database!$A:$V,MATCH(Currency!$B$1,Database!$A$1:$V$1,),)</f>
        <v/>
      </c>
    </row>
    <row r="223">
      <c r="A223" s="19">
        <f>Database!A544</f>
        <v/>
      </c>
      <c r="B223" s="48">
        <f>VLOOKUP(A223,Database!$A:$V,MATCH(Currency!$B$1,Database!$A$1:$V$1,),)</f>
        <v/>
      </c>
    </row>
    <row r="224">
      <c r="A224" s="19">
        <f>Database!A545</f>
        <v/>
      </c>
      <c r="B224" s="48">
        <f>VLOOKUP(A224,Database!$A:$V,MATCH(Currency!$B$1,Database!$A$1:$V$1,),)</f>
        <v/>
      </c>
    </row>
    <row r="225">
      <c r="A225" s="19">
        <f>Database!A546</f>
        <v/>
      </c>
      <c r="B225" s="48">
        <f>VLOOKUP(A225,Database!$A:$V,MATCH(Currency!$B$1,Database!$A$1:$V$1,),)</f>
        <v/>
      </c>
    </row>
    <row r="226">
      <c r="A226" s="19">
        <f>Database!A547</f>
        <v/>
      </c>
      <c r="B226" s="48">
        <f>VLOOKUP(A226,Database!$A:$V,MATCH(Currency!$B$1,Database!$A$1:$V$1,),)</f>
        <v/>
      </c>
    </row>
    <row r="227">
      <c r="A227" s="19">
        <f>Database!A548</f>
        <v/>
      </c>
      <c r="B227" s="48">
        <f>VLOOKUP(A227,Database!$A:$V,MATCH(Currency!$B$1,Database!$A$1:$V$1,),)</f>
        <v/>
      </c>
    </row>
    <row r="228">
      <c r="A228" s="19">
        <f>Database!A549</f>
        <v/>
      </c>
      <c r="B228" s="48">
        <f>VLOOKUP(A228,Database!$A:$V,MATCH(Currency!$B$1,Database!$A$1:$V$1,),)</f>
        <v/>
      </c>
    </row>
    <row r="229">
      <c r="A229" s="19">
        <f>Database!A550</f>
        <v/>
      </c>
      <c r="B229" s="48">
        <f>VLOOKUP(A229,Database!$A:$V,MATCH(Currency!$B$1,Database!$A$1:$V$1,),)</f>
        <v/>
      </c>
    </row>
    <row r="230">
      <c r="A230" s="19">
        <f>Database!A551</f>
        <v/>
      </c>
      <c r="B230" s="48">
        <f>VLOOKUP(A230,Database!$A:$V,MATCH(Currency!$B$1,Database!$A$1:$V$1,),)</f>
        <v/>
      </c>
    </row>
    <row r="231">
      <c r="A231" s="19">
        <f>Database!A552</f>
        <v/>
      </c>
      <c r="B231" s="48">
        <f>VLOOKUP(A231,Database!$A:$V,MATCH(Currency!$B$1,Database!$A$1:$V$1,),)</f>
        <v/>
      </c>
    </row>
    <row r="232">
      <c r="A232" s="19">
        <f>Database!A553</f>
        <v/>
      </c>
      <c r="B232" s="48">
        <f>VLOOKUP(A232,Database!$A:$V,MATCH(Currency!$B$1,Database!$A$1:$V$1,),)</f>
        <v/>
      </c>
    </row>
    <row r="233">
      <c r="A233" s="19">
        <f>Database!A554</f>
        <v/>
      </c>
      <c r="B233" s="48">
        <f>VLOOKUP(A233,Database!$A:$V,MATCH(Currency!$B$1,Database!$A$1:$V$1,),)</f>
        <v/>
      </c>
    </row>
    <row r="234">
      <c r="A234" s="19">
        <f>Database!A555</f>
        <v/>
      </c>
      <c r="B234" s="48">
        <f>VLOOKUP(A234,Database!$A:$V,MATCH(Currency!$B$1,Database!$A$1:$V$1,),)</f>
        <v/>
      </c>
    </row>
    <row r="235">
      <c r="A235" s="19">
        <f>Database!A556</f>
        <v/>
      </c>
      <c r="B235" s="48">
        <f>VLOOKUP(A235,Database!$A:$V,MATCH(Currency!$B$1,Database!$A$1:$V$1,),)</f>
        <v/>
      </c>
    </row>
    <row r="236">
      <c r="A236" s="19">
        <f>Database!A557</f>
        <v/>
      </c>
      <c r="B236" s="48">
        <f>VLOOKUP(A236,Database!$A:$V,MATCH(Currency!$B$1,Database!$A$1:$V$1,),)</f>
        <v/>
      </c>
    </row>
    <row r="237">
      <c r="A237" s="19">
        <f>Database!A558</f>
        <v/>
      </c>
      <c r="B237" s="48">
        <f>VLOOKUP(A237,Database!$A:$V,MATCH(Currency!$B$1,Database!$A$1:$V$1,),)</f>
        <v/>
      </c>
    </row>
    <row r="238">
      <c r="A238" s="19">
        <f>Database!A559</f>
        <v/>
      </c>
      <c r="B238" s="48">
        <f>VLOOKUP(A238,Database!$A:$V,MATCH(Currency!$B$1,Database!$A$1:$V$1,),)</f>
        <v/>
      </c>
    </row>
    <row r="239">
      <c r="A239" s="19">
        <f>Database!A560</f>
        <v/>
      </c>
      <c r="B239" s="48">
        <f>VLOOKUP(A239,Database!$A:$V,MATCH(Currency!$B$1,Database!$A$1:$V$1,),)</f>
        <v/>
      </c>
    </row>
    <row r="240">
      <c r="A240" s="19">
        <f>Database!A561</f>
        <v/>
      </c>
      <c r="B240" s="48">
        <f>VLOOKUP(A240,Database!$A:$V,MATCH(Currency!$B$1,Database!$A$1:$V$1,),)</f>
        <v/>
      </c>
    </row>
    <row r="241">
      <c r="A241" s="19">
        <f>Database!A562</f>
        <v/>
      </c>
      <c r="B241" s="48">
        <f>VLOOKUP(A241,Database!$A:$V,MATCH(Currency!$B$1,Database!$A$1:$V$1,),)</f>
        <v/>
      </c>
    </row>
    <row r="242">
      <c r="A242" s="19">
        <f>Database!A563</f>
        <v/>
      </c>
      <c r="B242" s="48">
        <f>VLOOKUP(A242,Database!$A:$V,MATCH(Currency!$B$1,Database!$A$1:$V$1,),)</f>
        <v/>
      </c>
    </row>
    <row r="243">
      <c r="A243" s="19">
        <f>Database!A564</f>
        <v/>
      </c>
      <c r="B243" s="48">
        <f>VLOOKUP(A243,Database!$A:$V,MATCH(Currency!$B$1,Database!$A$1:$V$1,),)</f>
        <v/>
      </c>
    </row>
    <row r="244">
      <c r="A244" s="19">
        <f>Database!A565</f>
        <v/>
      </c>
      <c r="B244" s="48">
        <f>VLOOKUP(A244,Database!$A:$V,MATCH(Currency!$B$1,Database!$A$1:$V$1,),)</f>
        <v/>
      </c>
    </row>
    <row r="245">
      <c r="A245" s="19">
        <f>Database!A566</f>
        <v/>
      </c>
      <c r="B245" s="48">
        <f>VLOOKUP(A245,Database!$A:$V,MATCH(Currency!$B$1,Database!$A$1:$V$1,),)</f>
        <v/>
      </c>
    </row>
    <row r="246">
      <c r="A246" s="19">
        <f>Database!A567</f>
        <v/>
      </c>
      <c r="B246" s="48">
        <f>VLOOKUP(A246,Database!$A:$V,MATCH(Currency!$B$1,Database!$A$1:$V$1,),)</f>
        <v/>
      </c>
    </row>
    <row r="247">
      <c r="A247" s="19">
        <f>Database!A568</f>
        <v/>
      </c>
      <c r="B247" s="48">
        <f>VLOOKUP(A247,Database!$A:$V,MATCH(Currency!$B$1,Database!$A$1:$V$1,),)</f>
        <v/>
      </c>
    </row>
    <row r="248">
      <c r="A248" s="19">
        <f>Database!A569</f>
        <v/>
      </c>
      <c r="B248" s="48">
        <f>VLOOKUP(A248,Database!$A:$V,MATCH(Currency!$B$1,Database!$A$1:$V$1,),)</f>
        <v/>
      </c>
    </row>
    <row r="249">
      <c r="A249" s="19">
        <f>Database!A570</f>
        <v/>
      </c>
      <c r="B249" s="48">
        <f>VLOOKUP(A249,Database!$A:$V,MATCH(Currency!$B$1,Database!$A$1:$V$1,),)</f>
        <v/>
      </c>
    </row>
    <row r="250">
      <c r="A250" s="19">
        <f>Database!A571</f>
        <v/>
      </c>
      <c r="B250" s="48">
        <f>VLOOKUP(A250,Database!$A:$V,MATCH(Currency!$B$1,Database!$A$1:$V$1,),)</f>
        <v/>
      </c>
    </row>
    <row r="251">
      <c r="A251" s="19">
        <f>Database!A572</f>
        <v/>
      </c>
      <c r="B251" s="48">
        <f>VLOOKUP(A251,Database!$A:$V,MATCH(Currency!$B$1,Database!$A$1:$V$1,),)</f>
        <v/>
      </c>
    </row>
    <row r="252">
      <c r="A252" s="19">
        <f>Database!A573</f>
        <v/>
      </c>
      <c r="B252" s="48">
        <f>VLOOKUP(A252,Database!$A:$V,MATCH(Currency!$B$1,Database!$A$1:$V$1,),)</f>
        <v/>
      </c>
    </row>
    <row r="253">
      <c r="A253" s="19">
        <f>Database!A574</f>
        <v/>
      </c>
      <c r="B253" s="48">
        <f>VLOOKUP(A253,Database!$A:$V,MATCH(Currency!$B$1,Database!$A$1:$V$1,),)</f>
        <v/>
      </c>
    </row>
    <row r="254">
      <c r="A254" s="19">
        <f>Database!A575</f>
        <v/>
      </c>
      <c r="B254" s="48">
        <f>VLOOKUP(A254,Database!$A:$V,MATCH(Currency!$B$1,Database!$A$1:$V$1,),)</f>
        <v/>
      </c>
    </row>
    <row r="255">
      <c r="A255" s="19">
        <f>Database!A576</f>
        <v/>
      </c>
      <c r="B255" s="48">
        <f>VLOOKUP(A255,Database!$A:$V,MATCH(Currency!$B$1,Database!$A$1:$V$1,),)</f>
        <v/>
      </c>
    </row>
    <row r="256">
      <c r="A256" s="19">
        <f>Database!A577</f>
        <v/>
      </c>
      <c r="B256" s="48">
        <f>VLOOKUP(A256,Database!$A:$V,MATCH(Currency!$B$1,Database!$A$1:$V$1,),)</f>
        <v/>
      </c>
    </row>
    <row r="257">
      <c r="A257" s="19">
        <f>Database!A578</f>
        <v/>
      </c>
      <c r="B257" s="48">
        <f>VLOOKUP(A257,Database!$A:$V,MATCH(Currency!$B$1,Database!$A$1:$V$1,),)</f>
        <v/>
      </c>
    </row>
    <row r="258">
      <c r="A258" s="19">
        <f>Database!A579</f>
        <v/>
      </c>
      <c r="B258" s="48">
        <f>VLOOKUP(A258,Database!$A:$V,MATCH(Currency!$B$1,Database!$A$1:$V$1,),)</f>
        <v/>
      </c>
    </row>
    <row r="259">
      <c r="A259" s="19">
        <f>Database!A580</f>
        <v/>
      </c>
      <c r="B259" s="48">
        <f>VLOOKUP(A259,Database!$A:$V,MATCH(Currency!$B$1,Database!$A$1:$V$1,),)</f>
        <v/>
      </c>
    </row>
    <row r="260">
      <c r="A260" s="19">
        <f>Database!A581</f>
        <v/>
      </c>
      <c r="B260" s="48">
        <f>VLOOKUP(A260,Database!$A:$V,MATCH(Currency!$B$1,Database!$A$1:$V$1,),)</f>
        <v/>
      </c>
    </row>
    <row r="261">
      <c r="A261" s="19">
        <f>Database!A582</f>
        <v/>
      </c>
      <c r="B261" s="48">
        <f>VLOOKUP(A261,Database!$A:$V,MATCH(Currency!$B$1,Database!$A$1:$V$1,),)</f>
        <v/>
      </c>
    </row>
    <row r="262">
      <c r="A262" s="19">
        <f>Database!A583</f>
        <v/>
      </c>
      <c r="B262" s="48">
        <f>VLOOKUP(A262,Database!$A:$V,MATCH(Currency!$B$1,Database!$A$1:$V$1,),)</f>
        <v/>
      </c>
    </row>
    <row r="263">
      <c r="A263" s="19">
        <f>Database!A584</f>
        <v/>
      </c>
      <c r="B263" s="48">
        <f>VLOOKUP(A263,Database!$A:$V,MATCH(Currency!$B$1,Database!$A$1:$V$1,),)</f>
        <v/>
      </c>
    </row>
    <row r="264">
      <c r="A264" s="19">
        <f>Database!A585</f>
        <v/>
      </c>
      <c r="B264" s="48">
        <f>VLOOKUP(A264,Database!$A:$V,MATCH(Currency!$B$1,Database!$A$1:$V$1,),)</f>
        <v/>
      </c>
    </row>
    <row r="265">
      <c r="A265" s="19">
        <f>Database!A586</f>
        <v/>
      </c>
      <c r="B265" s="48">
        <f>VLOOKUP(A265,Database!$A:$V,MATCH(Currency!$B$1,Database!$A$1:$V$1,),)</f>
        <v/>
      </c>
    </row>
    <row r="266">
      <c r="A266" s="19">
        <f>Database!A587</f>
        <v/>
      </c>
      <c r="B266" s="48">
        <f>VLOOKUP(A266,Database!$A:$V,MATCH(Currency!$B$1,Database!$A$1:$V$1,),)</f>
        <v/>
      </c>
    </row>
    <row r="267">
      <c r="A267" s="19">
        <f>Database!A588</f>
        <v/>
      </c>
      <c r="B267" s="48">
        <f>VLOOKUP(A267,Database!$A:$V,MATCH(Currency!$B$1,Database!$A$1:$V$1,),)</f>
        <v/>
      </c>
    </row>
    <row r="268">
      <c r="A268" s="19">
        <f>Database!A589</f>
        <v/>
      </c>
      <c r="B268" s="48">
        <f>VLOOKUP(A268,Database!$A:$V,MATCH(Currency!$B$1,Database!$A$1:$V$1,),)</f>
        <v/>
      </c>
    </row>
    <row r="269">
      <c r="A269" s="19">
        <f>Database!A590</f>
        <v/>
      </c>
      <c r="B269" s="48">
        <f>VLOOKUP(A269,Database!$A:$V,MATCH(Currency!$B$1,Database!$A$1:$V$1,),)</f>
        <v/>
      </c>
    </row>
    <row r="270">
      <c r="A270" s="19">
        <f>Database!A591</f>
        <v/>
      </c>
      <c r="B270" s="48">
        <f>VLOOKUP(A270,Database!$A:$V,MATCH(Currency!$B$1,Database!$A$1:$V$1,),)</f>
        <v/>
      </c>
    </row>
    <row r="271">
      <c r="A271" s="19">
        <f>Database!A592</f>
        <v/>
      </c>
      <c r="B271" s="48">
        <f>VLOOKUP(A271,Database!$A:$V,MATCH(Currency!$B$1,Database!$A$1:$V$1,),)</f>
        <v/>
      </c>
    </row>
    <row r="272">
      <c r="A272" s="19">
        <f>Database!A593</f>
        <v/>
      </c>
      <c r="B272" s="48">
        <f>VLOOKUP(A272,Database!$A:$V,MATCH(Currency!$B$1,Database!$A$1:$V$1,),)</f>
        <v/>
      </c>
    </row>
    <row r="273">
      <c r="A273" s="19">
        <f>Database!A594</f>
        <v/>
      </c>
      <c r="B273" s="48">
        <f>VLOOKUP(A273,Database!$A:$V,MATCH(Currency!$B$1,Database!$A$1:$V$1,),)</f>
        <v/>
      </c>
    </row>
    <row r="274">
      <c r="A274" s="19">
        <f>Database!A595</f>
        <v/>
      </c>
      <c r="B274" s="48">
        <f>VLOOKUP(A274,Database!$A:$V,MATCH(Currency!$B$1,Database!$A$1:$V$1,),)</f>
        <v/>
      </c>
    </row>
    <row r="275">
      <c r="A275" s="19">
        <f>Database!A596</f>
        <v/>
      </c>
      <c r="B275" s="48">
        <f>VLOOKUP(A275,Database!$A:$V,MATCH(Currency!$B$1,Database!$A$1:$V$1,),)</f>
        <v/>
      </c>
    </row>
    <row r="276">
      <c r="A276" s="19">
        <f>Database!A597</f>
        <v/>
      </c>
      <c r="B276" s="48">
        <f>VLOOKUP(A276,Database!$A:$V,MATCH(Currency!$B$1,Database!$A$1:$V$1,),)</f>
        <v/>
      </c>
    </row>
    <row r="277">
      <c r="A277" s="19">
        <f>Database!A598</f>
        <v/>
      </c>
      <c r="B277" s="48">
        <f>VLOOKUP(A277,Database!$A:$V,MATCH(Currency!$B$1,Database!$A$1:$V$1,),)</f>
        <v/>
      </c>
    </row>
    <row r="278">
      <c r="A278" s="19">
        <f>Database!A599</f>
        <v/>
      </c>
      <c r="B278" s="48">
        <f>VLOOKUP(A278,Database!$A:$V,MATCH(Currency!$B$1,Database!$A$1:$V$1,),)</f>
        <v/>
      </c>
    </row>
    <row r="279">
      <c r="A279" s="19">
        <f>Database!A600</f>
        <v/>
      </c>
      <c r="B279" s="48">
        <f>VLOOKUP(A279,Database!$A:$V,MATCH(Currency!$B$1,Database!$A$1:$V$1,),)</f>
        <v/>
      </c>
    </row>
    <row r="280">
      <c r="A280" s="19">
        <f>Database!A601</f>
        <v/>
      </c>
      <c r="B280" s="48">
        <f>VLOOKUP(A280,Database!$A:$V,MATCH(Currency!$B$1,Database!$A$1:$V$1,),)</f>
        <v/>
      </c>
    </row>
    <row r="281">
      <c r="A281" s="19">
        <f>Database!A602</f>
        <v/>
      </c>
      <c r="B281" s="48">
        <f>VLOOKUP(A281,Database!$A:$V,MATCH(Currency!$B$1,Database!$A$1:$V$1,),)</f>
        <v/>
      </c>
    </row>
    <row r="282">
      <c r="A282" s="19">
        <f>Database!A603</f>
        <v/>
      </c>
      <c r="B282" s="48">
        <f>VLOOKUP(A282,Database!$A:$V,MATCH(Currency!$B$1,Database!$A$1:$V$1,),)</f>
        <v/>
      </c>
    </row>
    <row r="283">
      <c r="A283" s="19">
        <f>Database!A604</f>
        <v/>
      </c>
      <c r="B283" s="48">
        <f>VLOOKUP(A283,Database!$A:$V,MATCH(Currency!$B$1,Database!$A$1:$V$1,),)</f>
        <v/>
      </c>
    </row>
    <row r="284">
      <c r="A284" s="19">
        <f>Database!A605</f>
        <v/>
      </c>
      <c r="B284" s="48">
        <f>VLOOKUP(A284,Database!$A:$V,MATCH(Currency!$B$1,Database!$A$1:$V$1,),)</f>
        <v/>
      </c>
    </row>
    <row r="285">
      <c r="A285" s="19">
        <f>Database!A606</f>
        <v/>
      </c>
      <c r="B285" s="48">
        <f>VLOOKUP(A285,Database!$A:$V,MATCH(Currency!$B$1,Database!$A$1:$V$1,),)</f>
        <v/>
      </c>
    </row>
    <row r="286">
      <c r="A286" s="19">
        <f>Database!A607</f>
        <v/>
      </c>
      <c r="B286" s="48">
        <f>VLOOKUP(A286,Database!$A:$V,MATCH(Currency!$B$1,Database!$A$1:$V$1,),)</f>
        <v/>
      </c>
    </row>
    <row r="287">
      <c r="A287" s="19">
        <f>Database!A608</f>
        <v/>
      </c>
      <c r="B287" s="48">
        <f>VLOOKUP(A287,Database!$A:$V,MATCH(Currency!$B$1,Database!$A$1:$V$1,),)</f>
        <v/>
      </c>
    </row>
    <row r="288">
      <c r="A288" s="19">
        <f>Database!A609</f>
        <v/>
      </c>
      <c r="B288" s="48">
        <f>VLOOKUP(A288,Database!$A:$V,MATCH(Currency!$B$1,Database!$A$1:$V$1,),)</f>
        <v/>
      </c>
    </row>
    <row r="289">
      <c r="A289" s="19">
        <f>Database!A610</f>
        <v/>
      </c>
      <c r="B289" s="48">
        <f>VLOOKUP(A289,Database!$A:$V,MATCH(Currency!$B$1,Database!$A$1:$V$1,),)</f>
        <v/>
      </c>
    </row>
    <row r="290">
      <c r="A290" s="19">
        <f>Database!A611</f>
        <v/>
      </c>
      <c r="B290" s="48">
        <f>VLOOKUP(A290,Database!$A:$V,MATCH(Currency!$B$1,Database!$A$1:$V$1,),)</f>
        <v/>
      </c>
    </row>
    <row r="291">
      <c r="A291" s="19">
        <f>Database!A612</f>
        <v/>
      </c>
      <c r="B291" s="48">
        <f>VLOOKUP(A291,Database!$A:$V,MATCH(Currency!$B$1,Database!$A$1:$V$1,),)</f>
        <v/>
      </c>
    </row>
    <row r="292">
      <c r="A292" s="19">
        <f>Database!A613</f>
        <v/>
      </c>
      <c r="B292" s="48">
        <f>VLOOKUP(A292,Database!$A:$V,MATCH(Currency!$B$1,Database!$A$1:$V$1,),)</f>
        <v/>
      </c>
    </row>
    <row r="293">
      <c r="A293" s="19">
        <f>Database!A614</f>
        <v/>
      </c>
      <c r="B293" s="48">
        <f>VLOOKUP(A293,Database!$A:$V,MATCH(Currency!$B$1,Database!$A$1:$V$1,),)</f>
        <v/>
      </c>
    </row>
    <row r="294">
      <c r="A294" s="19">
        <f>Database!A615</f>
        <v/>
      </c>
      <c r="B294" s="48">
        <f>VLOOKUP(A294,Database!$A:$V,MATCH(Currency!$B$1,Database!$A$1:$V$1,),)</f>
        <v/>
      </c>
    </row>
    <row r="295">
      <c r="A295" s="19">
        <f>Database!A616</f>
        <v/>
      </c>
      <c r="B295" s="48">
        <f>VLOOKUP(A295,Database!$A:$V,MATCH(Currency!$B$1,Database!$A$1:$V$1,),)</f>
        <v/>
      </c>
    </row>
    <row r="296">
      <c r="A296" s="19">
        <f>Database!A617</f>
        <v/>
      </c>
      <c r="B296" s="48">
        <f>VLOOKUP(A296,Database!$A:$V,MATCH(Currency!$B$1,Database!$A$1:$V$1,),)</f>
        <v/>
      </c>
    </row>
    <row r="297">
      <c r="A297" s="19">
        <f>Database!A618</f>
        <v/>
      </c>
      <c r="B297" s="48">
        <f>VLOOKUP(A297,Database!$A:$V,MATCH(Currency!$B$1,Database!$A$1:$V$1,),)</f>
        <v/>
      </c>
    </row>
    <row r="298">
      <c r="A298" s="19">
        <f>Database!A619</f>
        <v/>
      </c>
      <c r="B298" s="48">
        <f>VLOOKUP(A298,Database!$A:$V,MATCH(Currency!$B$1,Database!$A$1:$V$1,),)</f>
        <v/>
      </c>
    </row>
    <row r="299">
      <c r="A299" s="19">
        <f>Database!A620</f>
        <v/>
      </c>
      <c r="B299" s="48">
        <f>VLOOKUP(A299,Database!$A:$V,MATCH(Currency!$B$1,Database!$A$1:$V$1,),)</f>
        <v/>
      </c>
    </row>
    <row r="300">
      <c r="A300" s="19">
        <f>Database!A621</f>
        <v/>
      </c>
      <c r="B300" s="48">
        <f>VLOOKUP(A300,Database!$A:$V,MATCH(Currency!$B$1,Database!$A$1:$V$1,),)</f>
        <v/>
      </c>
    </row>
    <row r="301">
      <c r="A301" s="19">
        <f>Database!A622</f>
        <v/>
      </c>
      <c r="B301" s="48">
        <f>VLOOKUP(A301,Database!$A:$V,MATCH(Currency!$B$1,Database!$A$1:$V$1,),)</f>
        <v/>
      </c>
    </row>
    <row r="302">
      <c r="A302" s="19">
        <f>Database!A623</f>
        <v/>
      </c>
      <c r="B302" s="48">
        <f>VLOOKUP(A302,Database!$A:$V,MATCH(Currency!$B$1,Database!$A$1:$V$1,),)</f>
        <v/>
      </c>
    </row>
    <row r="303">
      <c r="A303" s="19">
        <f>Database!A624</f>
        <v/>
      </c>
      <c r="B303" s="48">
        <f>VLOOKUP(A303,Database!$A:$V,MATCH(Currency!$B$1,Database!$A$1:$V$1,),)</f>
        <v/>
      </c>
    </row>
    <row r="304">
      <c r="A304" s="19">
        <f>Database!A625</f>
        <v/>
      </c>
      <c r="B304" s="48">
        <f>VLOOKUP(A304,Database!$A:$V,MATCH(Currency!$B$1,Database!$A$1:$V$1,),)</f>
        <v/>
      </c>
    </row>
    <row r="305">
      <c r="A305" s="19">
        <f>Database!A626</f>
        <v/>
      </c>
      <c r="B305" s="48">
        <f>VLOOKUP(A305,Database!$A:$V,MATCH(Currency!$B$1,Database!$A$1:$V$1,),)</f>
        <v/>
      </c>
    </row>
    <row r="306">
      <c r="A306" s="19">
        <f>Database!A627</f>
        <v/>
      </c>
      <c r="B306" s="48">
        <f>VLOOKUP(A306,Database!$A:$V,MATCH(Currency!$B$1,Database!$A$1:$V$1,),)</f>
        <v/>
      </c>
    </row>
    <row r="307">
      <c r="A307" s="19">
        <f>Database!A628</f>
        <v/>
      </c>
      <c r="B307" s="48">
        <f>VLOOKUP(A307,Database!$A:$V,MATCH(Currency!$B$1,Database!$A$1:$V$1,),)</f>
        <v/>
      </c>
    </row>
    <row r="308">
      <c r="A308" s="19">
        <f>Database!A629</f>
        <v/>
      </c>
      <c r="B308" s="48">
        <f>VLOOKUP(A308,Database!$A:$V,MATCH(Currency!$B$1,Database!$A$1:$V$1,),)</f>
        <v/>
      </c>
    </row>
    <row r="309">
      <c r="A309" s="19">
        <f>Database!A630</f>
        <v/>
      </c>
      <c r="B309" s="48">
        <f>VLOOKUP(A309,Database!$A:$V,MATCH(Currency!$B$1,Database!$A$1:$V$1,),)</f>
        <v/>
      </c>
    </row>
    <row r="310">
      <c r="A310" s="19">
        <f>Database!A631</f>
        <v/>
      </c>
      <c r="B310" s="48">
        <f>VLOOKUP(A310,Database!$A:$V,MATCH(Currency!$B$1,Database!$A$1:$V$1,),)</f>
        <v/>
      </c>
    </row>
    <row r="311">
      <c r="A311" s="19">
        <f>Database!A632</f>
        <v/>
      </c>
      <c r="B311" s="48">
        <f>VLOOKUP(A311,Database!$A:$V,MATCH(Currency!$B$1,Database!$A$1:$V$1,),)</f>
        <v/>
      </c>
    </row>
    <row r="312">
      <c r="A312" s="19">
        <f>Database!A633</f>
        <v/>
      </c>
      <c r="B312" s="48">
        <f>VLOOKUP(A312,Database!$A:$V,MATCH(Currency!$B$1,Database!$A$1:$V$1,),)</f>
        <v/>
      </c>
    </row>
    <row r="313">
      <c r="A313" s="19">
        <f>Database!A634</f>
        <v/>
      </c>
      <c r="B313" s="48">
        <f>VLOOKUP(A313,Database!$A:$V,MATCH(Currency!$B$1,Database!$A$1:$V$1,),)</f>
        <v/>
      </c>
    </row>
    <row r="314">
      <c r="A314" s="19">
        <f>Database!A635</f>
        <v/>
      </c>
      <c r="B314" s="48">
        <f>VLOOKUP(A314,Database!$A:$V,MATCH(Currency!$B$1,Database!$A$1:$V$1,),)</f>
        <v/>
      </c>
    </row>
    <row r="315">
      <c r="A315" s="19">
        <f>Database!A636</f>
        <v/>
      </c>
      <c r="B315" s="48">
        <f>VLOOKUP(A315,Database!$A:$V,MATCH(Currency!$B$1,Database!$A$1:$V$1,),)</f>
        <v/>
      </c>
    </row>
    <row r="316">
      <c r="A316" s="19">
        <f>Database!A637</f>
        <v/>
      </c>
      <c r="B316" s="48">
        <f>VLOOKUP(A316,Database!$A:$V,MATCH(Currency!$B$1,Database!$A$1:$V$1,),)</f>
        <v/>
      </c>
    </row>
    <row r="317">
      <c r="A317" s="19">
        <f>Database!A638</f>
        <v/>
      </c>
      <c r="B317" s="48">
        <f>VLOOKUP(A317,Database!$A:$V,MATCH(Currency!$B$1,Database!$A$1:$V$1,),)</f>
        <v/>
      </c>
    </row>
    <row r="318">
      <c r="A318" s="19">
        <f>Database!A639</f>
        <v/>
      </c>
      <c r="B318" s="48">
        <f>VLOOKUP(A318,Database!$A:$V,MATCH(Currency!$B$1,Database!$A$1:$V$1,),)</f>
        <v/>
      </c>
    </row>
    <row r="319">
      <c r="A319" s="19">
        <f>Database!A640</f>
        <v/>
      </c>
      <c r="B319" s="48">
        <f>VLOOKUP(A319,Database!$A:$V,MATCH(Currency!$B$1,Database!$A$1:$V$1,),)</f>
        <v/>
      </c>
    </row>
    <row r="320">
      <c r="A320" s="19">
        <f>Database!A641</f>
        <v/>
      </c>
      <c r="B320" s="48">
        <f>VLOOKUP(A320,Database!$A:$V,MATCH(Currency!$B$1,Database!$A$1:$V$1,),)</f>
        <v/>
      </c>
    </row>
    <row r="321">
      <c r="A321" s="19">
        <f>Database!A642</f>
        <v/>
      </c>
      <c r="B321" s="48">
        <f>VLOOKUP(A321,Database!$A:$V,MATCH(Currency!$B$1,Database!$A$1:$V$1,),)</f>
        <v/>
      </c>
    </row>
    <row r="322">
      <c r="A322" s="19">
        <f>Database!A643</f>
        <v/>
      </c>
      <c r="B322" s="48">
        <f>VLOOKUP(A322,Database!$A:$V,MATCH(Currency!$B$1,Database!$A$1:$V$1,),)</f>
        <v/>
      </c>
    </row>
    <row r="323">
      <c r="A323" s="19">
        <f>Database!A644</f>
        <v/>
      </c>
      <c r="B323" s="48">
        <f>VLOOKUP(A323,Database!$A:$V,MATCH(Currency!$B$1,Database!$A$1:$V$1,),)</f>
        <v/>
      </c>
    </row>
    <row r="324">
      <c r="A324" s="19">
        <f>Database!A645</f>
        <v/>
      </c>
      <c r="B324" s="48">
        <f>VLOOKUP(A324,Database!$A:$V,MATCH(Currency!$B$1,Database!$A$1:$V$1,),)</f>
        <v/>
      </c>
    </row>
    <row r="325">
      <c r="A325" s="19">
        <f>Database!A646</f>
        <v/>
      </c>
      <c r="B325" s="48">
        <f>VLOOKUP(A325,Database!$A:$V,MATCH(Currency!$B$1,Database!$A$1:$V$1,),)</f>
        <v/>
      </c>
    </row>
    <row r="326">
      <c r="A326" s="19">
        <f>Database!A647</f>
        <v/>
      </c>
      <c r="B326" s="48">
        <f>VLOOKUP(A326,Database!$A:$V,MATCH(Currency!$B$1,Database!$A$1:$V$1,),)</f>
        <v/>
      </c>
    </row>
    <row r="327">
      <c r="A327" s="19">
        <f>Database!A648</f>
        <v/>
      </c>
      <c r="B327" s="48">
        <f>VLOOKUP(A327,Database!$A:$V,MATCH(Currency!$B$1,Database!$A$1:$V$1,),)</f>
        <v/>
      </c>
    </row>
    <row r="328">
      <c r="A328" s="19">
        <f>Database!A649</f>
        <v/>
      </c>
      <c r="B328" s="48">
        <f>VLOOKUP(A328,Database!$A:$V,MATCH(Currency!$B$1,Database!$A$1:$V$1,),)</f>
        <v/>
      </c>
    </row>
    <row r="329">
      <c r="A329" s="19">
        <f>Database!A650</f>
        <v/>
      </c>
      <c r="B329" s="48">
        <f>VLOOKUP(A329,Database!$A:$V,MATCH(Currency!$B$1,Database!$A$1:$V$1,),)</f>
        <v/>
      </c>
    </row>
    <row r="330">
      <c r="A330" s="19">
        <f>Database!A651</f>
        <v/>
      </c>
      <c r="B330" s="48">
        <f>VLOOKUP(A330,Database!$A:$V,MATCH(Currency!$B$1,Database!$A$1:$V$1,),)</f>
        <v/>
      </c>
    </row>
    <row r="331">
      <c r="A331" s="19">
        <f>Database!A652</f>
        <v/>
      </c>
      <c r="B331" s="48">
        <f>VLOOKUP(A331,Database!$A:$V,MATCH(Currency!$B$1,Database!$A$1:$V$1,),)</f>
        <v/>
      </c>
    </row>
    <row r="332">
      <c r="A332" s="19">
        <f>Database!A653</f>
        <v/>
      </c>
      <c r="B332" s="48">
        <f>VLOOKUP(A332,Database!$A:$V,MATCH(Currency!$B$1,Database!$A$1:$V$1,),)</f>
        <v/>
      </c>
    </row>
    <row r="333">
      <c r="A333" s="19">
        <f>Database!A654</f>
        <v/>
      </c>
      <c r="B333" s="48">
        <f>VLOOKUP(A333,Database!$A:$V,MATCH(Currency!$B$1,Database!$A$1:$V$1,),)</f>
        <v/>
      </c>
    </row>
    <row r="334">
      <c r="A334" s="19">
        <f>Database!A655</f>
        <v/>
      </c>
      <c r="B334" s="48">
        <f>VLOOKUP(A334,Database!$A:$V,MATCH(Currency!$B$1,Database!$A$1:$V$1,),)</f>
        <v/>
      </c>
    </row>
    <row r="335">
      <c r="A335" s="19">
        <f>Database!A656</f>
        <v/>
      </c>
      <c r="B335" s="48">
        <f>VLOOKUP(A335,Database!$A:$V,MATCH(Currency!$B$1,Database!$A$1:$V$1,),)</f>
        <v/>
      </c>
    </row>
    <row r="336">
      <c r="A336" s="19">
        <f>Database!A657</f>
        <v/>
      </c>
      <c r="B336" s="48">
        <f>VLOOKUP(A336,Database!$A:$V,MATCH(Currency!$B$1,Database!$A$1:$V$1,),)</f>
        <v/>
      </c>
    </row>
    <row r="337">
      <c r="A337" s="19">
        <f>Database!A658</f>
        <v/>
      </c>
      <c r="B337" s="48">
        <f>VLOOKUP(A337,Database!$A:$V,MATCH(Currency!$B$1,Database!$A$1:$V$1,),)</f>
        <v/>
      </c>
    </row>
    <row r="338">
      <c r="A338" s="19">
        <f>Database!A659</f>
        <v/>
      </c>
      <c r="B338" s="48">
        <f>VLOOKUP(A338,Database!$A:$V,MATCH(Currency!$B$1,Database!$A$1:$V$1,),)</f>
        <v/>
      </c>
    </row>
    <row r="339">
      <c r="A339" s="19">
        <f>Database!A660</f>
        <v/>
      </c>
      <c r="B339" s="48">
        <f>VLOOKUP(A339,Database!$A:$V,MATCH(Currency!$B$1,Database!$A$1:$V$1,),)</f>
        <v/>
      </c>
    </row>
    <row r="340">
      <c r="A340" s="19">
        <f>Database!A661</f>
        <v/>
      </c>
      <c r="B340" s="48">
        <f>VLOOKUP(A340,Database!$A:$V,MATCH(Currency!$B$1,Database!$A$1:$V$1,),)</f>
        <v/>
      </c>
    </row>
    <row r="341">
      <c r="A341" s="19">
        <f>Database!A662</f>
        <v/>
      </c>
      <c r="B341" s="48">
        <f>VLOOKUP(A341,Database!$A:$V,MATCH(Currency!$B$1,Database!$A$1:$V$1,),)</f>
        <v/>
      </c>
    </row>
    <row r="342">
      <c r="A342" s="19">
        <f>Database!A663</f>
        <v/>
      </c>
      <c r="B342" s="48">
        <f>VLOOKUP(A342,Database!$A:$V,MATCH(Currency!$B$1,Database!$A$1:$V$1,),)</f>
        <v/>
      </c>
    </row>
    <row r="343">
      <c r="A343" s="19">
        <f>Database!A664</f>
        <v/>
      </c>
      <c r="B343" s="48">
        <f>VLOOKUP(A343,Database!$A:$V,MATCH(Currency!$B$1,Database!$A$1:$V$1,),)</f>
        <v/>
      </c>
    </row>
    <row r="344">
      <c r="A344" s="19">
        <f>Database!A665</f>
        <v/>
      </c>
      <c r="B344" s="48">
        <f>VLOOKUP(A344,Database!$A:$V,MATCH(Currency!$B$1,Database!$A$1:$V$1,),)</f>
        <v/>
      </c>
    </row>
    <row r="345">
      <c r="A345" s="19">
        <f>Database!A666</f>
        <v/>
      </c>
      <c r="B345" s="48">
        <f>VLOOKUP(A345,Database!$A:$V,MATCH(Currency!$B$1,Database!$A$1:$V$1,),)</f>
        <v/>
      </c>
    </row>
    <row r="346">
      <c r="A346" s="19">
        <f>Database!A667</f>
        <v/>
      </c>
      <c r="B346" s="48">
        <f>VLOOKUP(A346,Database!$A:$V,MATCH(Currency!$B$1,Database!$A$1:$V$1,),)</f>
        <v/>
      </c>
    </row>
    <row r="347">
      <c r="A347" s="19">
        <f>Database!A668</f>
        <v/>
      </c>
      <c r="B347" s="48">
        <f>VLOOKUP(A347,Database!$A:$V,MATCH(Currency!$B$1,Database!$A$1:$V$1,),)</f>
        <v/>
      </c>
    </row>
    <row r="348">
      <c r="A348" s="19">
        <f>Database!A669</f>
        <v/>
      </c>
      <c r="B348" s="48">
        <f>VLOOKUP(A348,Database!$A:$V,MATCH(Currency!$B$1,Database!$A$1:$V$1,),)</f>
        <v/>
      </c>
    </row>
    <row r="349">
      <c r="A349" s="19">
        <f>Database!A670</f>
        <v/>
      </c>
      <c r="B349" s="48">
        <f>VLOOKUP(A349,Database!$A:$V,MATCH(Currency!$B$1,Database!$A$1:$V$1,),)</f>
        <v/>
      </c>
    </row>
    <row r="350">
      <c r="A350" s="19">
        <f>Database!A671</f>
        <v/>
      </c>
      <c r="B350" s="48">
        <f>VLOOKUP(A350,Database!$A:$V,MATCH(Currency!$B$1,Database!$A$1:$V$1,),)</f>
        <v/>
      </c>
    </row>
    <row r="351">
      <c r="A351" s="19">
        <f>Database!A672</f>
        <v/>
      </c>
      <c r="B351" s="48">
        <f>VLOOKUP(A351,Database!$A:$V,MATCH(Currency!$B$1,Database!$A$1:$V$1,),)</f>
        <v/>
      </c>
    </row>
    <row r="352">
      <c r="A352" s="19">
        <f>Database!A673</f>
        <v/>
      </c>
      <c r="B352" s="48">
        <f>VLOOKUP(A352,Database!$A:$V,MATCH(Currency!$B$1,Database!$A$1:$V$1,),)</f>
        <v/>
      </c>
    </row>
    <row r="353">
      <c r="A353" s="19">
        <f>Database!A674</f>
        <v/>
      </c>
      <c r="B353" s="48">
        <f>VLOOKUP(A353,Database!$A:$V,MATCH(Currency!$B$1,Database!$A$1:$V$1,),)</f>
        <v/>
      </c>
    </row>
    <row r="354">
      <c r="A354" s="19">
        <f>Database!A675</f>
        <v/>
      </c>
      <c r="B354" s="48">
        <f>VLOOKUP(A354,Database!$A:$V,MATCH(Currency!$B$1,Database!$A$1:$V$1,),)</f>
        <v/>
      </c>
    </row>
    <row r="355">
      <c r="A355" s="19">
        <f>Database!A676</f>
        <v/>
      </c>
      <c r="B355" s="48">
        <f>VLOOKUP(A355,Database!$A:$V,MATCH(Currency!$B$1,Database!$A$1:$V$1,),)</f>
        <v/>
      </c>
    </row>
    <row r="356">
      <c r="A356" s="19">
        <f>Database!A677</f>
        <v/>
      </c>
      <c r="B356" s="48">
        <f>VLOOKUP(A356,Database!$A:$V,MATCH(Currency!$B$1,Database!$A$1:$V$1,),)</f>
        <v/>
      </c>
    </row>
    <row r="357">
      <c r="A357" s="19">
        <f>Database!A678</f>
        <v/>
      </c>
      <c r="B357" s="48">
        <f>VLOOKUP(A357,Database!$A:$V,MATCH(Currency!$B$1,Database!$A$1:$V$1,),)</f>
        <v/>
      </c>
    </row>
    <row r="358">
      <c r="A358" s="19">
        <f>Database!A679</f>
        <v/>
      </c>
      <c r="B358" s="48">
        <f>VLOOKUP(A358,Database!$A:$V,MATCH(Currency!$B$1,Database!$A$1:$V$1,),)</f>
        <v/>
      </c>
    </row>
    <row r="359">
      <c r="A359" s="19">
        <f>Database!A680</f>
        <v/>
      </c>
      <c r="B359" s="48">
        <f>VLOOKUP(A359,Database!$A:$V,MATCH(Currency!$B$1,Database!$A$1:$V$1,),)</f>
        <v/>
      </c>
    </row>
    <row r="360">
      <c r="A360" s="19">
        <f>Database!A681</f>
        <v/>
      </c>
      <c r="B360" s="48">
        <f>VLOOKUP(A360,Database!$A:$V,MATCH(Currency!$B$1,Database!$A$1:$V$1,),)</f>
        <v/>
      </c>
    </row>
    <row r="361">
      <c r="A361" s="19">
        <f>Database!A682</f>
        <v/>
      </c>
      <c r="B361" s="48">
        <f>VLOOKUP(A361,Database!$A:$V,MATCH(Currency!$B$1,Database!$A$1:$V$1,),)</f>
        <v/>
      </c>
    </row>
    <row r="362">
      <c r="A362" s="19">
        <f>Database!A683</f>
        <v/>
      </c>
      <c r="B362" s="48">
        <f>VLOOKUP(A362,Database!$A:$V,MATCH(Currency!$B$1,Database!$A$1:$V$1,),)</f>
        <v/>
      </c>
    </row>
    <row r="363">
      <c r="A363" s="19">
        <f>Database!A684</f>
        <v/>
      </c>
      <c r="B363" s="48">
        <f>VLOOKUP(A363,Database!$A:$V,MATCH(Currency!$B$1,Database!$A$1:$V$1,),)</f>
        <v/>
      </c>
    </row>
    <row r="364">
      <c r="A364" s="19">
        <f>Database!A685</f>
        <v/>
      </c>
      <c r="B364" s="48">
        <f>VLOOKUP(A364,Database!$A:$V,MATCH(Currency!$B$1,Database!$A$1:$V$1,),)</f>
        <v/>
      </c>
    </row>
    <row r="365">
      <c r="A365" s="19">
        <f>Database!A686</f>
        <v/>
      </c>
      <c r="B365" s="48">
        <f>VLOOKUP(A365,Database!$A:$V,MATCH(Currency!$B$1,Database!$A$1:$V$1,),)</f>
        <v/>
      </c>
    </row>
    <row r="366">
      <c r="A366" s="19">
        <f>Database!A687</f>
        <v/>
      </c>
      <c r="B366" s="48">
        <f>VLOOKUP(A366,Database!$A:$V,MATCH(Currency!$B$1,Database!$A$1:$V$1,),)</f>
        <v/>
      </c>
    </row>
    <row r="367">
      <c r="A367" s="19">
        <f>Database!A688</f>
        <v/>
      </c>
      <c r="B367" s="48">
        <f>VLOOKUP(A367,Database!$A:$V,MATCH(Currency!$B$1,Database!$A$1:$V$1,),)</f>
        <v/>
      </c>
    </row>
    <row r="368">
      <c r="A368" s="19">
        <f>Database!A689</f>
        <v/>
      </c>
      <c r="B368" s="48">
        <f>VLOOKUP(A368,Database!$A:$V,MATCH(Currency!$B$1,Database!$A$1:$V$1,),)</f>
        <v/>
      </c>
    </row>
    <row r="369">
      <c r="A369" s="19">
        <f>Database!A690</f>
        <v/>
      </c>
      <c r="B369" s="48">
        <f>VLOOKUP(A369,Database!$A:$V,MATCH(Currency!$B$1,Database!$A$1:$V$1,),)</f>
        <v/>
      </c>
    </row>
    <row r="370">
      <c r="A370" s="19">
        <f>Database!A691</f>
        <v/>
      </c>
      <c r="B370" s="48">
        <f>VLOOKUP(A370,Database!$A:$V,MATCH(Currency!$B$1,Database!$A$1:$V$1,),)</f>
        <v/>
      </c>
    </row>
    <row r="371">
      <c r="A371" s="19">
        <f>Database!A692</f>
        <v/>
      </c>
      <c r="B371" s="48">
        <f>VLOOKUP(A371,Database!$A:$V,MATCH(Currency!$B$1,Database!$A$1:$V$1,),)</f>
        <v/>
      </c>
    </row>
    <row r="372">
      <c r="A372" s="19">
        <f>Database!A693</f>
        <v/>
      </c>
      <c r="B372" s="48">
        <f>VLOOKUP(A372,Database!$A:$V,MATCH(Currency!$B$1,Database!$A$1:$V$1,),)</f>
        <v/>
      </c>
    </row>
    <row r="373">
      <c r="A373" s="19">
        <f>Database!A694</f>
        <v/>
      </c>
      <c r="B373" s="48">
        <f>VLOOKUP(A373,Database!$A:$V,MATCH(Currency!$B$1,Database!$A$1:$V$1,),)</f>
        <v/>
      </c>
    </row>
    <row r="374">
      <c r="A374" s="19">
        <f>Database!A695</f>
        <v/>
      </c>
      <c r="B374" s="48">
        <f>VLOOKUP(A374,Database!$A:$V,MATCH(Currency!$B$1,Database!$A$1:$V$1,),)</f>
        <v/>
      </c>
    </row>
    <row r="375">
      <c r="A375" s="19">
        <f>Database!A696</f>
        <v/>
      </c>
      <c r="B375" s="48">
        <f>VLOOKUP(A375,Database!$A:$V,MATCH(Currency!$B$1,Database!$A$1:$V$1,),)</f>
        <v/>
      </c>
    </row>
    <row r="376">
      <c r="A376" s="19">
        <f>Database!A697</f>
        <v/>
      </c>
      <c r="B376" s="48">
        <f>VLOOKUP(A376,Database!$A:$V,MATCH(Currency!$B$1,Database!$A$1:$V$1,),)</f>
        <v/>
      </c>
    </row>
    <row r="377">
      <c r="A377" s="19">
        <f>Database!A698</f>
        <v/>
      </c>
      <c r="B377" s="48">
        <f>VLOOKUP(A377,Database!$A:$V,MATCH(Currency!$B$1,Database!$A$1:$V$1,),)</f>
        <v/>
      </c>
    </row>
    <row r="378">
      <c r="A378" s="19">
        <f>Database!A699</f>
        <v/>
      </c>
      <c r="B378" s="48">
        <f>VLOOKUP(A378,Database!$A:$V,MATCH(Currency!$B$1,Database!$A$1:$V$1,),)</f>
        <v/>
      </c>
    </row>
    <row r="379">
      <c r="A379" s="19">
        <f>Database!A700</f>
        <v/>
      </c>
      <c r="B379" s="48">
        <f>VLOOKUP(A379,Database!$A:$V,MATCH(Currency!$B$1,Database!$A$1:$V$1,),)</f>
        <v/>
      </c>
    </row>
    <row r="380">
      <c r="A380" s="19">
        <f>Database!A701</f>
        <v/>
      </c>
      <c r="B380" s="48">
        <f>VLOOKUP(A380,Database!$A:$V,MATCH(Currency!$B$1,Database!$A$1:$V$1,),)</f>
        <v/>
      </c>
    </row>
    <row r="381">
      <c r="A381" s="19">
        <f>Database!A702</f>
        <v/>
      </c>
      <c r="B381" s="48">
        <f>VLOOKUP(A381,Database!$A:$V,MATCH(Currency!$B$1,Database!$A$1:$V$1,),)</f>
        <v/>
      </c>
    </row>
    <row r="382">
      <c r="A382" s="19">
        <f>Database!A703</f>
        <v/>
      </c>
      <c r="B382" s="48">
        <f>VLOOKUP(A382,Database!$A:$V,MATCH(Currency!$B$1,Database!$A$1:$V$1,),)</f>
        <v/>
      </c>
    </row>
    <row r="383">
      <c r="A383" s="19">
        <f>Database!A704</f>
        <v/>
      </c>
      <c r="B383" s="48">
        <f>VLOOKUP(A383,Database!$A:$V,MATCH(Currency!$B$1,Database!$A$1:$V$1,),)</f>
        <v/>
      </c>
    </row>
    <row r="384">
      <c r="A384" s="19">
        <f>Database!A705</f>
        <v/>
      </c>
      <c r="B384" s="48">
        <f>VLOOKUP(A384,Database!$A:$V,MATCH(Currency!$B$1,Database!$A$1:$V$1,),)</f>
        <v/>
      </c>
    </row>
    <row r="385">
      <c r="A385" s="19">
        <f>Database!A706</f>
        <v/>
      </c>
      <c r="B385" s="48">
        <f>VLOOKUP(A385,Database!$A:$V,MATCH(Currency!$B$1,Database!$A$1:$V$1,),)</f>
        <v/>
      </c>
    </row>
    <row r="386">
      <c r="A386" s="19">
        <f>Database!A707</f>
        <v/>
      </c>
      <c r="B386" s="48">
        <f>VLOOKUP(A386,Database!$A:$V,MATCH(Currency!$B$1,Database!$A$1:$V$1,),)</f>
        <v/>
      </c>
    </row>
    <row r="387">
      <c r="A387" s="19">
        <f>Database!A708</f>
        <v/>
      </c>
      <c r="B387" s="48">
        <f>VLOOKUP(A387,Database!$A:$V,MATCH(Currency!$B$1,Database!$A$1:$V$1,),)</f>
        <v/>
      </c>
    </row>
    <row r="388">
      <c r="A388" s="19">
        <f>Database!A709</f>
        <v/>
      </c>
      <c r="B388" s="48">
        <f>VLOOKUP(A388,Database!$A:$V,MATCH(Currency!$B$1,Database!$A$1:$V$1,),)</f>
        <v/>
      </c>
    </row>
    <row r="389">
      <c r="A389" s="19">
        <f>Database!A710</f>
        <v/>
      </c>
      <c r="B389" s="48">
        <f>VLOOKUP(A389,Database!$A:$V,MATCH(Currency!$B$1,Database!$A$1:$V$1,),)</f>
        <v/>
      </c>
    </row>
    <row r="390">
      <c r="A390" s="19">
        <f>Database!A711</f>
        <v/>
      </c>
      <c r="B390" s="48">
        <f>VLOOKUP(A390,Database!$A:$V,MATCH(Currency!$B$1,Database!$A$1:$V$1,),)</f>
        <v/>
      </c>
    </row>
    <row r="391">
      <c r="A391" s="19">
        <f>Database!A712</f>
        <v/>
      </c>
      <c r="B391" s="48">
        <f>VLOOKUP(A391,Database!$A:$V,MATCH(Currency!$B$1,Database!$A$1:$V$1,),)</f>
        <v/>
      </c>
    </row>
    <row r="392">
      <c r="A392" s="19">
        <f>Database!A713</f>
        <v/>
      </c>
      <c r="B392" s="48">
        <f>VLOOKUP(A392,Database!$A:$V,MATCH(Currency!$B$1,Database!$A$1:$V$1,),)</f>
        <v/>
      </c>
    </row>
    <row r="393">
      <c r="A393" s="19">
        <f>Database!A714</f>
        <v/>
      </c>
      <c r="B393" s="48">
        <f>VLOOKUP(A393,Database!$A:$V,MATCH(Currency!$B$1,Database!$A$1:$V$1,),)</f>
        <v/>
      </c>
    </row>
    <row r="394">
      <c r="A394" s="19">
        <f>Database!A715</f>
        <v/>
      </c>
      <c r="B394" s="48">
        <f>VLOOKUP(A394,Database!$A:$V,MATCH(Currency!$B$1,Database!$A$1:$V$1,),)</f>
        <v/>
      </c>
    </row>
    <row r="395">
      <c r="A395" s="19">
        <f>Database!A716</f>
        <v/>
      </c>
      <c r="B395" s="48">
        <f>VLOOKUP(A395,Database!$A:$V,MATCH(Currency!$B$1,Database!$A$1:$V$1,),)</f>
        <v/>
      </c>
    </row>
    <row r="396">
      <c r="A396" s="19">
        <f>Database!A717</f>
        <v/>
      </c>
      <c r="B396" s="48">
        <f>VLOOKUP(A396,Database!$A:$V,MATCH(Currency!$B$1,Database!$A$1:$V$1,),)</f>
        <v/>
      </c>
    </row>
    <row r="397">
      <c r="A397" s="19">
        <f>Database!A718</f>
        <v/>
      </c>
      <c r="B397" s="48">
        <f>VLOOKUP(A397,Database!$A:$V,MATCH(Currency!$B$1,Database!$A$1:$V$1,),)</f>
        <v/>
      </c>
    </row>
    <row r="398">
      <c r="A398" s="19">
        <f>Database!A719</f>
        <v/>
      </c>
      <c r="B398" s="48">
        <f>VLOOKUP(A398,Database!$A:$V,MATCH(Currency!$B$1,Database!$A$1:$V$1,),)</f>
        <v/>
      </c>
    </row>
    <row r="399">
      <c r="A399" s="19">
        <f>Database!A720</f>
        <v/>
      </c>
      <c r="B399" s="48">
        <f>VLOOKUP(A399,Database!$A:$V,MATCH(Currency!$B$1,Database!$A$1:$V$1,),)</f>
        <v/>
      </c>
    </row>
    <row r="400">
      <c r="A400" s="19">
        <f>Database!A721</f>
        <v/>
      </c>
      <c r="B400" s="48">
        <f>VLOOKUP(A400,Database!$A:$V,MATCH(Currency!$B$1,Database!$A$1:$V$1,),)</f>
        <v/>
      </c>
    </row>
    <row r="401">
      <c r="A401" s="19">
        <f>Database!A722</f>
        <v/>
      </c>
      <c r="B401" s="48">
        <f>VLOOKUP(A401,Database!$A:$V,MATCH(Currency!$B$1,Database!$A$1:$V$1,),)</f>
        <v/>
      </c>
    </row>
    <row r="402">
      <c r="A402" s="19">
        <f>Database!A723</f>
        <v/>
      </c>
      <c r="B402" s="48">
        <f>VLOOKUP(A402,Database!$A:$V,MATCH(Currency!$B$1,Database!$A$1:$V$1,),)</f>
        <v/>
      </c>
    </row>
    <row r="403">
      <c r="A403" s="19">
        <f>Database!A724</f>
        <v/>
      </c>
      <c r="B403" s="48">
        <f>VLOOKUP(A403,Database!$A:$V,MATCH(Currency!$B$1,Database!$A$1:$V$1,),)</f>
        <v/>
      </c>
    </row>
    <row r="404">
      <c r="A404" s="19">
        <f>Database!A725</f>
        <v/>
      </c>
      <c r="B404" s="48">
        <f>VLOOKUP(A404,Database!$A:$V,MATCH(Currency!$B$1,Database!$A$1:$V$1,),)</f>
        <v/>
      </c>
    </row>
    <row r="405">
      <c r="A405" s="19">
        <f>Database!A726</f>
        <v/>
      </c>
      <c r="B405" s="48">
        <f>VLOOKUP(A405,Database!$A:$V,MATCH(Currency!$B$1,Database!$A$1:$V$1,),)</f>
        <v/>
      </c>
    </row>
    <row r="406">
      <c r="A406" s="19">
        <f>Database!A727</f>
        <v/>
      </c>
      <c r="B406" s="48">
        <f>VLOOKUP(A406,Database!$A:$V,MATCH(Currency!$B$1,Database!$A$1:$V$1,),)</f>
        <v/>
      </c>
    </row>
    <row r="407">
      <c r="A407" s="19">
        <f>Database!A728</f>
        <v/>
      </c>
      <c r="B407" s="48">
        <f>VLOOKUP(A407,Database!$A:$V,MATCH(Currency!$B$1,Database!$A$1:$V$1,),)</f>
        <v/>
      </c>
    </row>
    <row r="408">
      <c r="A408" s="19">
        <f>Database!A729</f>
        <v/>
      </c>
      <c r="B408" s="48">
        <f>VLOOKUP(A408,Database!$A:$V,MATCH(Currency!$B$1,Database!$A$1:$V$1,),)</f>
        <v/>
      </c>
    </row>
    <row r="409">
      <c r="A409" s="19">
        <f>Database!A730</f>
        <v/>
      </c>
      <c r="B409" s="48">
        <f>VLOOKUP(A409,Database!$A:$V,MATCH(Currency!$B$1,Database!$A$1:$V$1,),)</f>
        <v/>
      </c>
    </row>
    <row r="410">
      <c r="A410" s="19">
        <f>Database!A731</f>
        <v/>
      </c>
      <c r="B410" s="48">
        <f>VLOOKUP(A410,Database!$A:$V,MATCH(Currency!$B$1,Database!$A$1:$V$1,),)</f>
        <v/>
      </c>
    </row>
    <row r="411">
      <c r="A411" s="19">
        <f>Database!A732</f>
        <v/>
      </c>
      <c r="B411" s="48">
        <f>VLOOKUP(A411,Database!$A:$V,MATCH(Currency!$B$1,Database!$A$1:$V$1,),)</f>
        <v/>
      </c>
    </row>
    <row r="412">
      <c r="A412" s="19">
        <f>Database!A733</f>
        <v/>
      </c>
      <c r="B412" s="48">
        <f>VLOOKUP(A412,Database!$A:$V,MATCH(Currency!$B$1,Database!$A$1:$V$1,),)</f>
        <v/>
      </c>
    </row>
    <row r="413">
      <c r="A413" s="19">
        <f>Database!A734</f>
        <v/>
      </c>
      <c r="B413" s="48">
        <f>VLOOKUP(A413,Database!$A:$V,MATCH(Currency!$B$1,Database!$A$1:$V$1,),)</f>
        <v/>
      </c>
    </row>
    <row r="414">
      <c r="A414" s="19">
        <f>Database!A735</f>
        <v/>
      </c>
      <c r="B414" s="48">
        <f>VLOOKUP(A414,Database!$A:$V,MATCH(Currency!$B$1,Database!$A$1:$V$1,),)</f>
        <v/>
      </c>
    </row>
    <row r="415">
      <c r="A415" s="19">
        <f>Database!A736</f>
        <v/>
      </c>
      <c r="B415" s="48">
        <f>VLOOKUP(A415,Database!$A:$V,MATCH(Currency!$B$1,Database!$A$1:$V$1,),)</f>
        <v/>
      </c>
    </row>
    <row r="416">
      <c r="A416" s="19">
        <f>Database!A737</f>
        <v/>
      </c>
      <c r="B416" s="48">
        <f>VLOOKUP(A416,Database!$A:$V,MATCH(Currency!$B$1,Database!$A$1:$V$1,),)</f>
        <v/>
      </c>
    </row>
    <row r="417">
      <c r="A417" s="19">
        <f>Database!A738</f>
        <v/>
      </c>
      <c r="B417" s="48">
        <f>VLOOKUP(A417,Database!$A:$V,MATCH(Currency!$B$1,Database!$A$1:$V$1,),)</f>
        <v/>
      </c>
    </row>
    <row r="418">
      <c r="A418" s="19">
        <f>Database!A739</f>
        <v/>
      </c>
      <c r="B418" s="48">
        <f>VLOOKUP(A418,Database!$A:$V,MATCH(Currency!$B$1,Database!$A$1:$V$1,),)</f>
        <v/>
      </c>
    </row>
    <row r="419">
      <c r="A419" s="19">
        <f>Database!A740</f>
        <v/>
      </c>
      <c r="B419" s="48">
        <f>VLOOKUP(A419,Database!$A:$V,MATCH(Currency!$B$1,Database!$A$1:$V$1,),)</f>
        <v/>
      </c>
    </row>
    <row r="420">
      <c r="A420" s="19">
        <f>Database!A741</f>
        <v/>
      </c>
      <c r="B420" s="48">
        <f>VLOOKUP(A420,Database!$A:$V,MATCH(Currency!$B$1,Database!$A$1:$V$1,),)</f>
        <v/>
      </c>
    </row>
    <row r="421">
      <c r="A421" s="19">
        <f>Database!A742</f>
        <v/>
      </c>
      <c r="B421" s="48">
        <f>VLOOKUP(A421,Database!$A:$V,MATCH(Currency!$B$1,Database!$A$1:$V$1,),)</f>
        <v/>
      </c>
    </row>
    <row r="422">
      <c r="A422" s="19">
        <f>Database!A743</f>
        <v/>
      </c>
      <c r="B422" s="48">
        <f>VLOOKUP(A422,Database!$A:$V,MATCH(Currency!$B$1,Database!$A$1:$V$1,),)</f>
        <v/>
      </c>
    </row>
    <row r="423">
      <c r="A423" s="19">
        <f>Database!A744</f>
        <v/>
      </c>
      <c r="B423" s="48">
        <f>VLOOKUP(A423,Database!$A:$V,MATCH(Currency!$B$1,Database!$A$1:$V$1,),)</f>
        <v/>
      </c>
    </row>
    <row r="424">
      <c r="A424" s="19">
        <f>Database!A745</f>
        <v/>
      </c>
      <c r="B424" s="48">
        <f>VLOOKUP(A424,Database!$A:$V,MATCH(Currency!$B$1,Database!$A$1:$V$1,),)</f>
        <v/>
      </c>
    </row>
    <row r="425">
      <c r="A425" s="19">
        <f>Database!A746</f>
        <v/>
      </c>
      <c r="B425" s="48">
        <f>VLOOKUP(A425,Database!$A:$V,MATCH(Currency!$B$1,Database!$A$1:$V$1,),)</f>
        <v/>
      </c>
    </row>
    <row r="426">
      <c r="A426" s="19">
        <f>Database!A747</f>
        <v/>
      </c>
      <c r="B426" s="48">
        <f>VLOOKUP(A426,Database!$A:$V,MATCH(Currency!$B$1,Database!$A$1:$V$1,),)</f>
        <v/>
      </c>
    </row>
    <row r="427">
      <c r="A427" s="19">
        <f>Database!A748</f>
        <v/>
      </c>
      <c r="B427" s="48">
        <f>VLOOKUP(A427,Database!$A:$V,MATCH(Currency!$B$1,Database!$A$1:$V$1,),)</f>
        <v/>
      </c>
    </row>
    <row r="428">
      <c r="A428" s="19">
        <f>Database!A749</f>
        <v/>
      </c>
      <c r="B428" s="48">
        <f>VLOOKUP(A428,Database!$A:$V,MATCH(Currency!$B$1,Database!$A$1:$V$1,),)</f>
        <v/>
      </c>
    </row>
    <row r="429">
      <c r="A429" s="19">
        <f>Database!A750</f>
        <v/>
      </c>
      <c r="B429" s="48">
        <f>VLOOKUP(A429,Database!$A:$V,MATCH(Currency!$B$1,Database!$A$1:$V$1,),)</f>
        <v/>
      </c>
    </row>
    <row r="430">
      <c r="A430" s="19">
        <f>Database!A751</f>
        <v/>
      </c>
      <c r="B430" s="48">
        <f>VLOOKUP(A430,Database!$A:$V,MATCH(Currency!$B$1,Database!$A$1:$V$1,),)</f>
        <v/>
      </c>
    </row>
    <row r="431">
      <c r="A431" s="19">
        <f>Database!A752</f>
        <v/>
      </c>
      <c r="B431" s="48">
        <f>VLOOKUP(A431,Database!$A:$V,MATCH(Currency!$B$1,Database!$A$1:$V$1,),)</f>
        <v/>
      </c>
    </row>
    <row r="432">
      <c r="A432" s="19">
        <f>Database!A753</f>
        <v/>
      </c>
      <c r="B432" s="48">
        <f>VLOOKUP(A432,Database!$A:$V,MATCH(Currency!$B$1,Database!$A$1:$V$1,),)</f>
        <v/>
      </c>
    </row>
    <row r="433">
      <c r="A433" s="19">
        <f>Database!A754</f>
        <v/>
      </c>
      <c r="B433" s="48">
        <f>VLOOKUP(A433,Database!$A:$V,MATCH(Currency!$B$1,Database!$A$1:$V$1,),)</f>
        <v/>
      </c>
    </row>
    <row r="434">
      <c r="A434" s="19">
        <f>Database!A755</f>
        <v/>
      </c>
      <c r="B434" s="48">
        <f>VLOOKUP(A434,Database!$A:$V,MATCH(Currency!$B$1,Database!$A$1:$V$1,),)</f>
        <v/>
      </c>
    </row>
    <row r="435">
      <c r="A435" s="19">
        <f>Database!A756</f>
        <v/>
      </c>
      <c r="B435" s="48">
        <f>VLOOKUP(A435,Database!$A:$V,MATCH(Currency!$B$1,Database!$A$1:$V$1,),)</f>
        <v/>
      </c>
    </row>
    <row r="436">
      <c r="A436" s="19">
        <f>Database!A757</f>
        <v/>
      </c>
      <c r="B436" s="48">
        <f>VLOOKUP(A436,Database!$A:$V,MATCH(Currency!$B$1,Database!$A$1:$V$1,),)</f>
        <v/>
      </c>
    </row>
    <row r="437">
      <c r="A437" s="19">
        <f>Database!A758</f>
        <v/>
      </c>
      <c r="B437" s="48">
        <f>VLOOKUP(A437,Database!$A:$V,MATCH(Currency!$B$1,Database!$A$1:$V$1,),)</f>
        <v/>
      </c>
    </row>
    <row r="438">
      <c r="A438" s="19">
        <f>Database!A759</f>
        <v/>
      </c>
      <c r="B438" s="48">
        <f>VLOOKUP(A438,Database!$A:$V,MATCH(Currency!$B$1,Database!$A$1:$V$1,),)</f>
        <v/>
      </c>
    </row>
    <row r="439">
      <c r="A439" s="19">
        <f>Database!A760</f>
        <v/>
      </c>
      <c r="B439" s="48">
        <f>VLOOKUP(A439,Database!$A:$V,MATCH(Currency!$B$1,Database!$A$1:$V$1,),)</f>
        <v/>
      </c>
    </row>
    <row r="440">
      <c r="A440" s="19">
        <f>Database!A761</f>
        <v/>
      </c>
      <c r="B440" s="48">
        <f>VLOOKUP(A440,Database!$A:$V,MATCH(Currency!$B$1,Database!$A$1:$V$1,),)</f>
        <v/>
      </c>
    </row>
    <row r="441">
      <c r="A441" s="19">
        <f>Database!A762</f>
        <v/>
      </c>
      <c r="B441" s="48">
        <f>VLOOKUP(A441,Database!$A:$V,MATCH(Currency!$B$1,Database!$A$1:$V$1,),)</f>
        <v/>
      </c>
    </row>
    <row r="442">
      <c r="A442" s="19">
        <f>Database!A763</f>
        <v/>
      </c>
      <c r="B442" s="48">
        <f>VLOOKUP(A442,Database!$A:$V,MATCH(Currency!$B$1,Database!$A$1:$V$1,),)</f>
        <v/>
      </c>
    </row>
    <row r="443">
      <c r="A443" s="19">
        <f>Database!A764</f>
        <v/>
      </c>
      <c r="B443" s="48">
        <f>VLOOKUP(A443,Database!$A:$V,MATCH(Currency!$B$1,Database!$A$1:$V$1,),)</f>
        <v/>
      </c>
    </row>
    <row r="444">
      <c r="A444" s="19">
        <f>Database!A765</f>
        <v/>
      </c>
      <c r="B444" s="48">
        <f>VLOOKUP(A444,Database!$A:$V,MATCH(Currency!$B$1,Database!$A$1:$V$1,),)</f>
        <v/>
      </c>
    </row>
    <row r="445">
      <c r="A445" s="19">
        <f>Database!A766</f>
        <v/>
      </c>
      <c r="B445" s="48">
        <f>VLOOKUP(A445,Database!$A:$V,MATCH(Currency!$B$1,Database!$A$1:$V$1,),)</f>
        <v/>
      </c>
    </row>
    <row r="446">
      <c r="A446" s="19">
        <f>Database!A767</f>
        <v/>
      </c>
      <c r="B446" s="48">
        <f>VLOOKUP(A446,Database!$A:$V,MATCH(Currency!$B$1,Database!$A$1:$V$1,),)</f>
        <v/>
      </c>
    </row>
    <row r="447">
      <c r="A447" s="19">
        <f>Database!A768</f>
        <v/>
      </c>
      <c r="B447" s="48">
        <f>VLOOKUP(A447,Database!$A:$V,MATCH(Currency!$B$1,Database!$A$1:$V$1,),)</f>
        <v/>
      </c>
    </row>
    <row r="448">
      <c r="A448" s="19">
        <f>Database!A769</f>
        <v/>
      </c>
      <c r="B448" s="48">
        <f>VLOOKUP(A448,Database!$A:$V,MATCH(Currency!$B$1,Database!$A$1:$V$1,),)</f>
        <v/>
      </c>
    </row>
    <row r="449">
      <c r="A449" s="19">
        <f>Database!A770</f>
        <v/>
      </c>
      <c r="B449" s="48">
        <f>VLOOKUP(A449,Database!$A:$V,MATCH(Currency!$B$1,Database!$A$1:$V$1,),)</f>
        <v/>
      </c>
    </row>
    <row r="450">
      <c r="A450" s="19">
        <f>Database!A771</f>
        <v/>
      </c>
      <c r="B450" s="48">
        <f>VLOOKUP(A450,Database!$A:$V,MATCH(Currency!$B$1,Database!$A$1:$V$1,),)</f>
        <v/>
      </c>
    </row>
    <row r="451">
      <c r="A451" s="19">
        <f>Database!A772</f>
        <v/>
      </c>
      <c r="B451" s="48">
        <f>VLOOKUP(A451,Database!$A:$V,MATCH(Currency!$B$1,Database!$A$1:$V$1,),)</f>
        <v/>
      </c>
    </row>
    <row r="452">
      <c r="A452" s="19">
        <f>Database!A773</f>
        <v/>
      </c>
      <c r="B452" s="48">
        <f>VLOOKUP(A452,Database!$A:$V,MATCH(Currency!$B$1,Database!$A$1:$V$1,),)</f>
        <v/>
      </c>
    </row>
    <row r="453">
      <c r="A453" s="19">
        <f>Database!A774</f>
        <v/>
      </c>
      <c r="B453" s="48">
        <f>VLOOKUP(A453,Database!$A:$V,MATCH(Currency!$B$1,Database!$A$1:$V$1,),)</f>
        <v/>
      </c>
    </row>
    <row r="454">
      <c r="A454" s="19">
        <f>Database!A775</f>
        <v/>
      </c>
      <c r="B454" s="48">
        <f>VLOOKUP(A454,Database!$A:$V,MATCH(Currency!$B$1,Database!$A$1:$V$1,),)</f>
        <v/>
      </c>
    </row>
    <row r="455">
      <c r="A455" s="19">
        <f>Database!A776</f>
        <v/>
      </c>
      <c r="B455" s="48">
        <f>VLOOKUP(A455,Database!$A:$V,MATCH(Currency!$B$1,Database!$A$1:$V$1,),)</f>
        <v/>
      </c>
    </row>
    <row r="456">
      <c r="A456" s="19">
        <f>Database!A777</f>
        <v/>
      </c>
      <c r="B456" s="48">
        <f>VLOOKUP(A456,Database!$A:$V,MATCH(Currency!$B$1,Database!$A$1:$V$1,),)</f>
        <v/>
      </c>
    </row>
    <row r="457">
      <c r="A457" s="19">
        <f>Database!A778</f>
        <v/>
      </c>
      <c r="B457" s="48">
        <f>VLOOKUP(A457,Database!$A:$V,MATCH(Currency!$B$1,Database!$A$1:$V$1,),)</f>
        <v/>
      </c>
    </row>
    <row r="458">
      <c r="A458" s="19">
        <f>Database!A779</f>
        <v/>
      </c>
      <c r="B458" s="48">
        <f>VLOOKUP(A458,Database!$A:$V,MATCH(Currency!$B$1,Database!$A$1:$V$1,),)</f>
        <v/>
      </c>
    </row>
    <row r="459">
      <c r="A459" s="19">
        <f>Database!A780</f>
        <v/>
      </c>
      <c r="B459" s="48">
        <f>VLOOKUP(A459,Database!$A:$V,MATCH(Currency!$B$1,Database!$A$1:$V$1,),)</f>
        <v/>
      </c>
    </row>
    <row r="460">
      <c r="A460" s="19">
        <f>Database!A781</f>
        <v/>
      </c>
      <c r="B460" s="48">
        <f>VLOOKUP(A460,Database!$A:$V,MATCH(Currency!$B$1,Database!$A$1:$V$1,),)</f>
        <v/>
      </c>
    </row>
    <row r="461">
      <c r="A461" s="19">
        <f>Database!A782</f>
        <v/>
      </c>
      <c r="B461" s="48">
        <f>VLOOKUP(A461,Database!$A:$V,MATCH(Currency!$B$1,Database!$A$1:$V$1,),)</f>
        <v/>
      </c>
    </row>
    <row r="462">
      <c r="A462" s="19">
        <f>Database!A783</f>
        <v/>
      </c>
      <c r="B462" s="48">
        <f>VLOOKUP(A462,Database!$A:$V,MATCH(Currency!$B$1,Database!$A$1:$V$1,),)</f>
        <v/>
      </c>
    </row>
    <row r="463">
      <c r="A463" s="19">
        <f>Database!A784</f>
        <v/>
      </c>
      <c r="B463" s="48">
        <f>VLOOKUP(A463,Database!$A:$V,MATCH(Currency!$B$1,Database!$A$1:$V$1,),)</f>
        <v/>
      </c>
    </row>
    <row r="464">
      <c r="A464" s="19">
        <f>Database!A785</f>
        <v/>
      </c>
      <c r="B464" s="48">
        <f>VLOOKUP(A464,Database!$A:$V,MATCH(Currency!$B$1,Database!$A$1:$V$1,),)</f>
        <v/>
      </c>
    </row>
    <row r="465">
      <c r="A465" s="19">
        <f>Database!A786</f>
        <v/>
      </c>
      <c r="B465" s="48">
        <f>VLOOKUP(A465,Database!$A:$V,MATCH(Currency!$B$1,Database!$A$1:$V$1,),)</f>
        <v/>
      </c>
    </row>
    <row r="466">
      <c r="A466" s="19">
        <f>Database!A787</f>
        <v/>
      </c>
      <c r="B466" s="48">
        <f>VLOOKUP(A466,Database!$A:$V,MATCH(Currency!$B$1,Database!$A$1:$V$1,),)</f>
        <v/>
      </c>
    </row>
    <row r="467">
      <c r="A467" s="19">
        <f>Database!A788</f>
        <v/>
      </c>
      <c r="B467" s="48">
        <f>VLOOKUP(A467,Database!$A:$V,MATCH(Currency!$B$1,Database!$A$1:$V$1,),)</f>
        <v/>
      </c>
    </row>
    <row r="468">
      <c r="A468" s="19">
        <f>Database!A789</f>
        <v/>
      </c>
      <c r="B468" s="48">
        <f>VLOOKUP(A468,Database!$A:$V,MATCH(Currency!$B$1,Database!$A$1:$V$1,),)</f>
        <v/>
      </c>
    </row>
    <row r="469">
      <c r="A469" s="19">
        <f>Database!A790</f>
        <v/>
      </c>
      <c r="B469" s="48">
        <f>VLOOKUP(A469,Database!$A:$V,MATCH(Currency!$B$1,Database!$A$1:$V$1,),)</f>
        <v/>
      </c>
    </row>
    <row r="470">
      <c r="A470" s="19">
        <f>Database!A791</f>
        <v/>
      </c>
      <c r="B470" s="48">
        <f>VLOOKUP(A470,Database!$A:$V,MATCH(Currency!$B$1,Database!$A$1:$V$1,),)</f>
        <v/>
      </c>
    </row>
    <row r="471">
      <c r="A471" s="19">
        <f>Database!A792</f>
        <v/>
      </c>
      <c r="B471" s="48">
        <f>VLOOKUP(A471,Database!$A:$V,MATCH(Currency!$B$1,Database!$A$1:$V$1,),)</f>
        <v/>
      </c>
    </row>
    <row r="472">
      <c r="A472" s="19">
        <f>Database!A793</f>
        <v/>
      </c>
      <c r="B472" s="48">
        <f>VLOOKUP(A472,Database!$A:$V,MATCH(Currency!$B$1,Database!$A$1:$V$1,),)</f>
        <v/>
      </c>
    </row>
    <row r="473">
      <c r="A473" s="19">
        <f>Database!A794</f>
        <v/>
      </c>
      <c r="B473" s="48">
        <f>VLOOKUP(A473,Database!$A:$V,MATCH(Currency!$B$1,Database!$A$1:$V$1,),)</f>
        <v/>
      </c>
    </row>
    <row r="474">
      <c r="A474" s="19">
        <f>Database!A795</f>
        <v/>
      </c>
      <c r="B474" s="48">
        <f>VLOOKUP(A474,Database!$A:$V,MATCH(Currency!$B$1,Database!$A$1:$V$1,),)</f>
        <v/>
      </c>
    </row>
    <row r="475">
      <c r="A475" s="19">
        <f>Database!A796</f>
        <v/>
      </c>
      <c r="B475" s="48">
        <f>VLOOKUP(A475,Database!$A:$V,MATCH(Currency!$B$1,Database!$A$1:$V$1,),)</f>
        <v/>
      </c>
    </row>
    <row r="476">
      <c r="A476" s="19">
        <f>Database!A797</f>
        <v/>
      </c>
      <c r="B476" s="48">
        <f>VLOOKUP(A476,Database!$A:$V,MATCH(Currency!$B$1,Database!$A$1:$V$1,),)</f>
        <v/>
      </c>
    </row>
    <row r="477">
      <c r="A477" s="19">
        <f>Database!A798</f>
        <v/>
      </c>
      <c r="B477" s="48">
        <f>VLOOKUP(A477,Database!$A:$V,MATCH(Currency!$B$1,Database!$A$1:$V$1,),)</f>
        <v/>
      </c>
    </row>
    <row r="478">
      <c r="A478" s="19">
        <f>Database!A799</f>
        <v/>
      </c>
      <c r="B478" s="48">
        <f>VLOOKUP(A478,Database!$A:$V,MATCH(Currency!$B$1,Database!$A$1:$V$1,),)</f>
        <v/>
      </c>
    </row>
    <row r="479">
      <c r="A479" s="19">
        <f>Database!A800</f>
        <v/>
      </c>
      <c r="B479" s="48">
        <f>VLOOKUP(A479,Database!$A:$V,MATCH(Currency!$B$1,Database!$A$1:$V$1,),)</f>
        <v/>
      </c>
    </row>
    <row r="480">
      <c r="A480" s="19">
        <f>Database!A801</f>
        <v/>
      </c>
      <c r="B480" s="48">
        <f>VLOOKUP(A480,Database!$A:$V,MATCH(Currency!$B$1,Database!$A$1:$V$1,),)</f>
        <v/>
      </c>
    </row>
    <row r="481">
      <c r="A481" s="19">
        <f>Database!A802</f>
        <v/>
      </c>
      <c r="B481" s="48">
        <f>VLOOKUP(A481,Database!$A:$V,MATCH(Currency!$B$1,Database!$A$1:$V$1,),)</f>
        <v/>
      </c>
    </row>
    <row r="482">
      <c r="A482" s="19">
        <f>Database!A803</f>
        <v/>
      </c>
      <c r="B482" s="48">
        <f>VLOOKUP(A482,Database!$A:$V,MATCH(Currency!$B$1,Database!$A$1:$V$1,),)</f>
        <v/>
      </c>
    </row>
    <row r="483">
      <c r="A483" s="19">
        <f>Database!A804</f>
        <v/>
      </c>
      <c r="B483" s="48">
        <f>VLOOKUP(A483,Database!$A:$V,MATCH(Currency!$B$1,Database!$A$1:$V$1,),)</f>
        <v/>
      </c>
    </row>
    <row r="484">
      <c r="A484" s="19">
        <f>Database!A805</f>
        <v/>
      </c>
      <c r="B484" s="48">
        <f>VLOOKUP(A484,Database!$A:$V,MATCH(Currency!$B$1,Database!$A$1:$V$1,),)</f>
        <v/>
      </c>
    </row>
    <row r="485">
      <c r="A485" s="19">
        <f>Database!A806</f>
        <v/>
      </c>
      <c r="B485" s="48">
        <f>VLOOKUP(A485,Database!$A:$V,MATCH(Currency!$B$1,Database!$A$1:$V$1,),)</f>
        <v/>
      </c>
    </row>
    <row r="486">
      <c r="A486" s="19">
        <f>Database!A807</f>
        <v/>
      </c>
      <c r="B486" s="48">
        <f>VLOOKUP(A486,Database!$A:$V,MATCH(Currency!$B$1,Database!$A$1:$V$1,),)</f>
        <v/>
      </c>
    </row>
    <row r="487">
      <c r="A487" s="19">
        <f>Database!A808</f>
        <v/>
      </c>
      <c r="B487" s="48">
        <f>VLOOKUP(A487,Database!$A:$V,MATCH(Currency!$B$1,Database!$A$1:$V$1,),)</f>
        <v/>
      </c>
    </row>
    <row r="488">
      <c r="A488" s="19">
        <f>Database!A809</f>
        <v/>
      </c>
      <c r="B488" s="48">
        <f>VLOOKUP(A488,Database!$A:$V,MATCH(Currency!$B$1,Database!$A$1:$V$1,),)</f>
        <v/>
      </c>
    </row>
    <row r="489">
      <c r="A489" s="19">
        <f>Database!A810</f>
        <v/>
      </c>
      <c r="B489" s="48">
        <f>VLOOKUP(A489,Database!$A:$V,MATCH(Currency!$B$1,Database!$A$1:$V$1,),)</f>
        <v/>
      </c>
    </row>
    <row r="490">
      <c r="A490" s="19">
        <f>Database!A811</f>
        <v/>
      </c>
      <c r="B490" s="48">
        <f>VLOOKUP(A490,Database!$A:$V,MATCH(Currency!$B$1,Database!$A$1:$V$1,),)</f>
        <v/>
      </c>
    </row>
    <row r="491">
      <c r="A491" s="19">
        <f>Database!A812</f>
        <v/>
      </c>
      <c r="B491" s="48">
        <f>VLOOKUP(A491,Database!$A:$V,MATCH(Currency!$B$1,Database!$A$1:$V$1,),)</f>
        <v/>
      </c>
    </row>
    <row r="492">
      <c r="A492" s="19">
        <f>Database!A813</f>
        <v/>
      </c>
      <c r="B492" s="48">
        <f>VLOOKUP(A492,Database!$A:$V,MATCH(Currency!$B$1,Database!$A$1:$V$1,),)</f>
        <v/>
      </c>
    </row>
    <row r="493">
      <c r="A493" s="19">
        <f>Database!A814</f>
        <v/>
      </c>
      <c r="B493" s="48">
        <f>VLOOKUP(A493,Database!$A:$V,MATCH(Currency!$B$1,Database!$A$1:$V$1,),)</f>
        <v/>
      </c>
    </row>
    <row r="494">
      <c r="A494" s="19">
        <f>Database!A815</f>
        <v/>
      </c>
      <c r="B494" s="48">
        <f>VLOOKUP(A494,Database!$A:$V,MATCH(Currency!$B$1,Database!$A$1:$V$1,),)</f>
        <v/>
      </c>
    </row>
    <row r="495">
      <c r="A495" s="19">
        <f>Database!A816</f>
        <v/>
      </c>
      <c r="B495" s="48">
        <f>VLOOKUP(A495,Database!$A:$V,MATCH(Currency!$B$1,Database!$A$1:$V$1,),)</f>
        <v/>
      </c>
    </row>
    <row r="496">
      <c r="A496" s="19">
        <f>Database!A817</f>
        <v/>
      </c>
      <c r="B496" s="48">
        <f>VLOOKUP(A496,Database!$A:$V,MATCH(Currency!$B$1,Database!$A$1:$V$1,),)</f>
        <v/>
      </c>
    </row>
    <row r="497">
      <c r="A497" s="19">
        <f>Database!A818</f>
        <v/>
      </c>
      <c r="B497" s="48">
        <f>VLOOKUP(A497,Database!$A:$V,MATCH(Currency!$B$1,Database!$A$1:$V$1,),)</f>
        <v/>
      </c>
    </row>
    <row r="498">
      <c r="A498" s="19">
        <f>Database!A819</f>
        <v/>
      </c>
      <c r="B498" s="48">
        <f>VLOOKUP(A498,Database!$A:$V,MATCH(Currency!$B$1,Database!$A$1:$V$1,),)</f>
        <v/>
      </c>
    </row>
    <row r="499">
      <c r="A499" s="19">
        <f>Database!A820</f>
        <v/>
      </c>
      <c r="B499" s="48">
        <f>VLOOKUP(A499,Database!$A:$V,MATCH(Currency!$B$1,Database!$A$1:$V$1,),)</f>
        <v/>
      </c>
    </row>
    <row r="500">
      <c r="A500" s="19">
        <f>Database!A821</f>
        <v/>
      </c>
      <c r="B500" s="48">
        <f>VLOOKUP(A500,Database!$A:$V,MATCH(Currency!$B$1,Database!$A$1:$V$1,),)</f>
        <v/>
      </c>
    </row>
    <row r="501">
      <c r="A501" s="19">
        <f>Database!A822</f>
        <v/>
      </c>
      <c r="B501" s="48">
        <f>VLOOKUP(A501,Database!$A:$V,MATCH(Currency!$B$1,Database!$A$1:$V$1,),)</f>
        <v/>
      </c>
    </row>
    <row r="502">
      <c r="A502" s="19">
        <f>Database!A823</f>
        <v/>
      </c>
      <c r="B502" s="48">
        <f>VLOOKUP(A502,Database!$A:$V,MATCH(Currency!$B$1,Database!$A$1:$V$1,),)</f>
        <v/>
      </c>
    </row>
    <row r="503">
      <c r="A503" s="19">
        <f>Database!A824</f>
        <v/>
      </c>
      <c r="B503" s="48">
        <f>VLOOKUP(A503,Database!$A:$V,MATCH(Currency!$B$1,Database!$A$1:$V$1,),)</f>
        <v/>
      </c>
    </row>
    <row r="504">
      <c r="A504" s="19">
        <f>Database!A825</f>
        <v/>
      </c>
      <c r="B504" s="48">
        <f>VLOOKUP(A504,Database!$A:$V,MATCH(Currency!$B$1,Database!$A$1:$V$1,),)</f>
        <v/>
      </c>
    </row>
    <row r="505">
      <c r="A505" s="19">
        <f>Database!A826</f>
        <v/>
      </c>
      <c r="B505" s="48">
        <f>VLOOKUP(A505,Database!$A:$V,MATCH(Currency!$B$1,Database!$A$1:$V$1,),)</f>
        <v/>
      </c>
    </row>
    <row r="506">
      <c r="A506" s="19">
        <f>Database!A827</f>
        <v/>
      </c>
      <c r="B506" s="48">
        <f>VLOOKUP(A506,Database!$A:$V,MATCH(Currency!$B$1,Database!$A$1:$V$1,),)</f>
        <v/>
      </c>
    </row>
    <row r="507">
      <c r="A507" s="19">
        <f>Database!A828</f>
        <v/>
      </c>
      <c r="B507" s="48">
        <f>VLOOKUP(A507,Database!$A:$V,MATCH(Currency!$B$1,Database!$A$1:$V$1,),)</f>
        <v/>
      </c>
    </row>
    <row r="508">
      <c r="A508" s="19">
        <f>Database!A829</f>
        <v/>
      </c>
      <c r="B508" s="48">
        <f>VLOOKUP(A508,Database!$A:$V,MATCH(Currency!$B$1,Database!$A$1:$V$1,),)</f>
        <v/>
      </c>
    </row>
    <row r="509">
      <c r="A509" s="19">
        <f>Database!A830</f>
        <v/>
      </c>
      <c r="B509" s="48">
        <f>VLOOKUP(A509,Database!$A:$V,MATCH(Currency!$B$1,Database!$A$1:$V$1,),)</f>
        <v/>
      </c>
    </row>
    <row r="510">
      <c r="A510" s="19">
        <f>Database!A831</f>
        <v/>
      </c>
      <c r="B510" s="48">
        <f>VLOOKUP(A510,Database!$A:$V,MATCH(Currency!$B$1,Database!$A$1:$V$1,),)</f>
        <v/>
      </c>
    </row>
    <row r="511">
      <c r="A511" s="19">
        <f>Database!A832</f>
        <v/>
      </c>
      <c r="B511" s="48">
        <f>VLOOKUP(A511,Database!$A:$V,MATCH(Currency!$B$1,Database!$A$1:$V$1,),)</f>
        <v/>
      </c>
    </row>
    <row r="512">
      <c r="A512" s="19">
        <f>Database!A833</f>
        <v/>
      </c>
      <c r="B512" s="48">
        <f>VLOOKUP(A512,Database!$A:$V,MATCH(Currency!$B$1,Database!$A$1:$V$1,),)</f>
        <v/>
      </c>
    </row>
    <row r="513">
      <c r="A513" s="19">
        <f>Database!A834</f>
        <v/>
      </c>
      <c r="B513" s="48">
        <f>VLOOKUP(A513,Database!$A:$V,MATCH(Currency!$B$1,Database!$A$1:$V$1,),)</f>
        <v/>
      </c>
    </row>
    <row r="514">
      <c r="A514" s="19">
        <f>Database!A835</f>
        <v/>
      </c>
      <c r="B514" s="48">
        <f>VLOOKUP(A514,Database!$A:$V,MATCH(Currency!$B$1,Database!$A$1:$V$1,),)</f>
        <v/>
      </c>
    </row>
    <row r="515">
      <c r="A515" s="19">
        <f>Database!A836</f>
        <v/>
      </c>
      <c r="B515" s="48">
        <f>VLOOKUP(A515,Database!$A:$V,MATCH(Currency!$B$1,Database!$A$1:$V$1,),)</f>
        <v/>
      </c>
    </row>
    <row r="516">
      <c r="A516" s="19">
        <f>Database!A837</f>
        <v/>
      </c>
      <c r="B516" s="48">
        <f>VLOOKUP(A516,Database!$A:$V,MATCH(Currency!$B$1,Database!$A$1:$V$1,),)</f>
        <v/>
      </c>
    </row>
    <row r="517">
      <c r="A517" s="19">
        <f>Database!A838</f>
        <v/>
      </c>
      <c r="B517" s="48">
        <f>VLOOKUP(A517,Database!$A:$V,MATCH(Currency!$B$1,Database!$A$1:$V$1,),)</f>
        <v/>
      </c>
    </row>
    <row r="518">
      <c r="A518" s="19">
        <f>Database!A839</f>
        <v/>
      </c>
      <c r="B518" s="48">
        <f>VLOOKUP(A518,Database!$A:$V,MATCH(Currency!$B$1,Database!$A$1:$V$1,),)</f>
        <v/>
      </c>
    </row>
    <row r="519">
      <c r="A519" s="19">
        <f>Database!A840</f>
        <v/>
      </c>
      <c r="B519" s="48">
        <f>VLOOKUP(A519,Database!$A:$V,MATCH(Currency!$B$1,Database!$A$1:$V$1,),)</f>
        <v/>
      </c>
    </row>
    <row r="520">
      <c r="A520" s="19">
        <f>Database!A841</f>
        <v/>
      </c>
      <c r="B520" s="48">
        <f>VLOOKUP(A520,Database!$A:$V,MATCH(Currency!$B$1,Database!$A$1:$V$1,),)</f>
        <v/>
      </c>
    </row>
    <row r="521">
      <c r="A521" s="19">
        <f>Database!A842</f>
        <v/>
      </c>
      <c r="B521" s="48">
        <f>VLOOKUP(A521,Database!$A:$V,MATCH(Currency!$B$1,Database!$A$1:$V$1,),)</f>
        <v/>
      </c>
    </row>
    <row r="522">
      <c r="A522" s="19">
        <f>Database!A843</f>
        <v/>
      </c>
      <c r="B522" s="48">
        <f>VLOOKUP(A522,Database!$A:$V,MATCH(Currency!$B$1,Database!$A$1:$V$1,),)</f>
        <v/>
      </c>
    </row>
    <row r="523">
      <c r="A523" s="19">
        <f>Database!A844</f>
        <v/>
      </c>
      <c r="B523" s="48">
        <f>VLOOKUP(A523,Database!$A:$V,MATCH(Currency!$B$1,Database!$A$1:$V$1,),)</f>
        <v/>
      </c>
    </row>
    <row r="524">
      <c r="A524" s="19">
        <f>Database!A845</f>
        <v/>
      </c>
      <c r="B524" s="48">
        <f>VLOOKUP(A524,Database!$A:$V,MATCH(Currency!$B$1,Database!$A$1:$V$1,),)</f>
        <v/>
      </c>
    </row>
    <row r="525">
      <c r="A525" s="19">
        <f>Database!A846</f>
        <v/>
      </c>
      <c r="B525" s="48">
        <f>VLOOKUP(A525,Database!$A:$V,MATCH(Currency!$B$1,Database!$A$1:$V$1,),)</f>
        <v/>
      </c>
    </row>
    <row r="526">
      <c r="A526" s="19">
        <f>Database!A847</f>
        <v/>
      </c>
      <c r="B526" s="48">
        <f>VLOOKUP(A526,Database!$A:$V,MATCH(Currency!$B$1,Database!$A$1:$V$1,),)</f>
        <v/>
      </c>
    </row>
    <row r="527">
      <c r="A527" s="19">
        <f>Database!A848</f>
        <v/>
      </c>
      <c r="B527" s="48">
        <f>VLOOKUP(A527,Database!$A:$V,MATCH(Currency!$B$1,Database!$A$1:$V$1,),)</f>
        <v/>
      </c>
    </row>
    <row r="528">
      <c r="A528" s="19">
        <f>Database!A849</f>
        <v/>
      </c>
      <c r="B528" s="48">
        <f>VLOOKUP(A528,Database!$A:$V,MATCH(Currency!$B$1,Database!$A$1:$V$1,),)</f>
        <v/>
      </c>
    </row>
    <row r="529">
      <c r="A529" s="19">
        <f>Database!A850</f>
        <v/>
      </c>
      <c r="B529" s="48">
        <f>VLOOKUP(A529,Database!$A:$V,MATCH(Currency!$B$1,Database!$A$1:$V$1,),)</f>
        <v/>
      </c>
    </row>
    <row r="530">
      <c r="A530" s="19">
        <f>Database!A851</f>
        <v/>
      </c>
      <c r="B530" s="48">
        <f>VLOOKUP(A530,Database!$A:$V,MATCH(Currency!$B$1,Database!$A$1:$V$1,),)</f>
        <v/>
      </c>
    </row>
    <row r="531">
      <c r="A531" s="19">
        <f>Database!A852</f>
        <v/>
      </c>
      <c r="B531" s="48">
        <f>VLOOKUP(A531,Database!$A:$V,MATCH(Currency!$B$1,Database!$A$1:$V$1,),)</f>
        <v/>
      </c>
    </row>
    <row r="532">
      <c r="A532" s="19">
        <f>Database!A853</f>
        <v/>
      </c>
      <c r="B532" s="48">
        <f>VLOOKUP(A532,Database!$A:$V,MATCH(Currency!$B$1,Database!$A$1:$V$1,),)</f>
        <v/>
      </c>
    </row>
    <row r="533">
      <c r="A533" s="19">
        <f>Database!A854</f>
        <v/>
      </c>
      <c r="B533" s="48">
        <f>VLOOKUP(A533,Database!$A:$V,MATCH(Currency!$B$1,Database!$A$1:$V$1,),)</f>
        <v/>
      </c>
    </row>
    <row r="534">
      <c r="A534" s="19">
        <f>Database!A855</f>
        <v/>
      </c>
      <c r="B534" s="48">
        <f>VLOOKUP(A534,Database!$A:$V,MATCH(Currency!$B$1,Database!$A$1:$V$1,),)</f>
        <v/>
      </c>
    </row>
    <row r="535">
      <c r="A535" s="19">
        <f>Database!A856</f>
        <v/>
      </c>
      <c r="B535" s="48">
        <f>VLOOKUP(A535,Database!$A:$V,MATCH(Currency!$B$1,Database!$A$1:$V$1,),)</f>
        <v/>
      </c>
    </row>
    <row r="536">
      <c r="A536" s="19">
        <f>Database!A857</f>
        <v/>
      </c>
      <c r="B536" s="48">
        <f>VLOOKUP(A536,Database!$A:$V,MATCH(Currency!$B$1,Database!$A$1:$V$1,),)</f>
        <v/>
      </c>
    </row>
    <row r="537">
      <c r="A537" s="19">
        <f>Database!A858</f>
        <v/>
      </c>
      <c r="B537" s="48">
        <f>VLOOKUP(A537,Database!$A:$V,MATCH(Currency!$B$1,Database!$A$1:$V$1,),)</f>
        <v/>
      </c>
    </row>
    <row r="538">
      <c r="A538" s="19">
        <f>Database!A859</f>
        <v/>
      </c>
      <c r="B538" s="48">
        <f>VLOOKUP(A538,Database!$A:$V,MATCH(Currency!$B$1,Database!$A$1:$V$1,),)</f>
        <v/>
      </c>
    </row>
    <row r="539">
      <c r="A539" s="19">
        <f>Database!A860</f>
        <v/>
      </c>
      <c r="B539" s="48">
        <f>VLOOKUP(A539,Database!$A:$V,MATCH(Currency!$B$1,Database!$A$1:$V$1,),)</f>
        <v/>
      </c>
    </row>
    <row r="540">
      <c r="A540" s="19">
        <f>Database!A861</f>
        <v/>
      </c>
      <c r="B540" s="48">
        <f>VLOOKUP(A540,Database!$A:$V,MATCH(Currency!$B$1,Database!$A$1:$V$1,),)</f>
        <v/>
      </c>
    </row>
    <row r="541">
      <c r="A541" s="19">
        <f>Database!A862</f>
        <v/>
      </c>
      <c r="B541" s="48">
        <f>VLOOKUP(A541,Database!$A:$V,MATCH(Currency!$B$1,Database!$A$1:$V$1,),)</f>
        <v/>
      </c>
    </row>
    <row r="542">
      <c r="A542" s="19">
        <f>Database!A863</f>
        <v/>
      </c>
      <c r="B542" s="48">
        <f>VLOOKUP(A542,Database!$A:$V,MATCH(Currency!$B$1,Database!$A$1:$V$1,),)</f>
        <v/>
      </c>
    </row>
    <row r="543">
      <c r="A543" s="19">
        <f>Database!A864</f>
        <v/>
      </c>
      <c r="B543" s="48">
        <f>VLOOKUP(A543,Database!$A:$V,MATCH(Currency!$B$1,Database!$A$1:$V$1,),)</f>
        <v/>
      </c>
    </row>
    <row r="544">
      <c r="A544" s="19">
        <f>Database!A865</f>
        <v/>
      </c>
      <c r="B544" s="48">
        <f>VLOOKUP(A544,Database!$A:$V,MATCH(Currency!$B$1,Database!$A$1:$V$1,),)</f>
        <v/>
      </c>
    </row>
    <row r="545">
      <c r="A545" s="19">
        <f>Database!A866</f>
        <v/>
      </c>
      <c r="B545" s="48">
        <f>VLOOKUP(A545,Database!$A:$V,MATCH(Currency!$B$1,Database!$A$1:$V$1,),)</f>
        <v/>
      </c>
    </row>
    <row r="546">
      <c r="A546" s="19">
        <f>Database!A867</f>
        <v/>
      </c>
      <c r="B546" s="48">
        <f>VLOOKUP(A546,Database!$A:$V,MATCH(Currency!$B$1,Database!$A$1:$V$1,),)</f>
        <v/>
      </c>
    </row>
    <row r="547">
      <c r="A547" s="19">
        <f>Database!A868</f>
        <v/>
      </c>
      <c r="B547" s="48">
        <f>VLOOKUP(A547,Database!$A:$V,MATCH(Currency!$B$1,Database!$A$1:$V$1,),)</f>
        <v/>
      </c>
    </row>
    <row r="548">
      <c r="A548" s="19">
        <f>Database!A869</f>
        <v/>
      </c>
      <c r="B548" s="48">
        <f>VLOOKUP(A548,Database!$A:$V,MATCH(Currency!$B$1,Database!$A$1:$V$1,),)</f>
        <v/>
      </c>
    </row>
    <row r="549">
      <c r="A549" s="19">
        <f>Database!A870</f>
        <v/>
      </c>
      <c r="B549" s="48">
        <f>VLOOKUP(A549,Database!$A:$V,MATCH(Currency!$B$1,Database!$A$1:$V$1,),)</f>
        <v/>
      </c>
    </row>
    <row r="550">
      <c r="A550" s="19">
        <f>Database!A871</f>
        <v/>
      </c>
      <c r="B550" s="48">
        <f>VLOOKUP(A550,Database!$A:$V,MATCH(Currency!$B$1,Database!$A$1:$V$1,),)</f>
        <v/>
      </c>
    </row>
    <row r="551">
      <c r="A551" s="19">
        <f>Database!A872</f>
        <v/>
      </c>
      <c r="B551" s="48">
        <f>VLOOKUP(A551,Database!$A:$V,MATCH(Currency!$B$1,Database!$A$1:$V$1,),)</f>
        <v/>
      </c>
    </row>
    <row r="552">
      <c r="A552" s="19">
        <f>Database!A873</f>
        <v/>
      </c>
      <c r="B552" s="48">
        <f>VLOOKUP(A552,Database!$A:$V,MATCH(Currency!$B$1,Database!$A$1:$V$1,),)</f>
        <v/>
      </c>
    </row>
    <row r="553">
      <c r="A553" s="19">
        <f>Database!A874</f>
        <v/>
      </c>
      <c r="B553" s="48">
        <f>VLOOKUP(A553,Database!$A:$V,MATCH(Currency!$B$1,Database!$A$1:$V$1,),)</f>
        <v/>
      </c>
    </row>
    <row r="554">
      <c r="A554" s="19">
        <f>Database!A875</f>
        <v/>
      </c>
      <c r="B554" s="48">
        <f>VLOOKUP(A554,Database!$A:$V,MATCH(Currency!$B$1,Database!$A$1:$V$1,),)</f>
        <v/>
      </c>
    </row>
    <row r="555">
      <c r="A555" s="19">
        <f>Database!A876</f>
        <v/>
      </c>
      <c r="B555" s="48">
        <f>VLOOKUP(A555,Database!$A:$V,MATCH(Currency!$B$1,Database!$A$1:$V$1,),)</f>
        <v/>
      </c>
    </row>
    <row r="556">
      <c r="A556" s="19">
        <f>Database!A877</f>
        <v/>
      </c>
      <c r="B556" s="48">
        <f>VLOOKUP(A556,Database!$A:$V,MATCH(Currency!$B$1,Database!$A$1:$V$1,),)</f>
        <v/>
      </c>
    </row>
    <row r="557">
      <c r="A557" s="19">
        <f>Database!A878</f>
        <v/>
      </c>
      <c r="B557" s="48">
        <f>VLOOKUP(A557,Database!$A:$V,MATCH(Currency!$B$1,Database!$A$1:$V$1,),)</f>
        <v/>
      </c>
    </row>
    <row r="558">
      <c r="A558" s="19">
        <f>Database!A879</f>
        <v/>
      </c>
      <c r="B558" s="48">
        <f>VLOOKUP(A558,Database!$A:$V,MATCH(Currency!$B$1,Database!$A$1:$V$1,),)</f>
        <v/>
      </c>
    </row>
    <row r="559">
      <c r="A559" s="19">
        <f>Database!A880</f>
        <v/>
      </c>
      <c r="B559" s="48">
        <f>VLOOKUP(A559,Database!$A:$V,MATCH(Currency!$B$1,Database!$A$1:$V$1,),)</f>
        <v/>
      </c>
    </row>
    <row r="560">
      <c r="A560" s="19">
        <f>Database!A881</f>
        <v/>
      </c>
      <c r="B560" s="48">
        <f>VLOOKUP(A560,Database!$A:$V,MATCH(Currency!$B$1,Database!$A$1:$V$1,),)</f>
        <v/>
      </c>
    </row>
    <row r="561">
      <c r="A561" s="19">
        <f>Database!A882</f>
        <v/>
      </c>
      <c r="B561" s="48">
        <f>VLOOKUP(A561,Database!$A:$V,MATCH(Currency!$B$1,Database!$A$1:$V$1,),)</f>
        <v/>
      </c>
    </row>
    <row r="562">
      <c r="A562" s="19">
        <f>Database!A883</f>
        <v/>
      </c>
      <c r="B562" s="48">
        <f>VLOOKUP(A562,Database!$A:$V,MATCH(Currency!$B$1,Database!$A$1:$V$1,),)</f>
        <v/>
      </c>
    </row>
    <row r="563">
      <c r="A563" s="19">
        <f>Database!A884</f>
        <v/>
      </c>
      <c r="B563" s="48">
        <f>VLOOKUP(A563,Database!$A:$V,MATCH(Currency!$B$1,Database!$A$1:$V$1,),)</f>
        <v/>
      </c>
    </row>
    <row r="564">
      <c r="A564" s="19">
        <f>Database!A885</f>
        <v/>
      </c>
      <c r="B564" s="48">
        <f>VLOOKUP(A564,Database!$A:$V,MATCH(Currency!$B$1,Database!$A$1:$V$1,),)</f>
        <v/>
      </c>
    </row>
    <row r="565">
      <c r="A565" s="19">
        <f>Database!A886</f>
        <v/>
      </c>
      <c r="B565" s="48">
        <f>VLOOKUP(A565,Database!$A:$V,MATCH(Currency!$B$1,Database!$A$1:$V$1,),)</f>
        <v/>
      </c>
    </row>
    <row r="566">
      <c r="A566" s="19">
        <f>Database!A887</f>
        <v/>
      </c>
      <c r="B566" s="48">
        <f>VLOOKUP(A566,Database!$A:$V,MATCH(Currency!$B$1,Database!$A$1:$V$1,),)</f>
        <v/>
      </c>
    </row>
    <row r="567">
      <c r="A567" s="19">
        <f>Database!A888</f>
        <v/>
      </c>
      <c r="B567" s="48">
        <f>VLOOKUP(A567,Database!$A:$V,MATCH(Currency!$B$1,Database!$A$1:$V$1,),)</f>
        <v/>
      </c>
    </row>
    <row r="568">
      <c r="A568" s="19">
        <f>Database!A889</f>
        <v/>
      </c>
      <c r="B568" s="48">
        <f>VLOOKUP(A568,Database!$A:$V,MATCH(Currency!$B$1,Database!$A$1:$V$1,),)</f>
        <v/>
      </c>
    </row>
    <row r="569">
      <c r="A569" s="19">
        <f>Database!A890</f>
        <v/>
      </c>
      <c r="B569" s="48">
        <f>VLOOKUP(A569,Database!$A:$V,MATCH(Currency!$B$1,Database!$A$1:$V$1,),)</f>
        <v/>
      </c>
    </row>
    <row r="570">
      <c r="A570" s="19">
        <f>Database!A891</f>
        <v/>
      </c>
      <c r="B570" s="48">
        <f>VLOOKUP(A570,Database!$A:$V,MATCH(Currency!$B$1,Database!$A$1:$V$1,),)</f>
        <v/>
      </c>
    </row>
    <row r="571">
      <c r="A571" s="19">
        <f>Database!A892</f>
        <v/>
      </c>
      <c r="B571" s="48">
        <f>VLOOKUP(A571,Database!$A:$V,MATCH(Currency!$B$1,Database!$A$1:$V$1,),)</f>
        <v/>
      </c>
    </row>
    <row r="572">
      <c r="A572" s="19">
        <f>Database!A893</f>
        <v/>
      </c>
      <c r="B572" s="48">
        <f>VLOOKUP(A572,Database!$A:$V,MATCH(Currency!$B$1,Database!$A$1:$V$1,),)</f>
        <v/>
      </c>
    </row>
    <row r="573">
      <c r="A573" s="19">
        <f>Database!A894</f>
        <v/>
      </c>
      <c r="B573" s="48">
        <f>VLOOKUP(A573,Database!$A:$V,MATCH(Currency!$B$1,Database!$A$1:$V$1,),)</f>
        <v/>
      </c>
    </row>
    <row r="574">
      <c r="A574" s="19">
        <f>Database!A895</f>
        <v/>
      </c>
      <c r="B574" s="48">
        <f>VLOOKUP(A574,Database!$A:$V,MATCH(Currency!$B$1,Database!$A$1:$V$1,),)</f>
        <v/>
      </c>
    </row>
    <row r="575">
      <c r="A575" s="19">
        <f>Database!A896</f>
        <v/>
      </c>
      <c r="B575" s="48">
        <f>VLOOKUP(A575,Database!$A:$V,MATCH(Currency!$B$1,Database!$A$1:$V$1,),)</f>
        <v/>
      </c>
    </row>
    <row r="576">
      <c r="A576" s="19">
        <f>Database!A897</f>
        <v/>
      </c>
      <c r="B576" s="48">
        <f>VLOOKUP(A576,Database!$A:$V,MATCH(Currency!$B$1,Database!$A$1:$V$1,),)</f>
        <v/>
      </c>
    </row>
    <row r="577">
      <c r="A577" s="19">
        <f>Database!A898</f>
        <v/>
      </c>
      <c r="B577" s="48">
        <f>VLOOKUP(A577,Database!$A:$V,MATCH(Currency!$B$1,Database!$A$1:$V$1,),)</f>
        <v/>
      </c>
    </row>
    <row r="578">
      <c r="A578" s="19">
        <f>Database!A899</f>
        <v/>
      </c>
      <c r="B578" s="48">
        <f>VLOOKUP(A578,Database!$A:$V,MATCH(Currency!$B$1,Database!$A$1:$V$1,),)</f>
        <v/>
      </c>
    </row>
    <row r="579">
      <c r="A579" s="19">
        <f>Database!A900</f>
        <v/>
      </c>
      <c r="B579" s="48">
        <f>VLOOKUP(A579,Database!$A:$V,MATCH(Currency!$B$1,Database!$A$1:$V$1,),)</f>
        <v/>
      </c>
    </row>
    <row r="580">
      <c r="A580" s="19">
        <f>Database!A901</f>
        <v/>
      </c>
      <c r="B580" s="48">
        <f>VLOOKUP(A580,Database!$A:$V,MATCH(Currency!$B$1,Database!$A$1:$V$1,),)</f>
        <v/>
      </c>
    </row>
    <row r="581">
      <c r="A581" s="19">
        <f>Database!A902</f>
        <v/>
      </c>
      <c r="B581" s="48">
        <f>VLOOKUP(A581,Database!$A:$V,MATCH(Currency!$B$1,Database!$A$1:$V$1,),)</f>
        <v/>
      </c>
    </row>
    <row r="582">
      <c r="A582" s="19">
        <f>Database!A903</f>
        <v/>
      </c>
      <c r="B582" s="48">
        <f>VLOOKUP(A582,Database!$A:$V,MATCH(Currency!$B$1,Database!$A$1:$V$1,),)</f>
        <v/>
      </c>
    </row>
    <row r="583">
      <c r="A583" s="19">
        <f>Database!A904</f>
        <v/>
      </c>
      <c r="B583" s="48">
        <f>VLOOKUP(A583,Database!$A:$V,MATCH(Currency!$B$1,Database!$A$1:$V$1,),)</f>
        <v/>
      </c>
    </row>
    <row r="584">
      <c r="A584" s="19">
        <f>Database!A905</f>
        <v/>
      </c>
      <c r="B584" s="48">
        <f>VLOOKUP(A584,Database!$A:$V,MATCH(Currency!$B$1,Database!$A$1:$V$1,),)</f>
        <v/>
      </c>
    </row>
    <row r="585">
      <c r="A585" s="19">
        <f>Database!A906</f>
        <v/>
      </c>
      <c r="B585" s="48">
        <f>VLOOKUP(A585,Database!$A:$V,MATCH(Currency!$B$1,Database!$A$1:$V$1,),)</f>
        <v/>
      </c>
    </row>
    <row r="586">
      <c r="A586" s="19">
        <f>Database!A907</f>
        <v/>
      </c>
      <c r="B586" s="48">
        <f>VLOOKUP(A586,Database!$A:$V,MATCH(Currency!$B$1,Database!$A$1:$V$1,),)</f>
        <v/>
      </c>
    </row>
    <row r="587">
      <c r="A587" s="19">
        <f>Database!A908</f>
        <v/>
      </c>
      <c r="B587" s="48">
        <f>VLOOKUP(A587,Database!$A:$V,MATCH(Currency!$B$1,Database!$A$1:$V$1,),)</f>
        <v/>
      </c>
    </row>
    <row r="588">
      <c r="A588" s="19">
        <f>Database!A909</f>
        <v/>
      </c>
      <c r="B588" s="48">
        <f>VLOOKUP(A588,Database!$A:$V,MATCH(Currency!$B$1,Database!$A$1:$V$1,),)</f>
        <v/>
      </c>
    </row>
    <row r="589">
      <c r="A589" s="19">
        <f>Database!A910</f>
        <v/>
      </c>
      <c r="B589" s="48">
        <f>VLOOKUP(A589,Database!$A:$V,MATCH(Currency!$B$1,Database!$A$1:$V$1,),)</f>
        <v/>
      </c>
    </row>
    <row r="590">
      <c r="A590" s="19">
        <f>Database!A911</f>
        <v/>
      </c>
      <c r="B590" s="48">
        <f>VLOOKUP(A590,Database!$A:$V,MATCH(Currency!$B$1,Database!$A$1:$V$1,),)</f>
        <v/>
      </c>
    </row>
    <row r="591">
      <c r="A591" s="19">
        <f>Database!A912</f>
        <v/>
      </c>
      <c r="B591" s="48">
        <f>VLOOKUP(A591,Database!$A:$V,MATCH(Currency!$B$1,Database!$A$1:$V$1,),)</f>
        <v/>
      </c>
    </row>
    <row r="592">
      <c r="A592" s="19">
        <f>Database!A913</f>
        <v/>
      </c>
      <c r="B592" s="48">
        <f>VLOOKUP(A592,Database!$A:$V,MATCH(Currency!$B$1,Database!$A$1:$V$1,),)</f>
        <v/>
      </c>
    </row>
    <row r="593">
      <c r="A593" s="19">
        <f>Database!A914</f>
        <v/>
      </c>
      <c r="B593" s="48">
        <f>VLOOKUP(A593,Database!$A:$V,MATCH(Currency!$B$1,Database!$A$1:$V$1,),)</f>
        <v/>
      </c>
    </row>
    <row r="594">
      <c r="A594" s="19">
        <f>Database!A915</f>
        <v/>
      </c>
      <c r="B594" s="48">
        <f>VLOOKUP(A594,Database!$A:$V,MATCH(Currency!$B$1,Database!$A$1:$V$1,),)</f>
        <v/>
      </c>
    </row>
    <row r="595">
      <c r="A595" s="19">
        <f>Database!A916</f>
        <v/>
      </c>
      <c r="B595" s="48">
        <f>VLOOKUP(A595,Database!$A:$V,MATCH(Currency!$B$1,Database!$A$1:$V$1,),)</f>
        <v/>
      </c>
    </row>
    <row r="596">
      <c r="A596" s="19">
        <f>Database!A917</f>
        <v/>
      </c>
      <c r="B596" s="48">
        <f>VLOOKUP(A596,Database!$A:$V,MATCH(Currency!$B$1,Database!$A$1:$V$1,),)</f>
        <v/>
      </c>
    </row>
    <row r="597">
      <c r="A597" s="19">
        <f>Database!A918</f>
        <v/>
      </c>
      <c r="B597" s="48">
        <f>VLOOKUP(A597,Database!$A:$V,MATCH(Currency!$B$1,Database!$A$1:$V$1,),)</f>
        <v/>
      </c>
    </row>
    <row r="598">
      <c r="A598" s="19">
        <f>Database!A919</f>
        <v/>
      </c>
      <c r="B598" s="48">
        <f>VLOOKUP(A598,Database!$A:$V,MATCH(Currency!$B$1,Database!$A$1:$V$1,),)</f>
        <v/>
      </c>
    </row>
    <row r="599">
      <c r="A599" s="19">
        <f>Database!A920</f>
        <v/>
      </c>
      <c r="B599" s="48">
        <f>VLOOKUP(A599,Database!$A:$V,MATCH(Currency!$B$1,Database!$A$1:$V$1,),)</f>
        <v/>
      </c>
    </row>
    <row r="600">
      <c r="A600" s="19">
        <f>Database!A921</f>
        <v/>
      </c>
      <c r="B600" s="48">
        <f>VLOOKUP(A600,Database!$A:$V,MATCH(Currency!$B$1,Database!$A$1:$V$1,),)</f>
        <v/>
      </c>
    </row>
    <row r="601">
      <c r="A601" s="19">
        <f>Database!A922</f>
        <v/>
      </c>
      <c r="B601" s="48">
        <f>VLOOKUP(A601,Database!$A:$V,MATCH(Currency!$B$1,Database!$A$1:$V$1,),)</f>
        <v/>
      </c>
    </row>
    <row r="602">
      <c r="A602" s="19">
        <f>Database!A923</f>
        <v/>
      </c>
      <c r="B602" s="48">
        <f>VLOOKUP(A602,Database!$A:$V,MATCH(Currency!$B$1,Database!$A$1:$V$1,),)</f>
        <v/>
      </c>
    </row>
    <row r="603">
      <c r="A603" s="19">
        <f>Database!A924</f>
        <v/>
      </c>
      <c r="B603" s="48">
        <f>VLOOKUP(A603,Database!$A:$V,MATCH(Currency!$B$1,Database!$A$1:$V$1,),)</f>
        <v/>
      </c>
    </row>
    <row r="604">
      <c r="A604" s="19">
        <f>Database!A925</f>
        <v/>
      </c>
      <c r="B604" s="48">
        <f>VLOOKUP(A604,Database!$A:$V,MATCH(Currency!$B$1,Database!$A$1:$V$1,),)</f>
        <v/>
      </c>
    </row>
    <row r="605">
      <c r="A605" s="19">
        <f>Database!A926</f>
        <v/>
      </c>
      <c r="B605" s="48">
        <f>VLOOKUP(A605,Database!$A:$V,MATCH(Currency!$B$1,Database!$A$1:$V$1,),)</f>
        <v/>
      </c>
    </row>
    <row r="606">
      <c r="A606" s="19">
        <f>Database!A927</f>
        <v/>
      </c>
      <c r="B606" s="48">
        <f>VLOOKUP(A606,Database!$A:$V,MATCH(Currency!$B$1,Database!$A$1:$V$1,),)</f>
        <v/>
      </c>
    </row>
    <row r="607">
      <c r="A607" s="19">
        <f>Database!A928</f>
        <v/>
      </c>
      <c r="B607" s="48">
        <f>VLOOKUP(A607,Database!$A:$V,MATCH(Currency!$B$1,Database!$A$1:$V$1,),)</f>
        <v/>
      </c>
    </row>
    <row r="608">
      <c r="A608" s="19">
        <f>Database!A929</f>
        <v/>
      </c>
      <c r="B608" s="48">
        <f>VLOOKUP(A608,Database!$A:$V,MATCH(Currency!$B$1,Database!$A$1:$V$1,),)</f>
        <v/>
      </c>
    </row>
    <row r="609">
      <c r="A609" s="19">
        <f>Database!A930</f>
        <v/>
      </c>
      <c r="B609" s="48">
        <f>VLOOKUP(A609,Database!$A:$V,MATCH(Currency!$B$1,Database!$A$1:$V$1,),)</f>
        <v/>
      </c>
    </row>
    <row r="610">
      <c r="A610" s="19">
        <f>Database!A931</f>
        <v/>
      </c>
      <c r="B610" s="48">
        <f>VLOOKUP(A610,Database!$A:$V,MATCH(Currency!$B$1,Database!$A$1:$V$1,),)</f>
        <v/>
      </c>
    </row>
    <row r="611">
      <c r="A611" s="19">
        <f>Database!A932</f>
        <v/>
      </c>
      <c r="B611" s="48">
        <f>VLOOKUP(A611,Database!$A:$V,MATCH(Currency!$B$1,Database!$A$1:$V$1,),)</f>
        <v/>
      </c>
    </row>
    <row r="612">
      <c r="A612" s="19">
        <f>Database!A933</f>
        <v/>
      </c>
      <c r="B612" s="48">
        <f>VLOOKUP(A612,Database!$A:$V,MATCH(Currency!$B$1,Database!$A$1:$V$1,),)</f>
        <v/>
      </c>
    </row>
    <row r="613">
      <c r="A613" s="19">
        <f>Database!A934</f>
        <v/>
      </c>
      <c r="B613" s="48">
        <f>VLOOKUP(A613,Database!$A:$V,MATCH(Currency!$B$1,Database!$A$1:$V$1,),)</f>
        <v/>
      </c>
    </row>
    <row r="614">
      <c r="A614" s="19">
        <f>Database!A935</f>
        <v/>
      </c>
      <c r="B614" s="48">
        <f>VLOOKUP(A614,Database!$A:$V,MATCH(Currency!$B$1,Database!$A$1:$V$1,),)</f>
        <v/>
      </c>
    </row>
    <row r="615">
      <c r="A615" s="19">
        <f>Database!A936</f>
        <v/>
      </c>
      <c r="B615" s="48">
        <f>VLOOKUP(A615,Database!$A:$V,MATCH(Currency!$B$1,Database!$A$1:$V$1,),)</f>
        <v/>
      </c>
    </row>
    <row r="616">
      <c r="A616" s="19">
        <f>Database!A937</f>
        <v/>
      </c>
      <c r="B616" s="48">
        <f>VLOOKUP(A616,Database!$A:$V,MATCH(Currency!$B$1,Database!$A$1:$V$1,),)</f>
        <v/>
      </c>
    </row>
    <row r="617">
      <c r="A617" s="19">
        <f>Database!A938</f>
        <v/>
      </c>
      <c r="B617" s="48">
        <f>VLOOKUP(A617,Database!$A:$V,MATCH(Currency!$B$1,Database!$A$1:$V$1,),)</f>
        <v/>
      </c>
    </row>
    <row r="618">
      <c r="A618" s="19">
        <f>Database!A939</f>
        <v/>
      </c>
      <c r="B618" s="48">
        <f>VLOOKUP(A618,Database!$A:$V,MATCH(Currency!$B$1,Database!$A$1:$V$1,),)</f>
        <v/>
      </c>
    </row>
    <row r="619">
      <c r="A619" s="19">
        <f>Database!A940</f>
        <v/>
      </c>
      <c r="B619" s="48">
        <f>VLOOKUP(A619,Database!$A:$V,MATCH(Currency!$B$1,Database!$A$1:$V$1,),)</f>
        <v/>
      </c>
    </row>
    <row r="620">
      <c r="A620" s="19">
        <f>Database!A941</f>
        <v/>
      </c>
      <c r="B620" s="48">
        <f>VLOOKUP(A620,Database!$A:$V,MATCH(Currency!$B$1,Database!$A$1:$V$1,),)</f>
        <v/>
      </c>
    </row>
    <row r="621">
      <c r="A621" s="19">
        <f>Database!A942</f>
        <v/>
      </c>
      <c r="B621" s="48">
        <f>VLOOKUP(A621,Database!$A:$V,MATCH(Currency!$B$1,Database!$A$1:$V$1,),)</f>
        <v/>
      </c>
    </row>
    <row r="622">
      <c r="A622" s="19">
        <f>Database!A943</f>
        <v/>
      </c>
      <c r="B622" s="48">
        <f>VLOOKUP(A622,Database!$A:$V,MATCH(Currency!$B$1,Database!$A$1:$V$1,),)</f>
        <v/>
      </c>
    </row>
    <row r="623">
      <c r="A623" s="19">
        <f>Database!A944</f>
        <v/>
      </c>
      <c r="B623" s="48">
        <f>VLOOKUP(A623,Database!$A:$V,MATCH(Currency!$B$1,Database!$A$1:$V$1,),)</f>
        <v/>
      </c>
    </row>
    <row r="624">
      <c r="A624" s="19">
        <f>Database!A945</f>
        <v/>
      </c>
      <c r="B624" s="48">
        <f>VLOOKUP(A624,Database!$A:$V,MATCH(Currency!$B$1,Database!$A$1:$V$1,),)</f>
        <v/>
      </c>
    </row>
    <row r="625">
      <c r="A625" s="19">
        <f>Database!A946</f>
        <v/>
      </c>
      <c r="B625" s="48">
        <f>VLOOKUP(A625,Database!$A:$V,MATCH(Currency!$B$1,Database!$A$1:$V$1,),)</f>
        <v/>
      </c>
    </row>
    <row r="626">
      <c r="A626" s="19">
        <f>Database!A947</f>
        <v/>
      </c>
      <c r="B626" s="48">
        <f>VLOOKUP(A626,Database!$A:$V,MATCH(Currency!$B$1,Database!$A$1:$V$1,),)</f>
        <v/>
      </c>
    </row>
    <row r="627">
      <c r="A627" s="19">
        <f>Database!A948</f>
        <v/>
      </c>
      <c r="B627" s="48">
        <f>VLOOKUP(A627,Database!$A:$V,MATCH(Currency!$B$1,Database!$A$1:$V$1,),)</f>
        <v/>
      </c>
    </row>
    <row r="628">
      <c r="A628" s="19">
        <f>Database!A949</f>
        <v/>
      </c>
      <c r="B628" s="48">
        <f>VLOOKUP(A628,Database!$A:$V,MATCH(Currency!$B$1,Database!$A$1:$V$1,),)</f>
        <v/>
      </c>
    </row>
    <row r="629">
      <c r="A629" s="19">
        <f>Database!A950</f>
        <v/>
      </c>
      <c r="B629" s="48">
        <f>VLOOKUP(A629,Database!$A:$V,MATCH(Currency!$B$1,Database!$A$1:$V$1,),)</f>
        <v/>
      </c>
    </row>
    <row r="630">
      <c r="A630" s="19">
        <f>Database!A951</f>
        <v/>
      </c>
      <c r="B630" s="48">
        <f>VLOOKUP(A630,Database!$A:$V,MATCH(Currency!$B$1,Database!$A$1:$V$1,),)</f>
        <v/>
      </c>
    </row>
    <row r="631">
      <c r="A631" s="19">
        <f>Database!A952</f>
        <v/>
      </c>
      <c r="B631" s="48">
        <f>VLOOKUP(A631,Database!$A:$V,MATCH(Currency!$B$1,Database!$A$1:$V$1,),)</f>
        <v/>
      </c>
    </row>
    <row r="632">
      <c r="A632" s="19">
        <f>Database!A953</f>
        <v/>
      </c>
      <c r="B632" s="48">
        <f>VLOOKUP(A632,Database!$A:$V,MATCH(Currency!$B$1,Database!$A$1:$V$1,),)</f>
        <v/>
      </c>
    </row>
    <row r="633">
      <c r="A633" s="19">
        <f>Database!A954</f>
        <v/>
      </c>
      <c r="B633" s="48">
        <f>VLOOKUP(A633,Database!$A:$V,MATCH(Currency!$B$1,Database!$A$1:$V$1,),)</f>
        <v/>
      </c>
    </row>
    <row r="634">
      <c r="A634" s="19">
        <f>Database!A955</f>
        <v/>
      </c>
      <c r="B634" s="48">
        <f>VLOOKUP(A634,Database!$A:$V,MATCH(Currency!$B$1,Database!$A$1:$V$1,),)</f>
        <v/>
      </c>
    </row>
    <row r="635">
      <c r="A635" s="19">
        <f>Database!A956</f>
        <v/>
      </c>
      <c r="B635" s="48">
        <f>VLOOKUP(A635,Database!$A:$V,MATCH(Currency!$B$1,Database!$A$1:$V$1,),)</f>
        <v/>
      </c>
    </row>
    <row r="636">
      <c r="A636" s="19">
        <f>Database!A957</f>
        <v/>
      </c>
      <c r="B636" s="48">
        <f>VLOOKUP(A636,Database!$A:$V,MATCH(Currency!$B$1,Database!$A$1:$V$1,),)</f>
        <v/>
      </c>
    </row>
    <row r="637">
      <c r="A637" s="19">
        <f>Database!A958</f>
        <v/>
      </c>
      <c r="B637" s="48">
        <f>VLOOKUP(A637,Database!$A:$V,MATCH(Currency!$B$1,Database!$A$1:$V$1,),)</f>
        <v/>
      </c>
    </row>
    <row r="638">
      <c r="A638" s="19">
        <f>Database!A959</f>
        <v/>
      </c>
      <c r="B638" s="48">
        <f>VLOOKUP(A638,Database!$A:$V,MATCH(Currency!$B$1,Database!$A$1:$V$1,),)</f>
        <v/>
      </c>
    </row>
    <row r="639">
      <c r="A639" s="19">
        <f>Database!A960</f>
        <v/>
      </c>
      <c r="B639" s="48">
        <f>VLOOKUP(A639,Database!$A:$V,MATCH(Currency!$B$1,Database!$A$1:$V$1,),)</f>
        <v/>
      </c>
    </row>
    <row r="640">
      <c r="A640" s="19">
        <f>Database!A961</f>
        <v/>
      </c>
      <c r="B640" s="48">
        <f>VLOOKUP(A640,Database!$A:$V,MATCH(Currency!$B$1,Database!$A$1:$V$1,),)</f>
        <v/>
      </c>
    </row>
    <row r="641">
      <c r="A641" s="19">
        <f>Database!A962</f>
        <v/>
      </c>
      <c r="B641" s="48">
        <f>VLOOKUP(A641,Database!$A:$V,MATCH(Currency!$B$1,Database!$A$1:$V$1,),)</f>
        <v/>
      </c>
    </row>
    <row r="642">
      <c r="A642" s="19">
        <f>Database!A963</f>
        <v/>
      </c>
      <c r="B642" s="48">
        <f>VLOOKUP(A642,Database!$A:$V,MATCH(Currency!$B$1,Database!$A$1:$V$1,),)</f>
        <v/>
      </c>
    </row>
    <row r="643">
      <c r="A643" s="19">
        <f>Database!A964</f>
        <v/>
      </c>
      <c r="B643" s="48">
        <f>VLOOKUP(A643,Database!$A:$V,MATCH(Currency!$B$1,Database!$A$1:$V$1,),)</f>
        <v/>
      </c>
    </row>
    <row r="644">
      <c r="A644" s="19">
        <f>Database!A965</f>
        <v/>
      </c>
      <c r="B644" s="48">
        <f>VLOOKUP(A644,Database!$A:$V,MATCH(Currency!$B$1,Database!$A$1:$V$1,),)</f>
        <v/>
      </c>
    </row>
    <row r="645">
      <c r="A645" s="19">
        <f>Database!A966</f>
        <v/>
      </c>
      <c r="B645" s="48">
        <f>VLOOKUP(A645,Database!$A:$V,MATCH(Currency!$B$1,Database!$A$1:$V$1,),)</f>
        <v/>
      </c>
    </row>
    <row r="646">
      <c r="A646" s="19">
        <f>Database!A967</f>
        <v/>
      </c>
      <c r="B646" s="48">
        <f>VLOOKUP(A646,Database!$A:$V,MATCH(Currency!$B$1,Database!$A$1:$V$1,),)</f>
        <v/>
      </c>
    </row>
    <row r="647">
      <c r="A647" s="19">
        <f>Database!A968</f>
        <v/>
      </c>
      <c r="B647" s="48">
        <f>VLOOKUP(A647,Database!$A:$V,MATCH(Currency!$B$1,Database!$A$1:$V$1,),)</f>
        <v/>
      </c>
    </row>
    <row r="648">
      <c r="A648" s="19">
        <f>Database!A969</f>
        <v/>
      </c>
      <c r="B648" s="48">
        <f>VLOOKUP(A648,Database!$A:$V,MATCH(Currency!$B$1,Database!$A$1:$V$1,),)</f>
        <v/>
      </c>
    </row>
    <row r="649">
      <c r="A649" s="19">
        <f>Database!A970</f>
        <v/>
      </c>
      <c r="B649" s="48">
        <f>VLOOKUP(A649,Database!$A:$V,MATCH(Currency!$B$1,Database!$A$1:$V$1,),)</f>
        <v/>
      </c>
    </row>
    <row r="650">
      <c r="A650" s="19">
        <f>Database!A971</f>
        <v/>
      </c>
      <c r="B650" s="48">
        <f>VLOOKUP(A650,Database!$A:$V,MATCH(Currency!$B$1,Database!$A$1:$V$1,),)</f>
        <v/>
      </c>
    </row>
    <row r="651">
      <c r="A651" s="19">
        <f>Database!A972</f>
        <v/>
      </c>
      <c r="B651" s="48">
        <f>VLOOKUP(A651,Database!$A:$V,MATCH(Currency!$B$1,Database!$A$1:$V$1,),)</f>
        <v/>
      </c>
    </row>
    <row r="652">
      <c r="A652" s="19">
        <f>Database!A973</f>
        <v/>
      </c>
      <c r="B652" s="48">
        <f>VLOOKUP(A652,Database!$A:$V,MATCH(Currency!$B$1,Database!$A$1:$V$1,),)</f>
        <v/>
      </c>
    </row>
    <row r="653">
      <c r="A653" s="19">
        <f>Database!A974</f>
        <v/>
      </c>
      <c r="B653" s="48">
        <f>VLOOKUP(A653,Database!$A:$V,MATCH(Currency!$B$1,Database!$A$1:$V$1,),)</f>
        <v/>
      </c>
    </row>
    <row r="654">
      <c r="A654" s="19">
        <f>Database!A975</f>
        <v/>
      </c>
      <c r="B654" s="48">
        <f>VLOOKUP(A654,Database!$A:$V,MATCH(Currency!$B$1,Database!$A$1:$V$1,),)</f>
        <v/>
      </c>
    </row>
    <row r="655">
      <c r="A655" s="19">
        <f>Database!A976</f>
        <v/>
      </c>
      <c r="B655" s="48">
        <f>VLOOKUP(A655,Database!$A:$V,MATCH(Currency!$B$1,Database!$A$1:$V$1,),)</f>
        <v/>
      </c>
    </row>
    <row r="656">
      <c r="A656" s="19">
        <f>Database!A977</f>
        <v/>
      </c>
      <c r="B656" s="48">
        <f>VLOOKUP(A656,Database!$A:$V,MATCH(Currency!$B$1,Database!$A$1:$V$1,),)</f>
        <v/>
      </c>
    </row>
    <row r="657">
      <c r="A657" s="19">
        <f>Database!A978</f>
        <v/>
      </c>
      <c r="B657" s="48">
        <f>VLOOKUP(A657,Database!$A:$V,MATCH(Currency!$B$1,Database!$A$1:$V$1,),)</f>
        <v/>
      </c>
    </row>
    <row r="658">
      <c r="A658" s="19">
        <f>Database!A979</f>
        <v/>
      </c>
      <c r="B658" s="48">
        <f>VLOOKUP(A658,Database!$A:$V,MATCH(Currency!$B$1,Database!$A$1:$V$1,),)</f>
        <v/>
      </c>
    </row>
    <row r="659">
      <c r="A659" s="19">
        <f>Database!A980</f>
        <v/>
      </c>
      <c r="B659" s="48">
        <f>VLOOKUP(A659,Database!$A:$V,MATCH(Currency!$B$1,Database!$A$1:$V$1,),)</f>
        <v/>
      </c>
    </row>
    <row r="660">
      <c r="A660" s="19">
        <f>Database!A981</f>
        <v/>
      </c>
      <c r="B660" s="48">
        <f>VLOOKUP(A660,Database!$A:$V,MATCH(Currency!$B$1,Database!$A$1:$V$1,),)</f>
        <v/>
      </c>
    </row>
    <row r="661">
      <c r="A661" s="19">
        <f>Database!A982</f>
        <v/>
      </c>
      <c r="B661" s="48">
        <f>VLOOKUP(A661,Database!$A:$V,MATCH(Currency!$B$1,Database!$A$1:$V$1,),)</f>
        <v/>
      </c>
    </row>
    <row r="662">
      <c r="A662" s="19">
        <f>Database!A983</f>
        <v/>
      </c>
      <c r="B662" s="48">
        <f>VLOOKUP(A662,Database!$A:$V,MATCH(Currency!$B$1,Database!$A$1:$V$1,),)</f>
        <v/>
      </c>
    </row>
    <row r="663">
      <c r="A663" s="19">
        <f>Database!A984</f>
        <v/>
      </c>
      <c r="B663" s="48">
        <f>VLOOKUP(A663,Database!$A:$V,MATCH(Currency!$B$1,Database!$A$1:$V$1,),)</f>
        <v/>
      </c>
    </row>
    <row r="664">
      <c r="A664" s="19">
        <f>Database!A985</f>
        <v/>
      </c>
      <c r="B664" s="48">
        <f>VLOOKUP(A664,Database!$A:$V,MATCH(Currency!$B$1,Database!$A$1:$V$1,),)</f>
        <v/>
      </c>
    </row>
    <row r="665">
      <c r="A665" s="19">
        <f>Database!A986</f>
        <v/>
      </c>
      <c r="B665" s="48">
        <f>VLOOKUP(A665,Database!$A:$V,MATCH(Currency!$B$1,Database!$A$1:$V$1,),)</f>
        <v/>
      </c>
    </row>
    <row r="666">
      <c r="A666" s="19">
        <f>Database!A987</f>
        <v/>
      </c>
      <c r="B666" s="48">
        <f>VLOOKUP(A666,Database!$A:$V,MATCH(Currency!$B$1,Database!$A$1:$V$1,),)</f>
        <v/>
      </c>
    </row>
    <row r="667">
      <c r="A667" s="19">
        <f>Database!A988</f>
        <v/>
      </c>
      <c r="B667" s="48">
        <f>VLOOKUP(A667,Database!$A:$V,MATCH(Currency!$B$1,Database!$A$1:$V$1,),)</f>
        <v/>
      </c>
    </row>
    <row r="668">
      <c r="A668" s="19">
        <f>Database!A989</f>
        <v/>
      </c>
      <c r="B668" s="48">
        <f>VLOOKUP(A668,Database!$A:$V,MATCH(Currency!$B$1,Database!$A$1:$V$1,),)</f>
        <v/>
      </c>
    </row>
    <row r="669">
      <c r="A669" s="19">
        <f>Database!A990</f>
        <v/>
      </c>
      <c r="B669" s="48">
        <f>VLOOKUP(A669,Database!$A:$V,MATCH(Currency!$B$1,Database!$A$1:$V$1,),)</f>
        <v/>
      </c>
    </row>
    <row r="670">
      <c r="A670" s="19">
        <f>Database!A991</f>
        <v/>
      </c>
      <c r="B670" s="48">
        <f>VLOOKUP(A670,Database!$A:$V,MATCH(Currency!$B$1,Database!$A$1:$V$1,),)</f>
        <v/>
      </c>
    </row>
    <row r="671">
      <c r="A671" s="19">
        <f>Database!A992</f>
        <v/>
      </c>
      <c r="B671" s="48">
        <f>VLOOKUP(A671,Database!$A:$V,MATCH(Currency!$B$1,Database!$A$1:$V$1,),)</f>
        <v/>
      </c>
    </row>
    <row r="672">
      <c r="A672" s="19">
        <f>Database!A993</f>
        <v/>
      </c>
      <c r="B672" s="48">
        <f>VLOOKUP(A672,Database!$A:$V,MATCH(Currency!$B$1,Database!$A$1:$V$1,),)</f>
        <v/>
      </c>
    </row>
    <row r="673">
      <c r="A673" s="19">
        <f>Database!A994</f>
        <v/>
      </c>
      <c r="B673" s="48">
        <f>VLOOKUP(A673,Database!$A:$V,MATCH(Currency!$B$1,Database!$A$1:$V$1,),)</f>
        <v/>
      </c>
    </row>
    <row r="674">
      <c r="A674" s="19">
        <f>Database!A995</f>
        <v/>
      </c>
      <c r="B674" s="48">
        <f>VLOOKUP(A674,Database!$A:$V,MATCH(Currency!$B$1,Database!$A$1:$V$1,),)</f>
        <v/>
      </c>
    </row>
    <row r="675">
      <c r="A675" s="19">
        <f>Database!A996</f>
        <v/>
      </c>
      <c r="B675" s="48">
        <f>VLOOKUP(A675,Database!$A:$V,MATCH(Currency!$B$1,Database!$A$1:$V$1,),)</f>
        <v/>
      </c>
    </row>
    <row r="676">
      <c r="A676" s="19">
        <f>Database!A997</f>
        <v/>
      </c>
      <c r="B676" s="48">
        <f>VLOOKUP(A676,Database!$A:$V,MATCH(Currency!$B$1,Database!$A$1:$V$1,),)</f>
        <v/>
      </c>
    </row>
    <row r="677">
      <c r="A677" s="19">
        <f>Database!A998</f>
        <v/>
      </c>
      <c r="B677" s="48">
        <f>VLOOKUP(A677,Database!$A:$V,MATCH(Currency!$B$1,Database!$A$1:$V$1,),)</f>
        <v/>
      </c>
    </row>
    <row r="678">
      <c r="A678" s="19">
        <f>Database!A999</f>
        <v/>
      </c>
      <c r="B678" s="48">
        <f>VLOOKUP(A678,Database!$A:$V,MATCH(Currency!$B$1,Database!$A$1:$V$1,),)</f>
        <v/>
      </c>
    </row>
    <row r="679">
      <c r="A679" s="19">
        <f>Database!A1000</f>
        <v/>
      </c>
      <c r="B679" s="48">
        <f>VLOOKUP(A679,Database!$A:$V,MATCH(Currency!$B$1,Database!$A$1:$V$1,),)</f>
        <v/>
      </c>
    </row>
    <row r="680">
      <c r="A680" s="19">
        <f>Database!A1001</f>
        <v/>
      </c>
      <c r="B680" s="48">
        <f>VLOOKUP(A680,Database!$A:$V,MATCH(Currency!$B$1,Database!$A$1:$V$1,),)</f>
        <v/>
      </c>
    </row>
    <row r="681">
      <c r="A681" s="19">
        <f>Database!A1002</f>
        <v/>
      </c>
      <c r="B681" s="48">
        <f>VLOOKUP(A681,Database!$A:$V,MATCH(Currency!$B$1,Database!$A$1:$V$1,),)</f>
        <v/>
      </c>
    </row>
    <row r="682">
      <c r="A682" s="19">
        <f>Database!A1003</f>
        <v/>
      </c>
      <c r="B682" s="48">
        <f>VLOOKUP(A682,Database!$A:$V,MATCH(Currency!$B$1,Database!$A$1:$V$1,),)</f>
        <v/>
      </c>
    </row>
    <row r="683">
      <c r="A683" s="19">
        <f>Database!A1004</f>
        <v/>
      </c>
      <c r="B683" s="48">
        <f>VLOOKUP(A683,Database!$A:$V,MATCH(Currency!$B$1,Database!$A$1:$V$1,),)</f>
        <v/>
      </c>
    </row>
    <row r="684">
      <c r="A684" s="19">
        <f>Database!A1005</f>
        <v/>
      </c>
      <c r="B684" s="48">
        <f>VLOOKUP(A684,Database!$A:$V,MATCH(Currency!$B$1,Database!$A$1:$V$1,),)</f>
        <v/>
      </c>
    </row>
    <row r="685">
      <c r="A685" s="19">
        <f>Database!A1006</f>
        <v/>
      </c>
      <c r="B685" s="48">
        <f>VLOOKUP(A685,Database!$A:$V,MATCH(Currency!$B$1,Database!$A$1:$V$1,),)</f>
        <v/>
      </c>
    </row>
    <row r="686">
      <c r="A686" s="19">
        <f>Database!A1007</f>
        <v/>
      </c>
      <c r="B686" s="48">
        <f>VLOOKUP(A686,Database!$A:$V,MATCH(Currency!$B$1,Database!$A$1:$V$1,),)</f>
        <v/>
      </c>
    </row>
    <row r="687">
      <c r="A687" s="19">
        <f>Database!A1008</f>
        <v/>
      </c>
      <c r="B687" s="48">
        <f>VLOOKUP(A687,Database!$A:$V,MATCH(Currency!$B$1,Database!$A$1:$V$1,),)</f>
        <v/>
      </c>
    </row>
    <row r="688">
      <c r="A688" s="19">
        <f>Database!A1009</f>
        <v/>
      </c>
      <c r="B688" s="48">
        <f>VLOOKUP(A688,Database!$A:$V,MATCH(Currency!$B$1,Database!$A$1:$V$1,),)</f>
        <v/>
      </c>
    </row>
    <row r="689">
      <c r="A689" s="19">
        <f>Database!A1010</f>
        <v/>
      </c>
      <c r="B689" s="48">
        <f>VLOOKUP(A689,Database!$A:$V,MATCH(Currency!$B$1,Database!$A$1:$V$1,),)</f>
        <v/>
      </c>
    </row>
    <row r="690">
      <c r="A690" s="19">
        <f>Database!A1011</f>
        <v/>
      </c>
      <c r="B690" s="48">
        <f>VLOOKUP(A690,Database!$A:$V,MATCH(Currency!$B$1,Database!$A$1:$V$1,),)</f>
        <v/>
      </c>
    </row>
    <row r="691">
      <c r="A691" s="19">
        <f>Database!A1012</f>
        <v/>
      </c>
      <c r="B691" s="48">
        <f>VLOOKUP(A691,Database!$A:$V,MATCH(Currency!$B$1,Database!$A$1:$V$1,),)</f>
        <v/>
      </c>
    </row>
    <row r="692">
      <c r="A692" s="19">
        <f>Database!A1013</f>
        <v/>
      </c>
      <c r="B692" s="48">
        <f>VLOOKUP(A692,Database!$A:$V,MATCH(Currency!$B$1,Database!$A$1:$V$1,),)</f>
        <v/>
      </c>
    </row>
    <row r="693">
      <c r="A693" s="19">
        <f>Database!A1014</f>
        <v/>
      </c>
      <c r="B693" s="48">
        <f>VLOOKUP(A693,Database!$A:$V,MATCH(Currency!$B$1,Database!$A$1:$V$1,),)</f>
        <v/>
      </c>
    </row>
    <row r="694">
      <c r="A694" s="19">
        <f>Database!A1015</f>
        <v/>
      </c>
      <c r="B694" s="48">
        <f>VLOOKUP(A694,Database!$A:$V,MATCH(Currency!$B$1,Database!$A$1:$V$1,),)</f>
        <v/>
      </c>
    </row>
    <row r="695">
      <c r="A695" s="19">
        <f>Database!A1016</f>
        <v/>
      </c>
      <c r="B695" s="48">
        <f>VLOOKUP(A695,Database!$A:$V,MATCH(Currency!$B$1,Database!$A$1:$V$1,),)</f>
        <v/>
      </c>
    </row>
    <row r="696">
      <c r="A696" s="19">
        <f>Database!A1017</f>
        <v/>
      </c>
      <c r="B696" s="48">
        <f>VLOOKUP(A696,Database!$A:$V,MATCH(Currency!$B$1,Database!$A$1:$V$1,),)</f>
        <v/>
      </c>
    </row>
    <row r="697">
      <c r="A697" s="19">
        <f>Database!A1018</f>
        <v/>
      </c>
      <c r="B697" s="48">
        <f>VLOOKUP(A697,Database!$A:$V,MATCH(Currency!$B$1,Database!$A$1:$V$1,),)</f>
        <v/>
      </c>
    </row>
    <row r="698">
      <c r="A698" s="19">
        <f>Database!A1019</f>
        <v/>
      </c>
      <c r="B698" s="48">
        <f>VLOOKUP(A698,Database!$A:$V,MATCH(Currency!$B$1,Database!$A$1:$V$1,),)</f>
        <v/>
      </c>
    </row>
    <row r="699">
      <c r="A699" s="19">
        <f>Database!A1020</f>
        <v/>
      </c>
      <c r="B699" s="48">
        <f>VLOOKUP(A699,Database!$A:$V,MATCH(Currency!$B$1,Database!$A$1:$V$1,),)</f>
        <v/>
      </c>
    </row>
    <row r="700">
      <c r="A700" s="19">
        <f>Database!A1021</f>
        <v/>
      </c>
      <c r="B700" s="48">
        <f>VLOOKUP(A700,Database!$A:$V,MATCH(Currency!$B$1,Database!$A$1:$V$1,),)</f>
        <v/>
      </c>
    </row>
    <row r="701">
      <c r="A701" s="19">
        <f>Database!A1022</f>
        <v/>
      </c>
      <c r="B701" s="48">
        <f>VLOOKUP(A701,Database!$A:$V,MATCH(Currency!$B$1,Database!$A$1:$V$1,),)</f>
        <v/>
      </c>
    </row>
    <row r="702">
      <c r="A702" s="19">
        <f>Database!A1023</f>
        <v/>
      </c>
      <c r="B702" s="48">
        <f>VLOOKUP(A702,Database!$A:$V,MATCH(Currency!$B$1,Database!$A$1:$V$1,),)</f>
        <v/>
      </c>
    </row>
    <row r="703">
      <c r="A703" s="19">
        <f>Database!A1024</f>
        <v/>
      </c>
      <c r="B703" s="48">
        <f>VLOOKUP(A703,Database!$A:$V,MATCH(Currency!$B$1,Database!$A$1:$V$1,),)</f>
        <v/>
      </c>
    </row>
    <row r="704">
      <c r="A704" s="19">
        <f>Database!A1025</f>
        <v/>
      </c>
      <c r="B704" s="48">
        <f>VLOOKUP(A704,Database!$A:$V,MATCH(Currency!$B$1,Database!$A$1:$V$1,),)</f>
        <v/>
      </c>
    </row>
    <row r="705">
      <c r="A705" s="19">
        <f>Database!A1026</f>
        <v/>
      </c>
      <c r="B705" s="48">
        <f>VLOOKUP(A705,Database!$A:$V,MATCH(Currency!$B$1,Database!$A$1:$V$1,),)</f>
        <v/>
      </c>
    </row>
    <row r="706">
      <c r="A706" s="19">
        <f>Database!A1027</f>
        <v/>
      </c>
      <c r="B706" s="48">
        <f>VLOOKUP(A706,Database!$A:$V,MATCH(Currency!$B$1,Database!$A$1:$V$1,),)</f>
        <v/>
      </c>
    </row>
    <row r="707">
      <c r="A707" s="19">
        <f>Database!A1028</f>
        <v/>
      </c>
      <c r="B707" s="48">
        <f>VLOOKUP(A707,Database!$A:$V,MATCH(Currency!$B$1,Database!$A$1:$V$1,),)</f>
        <v/>
      </c>
    </row>
    <row r="708">
      <c r="A708" s="19">
        <f>Database!A1029</f>
        <v/>
      </c>
      <c r="B708" s="48">
        <f>VLOOKUP(A708,Database!$A:$V,MATCH(Currency!$B$1,Database!$A$1:$V$1,),)</f>
        <v/>
      </c>
    </row>
    <row r="709">
      <c r="A709" s="19">
        <f>Database!A1030</f>
        <v/>
      </c>
      <c r="B709" s="48">
        <f>VLOOKUP(A709,Database!$A:$V,MATCH(Currency!$B$1,Database!$A$1:$V$1,),)</f>
        <v/>
      </c>
    </row>
    <row r="710">
      <c r="A710" s="19">
        <f>Database!A1031</f>
        <v/>
      </c>
      <c r="B710" s="48">
        <f>VLOOKUP(A710,Database!$A:$V,MATCH(Currency!$B$1,Database!$A$1:$V$1,),)</f>
        <v/>
      </c>
    </row>
    <row r="711">
      <c r="A711" s="19">
        <f>Database!A1032</f>
        <v/>
      </c>
      <c r="B711" s="48">
        <f>VLOOKUP(A711,Database!$A:$V,MATCH(Currency!$B$1,Database!$A$1:$V$1,),)</f>
        <v/>
      </c>
    </row>
    <row r="712">
      <c r="A712" s="19">
        <f>Database!A1033</f>
        <v/>
      </c>
      <c r="B712" s="48">
        <f>VLOOKUP(A712,Database!$A:$V,MATCH(Currency!$B$1,Database!$A$1:$V$1,),)</f>
        <v/>
      </c>
    </row>
    <row r="713">
      <c r="A713" s="19">
        <f>Database!A1034</f>
        <v/>
      </c>
      <c r="B713" s="48">
        <f>VLOOKUP(A713,Database!$A:$V,MATCH(Currency!$B$1,Database!$A$1:$V$1,),)</f>
        <v/>
      </c>
    </row>
    <row r="714">
      <c r="A714" s="19">
        <f>Database!A1035</f>
        <v/>
      </c>
      <c r="B714" s="48">
        <f>VLOOKUP(A714,Database!$A:$V,MATCH(Currency!$B$1,Database!$A$1:$V$1,),)</f>
        <v/>
      </c>
    </row>
    <row r="715">
      <c r="A715" s="19">
        <f>Database!A1036</f>
        <v/>
      </c>
      <c r="B715" s="48">
        <f>VLOOKUP(A715,Database!$A:$V,MATCH(Currency!$B$1,Database!$A$1:$V$1,),)</f>
        <v/>
      </c>
    </row>
    <row r="716">
      <c r="A716" s="19">
        <f>Database!A1037</f>
        <v/>
      </c>
      <c r="B716" s="48">
        <f>VLOOKUP(A716,Database!$A:$V,MATCH(Currency!$B$1,Database!$A$1:$V$1,),)</f>
        <v/>
      </c>
    </row>
    <row r="717">
      <c r="A717" s="19">
        <f>Database!A1038</f>
        <v/>
      </c>
      <c r="B717" s="48">
        <f>VLOOKUP(A717,Database!$A:$V,MATCH(Currency!$B$1,Database!$A$1:$V$1,),)</f>
        <v/>
      </c>
    </row>
    <row r="718">
      <c r="A718" s="19">
        <f>Database!A1039</f>
        <v/>
      </c>
      <c r="B718" s="48">
        <f>VLOOKUP(A718,Database!$A:$V,MATCH(Currency!$B$1,Database!$A$1:$V$1,),)</f>
        <v/>
      </c>
    </row>
    <row r="719">
      <c r="A719" s="19">
        <f>Database!A1040</f>
        <v/>
      </c>
      <c r="B719" s="48">
        <f>VLOOKUP(A719,Database!$A:$V,MATCH(Currency!$B$1,Database!$A$1:$V$1,),)</f>
        <v/>
      </c>
    </row>
    <row r="720">
      <c r="A720" s="19">
        <f>Database!A1041</f>
        <v/>
      </c>
      <c r="B720" s="48">
        <f>VLOOKUP(A720,Database!$A:$V,MATCH(Currency!$B$1,Database!$A$1:$V$1,),)</f>
        <v/>
      </c>
    </row>
    <row r="721">
      <c r="A721" s="19">
        <f>Database!A1042</f>
        <v/>
      </c>
      <c r="B721" s="48">
        <f>VLOOKUP(A721,Database!$A:$V,MATCH(Currency!$B$1,Database!$A$1:$V$1,),)</f>
        <v/>
      </c>
    </row>
    <row r="722">
      <c r="A722" s="19">
        <f>Database!A1043</f>
        <v/>
      </c>
      <c r="B722" s="48">
        <f>VLOOKUP(A722,Database!$A:$V,MATCH(Currency!$B$1,Database!$A$1:$V$1,),)</f>
        <v/>
      </c>
    </row>
    <row r="723">
      <c r="A723" s="19">
        <f>Database!A1044</f>
        <v/>
      </c>
      <c r="B723" s="48">
        <f>VLOOKUP(A723,Database!$A:$V,MATCH(Currency!$B$1,Database!$A$1:$V$1,),)</f>
        <v/>
      </c>
    </row>
    <row r="724">
      <c r="A724" s="19">
        <f>Database!A1045</f>
        <v/>
      </c>
      <c r="B724" s="48">
        <f>VLOOKUP(A724,Database!$A:$V,MATCH(Currency!$B$1,Database!$A$1:$V$1,),)</f>
        <v/>
      </c>
    </row>
    <row r="725">
      <c r="A725" s="19">
        <f>Database!A1046</f>
        <v/>
      </c>
      <c r="B725" s="48">
        <f>VLOOKUP(A725,Database!$A:$V,MATCH(Currency!$B$1,Database!$A$1:$V$1,),)</f>
        <v/>
      </c>
    </row>
    <row r="726">
      <c r="A726" s="19">
        <f>Database!A1047</f>
        <v/>
      </c>
      <c r="B726" s="48">
        <f>VLOOKUP(A726,Database!$A:$V,MATCH(Currency!$B$1,Database!$A$1:$V$1,),)</f>
        <v/>
      </c>
    </row>
    <row r="727">
      <c r="A727" s="19">
        <f>Database!A1048</f>
        <v/>
      </c>
      <c r="B727" s="48">
        <f>VLOOKUP(A727,Database!$A:$V,MATCH(Currency!$B$1,Database!$A$1:$V$1,),)</f>
        <v/>
      </c>
    </row>
    <row r="728">
      <c r="A728" s="19">
        <f>Database!A1049</f>
        <v/>
      </c>
      <c r="B728" s="48">
        <f>VLOOKUP(A728,Database!$A:$V,MATCH(Currency!$B$1,Database!$A$1:$V$1,),)</f>
        <v/>
      </c>
    </row>
    <row r="729">
      <c r="A729" s="19">
        <f>Database!A1050</f>
        <v/>
      </c>
      <c r="B729" s="48">
        <f>VLOOKUP(A729,Database!$A:$V,MATCH(Currency!$B$1,Database!$A$1:$V$1,),)</f>
        <v/>
      </c>
    </row>
    <row r="730">
      <c r="A730" s="19">
        <f>Database!A1051</f>
        <v/>
      </c>
      <c r="B730" s="48">
        <f>VLOOKUP(A730,Database!$A:$V,MATCH(Currency!$B$1,Database!$A$1:$V$1,),)</f>
        <v/>
      </c>
    </row>
    <row r="731">
      <c r="A731" s="19">
        <f>Database!A1052</f>
        <v/>
      </c>
      <c r="B731" s="48">
        <f>VLOOKUP(A731,Database!$A:$V,MATCH(Currency!$B$1,Database!$A$1:$V$1,),)</f>
        <v/>
      </c>
    </row>
    <row r="732">
      <c r="A732" s="19">
        <f>Database!A1053</f>
        <v/>
      </c>
      <c r="B732" s="48">
        <f>VLOOKUP(A732,Database!$A:$V,MATCH(Currency!$B$1,Database!$A$1:$V$1,),)</f>
        <v/>
      </c>
    </row>
    <row r="733">
      <c r="A733" s="19">
        <f>Database!A1054</f>
        <v/>
      </c>
      <c r="B733" s="48">
        <f>VLOOKUP(A733,Database!$A:$V,MATCH(Currency!$B$1,Database!$A$1:$V$1,),)</f>
        <v/>
      </c>
    </row>
    <row r="734">
      <c r="A734" s="19">
        <f>Database!A1055</f>
        <v/>
      </c>
      <c r="B734" s="48">
        <f>VLOOKUP(A734,Database!$A:$V,MATCH(Currency!$B$1,Database!$A$1:$V$1,),)</f>
        <v/>
      </c>
    </row>
    <row r="735">
      <c r="A735" s="19">
        <f>Database!A1056</f>
        <v/>
      </c>
      <c r="B735" s="48">
        <f>VLOOKUP(A735,Database!$A:$V,MATCH(Currency!$B$1,Database!$A$1:$V$1,),)</f>
        <v/>
      </c>
    </row>
    <row r="736">
      <c r="A736" s="19">
        <f>Database!A1057</f>
        <v/>
      </c>
      <c r="B736" s="48">
        <f>VLOOKUP(A736,Database!$A:$V,MATCH(Currency!$B$1,Database!$A$1:$V$1,),)</f>
        <v/>
      </c>
    </row>
    <row r="737">
      <c r="A737" s="19">
        <f>Database!A1058</f>
        <v/>
      </c>
      <c r="B737" s="48">
        <f>VLOOKUP(A737,Database!$A:$V,MATCH(Currency!$B$1,Database!$A$1:$V$1,),)</f>
        <v/>
      </c>
    </row>
    <row r="738">
      <c r="A738" s="19">
        <f>Database!A1059</f>
        <v/>
      </c>
      <c r="B738" s="48">
        <f>VLOOKUP(A738,Database!$A:$V,MATCH(Currency!$B$1,Database!$A$1:$V$1,),)</f>
        <v/>
      </c>
    </row>
    <row r="739">
      <c r="A739" s="19">
        <f>Database!A1060</f>
        <v/>
      </c>
      <c r="B739" s="48">
        <f>VLOOKUP(A739,Database!$A:$V,MATCH(Currency!$B$1,Database!$A$1:$V$1,),)</f>
        <v/>
      </c>
    </row>
    <row r="740">
      <c r="A740" s="19">
        <f>Database!A1061</f>
        <v/>
      </c>
      <c r="B740" s="48">
        <f>VLOOKUP(A740,Database!$A:$V,MATCH(Currency!$B$1,Database!$A$1:$V$1,),)</f>
        <v/>
      </c>
    </row>
    <row r="741">
      <c r="A741" s="19">
        <f>Database!A1062</f>
        <v/>
      </c>
      <c r="B741" s="48">
        <f>VLOOKUP(A741,Database!$A:$V,MATCH(Currency!$B$1,Database!$A$1:$V$1,),)</f>
        <v/>
      </c>
    </row>
    <row r="742">
      <c r="A742" s="19">
        <f>Database!A1063</f>
        <v/>
      </c>
      <c r="B742" s="48">
        <f>VLOOKUP(A742,Database!$A:$V,MATCH(Currency!$B$1,Database!$A$1:$V$1,),)</f>
        <v/>
      </c>
    </row>
    <row r="743">
      <c r="A743" s="19">
        <f>Database!A1064</f>
        <v/>
      </c>
      <c r="B743" s="48">
        <f>VLOOKUP(A743,Database!$A:$V,MATCH(Currency!$B$1,Database!$A$1:$V$1,),)</f>
        <v/>
      </c>
    </row>
    <row r="744">
      <c r="A744" s="19">
        <f>Database!A1065</f>
        <v/>
      </c>
      <c r="B744" s="48">
        <f>VLOOKUP(A744,Database!$A:$V,MATCH(Currency!$B$1,Database!$A$1:$V$1,),)</f>
        <v/>
      </c>
    </row>
    <row r="745">
      <c r="A745" s="19">
        <f>Database!A1066</f>
        <v/>
      </c>
      <c r="B745" s="48">
        <f>VLOOKUP(A745,Database!$A:$V,MATCH(Currency!$B$1,Database!$A$1:$V$1,),)</f>
        <v/>
      </c>
    </row>
    <row r="746">
      <c r="A746" s="19">
        <f>Database!A1067</f>
        <v/>
      </c>
      <c r="B746" s="48">
        <f>VLOOKUP(A746,Database!$A:$V,MATCH(Currency!$B$1,Database!$A$1:$V$1,),)</f>
        <v/>
      </c>
    </row>
    <row r="747">
      <c r="A747" s="19">
        <f>Database!A1068</f>
        <v/>
      </c>
      <c r="B747" s="48">
        <f>VLOOKUP(A747,Database!$A:$V,MATCH(Currency!$B$1,Database!$A$1:$V$1,),)</f>
        <v/>
      </c>
    </row>
    <row r="748">
      <c r="A748" s="19">
        <f>Database!A1069</f>
        <v/>
      </c>
      <c r="B748" s="48">
        <f>VLOOKUP(A748,Database!$A:$V,MATCH(Currency!$B$1,Database!$A$1:$V$1,),)</f>
        <v/>
      </c>
    </row>
    <row r="749">
      <c r="A749" s="19">
        <f>Database!A1070</f>
        <v/>
      </c>
      <c r="B749" s="48">
        <f>VLOOKUP(A749,Database!$A:$V,MATCH(Currency!$B$1,Database!$A$1:$V$1,),)</f>
        <v/>
      </c>
    </row>
    <row r="750">
      <c r="A750" s="19">
        <f>Database!A1071</f>
        <v/>
      </c>
      <c r="B750" s="48">
        <f>VLOOKUP(A750,Database!$A:$V,MATCH(Currency!$B$1,Database!$A$1:$V$1,),)</f>
        <v/>
      </c>
    </row>
    <row r="751">
      <c r="A751" s="19">
        <f>Database!A1072</f>
        <v/>
      </c>
      <c r="B751" s="48">
        <f>VLOOKUP(A751,Database!$A:$V,MATCH(Currency!$B$1,Database!$A$1:$V$1,),)</f>
        <v/>
      </c>
    </row>
    <row r="752">
      <c r="A752" s="19">
        <f>Database!A1073</f>
        <v/>
      </c>
      <c r="B752" s="48">
        <f>VLOOKUP(A752,Database!$A:$V,MATCH(Currency!$B$1,Database!$A$1:$V$1,),)</f>
        <v/>
      </c>
    </row>
    <row r="753">
      <c r="A753" s="19">
        <f>Database!A1074</f>
        <v/>
      </c>
      <c r="B753" s="48">
        <f>VLOOKUP(A753,Database!$A:$V,MATCH(Currency!$B$1,Database!$A$1:$V$1,),)</f>
        <v/>
      </c>
    </row>
    <row r="754">
      <c r="A754" s="19">
        <f>Database!A1075</f>
        <v/>
      </c>
      <c r="B754" s="48">
        <f>VLOOKUP(A754,Database!$A:$V,MATCH(Currency!$B$1,Database!$A$1:$V$1,),)</f>
        <v/>
      </c>
    </row>
    <row r="755">
      <c r="A755" s="19">
        <f>Database!A1076</f>
        <v/>
      </c>
      <c r="B755" s="48">
        <f>VLOOKUP(A755,Database!$A:$V,MATCH(Currency!$B$1,Database!$A$1:$V$1,),)</f>
        <v/>
      </c>
    </row>
    <row r="756">
      <c r="A756" s="19">
        <f>Database!A1077</f>
        <v/>
      </c>
      <c r="B756" s="48">
        <f>VLOOKUP(A756,Database!$A:$V,MATCH(Currency!$B$1,Database!$A$1:$V$1,),)</f>
        <v/>
      </c>
    </row>
    <row r="757">
      <c r="A757" s="19">
        <f>Database!A1078</f>
        <v/>
      </c>
      <c r="B757" s="48">
        <f>VLOOKUP(A757,Database!$A:$V,MATCH(Currency!$B$1,Database!$A$1:$V$1,),)</f>
        <v/>
      </c>
    </row>
    <row r="758">
      <c r="A758" s="19">
        <f>Database!A1079</f>
        <v/>
      </c>
      <c r="B758" s="48">
        <f>VLOOKUP(A758,Database!$A:$V,MATCH(Currency!$B$1,Database!$A$1:$V$1,),)</f>
        <v/>
      </c>
    </row>
    <row r="759">
      <c r="A759" s="19">
        <f>Database!A1080</f>
        <v/>
      </c>
      <c r="B759" s="48">
        <f>VLOOKUP(A759,Database!$A:$V,MATCH(Currency!$B$1,Database!$A$1:$V$1,),)</f>
        <v/>
      </c>
    </row>
    <row r="760">
      <c r="A760" s="19">
        <f>Database!A1081</f>
        <v/>
      </c>
      <c r="B760" s="48">
        <f>VLOOKUP(A760,Database!$A:$V,MATCH(Currency!$B$1,Database!$A$1:$V$1,),)</f>
        <v/>
      </c>
    </row>
    <row r="761">
      <c r="A761" s="19">
        <f>Database!A1082</f>
        <v/>
      </c>
      <c r="B761" s="48">
        <f>VLOOKUP(A761,Database!$A:$V,MATCH(Currency!$B$1,Database!$A$1:$V$1,),)</f>
        <v/>
      </c>
    </row>
    <row r="762">
      <c r="A762" s="19">
        <f>Database!A1083</f>
        <v/>
      </c>
      <c r="B762" s="48">
        <f>VLOOKUP(A762,Database!$A:$V,MATCH(Currency!$B$1,Database!$A$1:$V$1,),)</f>
        <v/>
      </c>
    </row>
    <row r="763">
      <c r="A763" s="19">
        <f>Database!A1084</f>
        <v/>
      </c>
      <c r="B763" s="48">
        <f>VLOOKUP(A763,Database!$A:$V,MATCH(Currency!$B$1,Database!$A$1:$V$1,),)</f>
        <v/>
      </c>
    </row>
    <row r="764">
      <c r="A764" s="19">
        <f>Database!A1085</f>
        <v/>
      </c>
      <c r="B764" s="48">
        <f>VLOOKUP(A764,Database!$A:$V,MATCH(Currency!$B$1,Database!$A$1:$V$1,),)</f>
        <v/>
      </c>
    </row>
    <row r="765">
      <c r="A765" s="19">
        <f>Database!A1086</f>
        <v/>
      </c>
      <c r="B765" s="48">
        <f>VLOOKUP(A765,Database!$A:$V,MATCH(Currency!$B$1,Database!$A$1:$V$1,),)</f>
        <v/>
      </c>
    </row>
    <row r="766">
      <c r="A766" s="19">
        <f>Database!A1087</f>
        <v/>
      </c>
      <c r="B766" s="48">
        <f>VLOOKUP(A766,Database!$A:$V,MATCH(Currency!$B$1,Database!$A$1:$V$1,),)</f>
        <v/>
      </c>
    </row>
    <row r="767">
      <c r="A767" s="19">
        <f>Database!A1088</f>
        <v/>
      </c>
      <c r="B767" s="48">
        <f>VLOOKUP(A767,Database!$A:$V,MATCH(Currency!$B$1,Database!$A$1:$V$1,),)</f>
        <v/>
      </c>
    </row>
    <row r="768">
      <c r="A768" s="19">
        <f>Database!A1089</f>
        <v/>
      </c>
      <c r="B768" s="48">
        <f>VLOOKUP(A768,Database!$A:$V,MATCH(Currency!$B$1,Database!$A$1:$V$1,),)</f>
        <v/>
      </c>
    </row>
    <row r="769">
      <c r="A769" s="19">
        <f>Database!A1090</f>
        <v/>
      </c>
      <c r="B769" s="48">
        <f>VLOOKUP(A769,Database!$A:$V,MATCH(Currency!$B$1,Database!$A$1:$V$1,),)</f>
        <v/>
      </c>
    </row>
    <row r="770">
      <c r="A770" s="19">
        <f>Database!A1091</f>
        <v/>
      </c>
      <c r="B770" s="48">
        <f>VLOOKUP(A770,Database!$A:$V,MATCH(Currency!$B$1,Database!$A$1:$V$1,),)</f>
        <v/>
      </c>
    </row>
    <row r="771">
      <c r="A771" s="19">
        <f>Database!A1092</f>
        <v/>
      </c>
      <c r="B771" s="48">
        <f>VLOOKUP(A771,Database!$A:$V,MATCH(Currency!$B$1,Database!$A$1:$V$1,),)</f>
        <v/>
      </c>
    </row>
    <row r="772">
      <c r="A772" s="19">
        <f>Database!A1093</f>
        <v/>
      </c>
      <c r="B772" s="48">
        <f>VLOOKUP(A772,Database!$A:$V,MATCH(Currency!$B$1,Database!$A$1:$V$1,),)</f>
        <v/>
      </c>
    </row>
    <row r="773">
      <c r="A773" s="19">
        <f>Database!A1094</f>
        <v/>
      </c>
      <c r="B773" s="48">
        <f>VLOOKUP(A773,Database!$A:$V,MATCH(Currency!$B$1,Database!$A$1:$V$1,),)</f>
        <v/>
      </c>
    </row>
    <row r="774">
      <c r="A774" s="19">
        <f>Database!A1095</f>
        <v/>
      </c>
      <c r="B774" s="48">
        <f>VLOOKUP(A774,Database!$A:$V,MATCH(Currency!$B$1,Database!$A$1:$V$1,),)</f>
        <v/>
      </c>
    </row>
    <row r="775">
      <c r="A775" s="19">
        <f>Database!A1096</f>
        <v/>
      </c>
      <c r="B775" s="48">
        <f>VLOOKUP(A775,Database!$A:$V,MATCH(Currency!$B$1,Database!$A$1:$V$1,),)</f>
        <v/>
      </c>
    </row>
    <row r="776">
      <c r="A776" s="19">
        <f>Database!A1097</f>
        <v/>
      </c>
      <c r="B776" s="48">
        <f>VLOOKUP(A776,Database!$A:$V,MATCH(Currency!$B$1,Database!$A$1:$V$1,),)</f>
        <v/>
      </c>
    </row>
    <row r="777">
      <c r="A777" s="19">
        <f>Database!A1098</f>
        <v/>
      </c>
      <c r="B777" s="48">
        <f>VLOOKUP(A777,Database!$A:$V,MATCH(Currency!$B$1,Database!$A$1:$V$1,),)</f>
        <v/>
      </c>
    </row>
    <row r="778">
      <c r="A778" s="19">
        <f>Database!A1099</f>
        <v/>
      </c>
      <c r="B778" s="48">
        <f>VLOOKUP(A778,Database!$A:$V,MATCH(Currency!$B$1,Database!$A$1:$V$1,),)</f>
        <v/>
      </c>
    </row>
    <row r="779">
      <c r="A779" s="19">
        <f>Database!A1100</f>
        <v/>
      </c>
      <c r="B779" s="48">
        <f>VLOOKUP(A779,Database!$A:$V,MATCH(Currency!$B$1,Database!$A$1:$V$1,),)</f>
        <v/>
      </c>
    </row>
    <row r="780">
      <c r="A780" s="19">
        <f>Database!A1101</f>
        <v/>
      </c>
      <c r="B780" s="48">
        <f>VLOOKUP(A780,Database!$A:$V,MATCH(Currency!$B$1,Database!$A$1:$V$1,),)</f>
        <v/>
      </c>
    </row>
    <row r="781">
      <c r="A781" s="19">
        <f>Database!A1102</f>
        <v/>
      </c>
      <c r="B781" s="48">
        <f>VLOOKUP(A781,Database!$A:$V,MATCH(Currency!$B$1,Database!$A$1:$V$1,),)</f>
        <v/>
      </c>
    </row>
    <row r="782">
      <c r="A782" s="19">
        <f>Database!A1103</f>
        <v/>
      </c>
      <c r="B782" s="48">
        <f>VLOOKUP(A782,Database!$A:$V,MATCH(Currency!$B$1,Database!$A$1:$V$1,),)</f>
        <v/>
      </c>
    </row>
    <row r="783">
      <c r="A783" s="19">
        <f>Database!A1104</f>
        <v/>
      </c>
      <c r="B783" s="48">
        <f>VLOOKUP(A783,Database!$A:$V,MATCH(Currency!$B$1,Database!$A$1:$V$1,),)</f>
        <v/>
      </c>
    </row>
    <row r="784">
      <c r="A784" s="19">
        <f>Database!A1105</f>
        <v/>
      </c>
      <c r="B784" s="48">
        <f>VLOOKUP(A784,Database!$A:$V,MATCH(Currency!$B$1,Database!$A$1:$V$1,),)</f>
        <v/>
      </c>
    </row>
    <row r="785">
      <c r="A785" s="19">
        <f>Database!A1106</f>
        <v/>
      </c>
      <c r="B785" s="48">
        <f>VLOOKUP(A785,Database!$A:$V,MATCH(Currency!$B$1,Database!$A$1:$V$1,),)</f>
        <v/>
      </c>
    </row>
    <row r="786">
      <c r="A786" s="19">
        <f>Database!A1107</f>
        <v/>
      </c>
      <c r="B786" s="48">
        <f>VLOOKUP(A786,Database!$A:$V,MATCH(Currency!$B$1,Database!$A$1:$V$1,),)</f>
        <v/>
      </c>
    </row>
    <row r="787">
      <c r="A787" s="19">
        <f>Database!A1108</f>
        <v/>
      </c>
      <c r="B787" s="48">
        <f>VLOOKUP(A787,Database!$A:$V,MATCH(Currency!$B$1,Database!$A$1:$V$1,),)</f>
        <v/>
      </c>
    </row>
    <row r="788">
      <c r="A788" s="19">
        <f>Database!A1109</f>
        <v/>
      </c>
      <c r="B788" s="48">
        <f>VLOOKUP(A788,Database!$A:$V,MATCH(Currency!$B$1,Database!$A$1:$V$1,),)</f>
        <v/>
      </c>
    </row>
    <row r="789">
      <c r="A789" s="19">
        <f>Database!A1110</f>
        <v/>
      </c>
      <c r="B789" s="48">
        <f>VLOOKUP(A789,Database!$A:$V,MATCH(Currency!$B$1,Database!$A$1:$V$1,),)</f>
        <v/>
      </c>
    </row>
    <row r="790">
      <c r="A790" s="19">
        <f>Database!A1111</f>
        <v/>
      </c>
      <c r="B790" s="48">
        <f>VLOOKUP(A790,Database!$A:$V,MATCH(Currency!$B$1,Database!$A$1:$V$1,),)</f>
        <v/>
      </c>
    </row>
    <row r="791">
      <c r="A791" s="19">
        <f>Database!A1112</f>
        <v/>
      </c>
      <c r="B791" s="48">
        <f>VLOOKUP(A791,Database!$A:$V,MATCH(Currency!$B$1,Database!$A$1:$V$1,),)</f>
        <v/>
      </c>
    </row>
    <row r="792">
      <c r="A792" s="19">
        <f>Database!A1113</f>
        <v/>
      </c>
      <c r="B792" s="48">
        <f>VLOOKUP(A792,Database!$A:$V,MATCH(Currency!$B$1,Database!$A$1:$V$1,),)</f>
        <v/>
      </c>
    </row>
    <row r="793">
      <c r="A793" s="19">
        <f>Database!A1114</f>
        <v/>
      </c>
      <c r="B793" s="48">
        <f>VLOOKUP(A793,Database!$A:$V,MATCH(Currency!$B$1,Database!$A$1:$V$1,),)</f>
        <v/>
      </c>
    </row>
    <row r="794">
      <c r="A794" s="19">
        <f>Database!A1115</f>
        <v/>
      </c>
      <c r="B794" s="48">
        <f>VLOOKUP(A794,Database!$A:$V,MATCH(Currency!$B$1,Database!$A$1:$V$1,),)</f>
        <v/>
      </c>
    </row>
    <row r="795">
      <c r="A795" s="19">
        <f>Database!A1116</f>
        <v/>
      </c>
      <c r="B795" s="48">
        <f>VLOOKUP(A795,Database!$A:$V,MATCH(Currency!$B$1,Database!$A$1:$V$1,),)</f>
        <v/>
      </c>
    </row>
    <row r="796">
      <c r="A796" s="19">
        <f>Database!A1117</f>
        <v/>
      </c>
      <c r="B796" s="48">
        <f>VLOOKUP(A796,Database!$A:$V,MATCH(Currency!$B$1,Database!$A$1:$V$1,),)</f>
        <v/>
      </c>
    </row>
    <row r="797">
      <c r="A797" s="19">
        <f>Database!A1118</f>
        <v/>
      </c>
      <c r="B797" s="48">
        <f>VLOOKUP(A797,Database!$A:$V,MATCH(Currency!$B$1,Database!$A$1:$V$1,),)</f>
        <v/>
      </c>
    </row>
    <row r="798">
      <c r="A798" s="19">
        <f>Database!A1119</f>
        <v/>
      </c>
      <c r="B798" s="48">
        <f>VLOOKUP(A798,Database!$A:$V,MATCH(Currency!$B$1,Database!$A$1:$V$1,),)</f>
        <v/>
      </c>
    </row>
    <row r="799">
      <c r="A799" s="19">
        <f>Database!A1120</f>
        <v/>
      </c>
      <c r="B799" s="48">
        <f>VLOOKUP(A799,Database!$A:$V,MATCH(Currency!$B$1,Database!$A$1:$V$1,),)</f>
        <v/>
      </c>
    </row>
    <row r="800">
      <c r="A800" s="19">
        <f>Database!A1121</f>
        <v/>
      </c>
      <c r="B800" s="48">
        <f>VLOOKUP(A800,Database!$A:$V,MATCH(Currency!$B$1,Database!$A$1:$V$1,),)</f>
        <v/>
      </c>
    </row>
    <row r="801">
      <c r="A801" s="19">
        <f>Database!A1122</f>
        <v/>
      </c>
      <c r="B801" s="48">
        <f>VLOOKUP(A801,Database!$A:$V,MATCH(Currency!$B$1,Database!$A$1:$V$1,),)</f>
        <v/>
      </c>
    </row>
    <row r="802">
      <c r="A802" s="19">
        <f>Database!A1123</f>
        <v/>
      </c>
      <c r="B802" s="48">
        <f>VLOOKUP(A802,Database!$A:$V,MATCH(Currency!$B$1,Database!$A$1:$V$1,),)</f>
        <v/>
      </c>
    </row>
    <row r="803">
      <c r="A803" s="19">
        <f>Database!A1124</f>
        <v/>
      </c>
      <c r="B803" s="48">
        <f>VLOOKUP(A803,Database!$A:$V,MATCH(Currency!$B$1,Database!$A$1:$V$1,),)</f>
        <v/>
      </c>
    </row>
    <row r="804">
      <c r="A804" s="19">
        <f>Database!A1125</f>
        <v/>
      </c>
      <c r="B804" s="48">
        <f>VLOOKUP(A804,Database!$A:$V,MATCH(Currency!$B$1,Database!$A$1:$V$1,),)</f>
        <v/>
      </c>
    </row>
    <row r="805">
      <c r="A805" s="19">
        <f>Database!A1126</f>
        <v/>
      </c>
      <c r="B805" s="48">
        <f>VLOOKUP(A805,Database!$A:$V,MATCH(Currency!$B$1,Database!$A$1:$V$1,),)</f>
        <v/>
      </c>
    </row>
    <row r="806">
      <c r="A806" s="19">
        <f>Database!A1127</f>
        <v/>
      </c>
      <c r="B806" s="48">
        <f>VLOOKUP(A806,Database!$A:$V,MATCH(Currency!$B$1,Database!$A$1:$V$1,),)</f>
        <v/>
      </c>
    </row>
    <row r="807">
      <c r="A807" s="19">
        <f>Database!A1128</f>
        <v/>
      </c>
      <c r="B807" s="48">
        <f>VLOOKUP(A807,Database!$A:$V,MATCH(Currency!$B$1,Database!$A$1:$V$1,),)</f>
        <v/>
      </c>
    </row>
    <row r="808">
      <c r="A808" s="19">
        <f>Database!A1129</f>
        <v/>
      </c>
      <c r="B808" s="48">
        <f>VLOOKUP(A808,Database!$A:$V,MATCH(Currency!$B$1,Database!$A$1:$V$1,),)</f>
        <v/>
      </c>
    </row>
    <row r="809">
      <c r="A809" s="19">
        <f>Database!A1130</f>
        <v/>
      </c>
      <c r="B809" s="48">
        <f>VLOOKUP(A809,Database!$A:$V,MATCH(Currency!$B$1,Database!$A$1:$V$1,),)</f>
        <v/>
      </c>
    </row>
    <row r="810">
      <c r="A810" s="19">
        <f>Database!A1131</f>
        <v/>
      </c>
      <c r="B810" s="48">
        <f>VLOOKUP(A810,Database!$A:$V,MATCH(Currency!$B$1,Database!$A$1:$V$1,),)</f>
        <v/>
      </c>
    </row>
    <row r="811">
      <c r="A811" s="19">
        <f>Database!A1132</f>
        <v/>
      </c>
      <c r="B811" s="48">
        <f>VLOOKUP(A811,Database!$A:$V,MATCH(Currency!$B$1,Database!$A$1:$V$1,),)</f>
        <v/>
      </c>
    </row>
    <row r="812">
      <c r="A812" s="19">
        <f>Database!A1133</f>
        <v/>
      </c>
      <c r="B812" s="48">
        <f>VLOOKUP(A812,Database!$A:$V,MATCH(Currency!$B$1,Database!$A$1:$V$1,),)</f>
        <v/>
      </c>
    </row>
    <row r="813">
      <c r="A813" s="19">
        <f>Database!A1134</f>
        <v/>
      </c>
      <c r="B813" s="48">
        <f>VLOOKUP(A813,Database!$A:$V,MATCH(Currency!$B$1,Database!$A$1:$V$1,),)</f>
        <v/>
      </c>
    </row>
    <row r="814">
      <c r="A814" s="19">
        <f>Database!A1135</f>
        <v/>
      </c>
      <c r="B814" s="48">
        <f>VLOOKUP(A814,Database!$A:$V,MATCH(Currency!$B$1,Database!$A$1:$V$1,),)</f>
        <v/>
      </c>
    </row>
    <row r="815">
      <c r="A815" s="19">
        <f>Database!A1136</f>
        <v/>
      </c>
      <c r="B815" s="48">
        <f>VLOOKUP(A815,Database!$A:$V,MATCH(Currency!$B$1,Database!$A$1:$V$1,),)</f>
        <v/>
      </c>
    </row>
    <row r="816">
      <c r="A816" s="19">
        <f>Database!A1137</f>
        <v/>
      </c>
      <c r="B816" s="48">
        <f>VLOOKUP(A816,Database!$A:$V,MATCH(Currency!$B$1,Database!$A$1:$V$1,),)</f>
        <v/>
      </c>
    </row>
    <row r="817">
      <c r="A817" s="19">
        <f>Database!A1138</f>
        <v/>
      </c>
      <c r="B817" s="48">
        <f>VLOOKUP(A817,Database!$A:$V,MATCH(Currency!$B$1,Database!$A$1:$V$1,),)</f>
        <v/>
      </c>
    </row>
    <row r="818">
      <c r="A818" s="19">
        <f>Database!A1139</f>
        <v/>
      </c>
      <c r="B818" s="48">
        <f>VLOOKUP(A818,Database!$A:$V,MATCH(Currency!$B$1,Database!$A$1:$V$1,),)</f>
        <v/>
      </c>
    </row>
    <row r="819">
      <c r="A819" s="19">
        <f>Database!A1140</f>
        <v/>
      </c>
      <c r="B819" s="48">
        <f>VLOOKUP(A819,Database!$A:$V,MATCH(Currency!$B$1,Database!$A$1:$V$1,),)</f>
        <v/>
      </c>
    </row>
    <row r="820">
      <c r="A820" s="19">
        <f>Database!A1141</f>
        <v/>
      </c>
      <c r="B820" s="48">
        <f>VLOOKUP(A820,Database!$A:$V,MATCH(Currency!$B$1,Database!$A$1:$V$1,),)</f>
        <v/>
      </c>
    </row>
    <row r="821">
      <c r="A821" s="19">
        <f>Database!A1142</f>
        <v/>
      </c>
      <c r="B821" s="48">
        <f>VLOOKUP(A821,Database!$A:$V,MATCH(Currency!$B$1,Database!$A$1:$V$1,),)</f>
        <v/>
      </c>
    </row>
    <row r="822">
      <c r="A822" s="19">
        <f>Database!A1143</f>
        <v/>
      </c>
      <c r="B822" s="48">
        <f>VLOOKUP(A822,Database!$A:$V,MATCH(Currency!$B$1,Database!$A$1:$V$1,),)</f>
        <v/>
      </c>
    </row>
    <row r="823">
      <c r="A823" s="19">
        <f>Database!A1144</f>
        <v/>
      </c>
      <c r="B823" s="48">
        <f>VLOOKUP(A823,Database!$A:$V,MATCH(Currency!$B$1,Database!$A$1:$V$1,),)</f>
        <v/>
      </c>
    </row>
    <row r="824">
      <c r="A824" s="19">
        <f>Database!A1145</f>
        <v/>
      </c>
      <c r="B824" s="48">
        <f>VLOOKUP(A824,Database!$A:$V,MATCH(Currency!$B$1,Database!$A$1:$V$1,),)</f>
        <v/>
      </c>
    </row>
    <row r="825">
      <c r="A825" s="19">
        <f>Database!A1146</f>
        <v/>
      </c>
      <c r="B825" s="48">
        <f>VLOOKUP(A825,Database!$A:$V,MATCH(Currency!$B$1,Database!$A$1:$V$1,),)</f>
        <v/>
      </c>
    </row>
    <row r="826">
      <c r="A826" s="19">
        <f>Database!A1147</f>
        <v/>
      </c>
      <c r="B826" s="48">
        <f>VLOOKUP(A826,Database!$A:$V,MATCH(Currency!$B$1,Database!$A$1:$V$1,),)</f>
        <v/>
      </c>
    </row>
    <row r="827">
      <c r="A827" s="19">
        <f>Database!A1148</f>
        <v/>
      </c>
      <c r="B827" s="48">
        <f>VLOOKUP(A827,Database!$A:$V,MATCH(Currency!$B$1,Database!$A$1:$V$1,),)</f>
        <v/>
      </c>
    </row>
    <row r="828">
      <c r="A828" s="19">
        <f>Database!A1149</f>
        <v/>
      </c>
      <c r="B828" s="48">
        <f>VLOOKUP(A828,Database!$A:$V,MATCH(Currency!$B$1,Database!$A$1:$V$1,),)</f>
        <v/>
      </c>
    </row>
    <row r="829">
      <c r="A829" s="19">
        <f>Database!A1150</f>
        <v/>
      </c>
      <c r="B829" s="48">
        <f>VLOOKUP(A829,Database!$A:$V,MATCH(Currency!$B$1,Database!$A$1:$V$1,),)</f>
        <v/>
      </c>
    </row>
    <row r="830">
      <c r="A830" s="19">
        <f>Database!A1151</f>
        <v/>
      </c>
      <c r="B830" s="48">
        <f>VLOOKUP(A830,Database!$A:$V,MATCH(Currency!$B$1,Database!$A$1:$V$1,),)</f>
        <v/>
      </c>
    </row>
    <row r="831">
      <c r="A831" s="19">
        <f>Database!A1152</f>
        <v/>
      </c>
      <c r="B831" s="48">
        <f>VLOOKUP(A831,Database!$A:$V,MATCH(Currency!$B$1,Database!$A$1:$V$1,),)</f>
        <v/>
      </c>
    </row>
    <row r="832">
      <c r="A832" s="19">
        <f>Database!A1153</f>
        <v/>
      </c>
      <c r="B832" s="48">
        <f>VLOOKUP(A832,Database!$A:$V,MATCH(Currency!$B$1,Database!$A$1:$V$1,),)</f>
        <v/>
      </c>
    </row>
    <row r="833">
      <c r="A833" s="19">
        <f>Database!A1154</f>
        <v/>
      </c>
      <c r="B833" s="48">
        <f>VLOOKUP(A833,Database!$A:$V,MATCH(Currency!$B$1,Database!$A$1:$V$1,),)</f>
        <v/>
      </c>
    </row>
    <row r="834">
      <c r="A834" s="19">
        <f>Database!A1155</f>
        <v/>
      </c>
      <c r="B834" s="48">
        <f>VLOOKUP(A834,Database!$A:$V,MATCH(Currency!$B$1,Database!$A$1:$V$1,),)</f>
        <v/>
      </c>
    </row>
    <row r="835">
      <c r="A835" s="19">
        <f>Database!A1156</f>
        <v/>
      </c>
      <c r="B835" s="48">
        <f>VLOOKUP(A835,Database!$A:$V,MATCH(Currency!$B$1,Database!$A$1:$V$1,),)</f>
        <v/>
      </c>
    </row>
    <row r="836">
      <c r="A836" s="19">
        <f>Database!A1157</f>
        <v/>
      </c>
      <c r="B836" s="48">
        <f>VLOOKUP(A836,Database!$A:$V,MATCH(Currency!$B$1,Database!$A$1:$V$1,),)</f>
        <v/>
      </c>
    </row>
    <row r="837">
      <c r="A837" s="19">
        <f>Database!A1158</f>
        <v/>
      </c>
      <c r="B837" s="48">
        <f>VLOOKUP(A837,Database!$A:$V,MATCH(Currency!$B$1,Database!$A$1:$V$1,),)</f>
        <v/>
      </c>
    </row>
    <row r="838">
      <c r="A838" s="19">
        <f>Database!A1159</f>
        <v/>
      </c>
      <c r="B838" s="48">
        <f>VLOOKUP(A838,Database!$A:$V,MATCH(Currency!$B$1,Database!$A$1:$V$1,),)</f>
        <v/>
      </c>
    </row>
    <row r="839">
      <c r="A839" s="19">
        <f>Database!A1160</f>
        <v/>
      </c>
      <c r="B839" s="48">
        <f>VLOOKUP(A839,Database!$A:$V,MATCH(Currency!$B$1,Database!$A$1:$V$1,),)</f>
        <v/>
      </c>
    </row>
    <row r="840">
      <c r="A840" s="19">
        <f>Database!A1161</f>
        <v/>
      </c>
      <c r="B840" s="48">
        <f>VLOOKUP(A840,Database!$A:$V,MATCH(Currency!$B$1,Database!$A$1:$V$1,),)</f>
        <v/>
      </c>
    </row>
    <row r="841">
      <c r="A841" s="19">
        <f>Database!A1162</f>
        <v/>
      </c>
      <c r="B841" s="48">
        <f>VLOOKUP(A841,Database!$A:$V,MATCH(Currency!$B$1,Database!$A$1:$V$1,),)</f>
        <v/>
      </c>
    </row>
    <row r="842">
      <c r="A842" s="19">
        <f>Database!A1163</f>
        <v/>
      </c>
      <c r="B842" s="48">
        <f>VLOOKUP(A842,Database!$A:$V,MATCH(Currency!$B$1,Database!$A$1:$V$1,),)</f>
        <v/>
      </c>
    </row>
    <row r="843">
      <c r="A843" s="19">
        <f>Database!A1164</f>
        <v/>
      </c>
      <c r="B843" s="48">
        <f>VLOOKUP(A843,Database!$A:$V,MATCH(Currency!$B$1,Database!$A$1:$V$1,),)</f>
        <v/>
      </c>
    </row>
    <row r="844">
      <c r="A844" s="19">
        <f>Database!A1165</f>
        <v/>
      </c>
      <c r="B844" s="48">
        <f>VLOOKUP(A844,Database!$A:$V,MATCH(Currency!$B$1,Database!$A$1:$V$1,),)</f>
        <v/>
      </c>
    </row>
    <row r="845">
      <c r="A845" s="19">
        <f>Database!A1166</f>
        <v/>
      </c>
      <c r="B845" s="48">
        <f>VLOOKUP(A845,Database!$A:$V,MATCH(Currency!$B$1,Database!$A$1:$V$1,),)</f>
        <v/>
      </c>
    </row>
    <row r="846">
      <c r="A846" s="19">
        <f>Database!A1167</f>
        <v/>
      </c>
      <c r="B846" s="48">
        <f>VLOOKUP(A846,Database!$A:$V,MATCH(Currency!$B$1,Database!$A$1:$V$1,),)</f>
        <v/>
      </c>
    </row>
    <row r="847">
      <c r="A847" s="19">
        <f>Database!A1168</f>
        <v/>
      </c>
      <c r="B847" s="48">
        <f>VLOOKUP(A847,Database!$A:$V,MATCH(Currency!$B$1,Database!$A$1:$V$1,),)</f>
        <v/>
      </c>
    </row>
    <row r="848">
      <c r="A848" s="19">
        <f>Database!A1169</f>
        <v/>
      </c>
      <c r="B848" s="48">
        <f>VLOOKUP(A848,Database!$A:$V,MATCH(Currency!$B$1,Database!$A$1:$V$1,),)</f>
        <v/>
      </c>
    </row>
    <row r="849">
      <c r="A849" s="19">
        <f>Database!A1170</f>
        <v/>
      </c>
      <c r="B849" s="48">
        <f>VLOOKUP(A849,Database!$A:$V,MATCH(Currency!$B$1,Database!$A$1:$V$1,),)</f>
        <v/>
      </c>
    </row>
    <row r="850">
      <c r="A850" s="19">
        <f>Database!A1171</f>
        <v/>
      </c>
      <c r="B850" s="48">
        <f>VLOOKUP(A850,Database!$A:$V,MATCH(Currency!$B$1,Database!$A$1:$V$1,),)</f>
        <v/>
      </c>
    </row>
    <row r="851">
      <c r="A851" s="19">
        <f>Database!A1172</f>
        <v/>
      </c>
      <c r="B851" s="48">
        <f>VLOOKUP(A851,Database!$A:$V,MATCH(Currency!$B$1,Database!$A$1:$V$1,),)</f>
        <v/>
      </c>
    </row>
    <row r="852">
      <c r="A852" s="19">
        <f>Database!A1173</f>
        <v/>
      </c>
      <c r="B852" s="48">
        <f>VLOOKUP(A852,Database!$A:$V,MATCH(Currency!$B$1,Database!$A$1:$V$1,),)</f>
        <v/>
      </c>
    </row>
    <row r="853">
      <c r="A853" s="19">
        <f>Database!A1174</f>
        <v/>
      </c>
      <c r="B853" s="48">
        <f>VLOOKUP(A853,Database!$A:$V,MATCH(Currency!$B$1,Database!$A$1:$V$1,),)</f>
        <v/>
      </c>
    </row>
    <row r="854">
      <c r="A854" s="19">
        <f>Database!A1175</f>
        <v/>
      </c>
      <c r="B854" s="48">
        <f>VLOOKUP(A854,Database!$A:$V,MATCH(Currency!$B$1,Database!$A$1:$V$1,),)</f>
        <v/>
      </c>
    </row>
    <row r="855">
      <c r="A855" s="19">
        <f>Database!A1176</f>
        <v/>
      </c>
      <c r="B855" s="48">
        <f>VLOOKUP(A855,Database!$A:$V,MATCH(Currency!$B$1,Database!$A$1:$V$1,),)</f>
        <v/>
      </c>
    </row>
    <row r="856">
      <c r="A856" s="19">
        <f>Database!A1177</f>
        <v/>
      </c>
      <c r="B856" s="48">
        <f>VLOOKUP(A856,Database!$A:$V,MATCH(Currency!$B$1,Database!$A$1:$V$1,),)</f>
        <v/>
      </c>
    </row>
    <row r="857">
      <c r="A857" s="19">
        <f>Database!A1178</f>
        <v/>
      </c>
      <c r="B857" s="48">
        <f>VLOOKUP(A857,Database!$A:$V,MATCH(Currency!$B$1,Database!$A$1:$V$1,),)</f>
        <v/>
      </c>
    </row>
    <row r="858">
      <c r="A858" s="19">
        <f>Database!A1179</f>
        <v/>
      </c>
      <c r="B858" s="48">
        <f>VLOOKUP(A858,Database!$A:$V,MATCH(Currency!$B$1,Database!$A$1:$V$1,),)</f>
        <v/>
      </c>
    </row>
    <row r="859">
      <c r="A859" s="19">
        <f>Database!A1180</f>
        <v/>
      </c>
      <c r="B859" s="48">
        <f>VLOOKUP(A859,Database!$A:$V,MATCH(Currency!$B$1,Database!$A$1:$V$1,),)</f>
        <v/>
      </c>
    </row>
    <row r="860">
      <c r="A860" s="19">
        <f>Database!A1181</f>
        <v/>
      </c>
      <c r="B860" s="48">
        <f>VLOOKUP(A860,Database!$A:$V,MATCH(Currency!$B$1,Database!$A$1:$V$1,),)</f>
        <v/>
      </c>
    </row>
    <row r="861">
      <c r="A861" s="19">
        <f>Database!A1182</f>
        <v/>
      </c>
      <c r="B861" s="48">
        <f>VLOOKUP(A861,Database!$A:$V,MATCH(Currency!$B$1,Database!$A$1:$V$1,),)</f>
        <v/>
      </c>
    </row>
    <row r="862">
      <c r="A862" s="19">
        <f>Database!A1183</f>
        <v/>
      </c>
      <c r="B862" s="48">
        <f>VLOOKUP(A862,Database!$A:$V,MATCH(Currency!$B$1,Database!$A$1:$V$1,),)</f>
        <v/>
      </c>
    </row>
    <row r="863">
      <c r="A863" s="19">
        <f>Database!A1184</f>
        <v/>
      </c>
      <c r="B863" s="48">
        <f>VLOOKUP(A863,Database!$A:$V,MATCH(Currency!$B$1,Database!$A$1:$V$1,),)</f>
        <v/>
      </c>
    </row>
    <row r="864">
      <c r="A864" s="19">
        <f>Database!A1185</f>
        <v/>
      </c>
      <c r="B864" s="48">
        <f>VLOOKUP(A864,Database!$A:$V,MATCH(Currency!$B$1,Database!$A$1:$V$1,),)</f>
        <v/>
      </c>
    </row>
    <row r="865">
      <c r="A865" s="19">
        <f>Database!A1186</f>
        <v/>
      </c>
      <c r="B865" s="48">
        <f>VLOOKUP(A865,Database!$A:$V,MATCH(Currency!$B$1,Database!$A$1:$V$1,),)</f>
        <v/>
      </c>
    </row>
    <row r="866">
      <c r="A866" s="19">
        <f>Database!A1187</f>
        <v/>
      </c>
      <c r="B866" s="48">
        <f>VLOOKUP(A866,Database!$A:$V,MATCH(Currency!$B$1,Database!$A$1:$V$1,),)</f>
        <v/>
      </c>
    </row>
    <row r="867">
      <c r="A867" s="19">
        <f>Database!A1188</f>
        <v/>
      </c>
      <c r="B867" s="48">
        <f>VLOOKUP(A867,Database!$A:$V,MATCH(Currency!$B$1,Database!$A$1:$V$1,),)</f>
        <v/>
      </c>
    </row>
    <row r="868">
      <c r="A868" s="19">
        <f>Database!A1189</f>
        <v/>
      </c>
      <c r="B868" s="48">
        <f>VLOOKUP(A868,Database!$A:$V,MATCH(Currency!$B$1,Database!$A$1:$V$1,),)</f>
        <v/>
      </c>
    </row>
    <row r="869">
      <c r="A869" s="19">
        <f>Database!A1190</f>
        <v/>
      </c>
      <c r="B869" s="48">
        <f>VLOOKUP(A869,Database!$A:$V,MATCH(Currency!$B$1,Database!$A$1:$V$1,),)</f>
        <v/>
      </c>
    </row>
    <row r="870">
      <c r="A870" s="19">
        <f>Database!A1191</f>
        <v/>
      </c>
      <c r="B870" s="48">
        <f>VLOOKUP(A870,Database!$A:$V,MATCH(Currency!$B$1,Database!$A$1:$V$1,),)</f>
        <v/>
      </c>
    </row>
    <row r="871">
      <c r="A871" s="19">
        <f>Database!A1192</f>
        <v/>
      </c>
      <c r="B871" s="48">
        <f>VLOOKUP(A871,Database!$A:$V,MATCH(Currency!$B$1,Database!$A$1:$V$1,),)</f>
        <v/>
      </c>
    </row>
    <row r="872">
      <c r="A872" s="19">
        <f>Database!A1193</f>
        <v/>
      </c>
      <c r="B872" s="48">
        <f>VLOOKUP(A872,Database!$A:$V,MATCH(Currency!$B$1,Database!$A$1:$V$1,),)</f>
        <v/>
      </c>
    </row>
    <row r="873">
      <c r="A873" s="19">
        <f>Database!A1194</f>
        <v/>
      </c>
      <c r="B873" s="48">
        <f>VLOOKUP(A873,Database!$A:$V,MATCH(Currency!$B$1,Database!$A$1:$V$1,),)</f>
        <v/>
      </c>
    </row>
    <row r="874">
      <c r="A874" s="19">
        <f>Database!A1195</f>
        <v/>
      </c>
      <c r="B874" s="48">
        <f>VLOOKUP(A874,Database!$A:$V,MATCH(Currency!$B$1,Database!$A$1:$V$1,),)</f>
        <v/>
      </c>
    </row>
    <row r="875">
      <c r="A875" s="19">
        <f>Database!A1196</f>
        <v/>
      </c>
      <c r="B875" s="48">
        <f>VLOOKUP(A875,Database!$A:$V,MATCH(Currency!$B$1,Database!$A$1:$V$1,),)</f>
        <v/>
      </c>
    </row>
    <row r="876">
      <c r="A876" s="19">
        <f>Database!A1197</f>
        <v/>
      </c>
      <c r="B876" s="48">
        <f>VLOOKUP(A876,Database!$A:$V,MATCH(Currency!$B$1,Database!$A$1:$V$1,),)</f>
        <v/>
      </c>
    </row>
    <row r="877">
      <c r="A877" s="19">
        <f>Database!A1198</f>
        <v/>
      </c>
      <c r="B877" s="48">
        <f>VLOOKUP(A877,Database!$A:$V,MATCH(Currency!$B$1,Database!$A$1:$V$1,),)</f>
        <v/>
      </c>
    </row>
    <row r="878">
      <c r="A878" s="19">
        <f>Database!A1199</f>
        <v/>
      </c>
      <c r="B878" s="48">
        <f>VLOOKUP(A878,Database!$A:$V,MATCH(Currency!$B$1,Database!$A$1:$V$1,),)</f>
        <v/>
      </c>
    </row>
    <row r="879">
      <c r="A879" s="19">
        <f>Database!A1200</f>
        <v/>
      </c>
      <c r="B879" s="48">
        <f>VLOOKUP(A879,Database!$A:$V,MATCH(Currency!$B$1,Database!$A$1:$V$1,),)</f>
        <v/>
      </c>
    </row>
    <row r="880">
      <c r="A880" s="19">
        <f>Database!A1201</f>
        <v/>
      </c>
      <c r="B880" s="48">
        <f>VLOOKUP(A880,Database!$A:$V,MATCH(Currency!$B$1,Database!$A$1:$V$1,),)</f>
        <v/>
      </c>
    </row>
    <row r="881">
      <c r="A881" s="19">
        <f>Database!A1202</f>
        <v/>
      </c>
      <c r="B881" s="48">
        <f>VLOOKUP(A881,Database!$A:$V,MATCH(Currency!$B$1,Database!$A$1:$V$1,),)</f>
        <v/>
      </c>
    </row>
    <row r="882">
      <c r="A882" s="19">
        <f>Database!A1203</f>
        <v/>
      </c>
      <c r="B882" s="48">
        <f>VLOOKUP(A882,Database!$A:$V,MATCH(Currency!$B$1,Database!$A$1:$V$1,),)</f>
        <v/>
      </c>
    </row>
    <row r="883">
      <c r="A883" s="19">
        <f>Database!A1204</f>
        <v/>
      </c>
      <c r="B883" s="48">
        <f>VLOOKUP(A883,Database!$A:$V,MATCH(Currency!$B$1,Database!$A$1:$V$1,),)</f>
        <v/>
      </c>
    </row>
    <row r="884">
      <c r="A884" s="19">
        <f>Database!A1205</f>
        <v/>
      </c>
      <c r="B884" s="48">
        <f>VLOOKUP(A884,Database!$A:$V,MATCH(Currency!$B$1,Database!$A$1:$V$1,),)</f>
        <v/>
      </c>
    </row>
    <row r="885">
      <c r="A885" s="19">
        <f>Database!A1206</f>
        <v/>
      </c>
      <c r="B885" s="48">
        <f>VLOOKUP(A885,Database!$A:$V,MATCH(Currency!$B$1,Database!$A$1:$V$1,),)</f>
        <v/>
      </c>
    </row>
    <row r="886">
      <c r="A886" s="19">
        <f>Database!A1207</f>
        <v/>
      </c>
      <c r="B886" s="48">
        <f>VLOOKUP(A886,Database!$A:$V,MATCH(Currency!$B$1,Database!$A$1:$V$1,),)</f>
        <v/>
      </c>
    </row>
    <row r="887">
      <c r="A887" s="19">
        <f>Database!A1208</f>
        <v/>
      </c>
      <c r="B887" s="48">
        <f>VLOOKUP(A887,Database!$A:$V,MATCH(Currency!$B$1,Database!$A$1:$V$1,),)</f>
        <v/>
      </c>
    </row>
    <row r="888">
      <c r="A888" s="19">
        <f>Database!A1209</f>
        <v/>
      </c>
      <c r="B888" s="48">
        <f>VLOOKUP(A888,Database!$A:$V,MATCH(Currency!$B$1,Database!$A$1:$V$1,),)</f>
        <v/>
      </c>
    </row>
    <row r="889">
      <c r="A889" s="19">
        <f>Database!A1210</f>
        <v/>
      </c>
      <c r="B889" s="48">
        <f>VLOOKUP(A889,Database!$A:$V,MATCH(Currency!$B$1,Database!$A$1:$V$1,),)</f>
        <v/>
      </c>
    </row>
    <row r="890">
      <c r="A890" s="19">
        <f>Database!A1211</f>
        <v/>
      </c>
      <c r="B890" s="48">
        <f>VLOOKUP(A890,Database!$A:$V,MATCH(Currency!$B$1,Database!$A$1:$V$1,),)</f>
        <v/>
      </c>
    </row>
    <row r="891">
      <c r="A891" s="19">
        <f>Database!A1212</f>
        <v/>
      </c>
      <c r="B891" s="48">
        <f>VLOOKUP(A891,Database!$A:$V,MATCH(Currency!$B$1,Database!$A$1:$V$1,),)</f>
        <v/>
      </c>
    </row>
    <row r="892">
      <c r="A892" s="19">
        <f>Database!A1213</f>
        <v/>
      </c>
      <c r="B892" s="48">
        <f>VLOOKUP(A892,Database!$A:$V,MATCH(Currency!$B$1,Database!$A$1:$V$1,),)</f>
        <v/>
      </c>
    </row>
    <row r="893">
      <c r="A893" s="19">
        <f>Database!A1214</f>
        <v/>
      </c>
      <c r="B893" s="48">
        <f>VLOOKUP(A893,Database!$A:$V,MATCH(Currency!$B$1,Database!$A$1:$V$1,),)</f>
        <v/>
      </c>
    </row>
    <row r="894">
      <c r="A894" s="19">
        <f>Database!A1215</f>
        <v/>
      </c>
      <c r="B894" s="48">
        <f>VLOOKUP(A894,Database!$A:$V,MATCH(Currency!$B$1,Database!$A$1:$V$1,),)</f>
        <v/>
      </c>
    </row>
    <row r="895">
      <c r="A895" s="19">
        <f>Database!A1216</f>
        <v/>
      </c>
      <c r="B895" s="48">
        <f>VLOOKUP(A895,Database!$A:$V,MATCH(Currency!$B$1,Database!$A$1:$V$1,),)</f>
        <v/>
      </c>
    </row>
    <row r="896">
      <c r="A896" s="19">
        <f>Database!A1217</f>
        <v/>
      </c>
      <c r="B896" s="48">
        <f>VLOOKUP(A896,Database!$A:$V,MATCH(Currency!$B$1,Database!$A$1:$V$1,),)</f>
        <v/>
      </c>
    </row>
    <row r="897">
      <c r="A897" s="19">
        <f>Database!A1218</f>
        <v/>
      </c>
      <c r="B897" s="48">
        <f>VLOOKUP(A897,Database!$A:$V,MATCH(Currency!$B$1,Database!$A$1:$V$1,),)</f>
        <v/>
      </c>
    </row>
    <row r="898">
      <c r="A898" s="19">
        <f>Database!A1219</f>
        <v/>
      </c>
      <c r="B898" s="48">
        <f>VLOOKUP(A898,Database!$A:$V,MATCH(Currency!$B$1,Database!$A$1:$V$1,),)</f>
        <v/>
      </c>
    </row>
    <row r="899">
      <c r="A899" s="19">
        <f>Database!A1220</f>
        <v/>
      </c>
      <c r="B899" s="48">
        <f>VLOOKUP(A899,Database!$A:$V,MATCH(Currency!$B$1,Database!$A$1:$V$1,),)</f>
        <v/>
      </c>
    </row>
    <row r="900">
      <c r="A900" s="19">
        <f>Database!A1221</f>
        <v/>
      </c>
      <c r="B900" s="48">
        <f>VLOOKUP(A900,Database!$A:$V,MATCH(Currency!$B$1,Database!$A$1:$V$1,),)</f>
        <v/>
      </c>
    </row>
    <row r="901">
      <c r="A901" s="19">
        <f>Database!A1222</f>
        <v/>
      </c>
      <c r="B901" s="48">
        <f>VLOOKUP(A901,Database!$A:$V,MATCH(Currency!$B$1,Database!$A$1:$V$1,),)</f>
        <v/>
      </c>
    </row>
    <row r="902">
      <c r="A902" s="19">
        <f>Database!A1223</f>
        <v/>
      </c>
      <c r="B902" s="48">
        <f>VLOOKUP(A902,Database!$A:$V,MATCH(Currency!$B$1,Database!$A$1:$V$1,),)</f>
        <v/>
      </c>
    </row>
    <row r="903">
      <c r="A903" s="19">
        <f>Database!A1224</f>
        <v/>
      </c>
      <c r="B903" s="48">
        <f>VLOOKUP(A903,Database!$A:$V,MATCH(Currency!$B$1,Database!$A$1:$V$1,),)</f>
        <v/>
      </c>
    </row>
    <row r="904">
      <c r="A904" s="19">
        <f>Database!A1225</f>
        <v/>
      </c>
      <c r="B904" s="48">
        <f>VLOOKUP(A904,Database!$A:$V,MATCH(Currency!$B$1,Database!$A$1:$V$1,),)</f>
        <v/>
      </c>
    </row>
    <row r="905">
      <c r="A905" s="19">
        <f>Database!A1226</f>
        <v/>
      </c>
      <c r="B905" s="48">
        <f>VLOOKUP(A905,Database!$A:$V,MATCH(Currency!$B$1,Database!$A$1:$V$1,),)</f>
        <v/>
      </c>
    </row>
    <row r="906">
      <c r="A906" s="19">
        <f>Database!A1227</f>
        <v/>
      </c>
      <c r="B906" s="48">
        <f>VLOOKUP(A906,Database!$A:$V,MATCH(Currency!$B$1,Database!$A$1:$V$1,),)</f>
        <v/>
      </c>
    </row>
    <row r="907">
      <c r="A907" s="19">
        <f>Database!A1228</f>
        <v/>
      </c>
      <c r="B907" s="48">
        <f>VLOOKUP(A907,Database!$A:$V,MATCH(Currency!$B$1,Database!$A$1:$V$1,),)</f>
        <v/>
      </c>
    </row>
    <row r="908">
      <c r="A908" s="19">
        <f>Database!A1229</f>
        <v/>
      </c>
      <c r="B908" s="48">
        <f>VLOOKUP(A908,Database!$A:$V,MATCH(Currency!$B$1,Database!$A$1:$V$1,),)</f>
        <v/>
      </c>
    </row>
    <row r="909">
      <c r="A909" s="19">
        <f>Database!A1230</f>
        <v/>
      </c>
      <c r="B909" s="48">
        <f>VLOOKUP(A909,Database!$A:$V,MATCH(Currency!$B$1,Database!$A$1:$V$1,),)</f>
        <v/>
      </c>
    </row>
    <row r="910">
      <c r="A910" s="19">
        <f>Database!A1231</f>
        <v/>
      </c>
      <c r="B910" s="48">
        <f>VLOOKUP(A910,Database!$A:$V,MATCH(Currency!$B$1,Database!$A$1:$V$1,),)</f>
        <v/>
      </c>
    </row>
    <row r="911">
      <c r="A911" s="19">
        <f>Database!A1232</f>
        <v/>
      </c>
      <c r="B911" s="48">
        <f>VLOOKUP(A911,Database!$A:$V,MATCH(Currency!$B$1,Database!$A$1:$V$1,),)</f>
        <v/>
      </c>
    </row>
    <row r="912">
      <c r="A912" s="19">
        <f>Database!A1233</f>
        <v/>
      </c>
      <c r="B912" s="48">
        <f>VLOOKUP(A912,Database!$A:$V,MATCH(Currency!$B$1,Database!$A$1:$V$1,),)</f>
        <v/>
      </c>
    </row>
    <row r="913">
      <c r="A913" s="19">
        <f>Database!A1234</f>
        <v/>
      </c>
      <c r="B913" s="48">
        <f>VLOOKUP(A913,Database!$A:$V,MATCH(Currency!$B$1,Database!$A$1:$V$1,),)</f>
        <v/>
      </c>
    </row>
    <row r="914">
      <c r="A914" s="19">
        <f>Database!A1235</f>
        <v/>
      </c>
      <c r="B914" s="48">
        <f>VLOOKUP(A914,Database!$A:$V,MATCH(Currency!$B$1,Database!$A$1:$V$1,),)</f>
        <v/>
      </c>
    </row>
    <row r="915">
      <c r="A915" s="19">
        <f>Database!A1236</f>
        <v/>
      </c>
      <c r="B915" s="48">
        <f>VLOOKUP(A915,Database!$A:$V,MATCH(Currency!$B$1,Database!$A$1:$V$1,),)</f>
        <v/>
      </c>
    </row>
    <row r="916">
      <c r="A916" s="19">
        <f>Database!A1237</f>
        <v/>
      </c>
      <c r="B916" s="48">
        <f>VLOOKUP(A916,Database!$A:$V,MATCH(Currency!$B$1,Database!$A$1:$V$1,),)</f>
        <v/>
      </c>
    </row>
    <row r="917">
      <c r="A917" s="19">
        <f>Database!A1238</f>
        <v/>
      </c>
      <c r="B917" s="48">
        <f>VLOOKUP(A917,Database!$A:$V,MATCH(Currency!$B$1,Database!$A$1:$V$1,),)</f>
        <v/>
      </c>
    </row>
    <row r="918">
      <c r="A918" s="19">
        <f>Database!A1239</f>
        <v/>
      </c>
      <c r="B918" s="48">
        <f>VLOOKUP(A918,Database!$A:$V,MATCH(Currency!$B$1,Database!$A$1:$V$1,),)</f>
        <v/>
      </c>
    </row>
    <row r="919">
      <c r="A919" s="19">
        <f>Database!A1240</f>
        <v/>
      </c>
      <c r="B919" s="48">
        <f>VLOOKUP(A919,Database!$A:$V,MATCH(Currency!$B$1,Database!$A$1:$V$1,),)</f>
        <v/>
      </c>
    </row>
    <row r="920">
      <c r="A920" s="19">
        <f>Database!A1241</f>
        <v/>
      </c>
      <c r="B920" s="48">
        <f>VLOOKUP(A920,Database!$A:$V,MATCH(Currency!$B$1,Database!$A$1:$V$1,),)</f>
        <v/>
      </c>
    </row>
    <row r="921">
      <c r="A921" s="19">
        <f>Database!A1242</f>
        <v/>
      </c>
      <c r="B921" s="48">
        <f>VLOOKUP(A921,Database!$A:$V,MATCH(Currency!$B$1,Database!$A$1:$V$1,),)</f>
        <v/>
      </c>
    </row>
    <row r="922">
      <c r="A922" s="19">
        <f>Database!A1243</f>
        <v/>
      </c>
      <c r="B922" s="48">
        <f>VLOOKUP(A922,Database!$A:$V,MATCH(Currency!$B$1,Database!$A$1:$V$1,),)</f>
        <v/>
      </c>
    </row>
    <row r="923">
      <c r="A923" s="19">
        <f>Database!A1244</f>
        <v/>
      </c>
      <c r="B923" s="48">
        <f>VLOOKUP(A923,Database!$A:$V,MATCH(Currency!$B$1,Database!$A$1:$V$1,),)</f>
        <v/>
      </c>
    </row>
    <row r="924">
      <c r="A924" s="19">
        <f>Database!A1245</f>
        <v/>
      </c>
      <c r="B924" s="48">
        <f>VLOOKUP(A924,Database!$A:$V,MATCH(Currency!$B$1,Database!$A$1:$V$1,),)</f>
        <v/>
      </c>
    </row>
    <row r="925">
      <c r="A925" s="19">
        <f>Database!A1246</f>
        <v/>
      </c>
      <c r="B925" s="48">
        <f>VLOOKUP(A925,Database!$A:$V,MATCH(Currency!$B$1,Database!$A$1:$V$1,),)</f>
        <v/>
      </c>
    </row>
    <row r="926">
      <c r="A926" s="19">
        <f>Database!A1247</f>
        <v/>
      </c>
      <c r="B926" s="48">
        <f>VLOOKUP(A926,Database!$A:$V,MATCH(Currency!$B$1,Database!$A$1:$V$1,),)</f>
        <v/>
      </c>
    </row>
    <row r="927">
      <c r="A927" s="19">
        <f>Database!A1248</f>
        <v/>
      </c>
      <c r="B927" s="48">
        <f>VLOOKUP(A927,Database!$A:$V,MATCH(Currency!$B$1,Database!$A$1:$V$1,),)</f>
        <v/>
      </c>
    </row>
    <row r="928">
      <c r="A928" s="19">
        <f>Database!A1249</f>
        <v/>
      </c>
      <c r="B928" s="48">
        <f>VLOOKUP(A928,Database!$A:$V,MATCH(Currency!$B$1,Database!$A$1:$V$1,),)</f>
        <v/>
      </c>
    </row>
    <row r="929">
      <c r="A929" s="19">
        <f>Database!A1250</f>
        <v/>
      </c>
      <c r="B929" s="48">
        <f>VLOOKUP(A929,Database!$A:$V,MATCH(Currency!$B$1,Database!$A$1:$V$1,),)</f>
        <v/>
      </c>
    </row>
    <row r="930">
      <c r="A930" s="19">
        <f>Database!A1251</f>
        <v/>
      </c>
      <c r="B930" s="48">
        <f>VLOOKUP(A930,Database!$A:$V,MATCH(Currency!$B$1,Database!$A$1:$V$1,),)</f>
        <v/>
      </c>
    </row>
    <row r="931">
      <c r="A931" s="19">
        <f>Database!A1252</f>
        <v/>
      </c>
      <c r="B931" s="48">
        <f>VLOOKUP(A931,Database!$A:$V,MATCH(Currency!$B$1,Database!$A$1:$V$1,),)</f>
        <v/>
      </c>
    </row>
    <row r="932">
      <c r="A932" s="19">
        <f>Database!A1253</f>
        <v/>
      </c>
      <c r="B932" s="48">
        <f>VLOOKUP(A932,Database!$A:$V,MATCH(Currency!$B$1,Database!$A$1:$V$1,),)</f>
        <v/>
      </c>
    </row>
    <row r="933">
      <c r="A933" s="19">
        <f>Database!A1254</f>
        <v/>
      </c>
      <c r="B933" s="48">
        <f>VLOOKUP(A933,Database!$A:$V,MATCH(Currency!$B$1,Database!$A$1:$V$1,),)</f>
        <v/>
      </c>
    </row>
    <row r="934">
      <c r="A934" s="19">
        <f>Database!A1255</f>
        <v/>
      </c>
      <c r="B934" s="48">
        <f>VLOOKUP(A934,Database!$A:$V,MATCH(Currency!$B$1,Database!$A$1:$V$1,),)</f>
        <v/>
      </c>
    </row>
    <row r="935">
      <c r="A935" s="19">
        <f>Database!A1256</f>
        <v/>
      </c>
      <c r="B935" s="48">
        <f>VLOOKUP(A935,Database!$A:$V,MATCH(Currency!$B$1,Database!$A$1:$V$1,),)</f>
        <v/>
      </c>
    </row>
    <row r="936">
      <c r="A936" s="19">
        <f>Database!A1257</f>
        <v/>
      </c>
      <c r="B936" s="48">
        <f>VLOOKUP(A936,Database!$A:$V,MATCH(Currency!$B$1,Database!$A$1:$V$1,),)</f>
        <v/>
      </c>
    </row>
    <row r="937">
      <c r="A937" s="19">
        <f>Database!A1258</f>
        <v/>
      </c>
      <c r="B937" s="48">
        <f>VLOOKUP(A937,Database!$A:$V,MATCH(Currency!$B$1,Database!$A$1:$V$1,),)</f>
        <v/>
      </c>
    </row>
    <row r="938">
      <c r="A938" s="19">
        <f>Database!A1259</f>
        <v/>
      </c>
      <c r="B938" s="48">
        <f>VLOOKUP(A938,Database!$A:$V,MATCH(Currency!$B$1,Database!$A$1:$V$1,),)</f>
        <v/>
      </c>
    </row>
    <row r="939">
      <c r="A939" s="19">
        <f>Database!A1260</f>
        <v/>
      </c>
      <c r="B939" s="48">
        <f>VLOOKUP(A939,Database!$A:$V,MATCH(Currency!$B$1,Database!$A$1:$V$1,),)</f>
        <v/>
      </c>
    </row>
    <row r="940">
      <c r="A940" s="19">
        <f>Database!A1261</f>
        <v/>
      </c>
      <c r="B940" s="48">
        <f>VLOOKUP(A940,Database!$A:$V,MATCH(Currency!$B$1,Database!$A$1:$V$1,),)</f>
        <v/>
      </c>
    </row>
    <row r="941">
      <c r="A941" s="19">
        <f>Database!A1262</f>
        <v/>
      </c>
      <c r="B941" s="48">
        <f>VLOOKUP(A941,Database!$A:$V,MATCH(Currency!$B$1,Database!$A$1:$V$1,),)</f>
        <v/>
      </c>
    </row>
    <row r="942">
      <c r="A942" s="19">
        <f>Database!A1263</f>
        <v/>
      </c>
      <c r="B942" s="48">
        <f>VLOOKUP(A942,Database!$A:$V,MATCH(Currency!$B$1,Database!$A$1:$V$1,),)</f>
        <v/>
      </c>
    </row>
    <row r="943">
      <c r="A943" s="19">
        <f>Database!A1264</f>
        <v/>
      </c>
      <c r="B943" s="48">
        <f>VLOOKUP(A943,Database!$A:$V,MATCH(Currency!$B$1,Database!$A$1:$V$1,),)</f>
        <v/>
      </c>
    </row>
    <row r="944">
      <c r="A944" s="19">
        <f>Database!A1265</f>
        <v/>
      </c>
      <c r="B944" s="48">
        <f>VLOOKUP(A944,Database!$A:$V,MATCH(Currency!$B$1,Database!$A$1:$V$1,),)</f>
        <v/>
      </c>
    </row>
    <row r="945">
      <c r="A945" s="19">
        <f>Database!A1266</f>
        <v/>
      </c>
      <c r="B945" s="48">
        <f>VLOOKUP(A945,Database!$A:$V,MATCH(Currency!$B$1,Database!$A$1:$V$1,),)</f>
        <v/>
      </c>
    </row>
    <row r="946">
      <c r="A946" s="19">
        <f>Database!A1267</f>
        <v/>
      </c>
      <c r="B946" s="48">
        <f>VLOOKUP(A946,Database!$A:$V,MATCH(Currency!$B$1,Database!$A$1:$V$1,),)</f>
        <v/>
      </c>
    </row>
    <row r="947">
      <c r="A947" s="19">
        <f>Database!A1268</f>
        <v/>
      </c>
      <c r="B947" s="48">
        <f>VLOOKUP(A947,Database!$A:$V,MATCH(Currency!$B$1,Database!$A$1:$V$1,),)</f>
        <v/>
      </c>
    </row>
    <row r="948">
      <c r="A948" s="19">
        <f>Database!A1269</f>
        <v/>
      </c>
      <c r="B948" s="48">
        <f>VLOOKUP(A948,Database!$A:$V,MATCH(Currency!$B$1,Database!$A$1:$V$1,),)</f>
        <v/>
      </c>
    </row>
    <row r="949">
      <c r="A949" s="19">
        <f>Database!A1270</f>
        <v/>
      </c>
      <c r="B949" s="48">
        <f>VLOOKUP(A949,Database!$A:$V,MATCH(Currency!$B$1,Database!$A$1:$V$1,),)</f>
        <v/>
      </c>
    </row>
    <row r="950">
      <c r="A950" s="19">
        <f>Database!A1271</f>
        <v/>
      </c>
      <c r="B950" s="48">
        <f>VLOOKUP(A950,Database!$A:$V,MATCH(Currency!$B$1,Database!$A$1:$V$1,),)</f>
        <v/>
      </c>
    </row>
    <row r="951">
      <c r="A951" s="19">
        <f>Database!A1272</f>
        <v/>
      </c>
      <c r="B951" s="48">
        <f>VLOOKUP(A951,Database!$A:$V,MATCH(Currency!$B$1,Database!$A$1:$V$1,),)</f>
        <v/>
      </c>
    </row>
    <row r="952">
      <c r="A952" s="19">
        <f>Database!A1273</f>
        <v/>
      </c>
      <c r="B952" s="48">
        <f>VLOOKUP(A952,Database!$A:$V,MATCH(Currency!$B$1,Database!$A$1:$V$1,),)</f>
        <v/>
      </c>
    </row>
    <row r="953">
      <c r="A953" s="19">
        <f>Database!A1274</f>
        <v/>
      </c>
      <c r="B953" s="48">
        <f>VLOOKUP(A953,Database!$A:$V,MATCH(Currency!$B$1,Database!$A$1:$V$1,),)</f>
        <v/>
      </c>
    </row>
    <row r="954">
      <c r="A954" s="19">
        <f>Database!A1275</f>
        <v/>
      </c>
      <c r="B954" s="48">
        <f>VLOOKUP(A954,Database!$A:$V,MATCH(Currency!$B$1,Database!$A$1:$V$1,),)</f>
        <v/>
      </c>
    </row>
    <row r="955">
      <c r="A955" s="19">
        <f>Database!A1276</f>
        <v/>
      </c>
      <c r="B955" s="48">
        <f>VLOOKUP(A955,Database!$A:$V,MATCH(Currency!$B$1,Database!$A$1:$V$1,),)</f>
        <v/>
      </c>
    </row>
    <row r="956">
      <c r="A956" s="19">
        <f>Database!A1277</f>
        <v/>
      </c>
      <c r="B956" s="48">
        <f>VLOOKUP(A956,Database!$A:$V,MATCH(Currency!$B$1,Database!$A$1:$V$1,),)</f>
        <v/>
      </c>
    </row>
    <row r="957">
      <c r="A957" s="19">
        <f>Database!A1278</f>
        <v/>
      </c>
      <c r="B957" s="48">
        <f>VLOOKUP(A957,Database!$A:$V,MATCH(Currency!$B$1,Database!$A$1:$V$1,),)</f>
        <v/>
      </c>
    </row>
    <row r="958">
      <c r="A958" s="19">
        <f>Database!A1279</f>
        <v/>
      </c>
      <c r="B958" s="48">
        <f>VLOOKUP(A958,Database!$A:$V,MATCH(Currency!$B$1,Database!$A$1:$V$1,),)</f>
        <v/>
      </c>
    </row>
    <row r="959">
      <c r="A959" s="19">
        <f>Database!A1280</f>
        <v/>
      </c>
      <c r="B959" s="48">
        <f>VLOOKUP(A959,Database!$A:$V,MATCH(Currency!$B$1,Database!$A$1:$V$1,),)</f>
        <v/>
      </c>
    </row>
    <row r="960">
      <c r="A960" s="19">
        <f>Database!A1281</f>
        <v/>
      </c>
      <c r="B960" s="48">
        <f>VLOOKUP(A960,Database!$A:$V,MATCH(Currency!$B$1,Database!$A$1:$V$1,),)</f>
        <v/>
      </c>
    </row>
    <row r="961">
      <c r="A961" s="19">
        <f>Database!A1282</f>
        <v/>
      </c>
      <c r="B961" s="48">
        <f>VLOOKUP(A961,Database!$A:$V,MATCH(Currency!$B$1,Database!$A$1:$V$1,),)</f>
        <v/>
      </c>
    </row>
    <row r="962">
      <c r="A962" s="19">
        <f>Database!A1283</f>
        <v/>
      </c>
      <c r="B962" s="48">
        <f>VLOOKUP(A962,Database!$A:$V,MATCH(Currency!$B$1,Database!$A$1:$V$1,),)</f>
        <v/>
      </c>
    </row>
    <row r="963">
      <c r="A963" s="19">
        <f>Database!A1284</f>
        <v/>
      </c>
      <c r="B963" s="48">
        <f>VLOOKUP(A963,Database!$A:$V,MATCH(Currency!$B$1,Database!$A$1:$V$1,),)</f>
        <v/>
      </c>
    </row>
    <row r="964">
      <c r="A964" s="19">
        <f>Database!A1285</f>
        <v/>
      </c>
      <c r="B964" s="48">
        <f>VLOOKUP(A964,Database!$A:$V,MATCH(Currency!$B$1,Database!$A$1:$V$1,),)</f>
        <v/>
      </c>
    </row>
    <row r="965">
      <c r="A965" s="19">
        <f>Database!A1286</f>
        <v/>
      </c>
      <c r="B965" s="48">
        <f>VLOOKUP(A965,Database!$A:$V,MATCH(Currency!$B$1,Database!$A$1:$V$1,),)</f>
        <v/>
      </c>
    </row>
    <row r="966">
      <c r="A966" s="19">
        <f>Database!A1287</f>
        <v/>
      </c>
      <c r="B966" s="48">
        <f>VLOOKUP(A966,Database!$A:$V,MATCH(Currency!$B$1,Database!$A$1:$V$1,),)</f>
        <v/>
      </c>
    </row>
    <row r="967">
      <c r="A967" s="19">
        <f>Database!A1288</f>
        <v/>
      </c>
      <c r="B967" s="48">
        <f>VLOOKUP(A967,Database!$A:$V,MATCH(Currency!$B$1,Database!$A$1:$V$1,),)</f>
        <v/>
      </c>
    </row>
    <row r="968">
      <c r="A968" s="19">
        <f>Database!A1289</f>
        <v/>
      </c>
      <c r="B968" s="48">
        <f>VLOOKUP(A968,Database!$A:$V,MATCH(Currency!$B$1,Database!$A$1:$V$1,),)</f>
        <v/>
      </c>
    </row>
    <row r="969">
      <c r="A969" s="19">
        <f>Database!A1290</f>
        <v/>
      </c>
      <c r="B969" s="48">
        <f>VLOOKUP(A969,Database!$A:$V,MATCH(Currency!$B$1,Database!$A$1:$V$1,),)</f>
        <v/>
      </c>
    </row>
    <row r="970">
      <c r="A970" s="19">
        <f>Database!A1291</f>
        <v/>
      </c>
      <c r="B970" s="48">
        <f>VLOOKUP(A970,Database!$A:$V,MATCH(Currency!$B$1,Database!$A$1:$V$1,),)</f>
        <v/>
      </c>
    </row>
    <row r="971">
      <c r="A971" s="19">
        <f>Database!A1292</f>
        <v/>
      </c>
      <c r="B971" s="48">
        <f>VLOOKUP(A971,Database!$A:$V,MATCH(Currency!$B$1,Database!$A$1:$V$1,),)</f>
        <v/>
      </c>
    </row>
    <row r="972">
      <c r="A972" s="19">
        <f>Database!A1293</f>
        <v/>
      </c>
      <c r="B972" s="48">
        <f>VLOOKUP(A972,Database!$A:$V,MATCH(Currency!$B$1,Database!$A$1:$V$1,),)</f>
        <v/>
      </c>
    </row>
    <row r="973">
      <c r="A973" s="19">
        <f>Database!A1294</f>
        <v/>
      </c>
      <c r="B973" s="48">
        <f>VLOOKUP(A973,Database!$A:$V,MATCH(Currency!$B$1,Database!$A$1:$V$1,),)</f>
        <v/>
      </c>
    </row>
    <row r="974">
      <c r="A974" s="19">
        <f>Database!A1295</f>
        <v/>
      </c>
      <c r="B974" s="48">
        <f>VLOOKUP(A974,Database!$A:$V,MATCH(Currency!$B$1,Database!$A$1:$V$1,),)</f>
        <v/>
      </c>
    </row>
    <row r="975">
      <c r="A975" s="19">
        <f>Database!A1296</f>
        <v/>
      </c>
      <c r="B975" s="48">
        <f>VLOOKUP(A975,Database!$A:$V,MATCH(Currency!$B$1,Database!$A$1:$V$1,),)</f>
        <v/>
      </c>
    </row>
    <row r="976">
      <c r="A976" s="19">
        <f>Database!A1297</f>
        <v/>
      </c>
      <c r="B976" s="48">
        <f>VLOOKUP(A976,Database!$A:$V,MATCH(Currency!$B$1,Database!$A$1:$V$1,),)</f>
        <v/>
      </c>
    </row>
    <row r="977">
      <c r="A977" s="19">
        <f>Database!A1298</f>
        <v/>
      </c>
      <c r="B977" s="48">
        <f>VLOOKUP(A977,Database!$A:$V,MATCH(Currency!$B$1,Database!$A$1:$V$1,),)</f>
        <v/>
      </c>
    </row>
    <row r="978">
      <c r="A978" s="19">
        <f>Database!A1299</f>
        <v/>
      </c>
      <c r="B978" s="48">
        <f>VLOOKUP(A978,Database!$A:$V,MATCH(Currency!$B$1,Database!$A$1:$V$1,),)</f>
        <v/>
      </c>
    </row>
    <row r="979">
      <c r="A979" s="19">
        <f>Database!A1300</f>
        <v/>
      </c>
      <c r="B979" s="48">
        <f>VLOOKUP(A979,Database!$A:$V,MATCH(Currency!$B$1,Database!$A$1:$V$1,),)</f>
        <v/>
      </c>
    </row>
    <row r="980">
      <c r="A980" s="19">
        <f>Database!A1301</f>
        <v/>
      </c>
      <c r="B980" s="48">
        <f>VLOOKUP(A980,Database!$A:$V,MATCH(Currency!$B$1,Database!$A$1:$V$1,),)</f>
        <v/>
      </c>
    </row>
    <row r="981">
      <c r="A981" s="19">
        <f>Database!A1302</f>
        <v/>
      </c>
      <c r="B981" s="48">
        <f>VLOOKUP(A981,Database!$A:$V,MATCH(Currency!$B$1,Database!$A$1:$V$1,),)</f>
        <v/>
      </c>
    </row>
    <row r="982">
      <c r="A982" s="19">
        <f>Database!A1303</f>
        <v/>
      </c>
      <c r="B982" s="48">
        <f>VLOOKUP(A982,Database!$A:$V,MATCH(Currency!$B$1,Database!$A$1:$V$1,),)</f>
        <v/>
      </c>
    </row>
    <row r="983">
      <c r="A983" s="19">
        <f>Database!A1304</f>
        <v/>
      </c>
      <c r="B983" s="48">
        <f>VLOOKUP(A983,Database!$A:$V,MATCH(Currency!$B$1,Database!$A$1:$V$1,),)</f>
        <v/>
      </c>
    </row>
    <row r="984">
      <c r="A984" s="19">
        <f>Database!A1305</f>
        <v/>
      </c>
      <c r="B984" s="48">
        <f>VLOOKUP(A984,Database!$A:$V,MATCH(Currency!$B$1,Database!$A$1:$V$1,),)</f>
        <v/>
      </c>
    </row>
    <row r="985">
      <c r="A985" s="19">
        <f>Database!A1306</f>
        <v/>
      </c>
      <c r="B985" s="48">
        <f>VLOOKUP(A985,Database!$A:$V,MATCH(Currency!$B$1,Database!$A$1:$V$1,),)</f>
        <v/>
      </c>
    </row>
    <row r="986">
      <c r="A986" s="19">
        <f>Database!A1307</f>
        <v/>
      </c>
      <c r="B986" s="48">
        <f>VLOOKUP(A986,Database!$A:$V,MATCH(Currency!$B$1,Database!$A$1:$V$1,),)</f>
        <v/>
      </c>
    </row>
    <row r="987">
      <c r="A987" s="19">
        <f>Database!A1308</f>
        <v/>
      </c>
      <c r="B987" s="48">
        <f>VLOOKUP(A987,Database!$A:$V,MATCH(Currency!$B$1,Database!$A$1:$V$1,),)</f>
        <v/>
      </c>
    </row>
    <row r="988">
      <c r="A988" s="19">
        <f>Database!A1309</f>
        <v/>
      </c>
      <c r="B988" s="48">
        <f>VLOOKUP(A988,Database!$A:$V,MATCH(Currency!$B$1,Database!$A$1:$V$1,),)</f>
        <v/>
      </c>
    </row>
    <row r="989">
      <c r="A989" s="19">
        <f>Database!A1310</f>
        <v/>
      </c>
      <c r="B989" s="48">
        <f>VLOOKUP(A989,Database!$A:$V,MATCH(Currency!$B$1,Database!$A$1:$V$1,),)</f>
        <v/>
      </c>
    </row>
    <row r="990">
      <c r="A990" s="19">
        <f>Database!A1311</f>
        <v/>
      </c>
      <c r="B990" s="48">
        <f>VLOOKUP(A990,Database!$A:$V,MATCH(Currency!$B$1,Database!$A$1:$V$1,),)</f>
        <v/>
      </c>
    </row>
    <row r="991">
      <c r="A991" s="19">
        <f>Database!A1312</f>
        <v/>
      </c>
      <c r="B991" s="48">
        <f>VLOOKUP(A991,Database!$A:$V,MATCH(Currency!$B$1,Database!$A$1:$V$1,),)</f>
        <v/>
      </c>
    </row>
    <row r="992">
      <c r="A992" s="19">
        <f>Database!A1313</f>
        <v/>
      </c>
      <c r="B992" s="48">
        <f>VLOOKUP(A992,Database!$A:$V,MATCH(Currency!$B$1,Database!$A$1:$V$1,),)</f>
        <v/>
      </c>
    </row>
    <row r="993">
      <c r="A993" s="19">
        <f>Database!A1314</f>
        <v/>
      </c>
      <c r="B993" s="48">
        <f>VLOOKUP(A993,Database!$A:$V,MATCH(Currency!$B$1,Database!$A$1:$V$1,),)</f>
        <v/>
      </c>
    </row>
    <row r="994">
      <c r="A994" s="19">
        <f>Database!A1315</f>
        <v/>
      </c>
      <c r="B994" s="48">
        <f>VLOOKUP(A994,Database!$A:$V,MATCH(Currency!$B$1,Database!$A$1:$V$1,),)</f>
        <v/>
      </c>
    </row>
    <row r="995">
      <c r="A995" s="19">
        <f>Database!A1316</f>
        <v/>
      </c>
      <c r="B995" s="48">
        <f>VLOOKUP(A995,Database!$A:$V,MATCH(Currency!$B$1,Database!$A$1:$V$1,),)</f>
        <v/>
      </c>
    </row>
    <row r="996">
      <c r="A996" s="19">
        <f>Database!A1317</f>
        <v/>
      </c>
      <c r="B996" s="48">
        <f>VLOOKUP(A996,Database!$A:$V,MATCH(Currency!$B$1,Database!$A$1:$V$1,),)</f>
        <v/>
      </c>
    </row>
    <row r="997">
      <c r="A997" s="19">
        <f>Database!A1318</f>
        <v/>
      </c>
      <c r="B997" s="48">
        <f>VLOOKUP(A997,Database!$A:$V,MATCH(Currency!$B$1,Database!$A$1:$V$1,),)</f>
        <v/>
      </c>
    </row>
    <row r="998">
      <c r="A998" s="19">
        <f>Database!A1319</f>
        <v/>
      </c>
      <c r="B998" s="48">
        <f>VLOOKUP(A998,Database!$A:$V,MATCH(Currency!$B$1,Database!$A$1:$V$1,),)</f>
        <v/>
      </c>
    </row>
    <row r="999">
      <c r="A999" s="19">
        <f>Database!A1320</f>
        <v/>
      </c>
      <c r="B999" s="48">
        <f>VLOOKUP(A999,Database!$A:$V,MATCH(Currency!$B$1,Database!$A$1:$V$1,),)</f>
        <v/>
      </c>
    </row>
    <row r="1000">
      <c r="A1000" s="19">
        <f>Database!A1321</f>
        <v/>
      </c>
      <c r="B1000" s="48">
        <f>VLOOKUP(A1000,Database!$A:$V,MATCH(Currency!$B$1,Database!$A$1:$V$1,),)</f>
        <v/>
      </c>
    </row>
    <row r="1001">
      <c r="A1001" s="19">
        <f>Database!A1322</f>
        <v/>
      </c>
      <c r="B1001" s="48">
        <f>VLOOKUP(A1001,Database!$A:$V,MATCH(Currency!$B$1,Database!$A$1:$V$1,),)</f>
        <v/>
      </c>
    </row>
    <row r="1002">
      <c r="A1002" s="19">
        <f>Database!A1323</f>
        <v/>
      </c>
      <c r="B1002" s="48">
        <f>VLOOKUP(A1002,Database!$A:$V,MATCH(Currency!$B$1,Database!$A$1:$V$1,),)</f>
        <v/>
      </c>
    </row>
    <row r="1003">
      <c r="A1003" s="19">
        <f>Database!A1324</f>
        <v/>
      </c>
      <c r="B1003" s="48">
        <f>VLOOKUP(A1003,Database!$A:$V,MATCH(Currency!$B$1,Database!$A$1:$V$1,),)</f>
        <v/>
      </c>
    </row>
    <row r="1004">
      <c r="A1004" s="19">
        <f>Database!A1325</f>
        <v/>
      </c>
      <c r="B1004" s="48">
        <f>VLOOKUP(A1004,Database!$A:$V,MATCH(Currency!$B$1,Database!$A$1:$V$1,),)</f>
        <v/>
      </c>
    </row>
    <row r="1005">
      <c r="A1005" s="19">
        <f>Database!A1326</f>
        <v/>
      </c>
      <c r="B1005" s="48">
        <f>VLOOKUP(A1005,Database!$A:$V,MATCH(Currency!$B$1,Database!$A$1:$V$1,),)</f>
        <v/>
      </c>
    </row>
    <row r="1006">
      <c r="A1006" s="19">
        <f>Database!A1327</f>
        <v/>
      </c>
      <c r="B1006" s="48">
        <f>VLOOKUP(A1006,Database!$A:$V,MATCH(Currency!$B$1,Database!$A$1:$V$1,),)</f>
        <v/>
      </c>
    </row>
    <row r="1007">
      <c r="A1007" s="19">
        <f>Database!A1328</f>
        <v/>
      </c>
      <c r="B1007" s="48">
        <f>VLOOKUP(A1007,Database!$A:$V,MATCH(Currency!$B$1,Database!$A$1:$V$1,),)</f>
        <v/>
      </c>
    </row>
    <row r="1008">
      <c r="A1008" s="19">
        <f>Database!A1329</f>
        <v/>
      </c>
      <c r="B1008" s="48">
        <f>VLOOKUP(A1008,Database!$A:$V,MATCH(Currency!$B$1,Database!$A$1:$V$1,),)</f>
        <v/>
      </c>
    </row>
    <row r="1009">
      <c r="A1009" s="19">
        <f>Database!A1330</f>
        <v/>
      </c>
      <c r="B1009" s="48">
        <f>VLOOKUP(A1009,Database!$A:$V,MATCH(Currency!$B$1,Database!$A$1:$V$1,),)</f>
        <v/>
      </c>
    </row>
    <row r="1010">
      <c r="A1010" s="19">
        <f>Database!A1331</f>
        <v/>
      </c>
      <c r="B1010" s="48">
        <f>VLOOKUP(A1010,Database!$A:$V,MATCH(Currency!$B$1,Database!$A$1:$V$1,),)</f>
        <v/>
      </c>
    </row>
    <row r="1011">
      <c r="A1011" s="19">
        <f>Database!A1332</f>
        <v/>
      </c>
      <c r="B1011" s="48">
        <f>VLOOKUP(A1011,Database!$A:$V,MATCH(Currency!$B$1,Database!$A$1:$V$1,),)</f>
        <v/>
      </c>
    </row>
    <row r="1012">
      <c r="A1012" s="19">
        <f>Database!A1333</f>
        <v/>
      </c>
      <c r="B1012" s="48">
        <f>VLOOKUP(A1012,Database!$A:$V,MATCH(Currency!$B$1,Database!$A$1:$V$1,),)</f>
        <v/>
      </c>
    </row>
    <row r="1013">
      <c r="A1013" s="19">
        <f>Database!A1334</f>
        <v/>
      </c>
      <c r="B1013" s="48">
        <f>VLOOKUP(A1013,Database!$A:$V,MATCH(Currency!$B$1,Database!$A$1:$V$1,),)</f>
        <v/>
      </c>
    </row>
    <row r="1014">
      <c r="A1014" s="19">
        <f>Database!A1335</f>
        <v/>
      </c>
      <c r="B1014" s="48">
        <f>VLOOKUP(A1014,Database!$A:$V,MATCH(Currency!$B$1,Database!$A$1:$V$1,),)</f>
        <v/>
      </c>
    </row>
    <row r="1015">
      <c r="A1015" s="19">
        <f>Database!A1336</f>
        <v/>
      </c>
      <c r="B1015" s="48">
        <f>VLOOKUP(A1015,Database!$A:$V,MATCH(Currency!$B$1,Database!$A$1:$V$1,),)</f>
        <v/>
      </c>
    </row>
    <row r="1016">
      <c r="A1016" s="19">
        <f>Database!A1337</f>
        <v/>
      </c>
      <c r="B1016" s="48">
        <f>VLOOKUP(A1016,Database!$A:$V,MATCH(Currency!$B$1,Database!$A$1:$V$1,),)</f>
        <v/>
      </c>
    </row>
    <row r="1017">
      <c r="A1017" s="19">
        <f>Database!A1338</f>
        <v/>
      </c>
      <c r="B1017" s="48">
        <f>VLOOKUP(A1017,Database!$A:$V,MATCH(Currency!$B$1,Database!$A$1:$V$1,),)</f>
        <v/>
      </c>
    </row>
    <row r="1018">
      <c r="A1018" s="19">
        <f>Database!A1339</f>
        <v/>
      </c>
      <c r="B1018" s="48">
        <f>VLOOKUP(A1018,Database!$A:$V,MATCH(Currency!$B$1,Database!$A$1:$V$1,),)</f>
        <v/>
      </c>
    </row>
    <row r="1019">
      <c r="A1019" s="19">
        <f>Database!A1340</f>
        <v/>
      </c>
      <c r="B1019" s="48">
        <f>VLOOKUP(A1019,Database!$A:$V,MATCH(Currency!$B$1,Database!$A$1:$V$1,),)</f>
        <v/>
      </c>
    </row>
    <row r="1020">
      <c r="A1020" s="19">
        <f>Database!A1341</f>
        <v/>
      </c>
      <c r="B1020" s="48">
        <f>VLOOKUP(A1020,Database!$A:$V,MATCH(Currency!$B$1,Database!$A$1:$V$1,),)</f>
        <v/>
      </c>
    </row>
    <row r="1021">
      <c r="A1021" s="19">
        <f>Database!A1342</f>
        <v/>
      </c>
      <c r="B1021" s="48">
        <f>VLOOKUP(A1021,Database!$A:$V,MATCH(Currency!$B$1,Database!$A$1:$V$1,),)</f>
        <v/>
      </c>
    </row>
    <row r="1022">
      <c r="A1022" s="19">
        <f>Database!A1343</f>
        <v/>
      </c>
      <c r="B1022" s="48">
        <f>VLOOKUP(A1022,Database!$A:$V,MATCH(Currency!$B$1,Database!$A$1:$V$1,),)</f>
        <v/>
      </c>
    </row>
    <row r="1023">
      <c r="A1023" s="19">
        <f>Database!A1344</f>
        <v/>
      </c>
      <c r="B1023" s="48">
        <f>VLOOKUP(A1023,Database!$A:$V,MATCH(Currency!$B$1,Database!$A$1:$V$1,),)</f>
        <v/>
      </c>
    </row>
    <row r="1024">
      <c r="A1024" s="19">
        <f>Database!A1345</f>
        <v/>
      </c>
      <c r="B1024" s="48">
        <f>VLOOKUP(A1024,Database!$A:$V,MATCH(Currency!$B$1,Database!$A$1:$V$1,),)</f>
        <v/>
      </c>
    </row>
    <row r="1025">
      <c r="A1025" s="19">
        <f>Database!A1346</f>
        <v/>
      </c>
      <c r="B1025" s="48">
        <f>VLOOKUP(A1025,Database!$A:$V,MATCH(Currency!$B$1,Database!$A$1:$V$1,),)</f>
        <v/>
      </c>
    </row>
    <row r="1026">
      <c r="A1026" s="19">
        <f>Database!A1347</f>
        <v/>
      </c>
      <c r="B1026" s="48">
        <f>VLOOKUP(A1026,Database!$A:$V,MATCH(Currency!$B$1,Database!$A$1:$V$1,),)</f>
        <v/>
      </c>
    </row>
    <row r="1027">
      <c r="A1027" s="19">
        <f>Database!A1348</f>
        <v/>
      </c>
      <c r="B1027" s="48">
        <f>VLOOKUP(A1027,Database!$A:$V,MATCH(Currency!$B$1,Database!$A$1:$V$1,),)</f>
        <v/>
      </c>
    </row>
    <row r="1028">
      <c r="A1028" s="19">
        <f>Database!A1349</f>
        <v/>
      </c>
      <c r="B1028" s="48">
        <f>VLOOKUP(A1028,Database!$A:$V,MATCH(Currency!$B$1,Database!$A$1:$V$1,),)</f>
        <v/>
      </c>
    </row>
    <row r="1029">
      <c r="A1029" s="19">
        <f>Database!A1350</f>
        <v/>
      </c>
      <c r="B1029" s="48">
        <f>VLOOKUP(A1029,Database!$A:$V,MATCH(Currency!$B$1,Database!$A$1:$V$1,),)</f>
        <v/>
      </c>
    </row>
    <row r="1030">
      <c r="A1030" s="19">
        <f>Database!A1351</f>
        <v/>
      </c>
      <c r="B1030" s="48">
        <f>VLOOKUP(A1030,Database!$A:$V,MATCH(Currency!$B$1,Database!$A$1:$V$1,),)</f>
        <v/>
      </c>
    </row>
    <row r="1031">
      <c r="A1031" s="19">
        <f>Database!A1352</f>
        <v/>
      </c>
      <c r="B1031" s="48">
        <f>VLOOKUP(A1031,Database!$A:$V,MATCH(Currency!$B$1,Database!$A$1:$V$1,),)</f>
        <v/>
      </c>
    </row>
    <row r="1032">
      <c r="A1032" s="19">
        <f>Database!A1353</f>
        <v/>
      </c>
      <c r="B1032" s="48">
        <f>VLOOKUP(A1032,Database!$A:$V,MATCH(Currency!$B$1,Database!$A$1:$V$1,),)</f>
        <v/>
      </c>
    </row>
    <row r="1033">
      <c r="A1033" s="19">
        <f>Database!A1354</f>
        <v/>
      </c>
      <c r="B1033" s="48">
        <f>VLOOKUP(A1033,Database!$A:$V,MATCH(Currency!$B$1,Database!$A$1:$V$1,),)</f>
        <v/>
      </c>
    </row>
    <row r="1034">
      <c r="A1034" s="19">
        <f>Database!A1355</f>
        <v/>
      </c>
      <c r="B1034" s="48">
        <f>VLOOKUP(A1034,Database!$A:$V,MATCH(Currency!$B$1,Database!$A$1:$V$1,),)</f>
        <v/>
      </c>
    </row>
    <row r="1035">
      <c r="A1035" s="19">
        <f>Database!A1356</f>
        <v/>
      </c>
      <c r="B1035" s="48">
        <f>VLOOKUP(A1035,Database!$A:$V,MATCH(Currency!$B$1,Database!$A$1:$V$1,),)</f>
        <v/>
      </c>
    </row>
    <row r="1036">
      <c r="A1036" s="19">
        <f>Database!A1357</f>
        <v/>
      </c>
      <c r="B1036" s="48">
        <f>VLOOKUP(A1036,Database!$A:$V,MATCH(Currency!$B$1,Database!$A$1:$V$1,),)</f>
        <v/>
      </c>
    </row>
    <row r="1037">
      <c r="A1037" s="19">
        <f>Database!A1358</f>
        <v/>
      </c>
      <c r="B1037" s="48">
        <f>VLOOKUP(A1037,Database!$A:$V,MATCH(Currency!$B$1,Database!$A$1:$V$1,),)</f>
        <v/>
      </c>
    </row>
    <row r="1038">
      <c r="A1038" s="19">
        <f>Database!A1359</f>
        <v/>
      </c>
      <c r="B1038" s="48">
        <f>VLOOKUP(A1038,Database!$A:$V,MATCH(Currency!$B$1,Database!$A$1:$V$1,),)</f>
        <v/>
      </c>
    </row>
    <row r="1039">
      <c r="A1039" s="19">
        <f>Database!A1360</f>
        <v/>
      </c>
      <c r="B1039" s="48">
        <f>VLOOKUP(A1039,Database!$A:$V,MATCH(Currency!$B$1,Database!$A$1:$V$1,),)</f>
        <v/>
      </c>
    </row>
    <row r="1040">
      <c r="A1040" s="19">
        <f>Database!A1361</f>
        <v/>
      </c>
      <c r="B1040" s="48">
        <f>VLOOKUP(A1040,Database!$A:$V,MATCH(Currency!$B$1,Database!$A$1:$V$1,),)</f>
        <v/>
      </c>
    </row>
    <row r="1041">
      <c r="A1041" s="19">
        <f>Database!A1362</f>
        <v/>
      </c>
      <c r="B1041" s="48">
        <f>VLOOKUP(A1041,Database!$A:$V,MATCH(Currency!$B$1,Database!$A$1:$V$1,),)</f>
        <v/>
      </c>
    </row>
    <row r="1042">
      <c r="A1042" s="19">
        <f>Database!A1363</f>
        <v/>
      </c>
      <c r="B1042" s="48">
        <f>VLOOKUP(A1042,Database!$A:$V,MATCH(Currency!$B$1,Database!$A$1:$V$1,),)</f>
        <v/>
      </c>
    </row>
    <row r="1043">
      <c r="A1043" s="19">
        <f>Database!A1364</f>
        <v/>
      </c>
      <c r="B1043" s="48">
        <f>VLOOKUP(A1043,Database!$A:$V,MATCH(Currency!$B$1,Database!$A$1:$V$1,),)</f>
        <v/>
      </c>
    </row>
    <row r="1044">
      <c r="A1044" s="19">
        <f>Database!A1365</f>
        <v/>
      </c>
      <c r="B1044" s="48">
        <f>VLOOKUP(A1044,Database!$A:$V,MATCH(Currency!$B$1,Database!$A$1:$V$1,),)</f>
        <v/>
      </c>
    </row>
    <row r="1045">
      <c r="A1045" s="19">
        <f>Database!A1366</f>
        <v/>
      </c>
      <c r="B1045" s="48">
        <f>VLOOKUP(A1045,Database!$A:$V,MATCH(Currency!$B$1,Database!$A$1:$V$1,),)</f>
        <v/>
      </c>
    </row>
    <row r="1046">
      <c r="A1046" s="19">
        <f>Database!A1367</f>
        <v/>
      </c>
      <c r="B1046" s="48">
        <f>VLOOKUP(A1046,Database!$A:$V,MATCH(Currency!$B$1,Database!$A$1:$V$1,),)</f>
        <v/>
      </c>
    </row>
    <row r="1047">
      <c r="A1047" s="19">
        <f>Database!A1368</f>
        <v/>
      </c>
      <c r="B1047" s="48">
        <f>VLOOKUP(A1047,Database!$A:$V,MATCH(Currency!$B$1,Database!$A$1:$V$1,),)</f>
        <v/>
      </c>
    </row>
    <row r="1048">
      <c r="A1048" s="19">
        <f>Database!A1369</f>
        <v/>
      </c>
      <c r="B1048" s="48">
        <f>VLOOKUP(A1048,Database!$A:$V,MATCH(Currency!$B$1,Database!$A$1:$V$1,),)</f>
        <v/>
      </c>
    </row>
    <row r="1049">
      <c r="A1049" s="19">
        <f>Database!A1370</f>
        <v/>
      </c>
      <c r="B1049" s="48">
        <f>VLOOKUP(A1049,Database!$A:$V,MATCH(Currency!$B$1,Database!$A$1:$V$1,),)</f>
        <v/>
      </c>
    </row>
    <row r="1050">
      <c r="A1050" s="19">
        <f>Database!A1371</f>
        <v/>
      </c>
      <c r="B1050" s="48">
        <f>VLOOKUP(A1050,Database!$A:$V,MATCH(Currency!$B$1,Database!$A$1:$V$1,),)</f>
        <v/>
      </c>
    </row>
    <row r="1051">
      <c r="A1051" s="19">
        <f>Database!A1372</f>
        <v/>
      </c>
      <c r="B1051" s="48">
        <f>VLOOKUP(A1051,Database!$A:$V,MATCH(Currency!$B$1,Database!$A$1:$V$1,),)</f>
        <v/>
      </c>
    </row>
    <row r="1052">
      <c r="A1052" s="19">
        <f>Database!A1373</f>
        <v/>
      </c>
      <c r="B1052" s="48">
        <f>VLOOKUP(A1052,Database!$A:$V,MATCH(Currency!$B$1,Database!$A$1:$V$1,),)</f>
        <v/>
      </c>
    </row>
    <row r="1053">
      <c r="A1053" s="19">
        <f>Database!A1374</f>
        <v/>
      </c>
      <c r="B1053" s="48">
        <f>VLOOKUP(A1053,Database!$A:$V,MATCH(Currency!$B$1,Database!$A$1:$V$1,),)</f>
        <v/>
      </c>
    </row>
    <row r="1054">
      <c r="A1054" s="19">
        <f>Database!A1375</f>
        <v/>
      </c>
      <c r="B1054" s="48">
        <f>VLOOKUP(A1054,Database!$A:$V,MATCH(Currency!$B$1,Database!$A$1:$V$1,),)</f>
        <v/>
      </c>
    </row>
    <row r="1055">
      <c r="A1055" s="19">
        <f>Database!A1376</f>
        <v/>
      </c>
      <c r="B1055" s="48">
        <f>VLOOKUP(A1055,Database!$A:$V,MATCH(Currency!$B$1,Database!$A$1:$V$1,),)</f>
        <v/>
      </c>
    </row>
    <row r="1056">
      <c r="A1056" s="19">
        <f>Database!A1377</f>
        <v/>
      </c>
      <c r="B1056" s="48">
        <f>VLOOKUP(A1056,Database!$A:$V,MATCH(Currency!$B$1,Database!$A$1:$V$1,),)</f>
        <v/>
      </c>
    </row>
    <row r="1057">
      <c r="A1057" s="19">
        <f>Database!A1378</f>
        <v/>
      </c>
      <c r="B1057" s="48">
        <f>VLOOKUP(A1057,Database!$A:$V,MATCH(Currency!$B$1,Database!$A$1:$V$1,),)</f>
        <v/>
      </c>
    </row>
    <row r="1058">
      <c r="A1058" s="19">
        <f>Database!A1379</f>
        <v/>
      </c>
      <c r="B1058" s="48">
        <f>VLOOKUP(A1058,Database!$A:$V,MATCH(Currency!$B$1,Database!$A$1:$V$1,),)</f>
        <v/>
      </c>
    </row>
    <row r="1059">
      <c r="A1059" s="19">
        <f>Database!A1380</f>
        <v/>
      </c>
      <c r="B1059" s="48">
        <f>VLOOKUP(A1059,Database!$A:$V,MATCH(Currency!$B$1,Database!$A$1:$V$1,),)</f>
        <v/>
      </c>
    </row>
    <row r="1060">
      <c r="A1060" s="19">
        <f>Database!A1381</f>
        <v/>
      </c>
      <c r="B1060" s="48">
        <f>VLOOKUP(A1060,Database!$A:$V,MATCH(Currency!$B$1,Database!$A$1:$V$1,),)</f>
        <v/>
      </c>
    </row>
    <row r="1061">
      <c r="A1061" s="19">
        <f>Database!A1382</f>
        <v/>
      </c>
      <c r="B1061" s="48">
        <f>VLOOKUP(A1061,Database!$A:$V,MATCH(Currency!$B$1,Database!$A$1:$V$1,),)</f>
        <v/>
      </c>
    </row>
    <row r="1062">
      <c r="A1062" s="19">
        <f>Database!A1383</f>
        <v/>
      </c>
      <c r="B1062" s="48">
        <f>VLOOKUP(A1062,Database!$A:$V,MATCH(Currency!$B$1,Database!$A$1:$V$1,),)</f>
        <v/>
      </c>
    </row>
    <row r="1063">
      <c r="A1063" s="19">
        <f>Database!A1384</f>
        <v/>
      </c>
      <c r="B1063" s="48">
        <f>VLOOKUP(A1063,Database!$A:$V,MATCH(Currency!$B$1,Database!$A$1:$V$1,),)</f>
        <v/>
      </c>
    </row>
    <row r="1064">
      <c r="A1064" s="19">
        <f>Database!A1385</f>
        <v/>
      </c>
      <c r="B1064" s="48">
        <f>VLOOKUP(A1064,Database!$A:$V,MATCH(Currency!$B$1,Database!$A$1:$V$1,),)</f>
        <v/>
      </c>
    </row>
    <row r="1065">
      <c r="A1065" s="19">
        <f>Database!A1386</f>
        <v/>
      </c>
      <c r="B1065" s="48">
        <f>VLOOKUP(A1065,Database!$A:$V,MATCH(Currency!$B$1,Database!$A$1:$V$1,),)</f>
        <v/>
      </c>
    </row>
    <row r="1066">
      <c r="A1066" s="19">
        <f>Database!A1387</f>
        <v/>
      </c>
      <c r="B1066" s="48">
        <f>VLOOKUP(A1066,Database!$A:$V,MATCH(Currency!$B$1,Database!$A$1:$V$1,),)</f>
        <v/>
      </c>
    </row>
    <row r="1067">
      <c r="A1067" s="19">
        <f>Database!A1388</f>
        <v/>
      </c>
      <c r="B1067" s="48">
        <f>VLOOKUP(A1067,Database!$A:$V,MATCH(Currency!$B$1,Database!$A$1:$V$1,),)</f>
        <v/>
      </c>
    </row>
    <row r="1068">
      <c r="A1068" s="19">
        <f>Database!A1389</f>
        <v/>
      </c>
      <c r="B1068" s="48">
        <f>VLOOKUP(A1068,Database!$A:$V,MATCH(Currency!$B$1,Database!$A$1:$V$1,),)</f>
        <v/>
      </c>
    </row>
    <row r="1069">
      <c r="A1069" s="19">
        <f>Database!A1390</f>
        <v/>
      </c>
      <c r="B1069" s="48">
        <f>VLOOKUP(A1069,Database!$A:$V,MATCH(Currency!$B$1,Database!$A$1:$V$1,),)</f>
        <v/>
      </c>
    </row>
    <row r="1070">
      <c r="A1070" s="19">
        <f>Database!A1391</f>
        <v/>
      </c>
      <c r="B1070" s="48">
        <f>VLOOKUP(A1070,Database!$A:$V,MATCH(Currency!$B$1,Database!$A$1:$V$1,),)</f>
        <v/>
      </c>
    </row>
    <row r="1071">
      <c r="A1071" s="19">
        <f>Database!A1392</f>
        <v/>
      </c>
      <c r="B1071" s="48">
        <f>VLOOKUP(A1071,Database!$A:$V,MATCH(Currency!$B$1,Database!$A$1:$V$1,),)</f>
        <v/>
      </c>
    </row>
    <row r="1072">
      <c r="A1072" s="19">
        <f>Database!A1393</f>
        <v/>
      </c>
      <c r="B1072" s="48">
        <f>VLOOKUP(A1072,Database!$A:$V,MATCH(Currency!$B$1,Database!$A$1:$V$1,),)</f>
        <v/>
      </c>
    </row>
    <row r="1073">
      <c r="A1073" s="19">
        <f>Database!A1394</f>
        <v/>
      </c>
      <c r="B1073" s="48">
        <f>VLOOKUP(A1073,Database!$A:$V,MATCH(Currency!$B$1,Database!$A$1:$V$1,),)</f>
        <v/>
      </c>
    </row>
    <row r="1074">
      <c r="A1074" s="19">
        <f>Database!A1395</f>
        <v/>
      </c>
      <c r="B1074" s="48">
        <f>VLOOKUP(A1074,Database!$A:$V,MATCH(Currency!$B$1,Database!$A$1:$V$1,),)</f>
        <v/>
      </c>
    </row>
    <row r="1075">
      <c r="A1075" s="19">
        <f>Database!A1396</f>
        <v/>
      </c>
      <c r="B1075" s="48">
        <f>VLOOKUP(A1075,Database!$A:$V,MATCH(Currency!$B$1,Database!$A$1:$V$1,),)</f>
        <v/>
      </c>
    </row>
    <row r="1076">
      <c r="A1076" s="19">
        <f>Database!A1397</f>
        <v/>
      </c>
      <c r="B1076" s="48">
        <f>VLOOKUP(A1076,Database!$A:$V,MATCH(Currency!$B$1,Database!$A$1:$V$1,),)</f>
        <v/>
      </c>
    </row>
    <row r="1077">
      <c r="A1077" s="19">
        <f>Database!A1398</f>
        <v/>
      </c>
      <c r="B1077" s="48">
        <f>VLOOKUP(A1077,Database!$A:$V,MATCH(Currency!$B$1,Database!$A$1:$V$1,),)</f>
        <v/>
      </c>
    </row>
    <row r="1078">
      <c r="A1078" s="19">
        <f>Database!A1399</f>
        <v/>
      </c>
      <c r="B1078" s="48">
        <f>VLOOKUP(A1078,Database!$A:$V,MATCH(Currency!$B$1,Database!$A$1:$V$1,),)</f>
        <v/>
      </c>
    </row>
    <row r="1079">
      <c r="A1079" s="19">
        <f>Database!A1400</f>
        <v/>
      </c>
      <c r="B1079" s="48">
        <f>VLOOKUP(A1079,Database!$A:$V,MATCH(Currency!$B$1,Database!$A$1:$V$1,),)</f>
        <v/>
      </c>
    </row>
    <row r="1080">
      <c r="A1080" s="19">
        <f>Database!A1401</f>
        <v/>
      </c>
      <c r="B1080" s="48">
        <f>VLOOKUP(A1080,Database!$A:$V,MATCH(Currency!$B$1,Database!$A$1:$V$1,),)</f>
        <v/>
      </c>
    </row>
    <row r="1081">
      <c r="A1081" s="19">
        <f>Database!A1402</f>
        <v/>
      </c>
      <c r="B1081" s="48">
        <f>VLOOKUP(A1081,Database!$A:$V,MATCH(Currency!$B$1,Database!$A$1:$V$1,),)</f>
        <v/>
      </c>
    </row>
    <row r="1082">
      <c r="A1082" s="19">
        <f>Database!A1403</f>
        <v/>
      </c>
      <c r="B1082" s="48">
        <f>VLOOKUP(A1082,Database!$A:$V,MATCH(Currency!$B$1,Database!$A$1:$V$1,),)</f>
        <v/>
      </c>
    </row>
    <row r="1083">
      <c r="A1083" s="19">
        <f>Database!A1404</f>
        <v/>
      </c>
      <c r="B1083" s="48">
        <f>VLOOKUP(A1083,Database!$A:$V,MATCH(Currency!$B$1,Database!$A$1:$V$1,),)</f>
        <v/>
      </c>
    </row>
    <row r="1084">
      <c r="A1084" s="19">
        <f>Database!A1405</f>
        <v/>
      </c>
      <c r="B1084" s="48">
        <f>VLOOKUP(A1084,Database!$A:$V,MATCH(Currency!$B$1,Database!$A$1:$V$1,),)</f>
        <v/>
      </c>
    </row>
    <row r="1085">
      <c r="A1085" s="19">
        <f>Database!A1406</f>
        <v/>
      </c>
      <c r="B1085" s="48">
        <f>VLOOKUP(A1085,Database!$A:$V,MATCH(Currency!$B$1,Database!$A$1:$V$1,),)</f>
        <v/>
      </c>
    </row>
    <row r="1086">
      <c r="A1086" s="19">
        <f>Database!A1407</f>
        <v/>
      </c>
      <c r="B1086" s="48">
        <f>VLOOKUP(A1086,Database!$A:$V,MATCH(Currency!$B$1,Database!$A$1:$V$1,),)</f>
        <v/>
      </c>
    </row>
    <row r="1087">
      <c r="A1087" s="19">
        <f>Database!A1408</f>
        <v/>
      </c>
      <c r="B1087" s="48">
        <f>VLOOKUP(A1087,Database!$A:$V,MATCH(Currency!$B$1,Database!$A$1:$V$1,),)</f>
        <v/>
      </c>
    </row>
    <row r="1088">
      <c r="A1088" s="19">
        <f>Database!A1409</f>
        <v/>
      </c>
      <c r="B1088" s="48">
        <f>VLOOKUP(A1088,Database!$A:$V,MATCH(Currency!$B$1,Database!$A$1:$V$1,),)</f>
        <v/>
      </c>
    </row>
    <row r="1089">
      <c r="A1089" s="19">
        <f>Database!A1410</f>
        <v/>
      </c>
      <c r="B1089" s="48">
        <f>VLOOKUP(A1089,Database!$A:$V,MATCH(Currency!$B$1,Database!$A$1:$V$1,),)</f>
        <v/>
      </c>
    </row>
    <row r="1090">
      <c r="A1090" s="19">
        <f>Database!A1411</f>
        <v/>
      </c>
      <c r="B1090" s="48">
        <f>VLOOKUP(A1090,Database!$A:$V,MATCH(Currency!$B$1,Database!$A$1:$V$1,),)</f>
        <v/>
      </c>
    </row>
    <row r="1091">
      <c r="A1091" s="19">
        <f>Database!A1412</f>
        <v/>
      </c>
      <c r="B1091" s="48">
        <f>VLOOKUP(A1091,Database!$A:$V,MATCH(Currency!$B$1,Database!$A$1:$V$1,),)</f>
        <v/>
      </c>
    </row>
    <row r="1092">
      <c r="A1092" s="19">
        <f>Database!A1413</f>
        <v/>
      </c>
      <c r="B1092" s="48">
        <f>VLOOKUP(A1092,Database!$A:$V,MATCH(Currency!$B$1,Database!$A$1:$V$1,),)</f>
        <v/>
      </c>
    </row>
    <row r="1093">
      <c r="A1093" s="19">
        <f>Database!A1414</f>
        <v/>
      </c>
      <c r="B1093" s="48">
        <f>VLOOKUP(A1093,Database!$A:$V,MATCH(Currency!$B$1,Database!$A$1:$V$1,),)</f>
        <v/>
      </c>
    </row>
    <row r="1094">
      <c r="A1094" s="19">
        <f>Database!A1415</f>
        <v/>
      </c>
      <c r="B1094" s="48">
        <f>VLOOKUP(A1094,Database!$A:$V,MATCH(Currency!$B$1,Database!$A$1:$V$1,),)</f>
        <v/>
      </c>
    </row>
    <row r="1095">
      <c r="A1095" s="19">
        <f>Database!A1416</f>
        <v/>
      </c>
      <c r="B1095" s="48">
        <f>VLOOKUP(A1095,Database!$A:$V,MATCH(Currency!$B$1,Database!$A$1:$V$1,),)</f>
        <v/>
      </c>
    </row>
    <row r="1096">
      <c r="A1096" s="19">
        <f>Database!A1417</f>
        <v/>
      </c>
      <c r="B1096" s="48">
        <f>VLOOKUP(A1096,Database!$A:$V,MATCH(Currency!$B$1,Database!$A$1:$V$1,),)</f>
        <v/>
      </c>
    </row>
    <row r="1097">
      <c r="A1097" s="19">
        <f>Database!A1418</f>
        <v/>
      </c>
      <c r="B1097" s="48">
        <f>VLOOKUP(A1097,Database!$A:$V,MATCH(Currency!$B$1,Database!$A$1:$V$1,),)</f>
        <v/>
      </c>
    </row>
    <row r="1098">
      <c r="A1098" s="19">
        <f>Database!A1419</f>
        <v/>
      </c>
      <c r="B1098" s="48">
        <f>VLOOKUP(A1098,Database!$A:$V,MATCH(Currency!$B$1,Database!$A$1:$V$1,),)</f>
        <v/>
      </c>
    </row>
    <row r="1099">
      <c r="A1099" s="19">
        <f>Database!A1420</f>
        <v/>
      </c>
      <c r="B1099" s="48">
        <f>VLOOKUP(A1099,Database!$A:$V,MATCH(Currency!$B$1,Database!$A$1:$V$1,),)</f>
        <v/>
      </c>
    </row>
    <row r="1100">
      <c r="A1100" s="19">
        <f>Database!A1421</f>
        <v/>
      </c>
      <c r="B1100" s="48">
        <f>VLOOKUP(A1100,Database!$A:$V,MATCH(Currency!$B$1,Database!$A$1:$V$1,),)</f>
        <v/>
      </c>
    </row>
    <row r="1101">
      <c r="A1101" s="19">
        <f>Database!A1422</f>
        <v/>
      </c>
      <c r="B1101" s="48">
        <f>VLOOKUP(A1101,Database!$A:$V,MATCH(Currency!$B$1,Database!$A$1:$V$1,),)</f>
        <v/>
      </c>
    </row>
    <row r="1102">
      <c r="A1102" s="19">
        <f>Database!A1423</f>
        <v/>
      </c>
      <c r="B1102" s="48">
        <f>VLOOKUP(A1102,Database!$A:$V,MATCH(Currency!$B$1,Database!$A$1:$V$1,),)</f>
        <v/>
      </c>
    </row>
    <row r="1103">
      <c r="A1103" s="19">
        <f>Database!A1424</f>
        <v/>
      </c>
      <c r="B1103" s="48">
        <f>VLOOKUP(A1103,Database!$A:$V,MATCH(Currency!$B$1,Database!$A$1:$V$1,),)</f>
        <v/>
      </c>
    </row>
    <row r="1104">
      <c r="A1104" s="19">
        <f>Database!A1425</f>
        <v/>
      </c>
      <c r="B1104" s="48">
        <f>VLOOKUP(A1104,Database!$A:$V,MATCH(Currency!$B$1,Database!$A$1:$V$1,),)</f>
        <v/>
      </c>
    </row>
    <row r="1105">
      <c r="A1105" s="19">
        <f>Database!A1426</f>
        <v/>
      </c>
      <c r="B1105" s="48">
        <f>VLOOKUP(A1105,Database!$A:$V,MATCH(Currency!$B$1,Database!$A$1:$V$1,),)</f>
        <v/>
      </c>
    </row>
    <row r="1106">
      <c r="A1106" s="19">
        <f>Database!A1427</f>
        <v/>
      </c>
      <c r="B1106" s="48">
        <f>VLOOKUP(A1106,Database!$A:$V,MATCH(Currency!$B$1,Database!$A$1:$V$1,),)</f>
        <v/>
      </c>
    </row>
    <row r="1107">
      <c r="A1107" s="19">
        <f>Database!A1428</f>
        <v/>
      </c>
      <c r="B1107" s="48">
        <f>VLOOKUP(A1107,Database!$A:$V,MATCH(Currency!$B$1,Database!$A$1:$V$1,),)</f>
        <v/>
      </c>
    </row>
    <row r="1108">
      <c r="A1108" s="19">
        <f>Database!A1429</f>
        <v/>
      </c>
      <c r="B1108" s="48">
        <f>VLOOKUP(A1108,Database!$A:$V,MATCH(Currency!$B$1,Database!$A$1:$V$1,),)</f>
        <v/>
      </c>
    </row>
    <row r="1109">
      <c r="A1109" s="19">
        <f>Database!A1430</f>
        <v/>
      </c>
      <c r="B1109" s="48">
        <f>VLOOKUP(A1109,Database!$A:$V,MATCH(Currency!$B$1,Database!$A$1:$V$1,),)</f>
        <v/>
      </c>
    </row>
    <row r="1110">
      <c r="A1110" s="19">
        <f>Database!A1431</f>
        <v/>
      </c>
      <c r="B1110" s="48">
        <f>VLOOKUP(A1110,Database!$A:$V,MATCH(Currency!$B$1,Database!$A$1:$V$1,),)</f>
        <v/>
      </c>
    </row>
    <row r="1111">
      <c r="A1111" s="19">
        <f>Database!A1432</f>
        <v/>
      </c>
      <c r="B1111" s="48">
        <f>VLOOKUP(A1111,Database!$A:$V,MATCH(Currency!$B$1,Database!$A$1:$V$1,),)</f>
        <v/>
      </c>
    </row>
    <row r="1112">
      <c r="A1112" s="19">
        <f>Database!A1433</f>
        <v/>
      </c>
      <c r="B1112" s="48">
        <f>VLOOKUP(A1112,Database!$A:$V,MATCH(Currency!$B$1,Database!$A$1:$V$1,),)</f>
        <v/>
      </c>
    </row>
    <row r="1113">
      <c r="A1113" s="19">
        <f>Database!A1434</f>
        <v/>
      </c>
      <c r="B1113" s="48">
        <f>VLOOKUP(A1113,Database!$A:$V,MATCH(Currency!$B$1,Database!$A$1:$V$1,),)</f>
        <v/>
      </c>
    </row>
    <row r="1114">
      <c r="A1114" s="19">
        <f>Database!A1435</f>
        <v/>
      </c>
      <c r="B1114" s="48">
        <f>VLOOKUP(A1114,Database!$A:$V,MATCH(Currency!$B$1,Database!$A$1:$V$1,),)</f>
        <v/>
      </c>
    </row>
    <row r="1115">
      <c r="A1115" s="19">
        <f>Database!A1436</f>
        <v/>
      </c>
      <c r="B1115" s="48">
        <f>VLOOKUP(A1115,Database!$A:$V,MATCH(Currency!$B$1,Database!$A$1:$V$1,),)</f>
        <v/>
      </c>
    </row>
    <row r="1116">
      <c r="A1116" s="19">
        <f>Database!A1437</f>
        <v/>
      </c>
      <c r="B1116" s="48">
        <f>VLOOKUP(A1116,Database!$A:$V,MATCH(Currency!$B$1,Database!$A$1:$V$1,),)</f>
        <v/>
      </c>
    </row>
    <row r="1117">
      <c r="A1117" s="19">
        <f>Database!A1438</f>
        <v/>
      </c>
      <c r="B1117" s="48">
        <f>VLOOKUP(A1117,Database!$A:$V,MATCH(Currency!$B$1,Database!$A$1:$V$1,),)</f>
        <v/>
      </c>
    </row>
    <row r="1118">
      <c r="A1118" s="19">
        <f>Database!A1439</f>
        <v/>
      </c>
      <c r="B1118" s="48">
        <f>VLOOKUP(A1118,Database!$A:$V,MATCH(Currency!$B$1,Database!$A$1:$V$1,),)</f>
        <v/>
      </c>
    </row>
    <row r="1119">
      <c r="A1119" s="19">
        <f>Database!A1440</f>
        <v/>
      </c>
      <c r="B1119" s="48">
        <f>VLOOKUP(A1119,Database!$A:$V,MATCH(Currency!$B$1,Database!$A$1:$V$1,),)</f>
        <v/>
      </c>
    </row>
    <row r="1120">
      <c r="A1120" s="19">
        <f>Database!A1441</f>
        <v/>
      </c>
      <c r="B1120" s="48">
        <f>VLOOKUP(A1120,Database!$A:$V,MATCH(Currency!$B$1,Database!$A$1:$V$1,),)</f>
        <v/>
      </c>
    </row>
    <row r="1121">
      <c r="A1121" s="19">
        <f>Database!A1442</f>
        <v/>
      </c>
      <c r="B1121" s="48">
        <f>VLOOKUP(A1121,Database!$A:$V,MATCH(Currency!$B$1,Database!$A$1:$V$1,),)</f>
        <v/>
      </c>
    </row>
    <row r="1122">
      <c r="A1122" s="19">
        <f>Database!A1443</f>
        <v/>
      </c>
      <c r="B1122" s="48">
        <f>VLOOKUP(A1122,Database!$A:$V,MATCH(Currency!$B$1,Database!$A$1:$V$1,),)</f>
        <v/>
      </c>
    </row>
    <row r="1123">
      <c r="A1123" s="19">
        <f>Database!A1444</f>
        <v/>
      </c>
      <c r="B1123" s="48">
        <f>VLOOKUP(A1123,Database!$A:$V,MATCH(Currency!$B$1,Database!$A$1:$V$1,),)</f>
        <v/>
      </c>
    </row>
    <row r="1124">
      <c r="A1124" s="19">
        <f>Database!A1445</f>
        <v/>
      </c>
      <c r="B1124" s="48">
        <f>VLOOKUP(A1124,Database!$A:$V,MATCH(Currency!$B$1,Database!$A$1:$V$1,),)</f>
        <v/>
      </c>
    </row>
    <row r="1125">
      <c r="A1125" s="19">
        <f>Database!A1446</f>
        <v/>
      </c>
      <c r="B1125" s="48">
        <f>VLOOKUP(A1125,Database!$A:$V,MATCH(Currency!$B$1,Database!$A$1:$V$1,),)</f>
        <v/>
      </c>
    </row>
    <row r="1126">
      <c r="A1126" s="19">
        <f>Database!A1447</f>
        <v/>
      </c>
      <c r="B1126" s="48">
        <f>VLOOKUP(A1126,Database!$A:$V,MATCH(Currency!$B$1,Database!$A$1:$V$1,),)</f>
        <v/>
      </c>
    </row>
    <row r="1127">
      <c r="A1127" s="19">
        <f>Database!A1448</f>
        <v/>
      </c>
      <c r="B1127" s="48">
        <f>VLOOKUP(A1127,Database!$A:$V,MATCH(Currency!$B$1,Database!$A$1:$V$1,),)</f>
        <v/>
      </c>
    </row>
    <row r="1128">
      <c r="A1128" s="19">
        <f>Database!A1449</f>
        <v/>
      </c>
      <c r="B1128" s="48">
        <f>VLOOKUP(A1128,Database!$A:$V,MATCH(Currency!$B$1,Database!$A$1:$V$1,),)</f>
        <v/>
      </c>
    </row>
    <row r="1129">
      <c r="A1129" s="19">
        <f>Database!A1450</f>
        <v/>
      </c>
      <c r="B1129" s="48">
        <f>VLOOKUP(A1129,Database!$A:$V,MATCH(Currency!$B$1,Database!$A$1:$V$1,),)</f>
        <v/>
      </c>
    </row>
    <row r="1130">
      <c r="A1130" s="19">
        <f>Database!A1451</f>
        <v/>
      </c>
      <c r="B1130" s="48">
        <f>VLOOKUP(A1130,Database!$A:$V,MATCH(Currency!$B$1,Database!$A$1:$V$1,),)</f>
        <v/>
      </c>
    </row>
    <row r="1131">
      <c r="A1131" s="19">
        <f>Database!A1452</f>
        <v/>
      </c>
      <c r="B1131" s="48">
        <f>VLOOKUP(A1131,Database!$A:$V,MATCH(Currency!$B$1,Database!$A$1:$V$1,),)</f>
        <v/>
      </c>
    </row>
    <row r="1132">
      <c r="A1132" s="19">
        <f>Database!A1453</f>
        <v/>
      </c>
      <c r="B1132" s="48">
        <f>VLOOKUP(A1132,Database!$A:$V,MATCH(Currency!$B$1,Database!$A$1:$V$1,),)</f>
        <v/>
      </c>
    </row>
    <row r="1133">
      <c r="A1133" s="19">
        <f>Database!A1454</f>
        <v/>
      </c>
      <c r="B1133" s="48">
        <f>VLOOKUP(A1133,Database!$A:$V,MATCH(Currency!$B$1,Database!$A$1:$V$1,),)</f>
        <v/>
      </c>
    </row>
    <row r="1134">
      <c r="A1134" s="19">
        <f>Database!A1455</f>
        <v/>
      </c>
      <c r="B1134" s="48">
        <f>VLOOKUP(A1134,Database!$A:$V,MATCH(Currency!$B$1,Database!$A$1:$V$1,),)</f>
        <v/>
      </c>
    </row>
    <row r="1135">
      <c r="A1135" s="19">
        <f>Database!A1456</f>
        <v/>
      </c>
      <c r="B1135" s="48">
        <f>VLOOKUP(A1135,Database!$A:$V,MATCH(Currency!$B$1,Database!$A$1:$V$1,),)</f>
        <v/>
      </c>
    </row>
    <row r="1136">
      <c r="A1136" s="19">
        <f>Database!A1457</f>
        <v/>
      </c>
      <c r="B1136" s="48">
        <f>VLOOKUP(A1136,Database!$A:$V,MATCH(Currency!$B$1,Database!$A$1:$V$1,),)</f>
        <v/>
      </c>
    </row>
    <row r="1137">
      <c r="A1137" s="19">
        <f>Database!A1458</f>
        <v/>
      </c>
      <c r="B1137" s="48">
        <f>VLOOKUP(A1137,Database!$A:$V,MATCH(Currency!$B$1,Database!$A$1:$V$1,),)</f>
        <v/>
      </c>
    </row>
    <row r="1138">
      <c r="A1138" s="19">
        <f>Database!A1459</f>
        <v/>
      </c>
      <c r="B1138" s="48">
        <f>VLOOKUP(A1138,Database!$A:$V,MATCH(Currency!$B$1,Database!$A$1:$V$1,),)</f>
        <v/>
      </c>
    </row>
    <row r="1139">
      <c r="A1139" s="19">
        <f>Database!A1460</f>
        <v/>
      </c>
      <c r="B1139" s="48">
        <f>VLOOKUP(A1139,Database!$A:$V,MATCH(Currency!$B$1,Database!$A$1:$V$1,),)</f>
        <v/>
      </c>
    </row>
    <row r="1140">
      <c r="A1140" s="19">
        <f>Database!A1461</f>
        <v/>
      </c>
      <c r="B1140" s="48">
        <f>VLOOKUP(A1140,Database!$A:$V,MATCH(Currency!$B$1,Database!$A$1:$V$1,),)</f>
        <v/>
      </c>
    </row>
    <row r="1141">
      <c r="A1141" s="19">
        <f>Database!A1462</f>
        <v/>
      </c>
      <c r="B1141" s="48">
        <f>VLOOKUP(A1141,Database!$A:$V,MATCH(Currency!$B$1,Database!$A$1:$V$1,),)</f>
        <v/>
      </c>
    </row>
    <row r="1142">
      <c r="A1142" s="19">
        <f>Database!A1463</f>
        <v/>
      </c>
      <c r="B1142" s="48">
        <f>VLOOKUP(A1142,Database!$A:$V,MATCH(Currency!$B$1,Database!$A$1:$V$1,),)</f>
        <v/>
      </c>
    </row>
    <row r="1143">
      <c r="A1143" s="19">
        <f>Database!A1464</f>
        <v/>
      </c>
      <c r="B1143" s="48">
        <f>VLOOKUP(A1143,Database!$A:$V,MATCH(Currency!$B$1,Database!$A$1:$V$1,),)</f>
        <v/>
      </c>
    </row>
    <row r="1144">
      <c r="A1144" s="19">
        <f>Database!A1465</f>
        <v/>
      </c>
      <c r="B1144" s="48">
        <f>VLOOKUP(A1144,Database!$A:$V,MATCH(Currency!$B$1,Database!$A$1:$V$1,),)</f>
        <v/>
      </c>
    </row>
    <row r="1145">
      <c r="A1145" s="19">
        <f>Database!A1466</f>
        <v/>
      </c>
      <c r="B1145" s="48">
        <f>VLOOKUP(A1145,Database!$A:$V,MATCH(Currency!$B$1,Database!$A$1:$V$1,),)</f>
        <v/>
      </c>
    </row>
    <row r="1146">
      <c r="A1146" s="19">
        <f>Database!A1467</f>
        <v/>
      </c>
      <c r="B1146" s="48">
        <f>VLOOKUP(A1146,Database!$A:$V,MATCH(Currency!$B$1,Database!$A$1:$V$1,),)</f>
        <v/>
      </c>
    </row>
    <row r="1147">
      <c r="A1147" s="19">
        <f>Database!A1468</f>
        <v/>
      </c>
      <c r="B1147" s="48">
        <f>VLOOKUP(A1147,Database!$A:$V,MATCH(Currency!$B$1,Database!$A$1:$V$1,),)</f>
        <v/>
      </c>
    </row>
    <row r="1148">
      <c r="A1148" s="19">
        <f>Database!A1469</f>
        <v/>
      </c>
      <c r="B1148" s="48">
        <f>VLOOKUP(A1148,Database!$A:$V,MATCH(Currency!$B$1,Database!$A$1:$V$1,),)</f>
        <v/>
      </c>
    </row>
    <row r="1149">
      <c r="A1149" s="19">
        <f>Database!A1470</f>
        <v/>
      </c>
      <c r="B1149" s="48">
        <f>VLOOKUP(A1149,Database!$A:$V,MATCH(Currency!$B$1,Database!$A$1:$V$1,),)</f>
        <v/>
      </c>
    </row>
    <row r="1150">
      <c r="A1150" s="19">
        <f>Database!A1471</f>
        <v/>
      </c>
      <c r="B1150" s="48">
        <f>VLOOKUP(A1150,Database!$A:$V,MATCH(Currency!$B$1,Database!$A$1:$V$1,),)</f>
        <v/>
      </c>
    </row>
    <row r="1151">
      <c r="A1151" s="19">
        <f>Database!A1472</f>
        <v/>
      </c>
      <c r="B1151" s="48">
        <f>VLOOKUP(A1151,Database!$A:$V,MATCH(Currency!$B$1,Database!$A$1:$V$1,),)</f>
        <v/>
      </c>
    </row>
    <row r="1152">
      <c r="A1152" s="19">
        <f>Database!A1473</f>
        <v/>
      </c>
      <c r="B1152" s="48">
        <f>VLOOKUP(A1152,Database!$A:$V,MATCH(Currency!$B$1,Database!$A$1:$V$1,),)</f>
        <v/>
      </c>
    </row>
    <row r="1153">
      <c r="A1153" s="19">
        <f>Database!A1474</f>
        <v/>
      </c>
      <c r="B1153" s="48">
        <f>VLOOKUP(A1153,Database!$A:$V,MATCH(Currency!$B$1,Database!$A$1:$V$1,),)</f>
        <v/>
      </c>
    </row>
    <row r="1154">
      <c r="A1154" s="19">
        <f>Database!A1475</f>
        <v/>
      </c>
      <c r="B1154" s="48">
        <f>VLOOKUP(A1154,Database!$A:$V,MATCH(Currency!$B$1,Database!$A$1:$V$1,),)</f>
        <v/>
      </c>
    </row>
    <row r="1155">
      <c r="A1155" s="19">
        <f>Database!A1476</f>
        <v/>
      </c>
      <c r="B1155" s="48">
        <f>VLOOKUP(A1155,Database!$A:$V,MATCH(Currency!$B$1,Database!$A$1:$V$1,),)</f>
        <v/>
      </c>
    </row>
    <row r="1156">
      <c r="A1156" s="19">
        <f>Database!A1477</f>
        <v/>
      </c>
      <c r="B1156" s="48">
        <f>VLOOKUP(A1156,Database!$A:$V,MATCH(Currency!$B$1,Database!$A$1:$V$1,),)</f>
        <v/>
      </c>
    </row>
    <row r="1157">
      <c r="A1157" s="19">
        <f>Database!A1478</f>
        <v/>
      </c>
      <c r="B1157" s="48">
        <f>VLOOKUP(A1157,Database!$A:$V,MATCH(Currency!$B$1,Database!$A$1:$V$1,),)</f>
        <v/>
      </c>
    </row>
    <row r="1158">
      <c r="A1158" s="19">
        <f>Database!A1479</f>
        <v/>
      </c>
      <c r="B1158" s="48">
        <f>VLOOKUP(A1158,Database!$A:$V,MATCH(Currency!$B$1,Database!$A$1:$V$1,),)</f>
        <v/>
      </c>
    </row>
    <row r="1159">
      <c r="A1159" s="19">
        <f>Database!A1480</f>
        <v/>
      </c>
      <c r="B1159" s="48">
        <f>VLOOKUP(A1159,Database!$A:$V,MATCH(Currency!$B$1,Database!$A$1:$V$1,),)</f>
        <v/>
      </c>
    </row>
    <row r="1160">
      <c r="A1160" s="19">
        <f>Database!A1481</f>
        <v/>
      </c>
      <c r="B1160" s="48">
        <f>VLOOKUP(A1160,Database!$A:$V,MATCH(Currency!$B$1,Database!$A$1:$V$1,),)</f>
        <v/>
      </c>
    </row>
    <row r="1161">
      <c r="A1161" s="19">
        <f>Database!A1482</f>
        <v/>
      </c>
      <c r="B1161" s="48">
        <f>VLOOKUP(A1161,Database!$A:$V,MATCH(Currency!$B$1,Database!$A$1:$V$1,),)</f>
        <v/>
      </c>
    </row>
    <row r="1162">
      <c r="A1162" s="19">
        <f>Database!A1483</f>
        <v/>
      </c>
      <c r="B1162" s="48">
        <f>VLOOKUP(A1162,Database!$A:$V,MATCH(Currency!$B$1,Database!$A$1:$V$1,),)</f>
        <v/>
      </c>
    </row>
    <row r="1163">
      <c r="A1163" s="19">
        <f>Database!A1484</f>
        <v/>
      </c>
      <c r="B1163" s="48">
        <f>VLOOKUP(A1163,Database!$A:$V,MATCH(Currency!$B$1,Database!$A$1:$V$1,),)</f>
        <v/>
      </c>
    </row>
    <row r="1164">
      <c r="A1164" s="19">
        <f>Database!A1485</f>
        <v/>
      </c>
      <c r="B1164" s="48">
        <f>VLOOKUP(A1164,Database!$A:$V,MATCH(Currency!$B$1,Database!$A$1:$V$1,),)</f>
        <v/>
      </c>
    </row>
    <row r="1165">
      <c r="A1165" s="19">
        <f>Database!A1486</f>
        <v/>
      </c>
      <c r="B1165" s="48">
        <f>VLOOKUP(A1165,Database!$A:$V,MATCH(Currency!$B$1,Database!$A$1:$V$1,),)</f>
        <v/>
      </c>
    </row>
    <row r="1166">
      <c r="A1166" s="19">
        <f>Database!A1487</f>
        <v/>
      </c>
      <c r="B1166" s="48">
        <f>VLOOKUP(A1166,Database!$A:$V,MATCH(Currency!$B$1,Database!$A$1:$V$1,),)</f>
        <v/>
      </c>
    </row>
    <row r="1167">
      <c r="A1167" s="19">
        <f>Database!A1488</f>
        <v/>
      </c>
      <c r="B1167" s="48">
        <f>VLOOKUP(A1167,Database!$A:$V,MATCH(Currency!$B$1,Database!$A$1:$V$1,),)</f>
        <v/>
      </c>
    </row>
    <row r="1168">
      <c r="A1168" s="19">
        <f>Database!A1489</f>
        <v/>
      </c>
      <c r="B1168" s="48">
        <f>VLOOKUP(A1168,Database!$A:$V,MATCH(Currency!$B$1,Database!$A$1:$V$1,),)</f>
        <v/>
      </c>
    </row>
    <row r="1169">
      <c r="A1169" s="19">
        <f>Database!A1490</f>
        <v/>
      </c>
      <c r="B1169" s="48">
        <f>VLOOKUP(A1169,Database!$A:$V,MATCH(Currency!$B$1,Database!$A$1:$V$1,),)</f>
        <v/>
      </c>
    </row>
    <row r="1170">
      <c r="A1170" s="19">
        <f>Database!A1491</f>
        <v/>
      </c>
      <c r="B1170" s="48">
        <f>VLOOKUP(A1170,Database!$A:$V,MATCH(Currency!$B$1,Database!$A$1:$V$1,),)</f>
        <v/>
      </c>
    </row>
    <row r="1171">
      <c r="A1171" s="19">
        <f>Database!A1492</f>
        <v/>
      </c>
      <c r="B1171" s="48">
        <f>VLOOKUP(A1171,Database!$A:$V,MATCH(Currency!$B$1,Database!$A$1:$V$1,),)</f>
        <v/>
      </c>
    </row>
    <row r="1172">
      <c r="A1172" s="19">
        <f>Database!A1493</f>
        <v/>
      </c>
      <c r="B1172" s="48">
        <f>VLOOKUP(A1172,Database!$A:$V,MATCH(Currency!$B$1,Database!$A$1:$V$1,),)</f>
        <v/>
      </c>
    </row>
    <row r="1173">
      <c r="A1173" s="19">
        <f>Database!A1494</f>
        <v/>
      </c>
      <c r="B1173" s="48">
        <f>VLOOKUP(A1173,Database!$A:$V,MATCH(Currency!$B$1,Database!$A$1:$V$1,),)</f>
        <v/>
      </c>
    </row>
    <row r="1174">
      <c r="A1174" s="19">
        <f>Database!A1495</f>
        <v/>
      </c>
      <c r="B1174" s="48">
        <f>VLOOKUP(A1174,Database!$A:$V,MATCH(Currency!$B$1,Database!$A$1:$V$1,),)</f>
        <v/>
      </c>
    </row>
    <row r="1175">
      <c r="A1175" s="19">
        <f>Database!A1496</f>
        <v/>
      </c>
      <c r="B1175" s="48">
        <f>VLOOKUP(A1175,Database!$A:$V,MATCH(Currency!$B$1,Database!$A$1:$V$1,),)</f>
        <v/>
      </c>
    </row>
    <row r="1176">
      <c r="A1176" s="19">
        <f>Database!A1497</f>
        <v/>
      </c>
      <c r="B1176" s="48">
        <f>VLOOKUP(A1176,Database!$A:$V,MATCH(Currency!$B$1,Database!$A$1:$V$1,),)</f>
        <v/>
      </c>
    </row>
    <row r="1177">
      <c r="A1177" s="19">
        <f>Database!A1498</f>
        <v/>
      </c>
      <c r="B1177" s="48">
        <f>VLOOKUP(A1177,Database!$A:$V,MATCH(Currency!$B$1,Database!$A$1:$V$1,),)</f>
        <v/>
      </c>
    </row>
    <row r="1178">
      <c r="A1178" s="19">
        <f>Database!A1499</f>
        <v/>
      </c>
      <c r="B1178" s="48">
        <f>VLOOKUP(A1178,Database!$A:$V,MATCH(Currency!$B$1,Database!$A$1:$V$1,),)</f>
        <v/>
      </c>
    </row>
    <row r="1179">
      <c r="A1179" s="19">
        <f>Database!A1500</f>
        <v/>
      </c>
      <c r="B1179" s="48">
        <f>VLOOKUP(A1179,Database!$A:$V,MATCH(Currency!$B$1,Database!$A$1:$V$1,),)</f>
        <v/>
      </c>
    </row>
    <row r="1180">
      <c r="A1180" s="19">
        <f>Database!A1501</f>
        <v/>
      </c>
      <c r="B1180" s="48">
        <f>VLOOKUP(A1180,Database!$A:$V,MATCH(Currency!$B$1,Database!$A$1:$V$1,),)</f>
        <v/>
      </c>
    </row>
    <row r="1181">
      <c r="A1181" s="19">
        <f>Database!A1502</f>
        <v/>
      </c>
      <c r="B1181" s="48">
        <f>VLOOKUP(A1181,Database!$A:$V,MATCH(Currency!$B$1,Database!$A$1:$V$1,),)</f>
        <v/>
      </c>
    </row>
    <row r="1182">
      <c r="A1182" s="19">
        <f>Database!A1503</f>
        <v/>
      </c>
      <c r="B1182" s="48">
        <f>VLOOKUP(A1182,Database!$A:$V,MATCH(Currency!$B$1,Database!$A$1:$V$1,),)</f>
        <v/>
      </c>
    </row>
    <row r="1183">
      <c r="A1183" s="19">
        <f>Database!A1504</f>
        <v/>
      </c>
      <c r="B1183" s="48">
        <f>VLOOKUP(A1183,Database!$A:$V,MATCH(Currency!$B$1,Database!$A$1:$V$1,),)</f>
        <v/>
      </c>
    </row>
    <row r="1184">
      <c r="A1184" s="19">
        <f>Database!A1505</f>
        <v/>
      </c>
      <c r="B1184" s="48">
        <f>VLOOKUP(A1184,Database!$A:$V,MATCH(Currency!$B$1,Database!$A$1:$V$1,),)</f>
        <v/>
      </c>
    </row>
    <row r="1185">
      <c r="A1185" s="19">
        <f>Database!A1506</f>
        <v/>
      </c>
      <c r="B1185" s="48">
        <f>VLOOKUP(A1185,Database!$A:$V,MATCH(Currency!$B$1,Database!$A$1:$V$1,),)</f>
        <v/>
      </c>
    </row>
    <row r="1186">
      <c r="A1186" s="19">
        <f>Database!A1507</f>
        <v/>
      </c>
      <c r="B1186" s="48">
        <f>VLOOKUP(A1186,Database!$A:$V,MATCH(Currency!$B$1,Database!$A$1:$V$1,),)</f>
        <v/>
      </c>
    </row>
    <row r="1187">
      <c r="A1187" s="19">
        <f>Database!A1508</f>
        <v/>
      </c>
      <c r="B1187" s="48">
        <f>VLOOKUP(A1187,Database!$A:$V,MATCH(Currency!$B$1,Database!$A$1:$V$1,),)</f>
        <v/>
      </c>
    </row>
    <row r="1188">
      <c r="A1188" s="19">
        <f>Database!A1509</f>
        <v/>
      </c>
      <c r="B1188" s="48">
        <f>VLOOKUP(A1188,Database!$A:$V,MATCH(Currency!$B$1,Database!$A$1:$V$1,),)</f>
        <v/>
      </c>
    </row>
    <row r="1189">
      <c r="A1189" s="19">
        <f>Database!A1510</f>
        <v/>
      </c>
      <c r="B1189" s="48">
        <f>VLOOKUP(A1189,Database!$A:$V,MATCH(Currency!$B$1,Database!$A$1:$V$1,),)</f>
        <v/>
      </c>
    </row>
    <row r="1190">
      <c r="A1190" s="19">
        <f>Database!A1511</f>
        <v/>
      </c>
      <c r="B1190" s="48">
        <f>VLOOKUP(A1190,Database!$A:$V,MATCH(Currency!$B$1,Database!$A$1:$V$1,),)</f>
        <v/>
      </c>
    </row>
    <row r="1191">
      <c r="A1191" s="19">
        <f>Database!A1512</f>
        <v/>
      </c>
      <c r="B1191" s="48">
        <f>VLOOKUP(A1191,Database!$A:$V,MATCH(Currency!$B$1,Database!$A$1:$V$1,),)</f>
        <v/>
      </c>
    </row>
    <row r="1192">
      <c r="A1192" s="19">
        <f>Database!A1513</f>
        <v/>
      </c>
      <c r="B1192" s="48">
        <f>VLOOKUP(A1192,Database!$A:$V,MATCH(Currency!$B$1,Database!$A$1:$V$1,),)</f>
        <v/>
      </c>
    </row>
    <row r="1193">
      <c r="A1193" s="19">
        <f>Database!A1514</f>
        <v/>
      </c>
      <c r="B1193" s="48">
        <f>VLOOKUP(A1193,Database!$A:$V,MATCH(Currency!$B$1,Database!$A$1:$V$1,),)</f>
        <v/>
      </c>
    </row>
    <row r="1194">
      <c r="A1194" s="19">
        <f>Database!A1515</f>
        <v/>
      </c>
      <c r="B1194" s="48">
        <f>VLOOKUP(A1194,Database!$A:$V,MATCH(Currency!$B$1,Database!$A$1:$V$1,),)</f>
        <v/>
      </c>
    </row>
    <row r="1195">
      <c r="A1195" s="19">
        <f>Database!A1516</f>
        <v/>
      </c>
      <c r="B1195" s="48">
        <f>VLOOKUP(A1195,Database!$A:$V,MATCH(Currency!$B$1,Database!$A$1:$V$1,),)</f>
        <v/>
      </c>
    </row>
    <row r="1196">
      <c r="A1196" s="19">
        <f>Database!A1517</f>
        <v/>
      </c>
      <c r="B1196" s="48">
        <f>VLOOKUP(A1196,Database!$A:$V,MATCH(Currency!$B$1,Database!$A$1:$V$1,),)</f>
        <v/>
      </c>
    </row>
    <row r="1197">
      <c r="A1197" s="19">
        <f>Database!A1518</f>
        <v/>
      </c>
      <c r="B1197" s="48">
        <f>VLOOKUP(A1197,Database!$A:$V,MATCH(Currency!$B$1,Database!$A$1:$V$1,),)</f>
        <v/>
      </c>
    </row>
    <row r="1198">
      <c r="A1198" s="19">
        <f>Database!A1519</f>
        <v/>
      </c>
      <c r="B1198" s="48">
        <f>VLOOKUP(A1198,Database!$A:$V,MATCH(Currency!$B$1,Database!$A$1:$V$1,),)</f>
        <v/>
      </c>
    </row>
    <row r="1199">
      <c r="A1199" s="19">
        <f>Database!A1520</f>
        <v/>
      </c>
      <c r="B1199" s="48">
        <f>VLOOKUP(A1199,Database!$A:$V,MATCH(Currency!$B$1,Database!$A$1:$V$1,),)</f>
        <v/>
      </c>
    </row>
    <row r="1200">
      <c r="A1200" s="19">
        <f>Database!A1521</f>
        <v/>
      </c>
      <c r="B1200" s="48">
        <f>VLOOKUP(A1200,Database!$A:$V,MATCH(Currency!$B$1,Database!$A$1:$V$1,),)</f>
        <v/>
      </c>
    </row>
    <row r="1201">
      <c r="A1201" s="19">
        <f>Database!A1522</f>
        <v/>
      </c>
      <c r="B1201" s="48">
        <f>VLOOKUP(A1201,Database!$A:$V,MATCH(Currency!$B$1,Database!$A$1:$V$1,),)</f>
        <v/>
      </c>
    </row>
    <row r="1202">
      <c r="A1202" s="19">
        <f>Database!A1523</f>
        <v/>
      </c>
      <c r="B1202" s="48">
        <f>VLOOKUP(A1202,Database!$A:$V,MATCH(Currency!$B$1,Database!$A$1:$V$1,),)</f>
        <v/>
      </c>
    </row>
    <row r="1203">
      <c r="A1203" s="19">
        <f>Database!A1524</f>
        <v/>
      </c>
      <c r="B1203" s="48">
        <f>VLOOKUP(A1203,Database!$A:$V,MATCH(Currency!$B$1,Database!$A$1:$V$1,),)</f>
        <v/>
      </c>
    </row>
    <row r="1204">
      <c r="A1204" s="19">
        <f>Database!A1525</f>
        <v/>
      </c>
      <c r="B1204" s="48">
        <f>VLOOKUP(A1204,Database!$A:$V,MATCH(Currency!$B$1,Database!$A$1:$V$1,),)</f>
        <v/>
      </c>
    </row>
    <row r="1205">
      <c r="A1205" s="19">
        <f>Database!A1526</f>
        <v/>
      </c>
      <c r="B1205" s="48">
        <f>VLOOKUP(A1205,Database!$A:$V,MATCH(Currency!$B$1,Database!$A$1:$V$1,),)</f>
        <v/>
      </c>
    </row>
    <row r="1206">
      <c r="A1206" s="19">
        <f>Database!A1527</f>
        <v/>
      </c>
      <c r="B1206" s="48">
        <f>VLOOKUP(A1206,Database!$A:$V,MATCH(Currency!$B$1,Database!$A$1:$V$1,),)</f>
        <v/>
      </c>
    </row>
    <row r="1207">
      <c r="A1207" s="19">
        <f>Database!A1528</f>
        <v/>
      </c>
      <c r="B1207" s="48">
        <f>VLOOKUP(A1207,Database!$A:$V,MATCH(Currency!$B$1,Database!$A$1:$V$1,),)</f>
        <v/>
      </c>
    </row>
    <row r="1208">
      <c r="A1208" s="19">
        <f>Database!A1529</f>
        <v/>
      </c>
      <c r="B1208" s="48">
        <f>VLOOKUP(A1208,Database!$A:$V,MATCH(Currency!$B$1,Database!$A$1:$V$1,),)</f>
        <v/>
      </c>
    </row>
    <row r="1209">
      <c r="A1209" s="19">
        <f>Database!A1530</f>
        <v/>
      </c>
      <c r="B1209" s="48">
        <f>VLOOKUP(A1209,Database!$A:$V,MATCH(Currency!$B$1,Database!$A$1:$V$1,),)</f>
        <v/>
      </c>
    </row>
    <row r="1210">
      <c r="A1210" s="19">
        <f>Database!A1531</f>
        <v/>
      </c>
      <c r="B1210" s="48">
        <f>VLOOKUP(A1210,Database!$A:$V,MATCH(Currency!$B$1,Database!$A$1:$V$1,),)</f>
        <v/>
      </c>
    </row>
    <row r="1211">
      <c r="A1211" s="19">
        <f>Database!A1532</f>
        <v/>
      </c>
      <c r="B1211" s="48">
        <f>VLOOKUP(A1211,Database!$A:$V,MATCH(Currency!$B$1,Database!$A$1:$V$1,),)</f>
        <v/>
      </c>
    </row>
    <row r="1212">
      <c r="A1212" s="19">
        <f>Database!A1533</f>
        <v/>
      </c>
      <c r="B1212" s="48">
        <f>VLOOKUP(A1212,Database!$A:$V,MATCH(Currency!$B$1,Database!$A$1:$V$1,),)</f>
        <v/>
      </c>
    </row>
    <row r="1213">
      <c r="A1213" s="19">
        <f>Database!A1534</f>
        <v/>
      </c>
      <c r="B1213" s="48">
        <f>VLOOKUP(A1213,Database!$A:$V,MATCH(Currency!$B$1,Database!$A$1:$V$1,),)</f>
        <v/>
      </c>
    </row>
    <row r="1214">
      <c r="A1214" s="19">
        <f>Database!A1535</f>
        <v/>
      </c>
      <c r="B1214" s="48">
        <f>VLOOKUP(A1214,Database!$A:$V,MATCH(Currency!$B$1,Database!$A$1:$V$1,),)</f>
        <v/>
      </c>
    </row>
    <row r="1215">
      <c r="A1215" s="19">
        <f>Database!A1536</f>
        <v/>
      </c>
      <c r="B1215" s="48">
        <f>VLOOKUP(A1215,Database!$A:$V,MATCH(Currency!$B$1,Database!$A$1:$V$1,),)</f>
        <v/>
      </c>
    </row>
    <row r="1216">
      <c r="A1216" s="19">
        <f>Database!A1537</f>
        <v/>
      </c>
      <c r="B1216" s="48">
        <f>VLOOKUP(A1216,Database!$A:$V,MATCH(Currency!$B$1,Database!$A$1:$V$1,),)</f>
        <v/>
      </c>
    </row>
    <row r="1217">
      <c r="A1217" s="19">
        <f>Database!A1538</f>
        <v/>
      </c>
      <c r="B1217" s="48">
        <f>VLOOKUP(A1217,Database!$A:$V,MATCH(Currency!$B$1,Database!$A$1:$V$1,),)</f>
        <v/>
      </c>
    </row>
    <row r="1218">
      <c r="A1218" s="19">
        <f>Database!A1539</f>
        <v/>
      </c>
      <c r="B1218" s="48">
        <f>VLOOKUP(A1218,Database!$A:$V,MATCH(Currency!$B$1,Database!$A$1:$V$1,),)</f>
        <v/>
      </c>
    </row>
    <row r="1219">
      <c r="A1219" s="19">
        <f>Database!A1540</f>
        <v/>
      </c>
      <c r="B1219" s="48">
        <f>VLOOKUP(A1219,Database!$A:$V,MATCH(Currency!$B$1,Database!$A$1:$V$1,),)</f>
        <v/>
      </c>
    </row>
    <row r="1220">
      <c r="A1220" s="19">
        <f>Database!A1541</f>
        <v/>
      </c>
      <c r="B1220" s="48">
        <f>VLOOKUP(A1220,Database!$A:$V,MATCH(Currency!$B$1,Database!$A$1:$V$1,),)</f>
        <v/>
      </c>
    </row>
    <row r="1221">
      <c r="A1221" s="19">
        <f>Database!A1542</f>
        <v/>
      </c>
      <c r="B1221" s="48">
        <f>VLOOKUP(A1221,Database!$A:$V,MATCH(Currency!$B$1,Database!$A$1:$V$1,),)</f>
        <v/>
      </c>
    </row>
    <row r="1222">
      <c r="A1222" s="19">
        <f>Database!A1543</f>
        <v/>
      </c>
      <c r="B1222" s="48">
        <f>VLOOKUP(A1222,Database!$A:$V,MATCH(Currency!$B$1,Database!$A$1:$V$1,),)</f>
        <v/>
      </c>
    </row>
    <row r="1223">
      <c r="A1223" s="19">
        <f>Database!A1544</f>
        <v/>
      </c>
      <c r="B1223" s="48">
        <f>VLOOKUP(A1223,Database!$A:$V,MATCH(Currency!$B$1,Database!$A$1:$V$1,),)</f>
        <v/>
      </c>
    </row>
    <row r="1224">
      <c r="A1224" s="19">
        <f>Database!A1545</f>
        <v/>
      </c>
      <c r="B1224" s="48">
        <f>VLOOKUP(A1224,Database!$A:$V,MATCH(Currency!$B$1,Database!$A$1:$V$1,),)</f>
        <v/>
      </c>
    </row>
    <row r="1225">
      <c r="A1225" s="19">
        <f>Database!A1546</f>
        <v/>
      </c>
      <c r="B1225" s="48">
        <f>VLOOKUP(A1225,Database!$A:$V,MATCH(Currency!$B$1,Database!$A$1:$V$1,),)</f>
        <v/>
      </c>
    </row>
    <row r="1226">
      <c r="A1226" s="19">
        <f>Database!A1547</f>
        <v/>
      </c>
      <c r="B1226" s="48">
        <f>VLOOKUP(A1226,Database!$A:$V,MATCH(Currency!$B$1,Database!$A$1:$V$1,),)</f>
        <v/>
      </c>
    </row>
    <row r="1227">
      <c r="A1227" s="19">
        <f>Database!A1548</f>
        <v/>
      </c>
      <c r="B1227" s="48">
        <f>VLOOKUP(A1227,Database!$A:$V,MATCH(Currency!$B$1,Database!$A$1:$V$1,),)</f>
        <v/>
      </c>
    </row>
    <row r="1228">
      <c r="A1228" s="19">
        <f>Database!A1549</f>
        <v/>
      </c>
      <c r="B1228" s="48">
        <f>VLOOKUP(A1228,Database!$A:$V,MATCH(Currency!$B$1,Database!$A$1:$V$1,),)</f>
        <v/>
      </c>
    </row>
    <row r="1229">
      <c r="A1229" s="19">
        <f>Database!A1550</f>
        <v/>
      </c>
      <c r="B1229" s="48">
        <f>VLOOKUP(A1229,Database!$A:$V,MATCH(Currency!$B$1,Database!$A$1:$V$1,),)</f>
        <v/>
      </c>
    </row>
    <row r="1230">
      <c r="A1230" s="19">
        <f>Database!A1551</f>
        <v/>
      </c>
      <c r="B1230" s="48">
        <f>VLOOKUP(A1230,Database!$A:$V,MATCH(Currency!$B$1,Database!$A$1:$V$1,),)</f>
        <v/>
      </c>
    </row>
    <row r="1231">
      <c r="A1231" s="19">
        <f>Database!A1552</f>
        <v/>
      </c>
      <c r="B1231" s="48">
        <f>VLOOKUP(A1231,Database!$A:$V,MATCH(Currency!$B$1,Database!$A$1:$V$1,),)</f>
        <v/>
      </c>
    </row>
    <row r="1232">
      <c r="A1232" s="19">
        <f>Database!A1553</f>
        <v/>
      </c>
      <c r="B1232" s="48">
        <f>VLOOKUP(A1232,Database!$A:$V,MATCH(Currency!$B$1,Database!$A$1:$V$1,),)</f>
        <v/>
      </c>
    </row>
    <row r="1233">
      <c r="A1233" s="19">
        <f>Database!A1554</f>
        <v/>
      </c>
      <c r="B1233" s="48">
        <f>VLOOKUP(A1233,Database!$A:$V,MATCH(Currency!$B$1,Database!$A$1:$V$1,),)</f>
        <v/>
      </c>
    </row>
    <row r="1234">
      <c r="A1234" s="19">
        <f>Database!A1555</f>
        <v/>
      </c>
      <c r="B1234" s="48">
        <f>VLOOKUP(A1234,Database!$A:$V,MATCH(Currency!$B$1,Database!$A$1:$V$1,),)</f>
        <v/>
      </c>
    </row>
    <row r="1235">
      <c r="A1235" s="19">
        <f>Database!A1556</f>
        <v/>
      </c>
      <c r="B1235" s="48">
        <f>VLOOKUP(A1235,Database!$A:$V,MATCH(Currency!$B$1,Database!$A$1:$V$1,),)</f>
        <v/>
      </c>
    </row>
    <row r="1236">
      <c r="A1236" s="19">
        <f>Database!A1557</f>
        <v/>
      </c>
      <c r="B1236" s="48">
        <f>VLOOKUP(A1236,Database!$A:$V,MATCH(Currency!$B$1,Database!$A$1:$V$1,),)</f>
        <v/>
      </c>
    </row>
    <row r="1237">
      <c r="A1237" s="19">
        <f>Database!A1558</f>
        <v/>
      </c>
      <c r="B1237" s="48">
        <f>VLOOKUP(A1237,Database!$A:$V,MATCH(Currency!$B$1,Database!$A$1:$V$1,),)</f>
        <v/>
      </c>
    </row>
    <row r="1238">
      <c r="A1238" s="19">
        <f>Database!A1559</f>
        <v/>
      </c>
      <c r="B1238" s="48">
        <f>VLOOKUP(A1238,Database!$A:$V,MATCH(Currency!$B$1,Database!$A$1:$V$1,),)</f>
        <v/>
      </c>
    </row>
    <row r="1239">
      <c r="A1239" s="19">
        <f>Database!A1560</f>
        <v/>
      </c>
      <c r="B1239" s="48">
        <f>VLOOKUP(A1239,Database!$A:$V,MATCH(Currency!$B$1,Database!$A$1:$V$1,),)</f>
        <v/>
      </c>
    </row>
    <row r="1240">
      <c r="A1240" s="19">
        <f>Database!A1561</f>
        <v/>
      </c>
      <c r="B1240" s="48">
        <f>VLOOKUP(A1240,Database!$A:$V,MATCH(Currency!$B$1,Database!$A$1:$V$1,),)</f>
        <v/>
      </c>
    </row>
    <row r="1241">
      <c r="A1241" s="19">
        <f>Database!A1562</f>
        <v/>
      </c>
      <c r="B1241" s="48">
        <f>VLOOKUP(A1241,Database!$A:$V,MATCH(Currency!$B$1,Database!$A$1:$V$1,),)</f>
        <v/>
      </c>
    </row>
    <row r="1242">
      <c r="A1242" s="19">
        <f>Database!A1563</f>
        <v/>
      </c>
      <c r="B1242" s="48">
        <f>VLOOKUP(A1242,Database!$A:$V,MATCH(Currency!$B$1,Database!$A$1:$V$1,),)</f>
        <v/>
      </c>
    </row>
    <row r="1243">
      <c r="A1243" s="19">
        <f>Database!A1564</f>
        <v/>
      </c>
      <c r="B1243" s="48">
        <f>VLOOKUP(A1243,Database!$A:$V,MATCH(Currency!$B$1,Database!$A$1:$V$1,),)</f>
        <v/>
      </c>
    </row>
    <row r="1244">
      <c r="A1244" s="19">
        <f>Database!A1565</f>
        <v/>
      </c>
      <c r="B1244" s="48">
        <f>VLOOKUP(A1244,Database!$A:$V,MATCH(Currency!$B$1,Database!$A$1:$V$1,),)</f>
        <v/>
      </c>
    </row>
    <row r="1245">
      <c r="A1245" s="19">
        <f>Database!A1566</f>
        <v/>
      </c>
      <c r="B1245" s="48">
        <f>VLOOKUP(A1245,Database!$A:$V,MATCH(Currency!$B$1,Database!$A$1:$V$1,),)</f>
        <v/>
      </c>
    </row>
    <row r="1246">
      <c r="A1246" s="19">
        <f>Database!A1567</f>
        <v/>
      </c>
      <c r="B1246" s="48">
        <f>VLOOKUP(A1246,Database!$A:$V,MATCH(Currency!$B$1,Database!$A$1:$V$1,),)</f>
        <v/>
      </c>
    </row>
    <row r="1247">
      <c r="A1247" s="19">
        <f>Database!A1568</f>
        <v/>
      </c>
      <c r="B1247" s="48">
        <f>VLOOKUP(A1247,Database!$A:$V,MATCH(Currency!$B$1,Database!$A$1:$V$1,),)</f>
        <v/>
      </c>
    </row>
    <row r="1248">
      <c r="A1248" s="19">
        <f>Database!A1569</f>
        <v/>
      </c>
      <c r="B1248" s="48">
        <f>VLOOKUP(A1248,Database!$A:$V,MATCH(Currency!$B$1,Database!$A$1:$V$1,),)</f>
        <v/>
      </c>
    </row>
    <row r="1249">
      <c r="A1249" s="19">
        <f>Database!A1570</f>
        <v/>
      </c>
      <c r="B1249" s="48">
        <f>VLOOKUP(A1249,Database!$A:$V,MATCH(Currency!$B$1,Database!$A$1:$V$1,),)</f>
        <v/>
      </c>
    </row>
    <row r="1250">
      <c r="A1250" s="19">
        <f>Database!A1571</f>
        <v/>
      </c>
      <c r="B1250" s="48">
        <f>VLOOKUP(A1250,Database!$A:$V,MATCH(Currency!$B$1,Database!$A$1:$V$1,),)</f>
        <v/>
      </c>
    </row>
    <row r="1251">
      <c r="A1251" s="19">
        <f>Database!A1572</f>
        <v/>
      </c>
      <c r="B1251" s="48">
        <f>VLOOKUP(A1251,Database!$A:$V,MATCH(Currency!$B$1,Database!$A$1:$V$1,),)</f>
        <v/>
      </c>
    </row>
    <row r="1252">
      <c r="A1252" s="19">
        <f>Database!A1573</f>
        <v/>
      </c>
      <c r="B1252" s="48">
        <f>VLOOKUP(A1252,Database!$A:$V,MATCH(Currency!$B$1,Database!$A$1:$V$1,),)</f>
        <v/>
      </c>
    </row>
    <row r="1253">
      <c r="A1253" s="19">
        <f>Database!A1574</f>
        <v/>
      </c>
      <c r="B1253" s="48">
        <f>VLOOKUP(A1253,Database!$A:$V,MATCH(Currency!$B$1,Database!$A$1:$V$1,),)</f>
        <v/>
      </c>
    </row>
    <row r="1254">
      <c r="A1254" s="19">
        <f>Database!A1575</f>
        <v/>
      </c>
      <c r="B1254" s="48">
        <f>VLOOKUP(A1254,Database!$A:$V,MATCH(Currency!$B$1,Database!$A$1:$V$1,),)</f>
        <v/>
      </c>
    </row>
    <row r="1255">
      <c r="A1255" s="19">
        <f>Database!A1576</f>
        <v/>
      </c>
      <c r="B1255" s="48">
        <f>VLOOKUP(A1255,Database!$A:$V,MATCH(Currency!$B$1,Database!$A$1:$V$1,),)</f>
        <v/>
      </c>
    </row>
    <row r="1256">
      <c r="A1256" s="19">
        <f>Database!A1577</f>
        <v/>
      </c>
      <c r="B1256" s="48">
        <f>VLOOKUP(A1256,Database!$A:$V,MATCH(Currency!$B$1,Database!$A$1:$V$1,),)</f>
        <v/>
      </c>
    </row>
    <row r="1257">
      <c r="A1257" s="19">
        <f>Database!A1578</f>
        <v/>
      </c>
      <c r="B1257" s="48">
        <f>VLOOKUP(A1257,Database!$A:$V,MATCH(Currency!$B$1,Database!$A$1:$V$1,),)</f>
        <v/>
      </c>
    </row>
    <row r="1258">
      <c r="A1258" s="19">
        <f>Database!A1579</f>
        <v/>
      </c>
      <c r="B1258" s="48">
        <f>VLOOKUP(A1258,Database!$A:$V,MATCH(Currency!$B$1,Database!$A$1:$V$1,),)</f>
        <v/>
      </c>
    </row>
    <row r="1259">
      <c r="A1259" s="19">
        <f>Database!A1580</f>
        <v/>
      </c>
      <c r="B1259" s="48">
        <f>VLOOKUP(A1259,Database!$A:$V,MATCH(Currency!$B$1,Database!$A$1:$V$1,),)</f>
        <v/>
      </c>
    </row>
    <row r="1260">
      <c r="A1260" s="19">
        <f>Database!A1581</f>
        <v/>
      </c>
      <c r="B1260" s="48">
        <f>VLOOKUP(A1260,Database!$A:$V,MATCH(Currency!$B$1,Database!$A$1:$V$1,),)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6">
    <outlinePr summaryBelow="1" summaryRight="1"/>
    <pageSetUpPr/>
  </sheetPr>
  <dimension ref="A1:A1"/>
  <sheetViews>
    <sheetView workbookViewId="0">
      <selection activeCell="AG201" sqref="AG201"/>
    </sheetView>
  </sheetViews>
  <sheetFormatPr baseColWidth="8" defaultColWidth="9.1796875" defaultRowHeight="14.5"/>
  <cols>
    <col width="9.1796875" customWidth="1" style="52" min="1" max="13"/>
    <col width="9.1796875" customWidth="1" style="52" min="14" max="16384"/>
  </cols>
  <sheetData/>
  <pageMargins left="0.7" right="0.7" top="0.75" bottom="0.75" header="0.3" footer="0.3"/>
  <drawing xmlns:r="http://schemas.openxmlformats.org/officeDocument/2006/relationships" r:id="rId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2019-09-04T16:42:21Z</dcterms:created>
  <dcterms:modified xmlns:dcterms="http://purl.org/dc/terms/" xmlns:xsi="http://www.w3.org/2001/XMLSchema-instance" xsi:type="dcterms:W3CDTF">2023-01-18T16:34:13Z</dcterms:modified>
  <cp:lastModifiedBy>Mark Mukherjee</cp:lastModifiedBy>
</cp:coreProperties>
</file>